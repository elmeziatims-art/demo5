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Notice" sheetId="1" state="visible" r:id="rId1"/>
    <sheet name="01_Cadrage" sheetId="2" state="visible" r:id="rId2"/>
    <sheet name="DATA_Referentiel" sheetId="3" state="visible" r:id="rId3"/>
    <sheet name="DATA_Chargement" sheetId="4" state="visible" r:id="rId4"/>
    <sheet name="04_Referentiel" sheetId="5" state="visible" r:id="rId5"/>
    <sheet name="05_Param_Prog_Annee" sheetId="6" state="visible" r:id="rId6"/>
    <sheet name="06_Historique" sheetId="7" state="visible" r:id="rId7"/>
    <sheet name="07_Structure" sheetId="8" state="visible" r:id="rId8"/>
    <sheet name="08_Moteur" sheetId="9" state="visible" r:id="rId9"/>
    <sheet name="09_Allocation" sheetId="10" state="visible" r:id="rId10"/>
    <sheet name="10_PnL" sheetId="11" state="visible" r:id="rId11"/>
    <sheet name="11_Simulateur" sheetId="12" state="visible" r:id="rId12"/>
    <sheet name="11b_Mutualisation" sheetId="13" state="visible" r:id="rId13"/>
    <sheet name="11c_Cascade" sheetId="14" state="visible" r:id="rId14"/>
    <sheet name="12_Sensibilite" sheetId="15" state="visible" r:id="rId15"/>
    <sheet name="13_Simulation" sheetId="16" state="visible" r:id="rId16"/>
    <sheet name="14_Mapping_Tagetik" sheetId="17" state="visible" r:id="rId17"/>
  </sheets>
  <definedNames/>
  <calcPr calcId="124519" fullCalcOnLoad="1"/>
</workbook>
</file>

<file path=xl/styles.xml><?xml version="1.0" encoding="utf-8"?>
<styleSheet xmlns="http://schemas.openxmlformats.org/spreadsheetml/2006/main">
  <numFmts count="4">
    <numFmt numFmtId="164" formatCode="#,##0;(#,##0);&quot;-&quot;"/>
    <numFmt numFmtId="165" formatCode="#,##0&quot; €&quot;;(#,##0)&quot; €&quot;;&quot;-&quot;"/>
    <numFmt numFmtId="166" formatCode="0.0%;(0.0%);&quot;-&quot;"/>
    <numFmt numFmtId="167" formatCode="#,##0.0;(#,##0.0);&quot;-&quot;"/>
  </numFmts>
  <fonts count="12">
    <font>
      <name val="Calibri"/>
      <family val="2"/>
      <color theme="1"/>
      <sz val="11"/>
      <scheme val="minor"/>
    </font>
    <font>
      <name val="Arial"/>
      <b val="1"/>
      <color rgb="00FFFFFF"/>
      <sz val="14"/>
    </font>
    <font>
      <name val="Arial"/>
      <i val="1"/>
      <color rgb="00595959"/>
      <sz val="9"/>
    </font>
    <font>
      <name val="Arial"/>
      <b val="1"/>
      <color rgb="00FFFFFF"/>
    </font>
    <font>
      <name val="Arial"/>
      <b val="1"/>
    </font>
    <font>
      <name val="Arial"/>
    </font>
    <font>
      <name val="Arial"/>
      <color rgb="000000FF"/>
    </font>
    <font>
      <name val="Arial"/>
      <color rgb="00000000"/>
    </font>
    <font>
      <name val="Arial"/>
      <color rgb="00008000"/>
    </font>
    <font>
      <name val="Arial"/>
      <b val="1"/>
      <color rgb="000000FF"/>
    </font>
    <font>
      <name val="Arial"/>
      <b val="1"/>
      <color rgb="00000000"/>
    </font>
    <font>
      <name val="Arial"/>
      <b val="1"/>
      <i val="1"/>
      <color rgb="00C00000"/>
    </font>
  </fonts>
  <fills count="8">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2E5496"/>
      </patternFill>
    </fill>
    <fill>
      <patternFill patternType="solid">
        <fgColor rgb="00E2EFDA"/>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3" borderId="1" applyAlignment="1" pivotButton="0" quotePrefix="0" xfId="0">
      <alignment horizontal="left" vertical="center"/>
    </xf>
    <xf numFmtId="0" fontId="5"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left" vertical="center"/>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0" applyAlignment="1" pivotButton="0" quotePrefix="0" xfId="0">
      <alignment horizontal="right" vertical="center"/>
    </xf>
    <xf numFmtId="0" fontId="9" fillId="4" borderId="1" applyAlignment="1" pivotButton="0" quotePrefix="0" xfId="0">
      <alignment horizontal="center" vertical="center" wrapText="1"/>
    </xf>
    <xf numFmtId="0" fontId="2" fillId="0" borderId="0" applyAlignment="1" pivotButton="0" quotePrefix="0" xfId="0">
      <alignment horizontal="right" vertical="center"/>
    </xf>
    <xf numFmtId="2" fontId="7" fillId="0" borderId="1" applyAlignment="1" pivotButton="0" quotePrefix="0" xfId="0">
      <alignment horizontal="center" vertical="center" wrapText="1"/>
    </xf>
    <xf numFmtId="0" fontId="2" fillId="0" borderId="0" applyAlignment="1" pivotButton="0" quotePrefix="0" xfId="0">
      <alignment horizontal="left" vertical="center"/>
    </xf>
    <xf numFmtId="0" fontId="3" fillId="5" borderId="1" applyAlignment="1" pivotButton="0" quotePrefix="0" xfId="0">
      <alignment horizontal="center" vertical="center" wrapText="1"/>
    </xf>
    <xf numFmtId="165" fontId="8" fillId="0" borderId="1" applyAlignment="1" pivotButton="0" quotePrefix="0" xfId="0">
      <alignment horizontal="right" vertical="center"/>
    </xf>
    <xf numFmtId="165" fontId="10" fillId="0" borderId="1" applyAlignment="1" pivotButton="0" quotePrefix="0" xfId="0">
      <alignment horizontal="right" vertical="center"/>
    </xf>
    <xf numFmtId="165" fontId="9" fillId="4" borderId="1" applyAlignment="1" pivotButton="0" quotePrefix="0" xfId="0">
      <alignment horizontal="right" vertical="center"/>
    </xf>
    <xf numFmtId="165" fontId="7" fillId="0" borderId="1" applyAlignment="1" pivotButton="0" quotePrefix="0" xfId="0">
      <alignment horizontal="right" vertical="center"/>
    </xf>
    <xf numFmtId="0" fontId="5" fillId="0" borderId="1" applyAlignment="1" pivotButton="0" quotePrefix="0" xfId="0">
      <alignment horizontal="center" vertical="center" wrapText="1"/>
    </xf>
    <xf numFmtId="2" fontId="6" fillId="0" borderId="1" applyAlignment="1" pivotButton="0" quotePrefix="0" xfId="0">
      <alignment horizontal="center" vertical="center" wrapText="1"/>
    </xf>
    <xf numFmtId="166" fontId="7" fillId="0" borderId="1" applyAlignment="1" pivotButton="0" quotePrefix="0" xfId="0">
      <alignment horizontal="right" vertical="center"/>
    </xf>
    <xf numFmtId="165" fontId="10" fillId="7" borderId="1" applyAlignment="1" pivotButton="0" quotePrefix="0" xfId="0">
      <alignment horizontal="right" vertical="center"/>
    </xf>
    <xf numFmtId="0" fontId="2" fillId="0" borderId="1" applyAlignment="1" pivotButton="0" quotePrefix="0" xfId="0">
      <alignment horizontal="center" vertical="center" wrapText="1"/>
    </xf>
    <xf numFmtId="0" fontId="3" fillId="2" borderId="1" applyAlignment="1" pivotButton="0" quotePrefix="0" xfId="0">
      <alignment horizontal="center" vertical="center" wrapText="1"/>
    </xf>
    <xf numFmtId="166" fontId="2" fillId="0" borderId="1" applyAlignment="1" pivotButton="0" quotePrefix="0" xfId="0">
      <alignment horizontal="center" vertical="center" wrapText="1"/>
    </xf>
    <xf numFmtId="166" fontId="6" fillId="0" borderId="1" applyAlignment="1" pivotButton="0" quotePrefix="0" xfId="0">
      <alignment horizontal="center" vertical="center" wrapText="1"/>
    </xf>
    <xf numFmtId="166" fontId="10" fillId="3" borderId="1" applyAlignment="1" pivotButton="0" quotePrefix="0" xfId="0">
      <alignment horizontal="center" vertical="center" wrapText="1"/>
    </xf>
    <xf numFmtId="165" fontId="6" fillId="4" borderId="1" applyAlignment="1" pivotButton="0" quotePrefix="0" xfId="0">
      <alignment horizontal="center" vertical="center" wrapText="1"/>
    </xf>
    <xf numFmtId="165" fontId="10" fillId="3" borderId="1" applyAlignment="1" pivotButton="0" quotePrefix="0" xfId="0">
      <alignment horizontal="center" vertical="center" wrapText="1"/>
    </xf>
    <xf numFmtId="2" fontId="6" fillId="4" borderId="1" applyAlignment="1" pivotButton="0" quotePrefix="0" xfId="0">
      <alignment horizontal="center" vertical="center" wrapText="1"/>
    </xf>
    <xf numFmtId="2" fontId="10" fillId="3" borderId="1" applyAlignment="1" pivotButton="0" quotePrefix="0" xfId="0">
      <alignment horizontal="center" vertical="center" wrapText="1"/>
    </xf>
    <xf numFmtId="166" fontId="6" fillId="4" borderId="1" applyAlignment="1" pivotButton="0" quotePrefix="0" xfId="0">
      <alignment horizontal="center" vertical="center" wrapText="1"/>
    </xf>
    <xf numFmtId="0" fontId="5" fillId="0" borderId="0" applyAlignment="1" pivotButton="0" quotePrefix="0" xfId="0">
      <alignment horizontal="left" vertical="center"/>
    </xf>
    <xf numFmtId="0" fontId="5" fillId="0" borderId="0" applyAlignment="1" pivotButton="0" quotePrefix="0" xfId="0">
      <alignment horizontal="center" vertical="center" wrapText="1"/>
    </xf>
    <xf numFmtId="0" fontId="7" fillId="0" borderId="0" applyAlignment="1" pivotButton="0" quotePrefix="0" xfId="0">
      <alignment horizontal="center" vertical="center" wrapText="1"/>
    </xf>
    <xf numFmtId="165" fontId="7" fillId="0" borderId="0" applyAlignment="1" pivotButton="0" quotePrefix="0" xfId="0">
      <alignment horizontal="center" vertical="center" wrapText="1"/>
    </xf>
    <xf numFmtId="164" fontId="7" fillId="0" borderId="0" applyAlignment="1" pivotButton="0" quotePrefix="0" xfId="0">
      <alignment horizontal="center" vertical="center" wrapText="1"/>
    </xf>
    <xf numFmtId="166" fontId="7" fillId="0" borderId="0" applyAlignment="1" pivotButton="0" quotePrefix="0" xfId="0">
      <alignment horizontal="center" vertical="center" wrapText="1"/>
    </xf>
    <xf numFmtId="0" fontId="9" fillId="6" borderId="1" applyAlignment="1" pivotButton="0" quotePrefix="0" xfId="0">
      <alignment horizontal="left" vertical="center"/>
    </xf>
    <xf numFmtId="0" fontId="5"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1" applyAlignment="1" pivotButton="0" quotePrefix="0" xfId="0">
      <alignment horizontal="left" vertical="center"/>
    </xf>
    <xf numFmtId="164"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0" fontId="4" fillId="0" borderId="0" applyAlignment="1" pivotButton="0" quotePrefix="0" xfId="0">
      <alignment horizontal="left" vertical="center"/>
    </xf>
    <xf numFmtId="165" fontId="6" fillId="0" borderId="1" applyAlignment="1" pivotButton="0" quotePrefix="0" xfId="0">
      <alignment horizontal="right" vertical="center"/>
    </xf>
    <xf numFmtId="0" fontId="10" fillId="6" borderId="1" applyAlignment="1" pivotButton="0" quotePrefix="0" xfId="0">
      <alignment horizontal="left" vertical="center"/>
    </xf>
    <xf numFmtId="0" fontId="0" fillId="6" borderId="1" pivotButton="0" quotePrefix="0" xfId="0"/>
    <xf numFmtId="164" fontId="10" fillId="6" borderId="1" applyAlignment="1" pivotButton="0" quotePrefix="0" xfId="0">
      <alignment horizontal="center" vertical="center" wrapText="1"/>
    </xf>
    <xf numFmtId="165" fontId="10" fillId="6" borderId="1" applyAlignment="1" pivotButton="0" quotePrefix="0" xfId="0">
      <alignment horizontal="right" vertical="center"/>
    </xf>
    <xf numFmtId="0" fontId="8" fillId="0" borderId="1" applyAlignment="1" pivotButton="0" quotePrefix="0" xfId="0">
      <alignment horizontal="left" vertical="center"/>
    </xf>
    <xf numFmtId="164" fontId="8" fillId="0" borderId="1" applyAlignment="1" pivotButton="0" quotePrefix="0" xfId="0">
      <alignment horizontal="center" vertical="center" wrapText="1"/>
    </xf>
    <xf numFmtId="165" fontId="8" fillId="0" borderId="1" applyAlignment="1" pivotButton="0" quotePrefix="0" xfId="0">
      <alignment horizontal="center" vertical="center" wrapText="1"/>
    </xf>
    <xf numFmtId="164" fontId="7" fillId="0" borderId="1" applyAlignment="1" pivotButton="0" quotePrefix="0" xfId="0">
      <alignment horizontal="center" vertical="center" wrapText="1"/>
    </xf>
    <xf numFmtId="165" fontId="7" fillId="0" borderId="1" applyAlignment="1" pivotButton="0" quotePrefix="0" xfId="0">
      <alignment horizontal="center" vertical="center" wrapText="1"/>
    </xf>
    <xf numFmtId="166" fontId="7"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0" fillId="0" borderId="4" pivotButton="0" quotePrefix="0" xfId="0"/>
    <xf numFmtId="164" fontId="7" fillId="0" borderId="1" applyAlignment="1" pivotButton="0" quotePrefix="0" xfId="0">
      <alignment horizontal="right" vertical="center"/>
    </xf>
    <xf numFmtId="164" fontId="10" fillId="6" borderId="1" applyAlignment="1" pivotButton="0" quotePrefix="0" xfId="0">
      <alignment horizontal="right" vertical="center"/>
    </xf>
    <xf numFmtId="0" fontId="8" fillId="0" borderId="0" applyAlignment="1" pivotButton="0" quotePrefix="0" xfId="0">
      <alignment horizontal="center" vertical="center" wrapText="1"/>
    </xf>
    <xf numFmtId="164" fontId="8" fillId="0" borderId="1" applyAlignment="1" pivotButton="0" quotePrefix="0" xfId="0">
      <alignment horizontal="right" vertical="center"/>
    </xf>
    <xf numFmtId="164" fontId="5" fillId="0" borderId="1" applyAlignment="1" pivotButton="0" quotePrefix="0" xfId="0">
      <alignment horizontal="right" vertical="center"/>
    </xf>
    <xf numFmtId="166" fontId="5" fillId="0" borderId="1" applyAlignment="1" pivotButton="0" quotePrefix="0" xfId="0">
      <alignment horizontal="right" vertical="center"/>
    </xf>
    <xf numFmtId="0" fontId="10" fillId="3" borderId="1" applyAlignment="1" pivotButton="0" quotePrefix="0" xfId="0">
      <alignment horizontal="left" vertical="center"/>
    </xf>
    <xf numFmtId="165" fontId="10" fillId="3" borderId="1" applyAlignment="1" pivotButton="0" quotePrefix="0" xfId="0">
      <alignment horizontal="right" vertical="center"/>
    </xf>
    <xf numFmtId="166" fontId="10" fillId="3" borderId="1" applyAlignment="1" pivotButton="0" quotePrefix="0" xfId="0">
      <alignment horizontal="right" vertical="center"/>
    </xf>
    <xf numFmtId="165" fontId="5" fillId="0" borderId="1" applyAlignment="1" pivotButton="0" quotePrefix="0" xfId="0">
      <alignment horizontal="right" vertical="center"/>
    </xf>
    <xf numFmtId="166" fontId="8" fillId="0" borderId="1" applyAlignment="1" pivotButton="0" quotePrefix="0" xfId="0">
      <alignment horizontal="right" vertical="center"/>
    </xf>
    <xf numFmtId="0" fontId="0" fillId="0" borderId="1" pivotButton="0" quotePrefix="0" xfId="0"/>
    <xf numFmtId="0" fontId="11" fillId="0" borderId="0" applyAlignment="1" pivotButton="0" quotePrefix="0" xfId="0">
      <alignment horizontal="left" vertical="center"/>
    </xf>
    <xf numFmtId="166" fontId="8" fillId="0" borderId="1" applyAlignment="1" pivotButton="0" quotePrefix="0" xfId="0">
      <alignment horizontal="center" vertical="center" wrapText="1"/>
    </xf>
    <xf numFmtId="0" fontId="7" fillId="0" borderId="1" applyAlignment="1" pivotButton="0" quotePrefix="0" xfId="0">
      <alignment horizontal="left" vertical="center"/>
    </xf>
    <xf numFmtId="0" fontId="2" fillId="0" borderId="1" applyAlignment="1" pivotButton="0" quotePrefix="0" xfId="0">
      <alignment horizontal="left" vertical="top" wrapText="1"/>
    </xf>
    <xf numFmtId="166" fontId="9" fillId="4" borderId="1" applyAlignment="1" pivotButton="0" quotePrefix="0" xfId="0">
      <alignment horizontal="center" vertical="center" wrapText="1"/>
    </xf>
    <xf numFmtId="167" fontId="7" fillId="0" borderId="1" applyAlignment="1" pivotButton="0" quotePrefix="0" xfId="0">
      <alignment horizontal="center" vertical="center" wrapText="1"/>
    </xf>
    <xf numFmtId="164" fontId="9" fillId="4"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dxfs count="1">
    <dxf>
      <font>
        <name val="Arial"/>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style val="10"/>
  <chart>
    <title>
      <tx>
        <rich>
          <a:bodyPr/>
          <a:p>
            <a:pPr>
              <a:defRPr/>
            </a:pPr>
            <a:r>
              <a:t>CA &amp; EBITDA par version (€)</a:t>
            </a:r>
          </a:p>
        </rich>
      </tx>
    </title>
    <plotArea>
      <barChart>
        <barDir val="col"/>
        <grouping val="clustered"/>
        <ser>
          <idx val="0"/>
          <order val="0"/>
          <tx>
            <strRef>
              <f>'01_Cadrage'!B7</f>
            </strRef>
          </tx>
          <spPr>
            <a:ln>
              <a:prstDash val="solid"/>
            </a:ln>
          </spPr>
          <cat>
            <numRef>
              <f>'01_Cadrage'!$C$6:$F$6</f>
            </numRef>
          </cat>
          <val>
            <numRef>
              <f>'01_Cadrage'!$C$7:$F$7</f>
            </numRef>
          </val>
        </ser>
        <ser>
          <idx val="1"/>
          <order val="1"/>
          <tx>
            <strRef>
              <f>'01_Cadrage'!B8</f>
            </strRef>
          </tx>
          <spPr>
            <a:ln>
              <a:prstDash val="solid"/>
            </a:ln>
          </spPr>
          <cat>
            <numRef>
              <f>'01_Cadrage'!$C$6:$F$6</f>
            </numRef>
          </cat>
          <val>
            <numRef>
              <f>'01_Cadrage'!$C$8:$F$8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Marge EBITDA % par version</a:t>
            </a:r>
          </a:p>
        </rich>
      </tx>
    </title>
    <plotArea>
      <barChart>
        <barDir val="col"/>
        <grouping val="clustered"/>
        <ser>
          <idx val="0"/>
          <order val="0"/>
          <spPr>
            <a:ln>
              <a:prstDash val="solid"/>
            </a:ln>
          </spPr>
          <cat>
            <numRef>
              <f>'01_Cadrage'!$C$6:$F$6</f>
            </numRef>
          </cat>
          <val>
            <numRef>
              <f>'01_Cadrage'!$C$9:$F$9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Guide</author>
  </authors>
  <commentList>
    <comment ref="B2" authorId="0" shapeId="0">
      <text>
        <t>OBJET DE L'ONGLET — Sommaire et mode d'emploi du classeur : rôle de chaque feuille, légende des couleurs, périmètre. Commence ici.</t>
      </text>
    </comment>
  </commentList>
</comments>
</file>

<file path=xl/comments/comment2.xml><?xml version="1.0" encoding="utf-8"?>
<comments xmlns="http://schemas.openxmlformats.org/spreadsheetml/2006/main">
  <authors>
    <author>Guide</author>
  </authors>
  <commentList>
    <comment ref="B2" authorId="0" shapeId="0">
      <text>
        <t>OBJET DE L'ONGLET — POSTE DE COMMANDE CFO. Cadrage top-down (N-2 · atterrissage N · objectif · budget construit · écart · reste à trouver), leviers en % avec scénarios Cadrage/Optimiste/Prudent, coefficients stratégiques par marque×campus, et graphes. Tout le budget se pilote d'ici.</t>
      </text>
    </comment>
    <comment ref="D3" authorId="0" shapeId="0">
      <text>
        <t>Scénario actif : change cette cellule (Cadrage/Optimiste/Prudent) et TOUT le budget se recalcule.</t>
      </text>
    </comment>
    <comment ref="D4" authorId="0" shapeId="0">
      <text>
        <t>Base de projection : ATTERRISSAGE N (réel YTD + reprévision) ou RÉALISÉ N-1 (année clôturée). Le budget construit projette depuis la base retenue (facteur en F4).</t>
      </text>
    </comment>
    <comment ref="C6" authorId="0" shapeId="0">
      <text>
        <t>Réel de l'avant-dernière année (clôturé) — référence de tendance.</t>
      </text>
    </comment>
    <comment ref="D6" authorId="0" shapeId="0">
      <text>
        <t>Réalisé de l'an dernier (année clôturée) — base possible de projection.</t>
      </text>
    </comment>
    <comment ref="E6" authorId="0" shapeId="0">
      <text>
        <t>Dernier ATTERRISSAGE de l'année en cours (réel YTD + reprévision) — base par défaut.</t>
      </text>
    </comment>
    <comment ref="F6" authorId="0" shapeId="0">
      <text>
        <t>Budget monté par le moteur (feuille 08), projeté depuis la BASE retenue (D4) — bouge avec les leviers.</t>
      </text>
    </comment>
    <comment ref="G6" authorId="0" shapeId="0">
      <text>
        <t>Objectif fixé par la direction (saisie).</t>
      </text>
    </comment>
    <comment ref="H6" authorId="0" shapeId="0">
      <text>
        <t>Écart = budget − objectif.</t>
      </text>
    </comment>
    <comment ref="L6" authorId="0" shapeId="0">
      <text>
        <t>Intensité marketing par campus (&gt;1 = on pousse, &lt;1 = on défend).</t>
      </text>
    </comment>
    <comment ref="M6" authorId="0" shapeId="0">
      <text>
        <t>Intensité prix par campus.</t>
      </text>
    </comment>
    <comment ref="G7" authorId="0" shapeId="0">
      <text>
        <t>Objectif de CA fixé par la direction (saisie).</t>
      </text>
    </comment>
    <comment ref="G8" authorId="0" shapeId="0">
      <text>
        <t>Objectif d'EBITDA fixé par la direction (saisie).</t>
      </text>
    </comment>
    <comment ref="F11" authorId="0" shapeId="0">
      <text>
        <t>Reste à trouver = objectif EBITDA − budget construit (si positif). À combler via les leviers (voir 12_Sensibilite).</t>
      </text>
    </comment>
    <comment ref="D15" authorId="0" shapeId="0">
      <text>
        <t>Référence au dernier atterrissage (0 % = statu quo).</t>
      </text>
    </comment>
    <comment ref="E15" authorId="0" shapeId="0">
      <text>
        <t>Valeurs du scénario Cadrage (central).</t>
      </text>
    </comment>
    <comment ref="F15" authorId="0" shapeId="0">
      <text>
        <t>Valeurs du scénario Optimiste.</t>
      </text>
    </comment>
    <comment ref="G15" authorId="0" shapeId="0">
      <text>
        <t>Valeurs du scénario Prudent.</t>
      </text>
    </comment>
    <comment ref="H15" authorId="0" shapeId="0">
      <text>
        <t>Valeur ACTIVE = celle du scénario choisi en D3.</t>
      </text>
    </comment>
    <comment ref="B16" authorId="0" shapeId="0">
      <text>
        <t>Variation du budget marketing → pilote le volume via l'élasticité mesurée.</t>
      </text>
    </comment>
    <comment ref="B17" authorId="0" shapeId="0">
      <text>
        <t>Hausse tarifaire moyenne, modulée par marque (coeff prix).</t>
      </text>
    </comment>
    <comment ref="B18" authorId="0" shapeId="0">
      <text>
        <t>Points de conversion candidature→inscrit gagnés (admissions).</t>
      </text>
    </comment>
    <comment ref="B19" authorId="0" shapeId="0">
      <text>
        <t>Amélioration du taux de passage (réinscription).</t>
      </text>
    </comment>
    <comment ref="B20" authorId="0" shapeId="0">
      <text>
        <t>Inflation appliquée aux charges (pédago, loyers, autres).</t>
      </text>
    </comment>
    <comment ref="B21" authorId="0" shapeId="0">
      <text>
        <t>Revalorisation des rémunérations chargées (permanents + enseignement).</t>
      </text>
    </comment>
  </commentList>
</comments>
</file>

<file path=xl/comments/comment3.xml><?xml version="1.0" encoding="utf-8"?>
<comments xmlns="http://schemas.openxmlformats.org/spreadsheetml/2006/main">
  <authors>
    <author>Guide</author>
  </authors>
  <commentList>
    <comment ref="B2" authorId="0" shapeId="0">
      <text>
        <t>OBJET DE L'ONGLET — RÉFÉRENTIEL des dimensions à charger dans Tagetik : chaque membre a un CODE et une DESCRIPTION, avec les HIÉRARCHIES (Entité Groupe→Marque→Campus ; Compte P&amp;L + statistiques ; Version/scénario ; Programme ; Année ; Modalité ; Période).</t>
      </text>
    </comment>
  </commentList>
</comments>
</file>

<file path=xl/comments/comment4.xml><?xml version="1.0" encoding="utf-8"?>
<comments xmlns="http://schemas.openxmlformats.org/spreadsheetml/2006/main">
  <authors>
    <author>Guide</author>
  </authors>
  <commentList>
    <comment ref="B1" authorId="0" shapeId="0">
      <text>
        <t>OBJET DE L'ONGLET — TABLE DE FAITS à charger dans Tagetik, en format LONG : une ligne = un croisement (entité × programme × année × modalité) × COMPTE × VERSION. Comptes comptables réels (PCG) pour le financier, codes techniques pour les stats. La structure (loyers, permanents, siège, D&amp;A) est DÉJÀ ALLOUÉE jusqu'à la classe. 3 versions : Réalisé N-2, Réalisé N-1, Atterrissage (Forecast V4).</t>
      </text>
    </comment>
  </commentList>
</comments>
</file>

<file path=xl/comments/comment5.xml><?xml version="1.0" encoding="utf-8"?>
<comments xmlns="http://schemas.openxmlformats.org/spreadsheetml/2006/main">
  <authors>
    <author>Guide</author>
  </authors>
  <commentList>
    <comment ref="B2" authorId="0" shapeId="0">
      <text>
        <t>OBJET DE L'ONGLET — Dimensions et plan de comptes du modèle (entités Groupe→Marque→Campus, comptes fixe/variable) — le socle de structuration.</t>
      </text>
    </comment>
    <comment ref="B5" authorId="0" shapeId="0">
      <text>
        <t>Marque / école du groupe (dimension Entity dans Tagetik).</t>
      </text>
    </comment>
    <comment ref="C5" authorId="0" shapeId="0">
      <text>
        <t>Campus (ville). Une entité = Marque + Ville.</t>
      </text>
    </comment>
    <comment ref="D5" authorId="0" shapeId="0">
      <text>
        <t>Domaine d'activité de la marque.</t>
      </text>
    </comment>
    <comment ref="E5" authorId="0" shapeId="0">
      <text>
        <t>Année d'études (B1, B2, B3, M1, M2…).</t>
      </text>
    </comment>
    <comment ref="F5" authorId="0" shapeId="0">
      <text>
        <t>Devise de reporting.</t>
      </text>
    </comment>
  </commentList>
</comments>
</file>

<file path=xl/comments/comment6.xml><?xml version="1.0" encoding="utf-8"?>
<comments xmlns="http://schemas.openxmlformats.org/spreadsheetml/2006/main">
  <authors>
    <author>Guide</author>
  </authors>
  <commentList>
    <comment ref="A1" authorId="0" shapeId="0">
      <text>
        <t>OBJET DE L'ONGLET — Données de référence UNITAIRES par programme × année (capacité, heures, taux, pédago, CAC, passage) qui alimentent le moteur. À charger avec le réel.</t>
      </text>
    </comment>
    <comment ref="A3" authorId="0" shapeId="0">
      <text>
        <t>Clé technique 'programme|année' pour relier les paramètres au moteur.</t>
      </text>
    </comment>
    <comment ref="B3" authorId="0" shapeId="0">
      <text>
        <t>Programme de formation (ex. Bachelor Management).</t>
      </text>
    </comment>
    <comment ref="C3" authorId="0" shapeId="0">
      <text>
        <t>Année d'études : B1/B2/B3 (Bachelor), M1/M2 (Mastère), 1/2 (BTS).</t>
      </text>
    </comment>
    <comment ref="D3" authorId="0" shapeId="0">
      <text>
        <t>Modalité : INIT = initial · ALT = alternance (financée OPCO/NPEC).</t>
      </text>
    </comment>
    <comment ref="E3" authorId="0" shapeId="0">
      <text>
        <t>Capacité cible d'une classe (nb d'étudiants).</t>
      </text>
    </comment>
    <comment ref="F3" authorId="0" shapeId="0">
      <text>
        <t>Heures d'enseignement délivrées par classe et par an.</t>
      </text>
    </comment>
    <comment ref="G3" authorId="0" shapeId="0">
      <text>
        <t>Coût horaire chargé de l'enseignement (vacation), en €.</t>
      </text>
    </comment>
    <comment ref="H3" authorId="0" shapeId="0">
      <text>
        <t>Coût pédagogique par étudiant/an, HORS salaires des intervenants (supports, licences, LMS, jury/examens, certifications). 350-670 € selon le domaine.</t>
      </text>
    </comment>
    <comment ref="I3" authorId="0" shapeId="0">
      <text>
        <t>Coût d'acquisition variable (achat de leads) par nouvel inscrit. N'existe qu'en année d'entrée.</t>
      </text>
    </comment>
    <comment ref="J3" authorId="0" shapeId="0">
      <text>
        <t>Taux de progression de l'année inférieure vers celle-ci (réinscription). Vide en année d'entrée.</t>
      </text>
    </comment>
  </commentList>
</comments>
</file>

<file path=xl/comments/comment7.xml><?xml version="1.0" encoding="utf-8"?>
<comments xmlns="http://schemas.openxmlformats.org/spreadsheetml/2006/main">
  <authors>
    <author>Guide</author>
  </authors>
  <commentList>
    <comment ref="A1" authorId="0" shapeId="0">
      <text>
        <t>OBJET DE L'ONGLET — Réalisé N-1 par cellule (funnel + cohorte) et historique marketing N-2/N-1 servant à MESURER la conversion, le passage et l'élasticité (pas d'invention).</t>
      </text>
    </comment>
    <comment ref="A3" authorId="0" shapeId="0">
      <text>
        <t>Marque / école du groupe (dimension Entity dans Tagetik).</t>
      </text>
    </comment>
    <comment ref="B3" authorId="0" shapeId="0">
      <text>
        <t>Campus (ville). Une entité = Marque + Ville.</t>
      </text>
    </comment>
    <comment ref="C3" authorId="0" shapeId="0">
      <text>
        <t>Programme de formation (ex. Bachelor Management).</t>
      </text>
    </comment>
    <comment ref="D3" authorId="0" shapeId="0">
      <text>
        <t>Type de diplôme : BAC (Bachelor), MAST (Mastère), BTS.</t>
      </text>
    </comment>
    <comment ref="E3" authorId="0" shapeId="0">
      <text>
        <t>Année d'études : B1/B2/B3 (Bachelor), M1/M2 (Mastère), 1/2 (BTS).</t>
      </text>
    </comment>
    <comment ref="F3" authorId="0" shapeId="0">
      <text>
        <t>Modalité : INIT = initial · ALT = alternance (financée OPCO/NPEC).</t>
      </text>
    </comment>
    <comment ref="G3" authorId="0" shapeId="0">
      <text>
        <t>1 = année d'entrée (on recrute) · 0 = année de poursuite (cohorte progressée).</t>
      </text>
    </comment>
    <comment ref="H3" authorId="0" shapeId="0">
      <text>
        <t>Candidatures l'an dernier.</t>
      </text>
    </comment>
    <comment ref="I3" authorId="0" shapeId="0">
      <text>
        <t>Nouveaux inscrits l'an dernier (entrants).</t>
      </text>
    </comment>
    <comment ref="J3" authorId="0" shapeId="0">
      <text>
        <t>Réinscrits l'an dernier (étudiants qui poursuivent).</t>
      </text>
    </comment>
    <comment ref="K3" authorId="0" shapeId="0">
      <text>
        <t>Effectif réel l'an dernier.</t>
      </text>
    </comment>
    <comment ref="L3" authorId="0" shapeId="0">
      <text>
        <t>Effectif de l'année juste inférieure l'an dernier — base de la cohorte pour calculer la progression.</t>
      </text>
    </comment>
    <comment ref="M3" authorId="0" shapeId="0">
      <text>
        <t>Tarif moyen l'an dernier (€/étudiant/an).</t>
      </text>
    </comment>
    <comment ref="N3" authorId="0" shapeId="0">
      <text>
        <t>Nombre de classes l'an dernier.</t>
      </text>
    </comment>
  </commentList>
</comments>
</file>

<file path=xl/comments/comment8.xml><?xml version="1.0" encoding="utf-8"?>
<comments xmlns="http://schemas.openxmlformats.org/spreadsheetml/2006/main">
  <authors>
    <author>Guide</author>
  </authors>
  <commentList>
    <comment ref="A1" authorId="0" shapeId="0">
      <text>
        <t>OBJET DE L'ONGLET — Réalisé N-1 par CAMPUS (loyers, ETP permanents, D&amp;A, m²) : la base des coûts de structure.</t>
      </text>
    </comment>
    <comment ref="A3" authorId="0" shapeId="0">
      <text>
        <t>Marque / école du groupe (dimension Entity dans Tagetik).</t>
      </text>
    </comment>
    <comment ref="B3" authorId="0" shapeId="0">
      <text>
        <t>Campus (ville). Une entité = Marque + Ville.</t>
      </text>
    </comment>
    <comment ref="C3" authorId="0" shapeId="0">
      <text>
        <t>Effectif réel l'an dernier.</t>
      </text>
    </comment>
    <comment ref="D3" authorId="0" shapeId="0">
      <text>
        <t>Chiffre d'affaires réel l'an dernier.</t>
      </text>
    </comment>
    <comment ref="E3" authorId="0" shapeId="0">
      <text>
        <t>Marge de contribution réelle l'an dernier (CA − coûts directs).</t>
      </text>
    </comment>
    <comment ref="F3" authorId="0" shapeId="0">
      <text>
        <t>Loyer du campus l'an dernier (coût de structure, fixe).</t>
      </text>
    </comment>
    <comment ref="G3" authorId="0" shapeId="0">
      <text>
        <t>Effectifs permanents (équivalent temps plein) du campus.</t>
      </text>
    </comment>
    <comment ref="H3" authorId="0" shapeId="0">
      <text>
        <t>Masse salariale permanente = ETP × coût chargé par ETP.</t>
      </text>
    </comment>
    <comment ref="I3" authorId="0" shapeId="0">
      <text>
        <t>Dotations aux amortissements l'an dernier.</t>
      </text>
    </comment>
    <comment ref="J3" authorId="0" shapeId="0">
      <text>
        <t>Surface du campus (utilisée comme driver d'allocation possible).</t>
      </text>
    </comment>
    <comment ref="K3" authorId="0" shapeId="0">
      <text>
        <t>EBITDA du campus = contribution − loyer − masse salariale permanente.</t>
      </text>
    </comment>
  </commentList>
</comments>
</file>

<file path=xl/comments/comment9.xml><?xml version="1.0" encoding="utf-8"?>
<comments xmlns="http://schemas.openxmlformats.org/spreadsheetml/2006/main">
  <authors>
    <author>Guide</author>
  </authors>
  <commentList>
    <comment ref="A1" authorId="0" shapeId="0">
      <text>
        <t>OBJET DE L'ONGLET — CŒUR DE CALCUL : construit le budget de CHAQUE cellule (cohortes, marketing→volume, tarif, financement alternance, point mort). Toutes les feuilles de résultat en découlent.</t>
      </text>
    </comment>
    <comment ref="A2" authorId="0" shapeId="0">
      <text>
        <t>Marque / école du groupe (dimension Entity dans Tagetik).</t>
      </text>
    </comment>
    <comment ref="B2" authorId="0" shapeId="0">
      <text>
        <t>Campus (ville). Une entité = Marque + Ville.</t>
      </text>
    </comment>
    <comment ref="C2" authorId="0" shapeId="0">
      <text>
        <t>Programme de formation (ex. Bachelor Management).</t>
      </text>
    </comment>
    <comment ref="D2" authorId="0" shapeId="0">
      <text>
        <t>Année d'études : B1/B2/B3 (Bachelor), M1/M2 (Mastère), 1/2 (BTS).</t>
      </text>
    </comment>
    <comment ref="E2" authorId="0" shapeId="0">
      <text>
        <t>Modalité : INIT = initial (payé par la famille) · ALT = alternance (financé OPCO/NPEC).</t>
      </text>
    </comment>
    <comment ref="F2" authorId="0" shapeId="0">
      <text>
        <t>1 = année d'entrée (on recrute) · 0 = année de poursuite (cohorte progressée).</t>
      </text>
    </comment>
    <comment ref="G2" authorId="0" shapeId="0">
      <text>
        <t>Effectif réel l'an dernier.</t>
      </text>
    </comment>
    <comment ref="H2" authorId="0" shapeId="0">
      <text>
        <t>Nouveaux inscrits l'an dernier (entrants).</t>
      </text>
    </comment>
    <comment ref="I2" authorId="0" shapeId="0">
      <text>
        <t>Réinscrits l'an dernier (étudiants qui poursuivent).</t>
      </text>
    </comment>
    <comment ref="J2" authorId="0" shapeId="0">
      <text>
        <t>Candidatures l'an dernier.</t>
      </text>
    </comment>
    <comment ref="K2" authorId="0" shapeId="0">
      <text>
        <t>Effectif de l'année inférieure l'an dernier (base de progression de la cohorte).</t>
      </text>
    </comment>
    <comment ref="L2" authorId="0" shapeId="0">
      <text>
        <t>Tarif moyen l'an dernier (€/étudiant/an).</t>
      </text>
    </comment>
    <comment ref="M2" authorId="0" shapeId="0">
      <text>
        <t>Nombre de classes l'an dernier.</t>
      </text>
    </comment>
    <comment ref="N2" authorId="0" shapeId="0">
      <text>
        <t>Clé programme|année pour retrouver les paramètres (feuille 05).</t>
      </text>
    </comment>
    <comment ref="O2" authorId="0" shapeId="0">
      <text>
        <t>Capacité cible par classe (lue dans 05).</t>
      </text>
    </comment>
    <comment ref="P2" authorId="0" shapeId="0">
      <text>
        <t>Heures d'enseignement par classe/an (05).</t>
      </text>
    </comment>
    <comment ref="Q2" authorId="0" shapeId="0">
      <text>
        <t>Taux horaire chargé de l'enseignement (05).</t>
      </text>
    </comment>
    <comment ref="R2" authorId="0" shapeId="0">
      <text>
        <t>Coût pédagogique par étudiant (05).</t>
      </text>
    </comment>
    <comment ref="S2" authorId="0" shapeId="0">
      <text>
        <t>Coût d'acquisition variable par nouvel inscrit (05).</t>
      </text>
    </comment>
    <comment ref="T2" authorId="0" shapeId="0">
      <text>
        <t>Taux de passage de l'année inférieure (05). 0 en année d'entrée.</t>
      </text>
    </comment>
    <comment ref="U2" authorId="0" shapeId="0">
      <text>
        <t>Coût d'une classe = heures × taux horaire × (1 + politique salariale).</t>
      </text>
    </comment>
    <comment ref="V2" authorId="0" shapeId="0">
      <text>
        <t>Coefficient stratégique MARKETING de la marque (feuille 03) — module l'effort par marque.</t>
      </text>
    </comment>
    <comment ref="W2" authorId="0" shapeId="0">
      <text>
        <t>Coefficient stratégique PRIX de la marque (feuille 03) — module la hausse tarifaire par marque.</t>
      </text>
    </comment>
    <comment ref="X2" authorId="0" shapeId="0">
      <text>
        <t>Élasticité marketing mesurée (06). Repli si historique manquant.</t>
      </text>
    </comment>
    <comment ref="Y2" authorId="0" shapeId="0">
      <text>
        <t>Effort marketing appliqué = levier 'variation budget marketing' × coefficient marque.</t>
      </text>
    </comment>
    <comment ref="Z2" authorId="0" shapeId="0">
      <text>
        <t>Candidatures budget = candidatures N-1 × (1 + élasticité × effort marketing).</t>
      </text>
    </comment>
    <comment ref="AA2" authorId="0" shapeId="0">
      <text>
        <t>Taux de conversion candidature→inscrit (mesuré par cellule) + gain du levier conversion.</t>
      </text>
    </comment>
    <comment ref="AB2" authorId="0" shapeId="0">
      <text>
        <t>Nouveaux inscrits budget = candidatures budget × taux de conversion.</t>
      </text>
    </comment>
    <comment ref="AC2" authorId="0" shapeId="0">
      <text>
        <t>Réinscrits budget = effectif de l'année inférieure (N-1) × (taux de passage + amélioration).</t>
      </text>
    </comment>
    <comment ref="AD2" authorId="0" shapeId="0">
      <text>
        <t>Effectif budget = nouveaux + réinscrits.</t>
      </text>
    </comment>
    <comment ref="AE2" authorId="0" shapeId="0">
      <text>
        <t>Tarif budget = tarif N-1 × (1 + hausse prix × coefficient marque).</t>
      </text>
    </comment>
    <comment ref="AH2" authorId="0" shapeId="0">
      <text>
        <t>CA budget = effectif × tarif × facteur financement + frais de dossier.</t>
      </text>
    </comment>
    <comment ref="AI2" authorId="0" shapeId="0">
      <text>
        <t>Classes nécessaires = arrondi supérieur (effectif / capacité) — le MINIMUM par cellule (promo). Ce minimum ne se réduit pas au sein d'une promo ; le regroupement de sections parallèles d'un même campus se traite un cran au-dessus (feuille 11b_Mutualisation).</t>
      </text>
    </comment>
    <comment ref="AJ2" authorId="0" shapeId="0">
      <text>
        <t>Coût d'enseignement = classes × coût par classe.</t>
      </text>
    </comment>
    <comment ref="AK2" authorId="0" shapeId="0">
      <text>
        <t>Coût pédagogique = effectif × coût pédago/étudiant × (1 + inflation).</t>
      </text>
    </comment>
    <comment ref="AL2" authorId="0" shapeId="0">
      <text>
        <t>Marketing = nouveaux × CAC variable × (1 + effort). = 0 en année de poursuite.</t>
      </text>
    </comment>
    <comment ref="AM2" authorId="0" shapeId="0">
      <text>
        <t>MARGE DE CONTRIBUTION = CA − enseignement − pédago − marketing − autres charges.</t>
      </text>
    </comment>
    <comment ref="AN2" authorId="0" shapeId="0">
      <text>
        <t>Taux de remplissage = effectif / (classes × capacité).</t>
      </text>
    </comment>
    <comment ref="AO2" authorId="0" shapeId="0">
      <text>
        <t>Contribution par étudiant.</t>
      </text>
    </comment>
    <comment ref="AP2" authorId="0" shapeId="0">
      <text>
        <t>Point mort = nb d'étudiants pour couvrir le coût des classes.</t>
      </text>
    </comment>
  </commentList>
</comments>
</file>

<file path=xl/comments/comment10.xml><?xml version="1.0" encoding="utf-8"?>
<comments xmlns="http://schemas.openxmlformats.org/spreadsheetml/2006/main">
  <authors>
    <author>Guide</author>
  </authors>
  <commentList>
    <comment ref="B2" authorId="0" shapeId="0">
      <text>
        <t>OBJET DE L'ONGLET — Répartir les frais de structure FIXES sur les campus selon un driver (effectifs / CA / m²).</t>
      </text>
    </comment>
    <comment ref="B5" authorId="0" shapeId="0">
      <text>
        <t>Marque / école du groupe (dimension Entity dans Tagetik).</t>
      </text>
    </comment>
    <comment ref="C5" authorId="0" shapeId="0">
      <text>
        <t>Campus (ville). Une entité = Marque + Ville.</t>
      </text>
    </comment>
    <comment ref="D5" authorId="0" shapeId="0">
      <text>
        <t>Marge de contribution (CA − coûts directs évitables).</t>
      </text>
    </comment>
    <comment ref="E5" authorId="0" shapeId="0">
      <text>
        <t>Loyer du campus (structure fixe).</t>
      </text>
    </comment>
    <comment ref="F5" authorId="0" shapeId="0">
      <text>
        <t>Masse salariale permanente (structure fixe).</t>
      </text>
    </comment>
    <comment ref="G5" authorId="0" shapeId="0">
      <text>
        <t>Valeur du driver d'allocation (effectif, CA ou m² selon 02_Leviers).</t>
      </text>
    </comment>
    <comment ref="H5" authorId="0" shapeId="0">
      <text>
        <t>Part du campus dans le driver total.</t>
      </text>
    </comment>
    <comment ref="I5" authorId="0" shapeId="0">
      <text>
        <t>Frais de structure groupe alloués à ce campus.</t>
      </text>
    </comment>
    <comment ref="J5" authorId="0" shapeId="0">
      <text>
        <t>EBITDA du campus = contribution − loyer − permanents − structure allouée.</t>
      </text>
    </comment>
    <comment ref="K5" authorId="0" shapeId="0">
      <text>
        <t>Dotations aux amortissements.</t>
      </text>
    </comment>
    <comment ref="L5" authorId="0" shapeId="0">
      <text>
        <t>Résultat d'exploitation = EBITDA − D&amp;A.</t>
      </text>
    </comment>
  </commentList>
</comments>
</file>

<file path=xl/comments/comment11.xml><?xml version="1.0" encoding="utf-8"?>
<comments xmlns="http://schemas.openxmlformats.org/spreadsheetml/2006/main">
  <authors>
    <author>Guide</author>
  </authors>
  <commentList>
    <comment ref="B2" authorId="0" shapeId="0">
      <text>
        <t>OBJET DE L'ONGLET — Compte de résultat consolidé N-1 vs Budget + PONT d'explication du CA (volume / tarif / frais).</t>
      </text>
    </comment>
    <comment ref="B5" authorId="0" shapeId="0">
      <text>
        <t>Ligne du compte de résultat.</t>
      </text>
    </comment>
    <comment ref="C5" authorId="0" shapeId="0">
      <text>
        <t>Valeur réelle de l'an dernier.</t>
      </text>
    </comment>
    <comment ref="D5" authorId="0" shapeId="0">
      <text>
        <t>Valeur budgétée.</t>
      </text>
    </comment>
    <comment ref="E5" authorId="0" shapeId="0">
      <text>
        <t>Budget − Réalisé (en €).</t>
      </text>
    </comment>
    <comment ref="F5" authorId="0" shapeId="0">
      <text>
        <t>Variation en % vs l'an dernier.</t>
      </text>
    </comment>
  </commentList>
</comments>
</file>

<file path=xl/comments/comment12.xml><?xml version="1.0" encoding="utf-8"?>
<comments xmlns="http://schemas.openxmlformats.org/spreadsheetml/2006/main">
  <authors>
    <author>Guide</author>
  </authors>
  <commentList>
    <comment ref="A1" authorId="0" shapeId="0">
      <text>
        <t>OBJET DE L'ONGLET — BAC À SABLE de décisions à la maille PROMO (ouvrir / fermer / regrouper) → impact EBITDA AVANT/APRÈS. N'affecte PAS le budget officiel.</t>
      </text>
    </comment>
    <comment ref="A5" authorId="0" shapeId="0">
      <text>
        <t>Marque / école du groupe (dimension Entity dans Tagetik).</t>
      </text>
    </comment>
    <comment ref="B5" authorId="0" shapeId="0">
      <text>
        <t>Campus (ville). Une entité = Marque + Ville.</t>
      </text>
    </comment>
    <comment ref="C5" authorId="0" shapeId="0">
      <text>
        <t>Programme de formation (ex. Bachelor Management).</t>
      </text>
    </comment>
    <comment ref="D5" authorId="0" shapeId="0">
      <text>
        <t>Année d'études : B1/B2/B3 (Bachelor), M1/M2 (Mastère), 1/2 (BTS).</t>
      </text>
    </comment>
    <comment ref="E5" authorId="0" shapeId="0">
      <text>
        <t>Effectif budget de la promo.</t>
      </text>
    </comment>
    <comment ref="F5" authorId="0" shapeId="0">
      <text>
        <t>Chiffre d'affaires budget de la promo.</t>
      </text>
    </comment>
    <comment ref="G5" authorId="0" shapeId="0">
      <text>
        <t>Coûts qui DISPARAISSENT si on ferme la promo (enseignement, pédago, marketing, autres variables).</t>
      </text>
    </comment>
    <comment ref="H5" authorId="0" shapeId="0">
      <text>
        <t>CA − coûts directs évitables. C'est LA métrique de décision : on ne ferme que si elle est négative.</t>
      </text>
    </comment>
    <comment ref="I5" authorId="0" shapeId="0">
      <text>
        <t>Taux de remplissage = effectif / (classes × capacité).</t>
      </text>
    </comment>
    <comment ref="J5" authorId="0" shapeId="0">
      <text>
        <t>Recommandation automatique (contribution + remplissage). Dépend de l'année : entrée (lancer/capter) vs poursuite (regrouper).</t>
      </text>
    </comment>
    <comment ref="K5" authorId="0" shapeId="0">
      <text>
        <t>Explication de la recommandation.</t>
      </text>
    </comment>
    <comment ref="L5" authorId="0" shapeId="0">
      <text>
        <t>Ton choix. Menu restreint selon l'année : entrée = lancer/capter ; poursuite = seulement regrouper.</t>
      </text>
    </comment>
    <comment ref="M5" authorId="0" shapeId="0">
      <text>
        <t>Effectif après ta décision (0 si 'ne pas lancer' ; +1 classe captée si 'ouvrir').</t>
      </text>
    </comment>
    <comment ref="N5" authorId="0" shapeId="0">
      <text>
        <t>Contribution recalculée selon ta décision. Regrouper (−1 classe) n'est crédité (économie d'une classe) QUE si l'effectif tient dans les classes restantes : effectif ≤ (classes−1) × capacité × 1,10 (tolérance salle +10%). Sinon aucune économie : le regroupement déborderait la capacité.</t>
      </text>
    </comment>
    <comment ref="O5" authorId="0" shapeId="0">
      <text>
        <t>Quote-part de structure fixe (loyer, permanents, siège) portée par la promo, RECALCULÉE après décisions : moins d'étudiants au total → chacun en porte plus (dilution).</t>
      </text>
    </comment>
    <comment ref="P5" authorId="0" shapeId="0">
      <text>
        <t>Contribution après − structure allouée. Vue INFORMATIVE — surtout PAS un critère de fermeture.</t>
      </text>
    </comment>
    <comment ref="Q5" authorId="0" shapeId="0">
      <text>
        <t>Impact sur l'EBITDA groupe = contribution après − contribution avant.</t>
      </text>
    </comment>
  </commentList>
</comments>
</file>

<file path=xl/comments/comment13.xml><?xml version="1.0" encoding="utf-8"?>
<comments xmlns="http://schemas.openxmlformats.org/spreadsheetml/2006/main">
  <authors>
    <author>Guide</author>
  </authors>
  <commentList>
    <comment ref="B2" authorId="0" shapeId="0">
      <text>
        <t>OBJET DE L'ONGLET — BAC À SABLE à la maille CAMPUS × CYCLE : combien de classes / € récupérables en mutualisant le tronc commun, sans dépasser la capacité.</t>
      </text>
    </comment>
    <comment ref="B5" authorId="0" shapeId="0">
      <text>
        <t>Marque / école du groupe (dimension Entity dans Tagetik).</t>
      </text>
    </comment>
    <comment ref="C5" authorId="0" shapeId="0">
      <text>
        <t>Campus (ville). Une entité = Marque + Ville.</t>
      </text>
    </comment>
    <comment ref="D5" authorId="0" shapeId="0">
      <text>
        <t>Cycle de diplôme (Bachelor / Mastère / BTS). On ne mutualise qu'au sein d'un même cycle : ses années partagent un tronc commun ; on ne mélange pas des cycles différents.</t>
      </text>
    </comment>
    <comment ref="E5" authorId="0" shapeId="0">
      <text>
        <t>Effectif budget de la promo.</t>
      </text>
    </comment>
    <comment ref="F5" authorId="0" shapeId="0">
      <text>
        <t>Nombre de classes ouvertes aujourd'hui pour ce cycle sur le campus = somme des classes de chaque année (chacune arrondit au minimum de son côté).</t>
      </text>
    </comment>
    <comment ref="G5" authorId="0" shapeId="0">
      <text>
        <t>Capacité moyenne d'une classe sur le campus (pondérée par le nombre de classes).</t>
      </text>
    </comment>
    <comment ref="H5" authorId="0" shapeId="0">
      <text>
        <t>Plancher physique = ARRONDI.SUP(effectif total du campus / capacité moyenne). C'est le minimum de classes si on regroupait les étudiants dans des classes pleines — la capacité n'est jamais dépassée.</t>
      </text>
    </comment>
    <comment ref="I5" authorId="0" shapeId="0">
      <text>
        <t>Classes récupérables = sections aujourd'hui − plancher. Vient des arrondis : chaque promo arrondit au minimum, mais mises en commun elles remplissent mieux.</t>
      </text>
    </comment>
    <comment ref="J5" authorId="0" shapeId="0">
      <text>
        <t>Coût d'enseignement moyen d'une classe du campus = coût enseignement total / nombre de classes.</t>
      </text>
    </comment>
    <comment ref="K5" authorId="0" shapeId="0">
      <text>
        <t>Sections économisables × coût moyen/classe × % d'heures mutualisables. Potentiel indicatif (bac à sable), pas un impact P&amp;L officiel.</t>
      </text>
    </comment>
  </commentList>
</comments>
</file>

<file path=xl/comments/comment14.xml><?xml version="1.0" encoding="utf-8"?>
<comments xmlns="http://schemas.openxmlformats.org/spreadsheetml/2006/main">
  <authors>
    <author>Guide</author>
  </authors>
  <commentList>
    <comment ref="B2" authorId="0" shapeId="0">
      <text>
        <t>OBJET DE L'ONGLET — BAC À SABLE : allocation de la structure EN CASCADE (marque→campus→classe) et démonstration de QUAND fermer une promo est bénéfique ou non, sur un vrai campus.</t>
      </text>
    </comment>
    <comment ref="B14" authorId="0" shapeId="0">
      <text>
        <t>Promotion = programme × année du campus focus (ISCOM Toulouse).</t>
      </text>
    </comment>
    <comment ref="C14" authorId="0" shapeId="0">
      <text>
        <t>Effectif budget RÉEL calculé par le moteur (feuille 08) pour cette promo — sert de référence en regard du scénario.</t>
      </text>
    </comment>
    <comment ref="D14" authorId="0" shapeId="0">
      <text>
        <t>Effectif que TU testes (bleu, éditable). Baisse-le pour simuler une promo sous-remplie / en extinction et voir l'effet.</t>
      </text>
    </comment>
    <comment ref="E14" authorId="0" shapeId="0">
      <text>
        <t>Nombre de classes = arrondi supérieur (effectif scénario / capacité).</t>
      </text>
    </comment>
    <comment ref="F14" authorId="0" shapeId="0">
      <text>
        <t>Chiffre d'affaires budget de la promo.</t>
      </text>
    </comment>
    <comment ref="G14" authorId="0" shapeId="0">
      <text>
        <t>CA − coûts directs évitables (enseignement + charge/étu + CAC). C'est LA métrique de décision : on ne ferme que si elle est négative.</t>
      </text>
    </comment>
    <comment ref="H14" authorId="0" shapeId="0">
      <text>
        <t>Structure non-évitable du campus (envelope) ÷ nombre total de classes. C'est ce qui se REDIVISE quand on ferme une promo.</t>
      </text>
    </comment>
    <comment ref="I14" authorId="0" shapeId="0">
      <text>
        <t>Structure portée par la promo = ses classes × structure/classe.</t>
      </text>
    </comment>
    <comment ref="J14" authorId="0" shapeId="0">
      <text>
        <t>Résultat TOUT COMPRIS = contribution − structure allouée. INFORMATIF : peut être négatif alors que la contribution est positive (le piège). JAMAIS un critère de fermeture.</t>
      </text>
    </comment>
    <comment ref="K14" authorId="0" shapeId="0">
      <text>
        <t>Ton choix. Menu restreint selon l'année : entrée = lancer/capter ; poursuite = seulement regrouper.</t>
      </text>
    </comment>
    <comment ref="L14" authorId="0" shapeId="0">
      <text>
        <t>Nombre de classes après ta décision (0 si Fermer).</t>
      </text>
    </comment>
    <comment ref="M14" authorId="0" shapeId="0">
      <text>
        <t>Structure allouée après décisions : l'envelope (inchangée, non-évitable) se redivise sur les classes RESTANTES → chacune en porte plus.</t>
      </text>
    </comment>
    <comment ref="N14" authorId="0" shapeId="0">
      <text>
        <t>Résultat tout compris recalculé après décisions. En ROUGE si &lt; 0 : rend visible l'effet d'entraînement.</t>
      </text>
    </comment>
    <comment ref="P14" authorId="0" shapeId="0">
      <text>
        <t>Capacité cible d'une classe (nb d'étudiants).</t>
      </text>
    </comment>
    <comment ref="Q14" authorId="0" shapeId="0">
      <text>
        <t>Coût d'enseignement d'une classe (heures × taux horaire), issu du modèle (feuille 05).</t>
      </text>
    </comment>
    <comment ref="R14" authorId="0" shapeId="0">
      <text>
        <t>Tarif de scolarité par étudiant et par an (feuille 05).</t>
      </text>
    </comment>
    <comment ref="S14" authorId="0" shapeId="0">
      <text>
        <t>Charges variables par étudiant = coût pédagogique + autres charges d'exploitation (feuille 05).</t>
      </text>
    </comment>
    <comment ref="T14" authorId="0" shapeId="0">
      <text>
        <t>Coût d'acquisition (achat de leads) par étudiant — uniquement en année d'entrée.</t>
      </text>
    </comment>
  </commentList>
</comments>
</file>

<file path=xl/comments/comment15.xml><?xml version="1.0" encoding="utf-8"?>
<comments xmlns="http://schemas.openxmlformats.org/spreadsheetml/2006/main">
  <authors>
    <author>Guide</author>
  </authors>
  <commentList>
    <comment ref="B2" authorId="0" shapeId="0">
      <text>
        <t>OBJET DE L'ONGLET — Classer les LEVIERS par impact € sur l'EBITDA, pour savoir lequel actionner afin de combler l'écart de cadrage.</t>
      </text>
    </comment>
    <comment ref="B5" authorId="0" shapeId="0">
      <text>
        <t>Levier testé et son incrément.</t>
      </text>
    </comment>
    <comment ref="C5" authorId="0" shapeId="0">
      <text>
        <t>Effet € sur l'EBITDA d'un pas du levier (approximation vivante).</t>
      </text>
    </comment>
    <comment ref="D5" authorId="0" shapeId="0">
      <text>
        <t>Interprétation.</t>
      </text>
    </comment>
  </commentList>
</comments>
</file>

<file path=xl/comments/comment16.xml><?xml version="1.0" encoding="utf-8"?>
<comments xmlns="http://schemas.openxmlformats.org/spreadsheetml/2006/main">
  <authors>
    <author>Guide</author>
  </authors>
  <commentList>
    <comment ref="B2" authorId="0" shapeId="0">
      <text>
        <t>OBJET DE L'ONGLET — TABLEAU DE BORD : KPIs clés Budget vs N-1 (effectif, CA, EBITDA, taux d'alternance).</t>
      </text>
    </comment>
    <comment ref="B5" authorId="0" shapeId="0">
      <text>
        <t>Indicateur de pilotage.</t>
      </text>
    </comment>
    <comment ref="C5" authorId="0" shapeId="0">
      <text>
        <t>Valeur budgétée.</t>
      </text>
    </comment>
    <comment ref="D5" authorId="0" shapeId="0">
      <text>
        <t>Valeur réelle de l'an dernier.</t>
      </text>
    </comment>
    <comment ref="E5" authorId="0" shapeId="0">
      <text>
        <t>Variation Budget vs N-1.</t>
      </text>
    </comment>
  </commentList>
</comments>
</file>

<file path=xl/comments/comment17.xml><?xml version="1.0" encoding="utf-8"?>
<comments xmlns="http://schemas.openxmlformats.org/spreadsheetml/2006/main">
  <authors>
    <author>Guide</author>
  </authors>
  <commentList>
    <comment ref="B2" authorId="0" shapeId="0">
      <text>
        <t>OBJET DE L'ONGLET — PASSERELLE : correspondance entre les objets du modèle Excel et leur implémentation dans CCH Tagetik.</t>
      </text>
    </comment>
    <comment ref="B5" authorId="0" shapeId="0">
      <text>
        <t>Notion du modèle Excel à transposer dans Tagetik.</t>
      </text>
    </comment>
    <comment ref="C5" authorId="0" shapeId="0">
      <text>
        <t>Objet CCH Tagetik correspondant (dimension, hiérarchie, règle de calcul, workflow…).</t>
      </text>
    </comment>
    <comment ref="D5" authorId="0" shapeId="0">
      <text>
        <t>Précision sur la correspondance et le paramétrage Tagetik.</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22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7.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A1:E45"/>
  <sheetViews>
    <sheetView showGridLines="0" workbookViewId="0">
      <selection activeCell="A1" sqref="A1"/>
    </sheetView>
  </sheetViews>
  <sheetFormatPr baseColWidth="8" defaultRowHeight="15"/>
  <cols>
    <col width="2" customWidth="1" min="1" max="1"/>
    <col width="30" customWidth="1" min="2" max="2"/>
    <col width="66" customWidth="1" min="3" max="3"/>
    <col width="20" customWidth="1" min="4" max="4"/>
  </cols>
  <sheetData>
    <row r="1"/>
    <row r="2" ht="30" customHeight="1">
      <c r="B2" s="1" t="inlineStr">
        <is>
          <t>EDUSERVICES GROUP — Pilotage budgétaire (v2)</t>
        </is>
      </c>
    </row>
    <row r="3">
      <c r="B3" s="2" t="inlineStr">
        <is>
          <t>Cohortes · marketing mesuré sur l'historique · maille programme×année · cadrage cible · simulateur de décisions</t>
        </is>
      </c>
    </row>
    <row r="5" ht="20" customHeight="1">
      <c r="B5" s="3" t="inlineStr">
        <is>
          <t>Les feuilles</t>
        </is>
      </c>
      <c r="C5" s="4" t="n"/>
      <c r="D5" s="4" t="n"/>
    </row>
    <row r="6">
      <c r="B6" s="5" t="inlineStr">
        <is>
          <t>01_Cadrage</t>
        </is>
      </c>
      <c r="C6" s="6" t="inlineStr">
        <is>
          <t>POSTE DE COMMANDE CFO : cadrage top-down (N-2 · atterrissage · objectif · budget · écart) + leviers %/scénarios + coefficients + graphes</t>
        </is>
      </c>
    </row>
    <row r="7">
      <c r="B7" s="5" t="inlineStr">
        <is>
          <t>DATA_Referentiel</t>
        </is>
      </c>
      <c r="C7" s="6" t="inlineStr">
        <is>
          <t>RÉFÉRENTIEL Tagetik : dimensions CODE · DESCRIPTION · hiérarchies (Entité, Compte, Version, Programme, Année, Modalité, Période)</t>
        </is>
      </c>
    </row>
    <row r="8">
      <c r="B8" s="5" t="inlineStr">
        <is>
          <t>DATA_Chargement</t>
        </is>
      </c>
      <c r="C8" s="6" t="inlineStr">
        <is>
          <t>TABLE DE FAITS Tagetik (format long) : entité×programme×année×modalité × compte × version — structure allouée jusqu'à la classe</t>
        </is>
      </c>
    </row>
    <row r="9">
      <c r="B9" s="5" t="inlineStr">
        <is>
          <t>04_Referentiel</t>
        </is>
      </c>
      <c r="C9" s="6" t="inlineStr">
        <is>
          <t>Dimensions : entités, comptes (fixe/variable)</t>
        </is>
      </c>
    </row>
    <row r="10">
      <c r="B10" s="5" t="inlineStr">
        <is>
          <t>05_Param_Prog_Annee</t>
        </is>
      </c>
      <c r="C10" s="6" t="inlineStr">
        <is>
          <t>DONNÉES DE RÉFÉRENCE par programme×année (capacité, heures, taux, pédago, CAC variable, passage)</t>
        </is>
      </c>
    </row>
    <row r="11">
      <c r="B11" s="5" t="inlineStr">
        <is>
          <t>06_Historique</t>
        </is>
      </c>
      <c r="C11" s="6" t="inlineStr">
        <is>
          <t>Réalisé N-1 par cellule (funnel, cohorte) + historique marketing N-2/N-1 → élasticité mesurée</t>
        </is>
      </c>
    </row>
    <row r="12">
      <c r="B12" s="5" t="inlineStr">
        <is>
          <t>07_Structure</t>
        </is>
      </c>
      <c r="C12" s="6" t="inlineStr">
        <is>
          <t>Réalisé par campus (loyers, ETP, D&amp;A, m²)</t>
        </is>
      </c>
    </row>
    <row r="13">
      <c r="B13" s="5" t="inlineStr">
        <is>
          <t>08_Moteur</t>
        </is>
      </c>
      <c r="C13" s="6" t="inlineStr">
        <is>
          <t>Moteur budget par cellule (cohortes, marketing→volume, seuil=point mort)</t>
        </is>
      </c>
    </row>
    <row r="14">
      <c r="B14" s="5" t="inlineStr">
        <is>
          <t>09_Allocation</t>
        </is>
      </c>
      <c r="C14" s="6" t="inlineStr">
        <is>
          <t>Frais de structure alloués par driver</t>
        </is>
      </c>
    </row>
    <row r="15">
      <c r="B15" s="5" t="inlineStr">
        <is>
          <t>10_PnL</t>
        </is>
      </c>
      <c r="C15" s="6" t="inlineStr">
        <is>
          <t>P&amp;L consolidé N-1 vs Budget + pont à 4 effets</t>
        </is>
      </c>
    </row>
    <row r="16">
      <c r="B16" s="5" t="inlineStr">
        <is>
          <t>11_Simulateur</t>
        </is>
      </c>
      <c r="C16" s="6" t="inlineStr">
        <is>
          <t>Décisions ouvrir/fermer/redistribuer (maille PROMO) → EBITDA AVANT → APRÈS</t>
        </is>
      </c>
    </row>
    <row r="17">
      <c r="B17" s="5" t="inlineStr">
        <is>
          <t>11b_Mutualisation</t>
        </is>
      </c>
      <c r="C17" s="6" t="inlineStr">
        <is>
          <t>Mutualisation inter-sections (maille CAMPUS) : sections économisables &amp; économie potentielle</t>
        </is>
      </c>
    </row>
    <row r="18">
      <c r="B18" s="5" t="inlineStr">
        <is>
          <t>11c_Cascade</t>
        </is>
      </c>
      <c r="C18" s="6" t="inlineStr">
        <is>
          <t>Allocation EN CASCADE sur un VRAI campus (MBway Lyon) + effet d'une fermeture (bénéfique vs entraînement)</t>
        </is>
      </c>
    </row>
    <row r="19">
      <c r="B19" s="5" t="inlineStr">
        <is>
          <t>12_Sensibilite</t>
        </is>
      </c>
      <c r="C19" s="6" t="inlineStr">
        <is>
          <t>Impact € sur l'EBITDA par levier (sens unique)</t>
        </is>
      </c>
    </row>
    <row r="20">
      <c r="B20" s="5" t="inlineStr">
        <is>
          <t>13_Simulation</t>
        </is>
      </c>
      <c r="C20" s="6" t="inlineStr">
        <is>
          <t>KPIs Budget vs N-1 : effectif, CA, EBITDA, taux d'alternance</t>
        </is>
      </c>
    </row>
    <row r="21">
      <c r="B21" s="5" t="inlineStr">
        <is>
          <t>14_Mapping_Tagetik</t>
        </is>
      </c>
      <c r="C21" s="6" t="inlineStr">
        <is>
          <t>Passerelle Tagetik</t>
        </is>
      </c>
    </row>
    <row r="23" ht="20" customHeight="1">
      <c r="B23" s="3" t="inlineStr">
        <is>
          <t>Légende</t>
        </is>
      </c>
      <c r="C23" s="4" t="n"/>
      <c r="D23" s="4" t="n"/>
    </row>
    <row r="24">
      <c r="B24" s="7" t="inlineStr">
        <is>
          <t xml:space="preserve"> exemple </t>
        </is>
      </c>
      <c r="C24" s="8" t="inlineStr">
        <is>
          <t>Saisie / donnée réelle</t>
        </is>
      </c>
    </row>
    <row r="25">
      <c r="B25" s="9" t="inlineStr">
        <is>
          <t xml:space="preserve"> exemple </t>
        </is>
      </c>
      <c r="C25" s="8" t="inlineStr">
        <is>
          <t>Formule</t>
        </is>
      </c>
    </row>
    <row r="26">
      <c r="B26" s="10" t="inlineStr">
        <is>
          <t xml:space="preserve"> exemple </t>
        </is>
      </c>
      <c r="C26" s="8" t="inlineStr">
        <is>
          <t>Lien inter-feuilles</t>
        </is>
      </c>
    </row>
    <row r="27">
      <c r="B27" s="11" t="inlineStr">
        <is>
          <t xml:space="preserve"> exemple </t>
        </is>
      </c>
      <c r="C27" s="8" t="inlineStr">
        <is>
          <t>Hypothèse à remplir</t>
        </is>
      </c>
    </row>
    <row r="29">
      <c r="B29" s="12" t="inlineStr">
        <is>
          <t>Marques/campus réels EDUSERVICES ; montants ILLUSTRATIFS calibrés sur des ordres de grandeur sourcés (scolarité 8-11 k€, NPEC ~7-10 k€, marge EBITDA ~20 %, classe ~30). À remplacer par le réel.</t>
        </is>
      </c>
    </row>
    <row r="30"/>
    <row r="32" ht="20" customHeight="1">
      <c r="B32" s="3" t="inlineStr">
        <is>
          <t>Mode d'emploi — par où commencer</t>
        </is>
      </c>
      <c r="C32" s="4" t="n"/>
      <c r="D32" s="4" t="n"/>
    </row>
    <row r="33">
      <c r="B33" s="13" t="inlineStr">
        <is>
          <t>1</t>
        </is>
      </c>
      <c r="C33" s="6" t="inlineStr">
        <is>
          <t>01_Cadrage : choisis le SCÉNARIO et règle les leviers (%) ; pose l'objectif ; lis l'écart et le reste à trouver. Tout le budget se recalcule.</t>
        </is>
      </c>
    </row>
    <row r="34">
      <c r="B34" s="13" t="inlineStr">
        <is>
          <t>2</t>
        </is>
      </c>
      <c r="C34" s="6" t="inlineStr">
        <is>
          <t>08_Moteur : le budget se construit cellule par cellule (cohortes → marketing→volume → tarif → financement).</t>
        </is>
      </c>
    </row>
    <row r="35">
      <c r="B35" s="13" t="inlineStr">
        <is>
          <t>3</t>
        </is>
      </c>
      <c r="C35" s="6" t="inlineStr">
        <is>
          <t>10_PnL &amp; 13_Simulation : lis le compte de résultat consolidé et les KPIs (Budget vs N-1).</t>
        </is>
      </c>
    </row>
    <row r="36">
      <c r="B36" s="13" t="inlineStr">
        <is>
          <t>4</t>
        </is>
      </c>
      <c r="C36" s="6" t="inlineStr">
        <is>
          <t>01_Cadrage (haut) : l'objectif vs le budget construit donne l'écart ; 12_Sensibilite : quel levier actionner pour combler l'écart.</t>
        </is>
      </c>
    </row>
    <row r="37">
      <c r="B37" s="13" t="inlineStr">
        <is>
          <t>5</t>
        </is>
      </c>
      <c r="C37" s="6" t="inlineStr">
        <is>
          <t>11 / 11b / 11c : simule des décisions (ouvrir / fermer / regrouper / mutualiser) — BAC À SABLE, sans impact sur le budget officiel.</t>
        </is>
      </c>
    </row>
    <row r="39" ht="20" customHeight="1">
      <c r="B39" s="3" t="inlineStr">
        <is>
          <t>3 façons d'utiliser le modèle</t>
        </is>
      </c>
      <c r="C39" s="4" t="n"/>
      <c r="D39" s="4" t="n"/>
    </row>
    <row r="40">
      <c r="B40" s="14" t="inlineStr">
        <is>
          <t>Construire (bottom-up)</t>
        </is>
      </c>
      <c r="C40" s="6" t="inlineStr">
        <is>
          <t>Le budget monte tout seul depuis les drivers et l'historique — aucune saisie de résultat.</t>
        </is>
      </c>
    </row>
    <row r="41">
      <c r="B41" s="14" t="inlineStr">
        <is>
          <t>Challenger</t>
        </is>
      </c>
      <c r="C41" s="6" t="inlineStr">
        <is>
          <t>Un directeur de campus ajuste SES effectifs / curseurs → version bottom-up à confronter au cadrage.</t>
        </is>
      </c>
    </row>
    <row r="42">
      <c r="B42" s="14" t="inlineStr">
        <is>
          <t>Simuler</t>
        </is>
      </c>
      <c r="C42" s="6" t="inlineStr">
        <is>
          <t>Tester une ouverture / fermeture / mutualisation et voir l'impact EBITDA avant de trancher.</t>
        </is>
      </c>
    </row>
    <row r="44">
      <c r="B44" s="12" t="inlineStr">
        <is>
          <t>💡 Astuce : survole le TITRE d'un onglet pour lire son OBJET, et une ENTÊTE de colonne pour son explication. 🔵 bleu = à saisir · 🟡 jaune = hypothèse à remplir.</t>
        </is>
      </c>
    </row>
    <row r="45"/>
  </sheetData>
  <mergeCells count="36">
    <mergeCell ref="C34:D34"/>
    <mergeCell ref="C6:D6"/>
    <mergeCell ref="C24:D24"/>
    <mergeCell ref="C15:D15"/>
    <mergeCell ref="B23:D23"/>
    <mergeCell ref="C33:D33"/>
    <mergeCell ref="C42:D42"/>
    <mergeCell ref="C14:D14"/>
    <mergeCell ref="C26:D26"/>
    <mergeCell ref="C35:D35"/>
    <mergeCell ref="C20:D20"/>
    <mergeCell ref="C10:D10"/>
    <mergeCell ref="C16:D16"/>
    <mergeCell ref="C25:D25"/>
    <mergeCell ref="C41:D41"/>
    <mergeCell ref="C40:D40"/>
    <mergeCell ref="C9:D9"/>
    <mergeCell ref="C12:D12"/>
    <mergeCell ref="B5:D5"/>
    <mergeCell ref="C21:D21"/>
    <mergeCell ref="B29:D30"/>
    <mergeCell ref="C11:D11"/>
    <mergeCell ref="C27:D27"/>
    <mergeCell ref="B32:D32"/>
    <mergeCell ref="C36:D36"/>
    <mergeCell ref="C17:D17"/>
    <mergeCell ref="C8:D8"/>
    <mergeCell ref="B3:D3"/>
    <mergeCell ref="C7:D7"/>
    <mergeCell ref="B44:D45"/>
    <mergeCell ref="C19:D19"/>
    <mergeCell ref="C37:D37"/>
    <mergeCell ref="C13:D13"/>
    <mergeCell ref="C18:D18"/>
    <mergeCell ref="B39:D39"/>
    <mergeCell ref="B2:D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O35"/>
  <sheetViews>
    <sheetView showGridLines="0" workbookViewId="0">
      <selection activeCell="A1" sqref="A1"/>
    </sheetView>
  </sheetViews>
  <sheetFormatPr baseColWidth="8" defaultRowHeight="15"/>
  <cols>
    <col width="2" customWidth="1" min="1" max="1"/>
    <col width="40" customWidth="1" min="2" max="2"/>
    <col width="8" customWidth="1" min="3" max="3"/>
    <col width="14" customWidth="1" min="4" max="4"/>
    <col width="13" customWidth="1" min="5" max="5"/>
    <col width="14" customWidth="1" min="6" max="6"/>
    <col width="13" customWidth="1" min="7" max="7"/>
    <col width="14" customWidth="1" min="8" max="8"/>
    <col width="2" customWidth="1" min="9" max="9"/>
    <col width="16" customWidth="1" min="10" max="10"/>
    <col width="11" customWidth="1" min="11" max="11"/>
    <col width="12" customWidth="1" min="12" max="12"/>
    <col width="10" customWidth="1" min="13" max="13"/>
    <col width="11" customWidth="1" min="14" max="14"/>
    <col width="15" customWidth="1" min="15" max="15"/>
  </cols>
  <sheetData>
    <row r="1"/>
    <row r="2" ht="30" customHeight="1">
      <c r="B2" s="1" t="inlineStr">
        <is>
          <t>EDUSERVICES — Cadrage &amp; pilotage TOP-DOWN (poste de commande CFO)</t>
        </is>
      </c>
    </row>
    <row r="3">
      <c r="B3" s="15" t="inlineStr">
        <is>
          <t>Scénario actif :</t>
        </is>
      </c>
      <c r="D3" s="16" t="inlineStr">
        <is>
          <t>Cadrage</t>
        </is>
      </c>
      <c r="E3" s="2" t="inlineStr">
        <is>
          <t>◄ bascule tout le budget</t>
        </is>
      </c>
    </row>
    <row r="4">
      <c r="B4" s="15" t="inlineStr">
        <is>
          <t>Base de projection :</t>
        </is>
      </c>
      <c r="D4" s="16" t="inlineStr">
        <is>
          <t>Atterrissage N</t>
        </is>
      </c>
      <c r="E4" s="17" t="inlineStr">
        <is>
          <t>→ facteur base :</t>
        </is>
      </c>
      <c r="F4" s="18">
        <f>IF($D$4="Réalisé N-1",$D$7/$E$7,1)</f>
        <v/>
      </c>
      <c r="G4" s="19" t="inlineStr">
        <is>
          <t>(le budget construit projette depuis la base retenue)</t>
        </is>
      </c>
    </row>
    <row r="5" ht="20" customHeight="1">
      <c r="B5" s="3" t="inlineStr">
        <is>
          <t>① Cadrage top-down  —  N-2 · réalisé N-1 · atterrissage N · budget construit (base retenue) · objectif · écart</t>
        </is>
      </c>
      <c r="C5" s="4" t="n"/>
      <c r="D5" s="4" t="n"/>
      <c r="E5" s="4" t="n"/>
      <c r="F5" s="4" t="n"/>
      <c r="G5" s="4" t="n"/>
      <c r="H5" s="4" t="n"/>
      <c r="J5" s="3" t="inlineStr">
        <is>
          <t>③ Coefficients stratégiques (marque × campus) — intensité marketing / prix</t>
        </is>
      </c>
      <c r="K5" s="4" t="n"/>
      <c r="L5" s="4" t="n"/>
      <c r="M5" s="4" t="n"/>
      <c r="N5" s="4" t="n"/>
      <c r="O5" s="4" t="n"/>
    </row>
    <row r="6">
      <c r="B6" s="20" t="inlineStr">
        <is>
          <t>Indicateur</t>
        </is>
      </c>
      <c r="C6" s="20" t="inlineStr">
        <is>
          <t>N-2 (réel)</t>
        </is>
      </c>
      <c r="D6" s="20" t="inlineStr">
        <is>
          <t>Réalisé N-1</t>
        </is>
      </c>
      <c r="E6" s="20" t="inlineStr">
        <is>
          <t>Atterrissage N</t>
        </is>
      </c>
      <c r="F6" s="20" t="inlineStr">
        <is>
          <t>Budget construit</t>
        </is>
      </c>
      <c r="G6" s="20" t="inlineStr">
        <is>
          <t>🟡 Objectif</t>
        </is>
      </c>
      <c r="H6" s="20" t="inlineStr">
        <is>
          <t>Écart</t>
        </is>
      </c>
      <c r="J6" s="20" t="inlineStr">
        <is>
          <t>Marque</t>
        </is>
      </c>
      <c r="K6" s="20" t="inlineStr">
        <is>
          <t>Ville</t>
        </is>
      </c>
      <c r="L6" s="20" t="inlineStr">
        <is>
          <t>Marketing</t>
        </is>
      </c>
      <c r="M6" s="20" t="inlineStr">
        <is>
          <t>Prix</t>
        </is>
      </c>
      <c r="N6" s="20" t="inlineStr">
        <is>
          <t>Posture</t>
        </is>
      </c>
      <c r="O6" s="20" t="inlineStr">
        <is>
          <t>Clé</t>
        </is>
      </c>
    </row>
    <row r="7">
      <c r="B7" s="14" t="inlineStr">
        <is>
          <t>Chiffre d'affaires</t>
        </is>
      </c>
      <c r="C7" s="21" t="n">
        <v>17957736</v>
      </c>
      <c r="D7" s="21" t="n">
        <v>19035200</v>
      </c>
      <c r="E7" s="21" t="n">
        <v>19986960</v>
      </c>
      <c r="F7" s="22">
        <f>SUM('08_Moteur'!$AH$3:$AH$60)*$F$4</f>
        <v/>
      </c>
      <c r="G7" s="23" t="n">
        <v>21186178</v>
      </c>
      <c r="H7" s="24">
        <f>F7-G7</f>
        <v/>
      </c>
      <c r="J7" s="8" t="inlineStr">
        <is>
          <t>MBway</t>
        </is>
      </c>
      <c r="K7" s="25" t="inlineStr">
        <is>
          <t>Paris</t>
        </is>
      </c>
      <c r="L7" s="26" t="n">
        <v>1.2</v>
      </c>
      <c r="M7" s="26" t="n">
        <v>1</v>
      </c>
      <c r="N7" s="9">
        <f>IF(L7&gt;=1.15,"Pousser",IF(L7&lt;=0.85,"Défendre","Maintenir"))</f>
        <v/>
      </c>
      <c r="O7" s="9">
        <f>J7&amp;"|"&amp;K7</f>
        <v/>
      </c>
    </row>
    <row r="8">
      <c r="B8" s="14" t="inlineStr">
        <is>
          <t>EBITDA</t>
        </is>
      </c>
      <c r="C8" s="21" t="n">
        <v>2478869</v>
      </c>
      <c r="D8" s="21" t="n">
        <v>2776333</v>
      </c>
      <c r="E8" s="21" t="n">
        <v>2915150</v>
      </c>
      <c r="F8" s="22">
        <f>'09_Allocation'!J20*$F$4</f>
        <v/>
      </c>
      <c r="G8" s="23" t="n">
        <v>3389788</v>
      </c>
      <c r="H8" s="24">
        <f>F8-G8</f>
        <v/>
      </c>
      <c r="J8" s="8" t="inlineStr">
        <is>
          <t>MBway</t>
        </is>
      </c>
      <c r="K8" s="25" t="inlineStr">
        <is>
          <t>Lyon</t>
        </is>
      </c>
      <c r="L8" s="26" t="n">
        <v>1.2</v>
      </c>
      <c r="M8" s="26" t="n">
        <v>1</v>
      </c>
      <c r="N8" s="9">
        <f>IF(L8&gt;=1.15,"Pousser",IF(L8&lt;=0.85,"Défendre","Maintenir"))</f>
        <v/>
      </c>
      <c r="O8" s="9">
        <f>J8&amp;"|"&amp;K8</f>
        <v/>
      </c>
    </row>
    <row r="9">
      <c r="B9" s="14" t="inlineStr">
        <is>
          <t>Marge EBITDA %</t>
        </is>
      </c>
      <c r="C9" s="27">
        <f>IFERROR(C8/C7,0)</f>
        <v/>
      </c>
      <c r="D9" s="27">
        <f>IFERROR(D8/D7,0)</f>
        <v/>
      </c>
      <c r="E9" s="27">
        <f>IFERROR(E8/E7,0)</f>
        <v/>
      </c>
      <c r="F9" s="27">
        <f>IFERROR(F8/F7,0)</f>
        <v/>
      </c>
      <c r="G9" s="27">
        <f>IFERROR(G8/G7,0)</f>
        <v/>
      </c>
      <c r="H9" s="27">
        <f>F9-G9</f>
        <v/>
      </c>
      <c r="J9" s="8" t="inlineStr">
        <is>
          <t>MBway</t>
        </is>
      </c>
      <c r="K9" s="25" t="inlineStr">
        <is>
          <t>Nantes</t>
        </is>
      </c>
      <c r="L9" s="26" t="n">
        <v>1.2</v>
      </c>
      <c r="M9" s="26" t="n">
        <v>1</v>
      </c>
      <c r="N9" s="9">
        <f>IF(L9&gt;=1.15,"Pousser",IF(L9&lt;=0.85,"Défendre","Maintenir"))</f>
        <v/>
      </c>
      <c r="O9" s="9">
        <f>J9&amp;"|"&amp;K9</f>
        <v/>
      </c>
    </row>
    <row r="10">
      <c r="J10" s="8" t="inlineStr">
        <is>
          <t>MBway</t>
        </is>
      </c>
      <c r="K10" s="25" t="inlineStr">
        <is>
          <t>Bordeaux</t>
        </is>
      </c>
      <c r="L10" s="26" t="n">
        <v>1.2</v>
      </c>
      <c r="M10" s="26" t="n">
        <v>1</v>
      </c>
      <c r="N10" s="9">
        <f>IF(L10&gt;=1.15,"Pousser",IF(L10&lt;=0.85,"Défendre","Maintenir"))</f>
        <v/>
      </c>
      <c r="O10" s="9">
        <f>J10&amp;"|"&amp;K10</f>
        <v/>
      </c>
    </row>
    <row r="11">
      <c r="B11" s="15" t="inlineStr">
        <is>
          <t>RESTE À TROUVER (EBITDA vs objectif) :</t>
        </is>
      </c>
      <c r="F11" s="28">
        <f>IF(G8-F8&gt;0,G8-F8,0)</f>
        <v/>
      </c>
      <c r="G11" s="29">
        <f>IF(G8-F8&gt;0,"à combler","atteint")</f>
        <v/>
      </c>
      <c r="J11" s="8" t="inlineStr">
        <is>
          <t>ISCOM</t>
        </is>
      </c>
      <c r="K11" s="25" t="inlineStr">
        <is>
          <t>Paris</t>
        </is>
      </c>
      <c r="L11" s="26" t="n">
        <v>1</v>
      </c>
      <c r="M11" s="26" t="n">
        <v>1.2</v>
      </c>
      <c r="N11" s="9">
        <f>IF(L11&gt;=1.15,"Pousser",IF(L11&lt;=0.85,"Défendre","Maintenir"))</f>
        <v/>
      </c>
      <c r="O11" s="9">
        <f>J11&amp;"|"&amp;K11</f>
        <v/>
      </c>
    </row>
    <row r="12">
      <c r="J12" s="8" t="inlineStr">
        <is>
          <t>ISCOM</t>
        </is>
      </c>
      <c r="K12" s="25" t="inlineStr">
        <is>
          <t>Lille</t>
        </is>
      </c>
      <c r="L12" s="26" t="n">
        <v>1</v>
      </c>
      <c r="M12" s="26" t="n">
        <v>1.2</v>
      </c>
      <c r="N12" s="9">
        <f>IF(L12&gt;=1.15,"Pousser",IF(L12&lt;=0.85,"Défendre","Maintenir"))</f>
        <v/>
      </c>
      <c r="O12" s="9">
        <f>J12&amp;"|"&amp;K12</f>
        <v/>
      </c>
    </row>
    <row r="13" ht="20" customHeight="1">
      <c r="B13" s="3" t="inlineStr">
        <is>
          <t>② Leviers &amp; hypothèses  —  varie en % · bascule par scénario (colonne ACTIF = scénario choisi)</t>
        </is>
      </c>
      <c r="C13" s="4" t="n"/>
      <c r="D13" s="4" t="n"/>
      <c r="E13" s="4" t="n"/>
      <c r="F13" s="4" t="n"/>
      <c r="G13" s="4" t="n"/>
      <c r="H13" s="4" t="n"/>
      <c r="J13" s="8" t="inlineStr">
        <is>
          <t>ISCOM</t>
        </is>
      </c>
      <c r="K13" s="25" t="inlineStr">
        <is>
          <t>Toulouse</t>
        </is>
      </c>
      <c r="L13" s="26" t="n">
        <v>1</v>
      </c>
      <c r="M13" s="26" t="n">
        <v>1.2</v>
      </c>
      <c r="N13" s="9">
        <f>IF(L13&gt;=1.15,"Pousser",IF(L13&lt;=0.85,"Défendre","Maintenir"))</f>
        <v/>
      </c>
      <c r="O13" s="9">
        <f>J13&amp;"|"&amp;K13</f>
        <v/>
      </c>
    </row>
    <row r="14">
      <c r="J14" s="8" t="inlineStr">
        <is>
          <t>Ipac Bachelor Factory</t>
        </is>
      </c>
      <c r="K14" s="25" t="inlineStr">
        <is>
          <t>Nantes</t>
        </is>
      </c>
      <c r="L14" s="26" t="n">
        <v>1.3</v>
      </c>
      <c r="M14" s="26" t="n">
        <v>0.8</v>
      </c>
      <c r="N14" s="9">
        <f>IF(L14&gt;=1.15,"Pousser",IF(L14&lt;=0.85,"Défendre","Maintenir"))</f>
        <v/>
      </c>
      <c r="O14" s="9">
        <f>J14&amp;"|"&amp;K14</f>
        <v/>
      </c>
    </row>
    <row r="15">
      <c r="B15" s="20" t="inlineStr">
        <is>
          <t>Paramètre</t>
        </is>
      </c>
      <c r="C15" s="20" t="inlineStr">
        <is>
          <t>Unité</t>
        </is>
      </c>
      <c r="D15" s="20" t="inlineStr">
        <is>
          <t>Base (atterr.)</t>
        </is>
      </c>
      <c r="E15" s="20" t="inlineStr">
        <is>
          <t>Cadrage</t>
        </is>
      </c>
      <c r="F15" s="20" t="inlineStr">
        <is>
          <t>Optimiste</t>
        </is>
      </c>
      <c r="G15" s="20" t="inlineStr">
        <is>
          <t>Prudent</t>
        </is>
      </c>
      <c r="H15" s="30" t="inlineStr">
        <is>
          <t>ACTIF</t>
        </is>
      </c>
      <c r="J15" s="8" t="inlineStr">
        <is>
          <t>Ipac Bachelor Factory</t>
        </is>
      </c>
      <c r="K15" s="25" t="inlineStr">
        <is>
          <t>Rennes</t>
        </is>
      </c>
      <c r="L15" s="26" t="n">
        <v>1.3</v>
      </c>
      <c r="M15" s="26" t="n">
        <v>0.8</v>
      </c>
      <c r="N15" s="9">
        <f>IF(L15&gt;=1.15,"Pousser",IF(L15&lt;=0.85,"Défendre","Maintenir"))</f>
        <v/>
      </c>
      <c r="O15" s="9">
        <f>J15&amp;"|"&amp;K15</f>
        <v/>
      </c>
    </row>
    <row r="16">
      <c r="B16" s="8" t="inlineStr">
        <is>
          <t>Variation du budget marketing (→ volume)</t>
        </is>
      </c>
      <c r="C16" s="25" t="inlineStr">
        <is>
          <t>%</t>
        </is>
      </c>
      <c r="D16" s="31" t="n">
        <v>0</v>
      </c>
      <c r="E16" s="32" t="n">
        <v>0.1</v>
      </c>
      <c r="F16" s="32" t="n">
        <v>0.2</v>
      </c>
      <c r="G16" s="32" t="n">
        <v>-0.05</v>
      </c>
      <c r="H16" s="33">
        <f>INDEX(E16:G16,MATCH($D$3,$E$15:$G$15,0))</f>
        <v/>
      </c>
      <c r="J16" s="8" t="inlineStr">
        <is>
          <t>Ipac Bachelor Factory</t>
        </is>
      </c>
      <c r="K16" s="25" t="inlineStr">
        <is>
          <t>Montpellier</t>
        </is>
      </c>
      <c r="L16" s="26" t="n">
        <v>1.3</v>
      </c>
      <c r="M16" s="26" t="n">
        <v>0.8</v>
      </c>
      <c r="N16" s="9">
        <f>IF(L16&gt;=1.15,"Pousser",IF(L16&lt;=0.85,"Défendre","Maintenir"))</f>
        <v/>
      </c>
      <c r="O16" s="9">
        <f>J16&amp;"|"&amp;K16</f>
        <v/>
      </c>
    </row>
    <row r="17">
      <c r="B17" s="8" t="inlineStr">
        <is>
          <t>Hausse tarifaire (prix)</t>
        </is>
      </c>
      <c r="C17" s="25" t="inlineStr">
        <is>
          <t>%</t>
        </is>
      </c>
      <c r="D17" s="31" t="n">
        <v>0</v>
      </c>
      <c r="E17" s="32" t="n">
        <v>0.03</v>
      </c>
      <c r="F17" s="32" t="n">
        <v>0.04</v>
      </c>
      <c r="G17" s="32" t="n">
        <v>0.02</v>
      </c>
      <c r="H17" s="33">
        <f>INDEX(E17:G17,MATCH($D$3,$E$15:$G$15,0))</f>
        <v/>
      </c>
      <c r="J17" s="8" t="inlineStr">
        <is>
          <t>Pigier</t>
        </is>
      </c>
      <c r="K17" s="25" t="inlineStr">
        <is>
          <t>Lyon</t>
        </is>
      </c>
      <c r="L17" s="26" t="n">
        <v>0.7</v>
      </c>
      <c r="M17" s="26" t="n">
        <v>1</v>
      </c>
      <c r="N17" s="9">
        <f>IF(L17&gt;=1.15,"Pousser",IF(L17&lt;=0.85,"Défendre","Maintenir"))</f>
        <v/>
      </c>
      <c r="O17" s="9">
        <f>J17&amp;"|"&amp;K17</f>
        <v/>
      </c>
    </row>
    <row r="18">
      <c r="B18" s="8" t="inlineStr">
        <is>
          <t>Gain de conversion admissions</t>
        </is>
      </c>
      <c r="C18" s="25" t="inlineStr">
        <is>
          <t>pts</t>
        </is>
      </c>
      <c r="D18" s="31" t="n">
        <v>0</v>
      </c>
      <c r="E18" s="32" t="n">
        <v>0.015</v>
      </c>
      <c r="F18" s="32" t="n">
        <v>0.04</v>
      </c>
      <c r="G18" s="32" t="n">
        <v>0</v>
      </c>
      <c r="H18" s="33">
        <f>INDEX(E18:G18,MATCH($D$3,$E$15:$G$15,0))</f>
        <v/>
      </c>
      <c r="J18" s="8" t="inlineStr">
        <is>
          <t>Pigier</t>
        </is>
      </c>
      <c r="K18" s="25" t="inlineStr">
        <is>
          <t>Bordeaux</t>
        </is>
      </c>
      <c r="L18" s="26" t="n">
        <v>0.7</v>
      </c>
      <c r="M18" s="26" t="n">
        <v>1</v>
      </c>
      <c r="N18" s="9">
        <f>IF(L18&gt;=1.15,"Pousser",IF(L18&lt;=0.85,"Défendre","Maintenir"))</f>
        <v/>
      </c>
      <c r="O18" s="9">
        <f>J18&amp;"|"&amp;K18</f>
        <v/>
      </c>
    </row>
    <row r="19">
      <c r="B19" s="8" t="inlineStr">
        <is>
          <t>Amélioration du taux de passage</t>
        </is>
      </c>
      <c r="C19" s="25" t="inlineStr">
        <is>
          <t>pts</t>
        </is>
      </c>
      <c r="D19" s="31" t="n">
        <v>0</v>
      </c>
      <c r="E19" s="32" t="n">
        <v>0.01</v>
      </c>
      <c r="F19" s="32" t="n">
        <v>0.03</v>
      </c>
      <c r="G19" s="32" t="n">
        <v>-0.01</v>
      </c>
      <c r="H19" s="33">
        <f>INDEX(E19:G19,MATCH($D$3,$E$15:$G$15,0))</f>
        <v/>
      </c>
      <c r="J19" s="8" t="inlineStr">
        <is>
          <t>Tunon</t>
        </is>
      </c>
      <c r="K19" s="25" t="inlineStr">
        <is>
          <t>Paris</t>
        </is>
      </c>
      <c r="L19" s="26" t="n">
        <v>1</v>
      </c>
      <c r="M19" s="26" t="n">
        <v>1.1</v>
      </c>
      <c r="N19" s="9">
        <f>IF(L19&gt;=1.15,"Pousser",IF(L19&lt;=0.85,"Défendre","Maintenir"))</f>
        <v/>
      </c>
      <c r="O19" s="9">
        <f>J19&amp;"|"&amp;K19</f>
        <v/>
      </c>
    </row>
    <row r="20">
      <c r="B20" s="8" t="inlineStr">
        <is>
          <t>Inflation des charges (groupe)</t>
        </is>
      </c>
      <c r="C20" s="25" t="inlineStr">
        <is>
          <t>%</t>
        </is>
      </c>
      <c r="D20" s="31" t="n">
        <v>0</v>
      </c>
      <c r="E20" s="32" t="n">
        <v>0.02</v>
      </c>
      <c r="F20" s="32" t="n">
        <v>0.015</v>
      </c>
      <c r="G20" s="32" t="n">
        <v>0.03</v>
      </c>
      <c r="H20" s="33">
        <f>INDEX(E20:G20,MATCH($D$3,$E$15:$G$15,0))</f>
        <v/>
      </c>
      <c r="J20" s="8" t="inlineStr">
        <is>
          <t>Tunon</t>
        </is>
      </c>
      <c r="K20" s="25" t="inlineStr">
        <is>
          <t>Lyon</t>
        </is>
      </c>
      <c r="L20" s="26" t="n">
        <v>1</v>
      </c>
      <c r="M20" s="26" t="n">
        <v>1.1</v>
      </c>
      <c r="N20" s="9">
        <f>IF(L20&gt;=1.15,"Pousser",IF(L20&lt;=0.85,"Défendre","Maintenir"))</f>
        <v/>
      </c>
      <c r="O20" s="9">
        <f>J20&amp;"|"&amp;K20</f>
        <v/>
      </c>
    </row>
    <row r="21">
      <c r="B21" s="8" t="inlineStr">
        <is>
          <t>Politique salariale (groupe)</t>
        </is>
      </c>
      <c r="C21" s="25" t="inlineStr">
        <is>
          <t>%</t>
        </is>
      </c>
      <c r="D21" s="31" t="n">
        <v>0</v>
      </c>
      <c r="E21" s="32" t="n">
        <v>0.025</v>
      </c>
      <c r="F21" s="32" t="n">
        <v>0.02</v>
      </c>
      <c r="G21" s="32" t="n">
        <v>0.03</v>
      </c>
      <c r="H21" s="33">
        <f>INDEX(E21:G21,MATCH($D$3,$E$15:$G$15,0))</f>
        <v/>
      </c>
    </row>
    <row r="22" ht="20" customHeight="1">
      <c r="B22" s="3" t="inlineStr">
        <is>
          <t>Constantes de référence — base = atterrissage · les 3 scénarios sont SAISISSABLES (€ : variation en % · taux : valeur en %)</t>
        </is>
      </c>
      <c r="C22" s="4" t="n"/>
      <c r="D22" s="4" t="n"/>
      <c r="E22" s="4" t="n"/>
      <c r="F22" s="4" t="n"/>
      <c r="G22" s="4" t="n"/>
      <c r="H22" s="4" t="n"/>
    </row>
    <row r="23">
      <c r="B23" s="8" t="inlineStr">
        <is>
          <t>Coût chargé / ETP permanent</t>
        </is>
      </c>
      <c r="C23" s="25" t="inlineStr">
        <is>
          <t>€</t>
        </is>
      </c>
      <c r="D23" s="34" t="n">
        <v>58000</v>
      </c>
      <c r="E23" s="32" t="n">
        <v>0</v>
      </c>
      <c r="F23" s="32" t="n">
        <v>0</v>
      </c>
      <c r="G23" s="32" t="n">
        <v>0</v>
      </c>
      <c r="H23" s="35">
        <f>D23*(1+INDEX(E23:G23,MATCH($D$3,$E$15:$G$15,0)))</f>
        <v/>
      </c>
    </row>
    <row r="24">
      <c r="B24" s="8" t="inlineStr">
        <is>
          <t>Frais de dossier / nouvel inscrit</t>
        </is>
      </c>
      <c r="C24" s="25" t="inlineStr">
        <is>
          <t>€</t>
        </is>
      </c>
      <c r="D24" s="34" t="n">
        <v>90</v>
      </c>
      <c r="E24" s="32" t="n">
        <v>0</v>
      </c>
      <c r="F24" s="32" t="n">
        <v>0</v>
      </c>
      <c r="G24" s="32" t="n">
        <v>0</v>
      </c>
      <c r="H24" s="35">
        <f>D24*(1+INDEX(E24:G24,MATCH($D$3,$E$15:$G$15,0)))</f>
        <v/>
      </c>
    </row>
    <row r="25">
      <c r="B25" s="8" t="inlineStr">
        <is>
          <t>Frais de structure &amp; marketing groupe (FIXE)</t>
        </is>
      </c>
      <c r="C25" s="25" t="inlineStr">
        <is>
          <t>€</t>
        </is>
      </c>
      <c r="D25" s="34" t="n">
        <v>2000000</v>
      </c>
      <c r="E25" s="32" t="n">
        <v>0</v>
      </c>
      <c r="F25" s="32" t="n">
        <v>0</v>
      </c>
      <c r="G25" s="32" t="n">
        <v>0</v>
      </c>
      <c r="H25" s="35">
        <f>D25*(1+INDEX(E25:G25,MATCH($D$3,$E$15:$G$15,0)))</f>
        <v/>
      </c>
    </row>
    <row r="26">
      <c r="B26" s="8" t="inlineStr">
        <is>
          <t>Autres charges d'exploitation / étudiant</t>
        </is>
      </c>
      <c r="C26" s="25" t="inlineStr">
        <is>
          <t>€</t>
        </is>
      </c>
      <c r="D26" s="34" t="n">
        <v>934</v>
      </c>
      <c r="E26" s="32" t="n">
        <v>0</v>
      </c>
      <c r="F26" s="32" t="n">
        <v>0</v>
      </c>
      <c r="G26" s="32" t="n">
        <v>0</v>
      </c>
      <c r="H26" s="35">
        <f>D26*(1+INDEX(E26:G26,MATCH($D$3,$E$15:$G$15,0)))</f>
        <v/>
      </c>
    </row>
    <row r="27">
      <c r="B27" s="8" t="inlineStr">
        <is>
          <t>Élasticité marketing (défaut)</t>
        </is>
      </c>
      <c r="C27" s="25" t="inlineStr">
        <is>
          <t>x</t>
        </is>
      </c>
      <c r="D27" s="36" t="n">
        <v>0.5</v>
      </c>
      <c r="E27" s="26" t="n">
        <v>0.5</v>
      </c>
      <c r="F27" s="26" t="n">
        <v>0.5</v>
      </c>
      <c r="G27" s="26" t="n">
        <v>0.5</v>
      </c>
      <c r="H27" s="37">
        <f>INDEX(E27:G27,MATCH($D$3,$E$15:$G$15,0))</f>
        <v/>
      </c>
    </row>
    <row r="28">
      <c r="B28" s="8" t="inlineStr">
        <is>
          <t>Conversion cand.→inscrit (défaut)</t>
        </is>
      </c>
      <c r="C28" s="25" t="inlineStr">
        <is>
          <t>%</t>
        </is>
      </c>
      <c r="D28" s="38" t="n">
        <v>0.372</v>
      </c>
      <c r="E28" s="32" t="n">
        <v>0.372</v>
      </c>
      <c r="F28" s="32" t="n">
        <v>0.372</v>
      </c>
      <c r="G28" s="32" t="n">
        <v>0.372</v>
      </c>
      <c r="H28" s="33">
        <f>INDEX(E28:G28,MATCH($D$3,$E$15:$G$15,0))</f>
        <v/>
      </c>
    </row>
    <row r="32" ht="20" customHeight="1">
      <c r="B32" s="3" t="inlineStr">
        <is>
          <t>Drivers d'allocation de la structure — en cascade (un driver par niveau)</t>
        </is>
      </c>
      <c r="C32" s="4" t="n"/>
      <c r="D32" s="4" t="n"/>
      <c r="E32" s="4" t="n"/>
      <c r="F32" s="4" t="n"/>
      <c r="G32" s="4" t="n"/>
      <c r="H32" s="4" t="n"/>
    </row>
    <row r="33">
      <c r="B33" s="15" t="inlineStr">
        <is>
          <t>Groupe → MARQUE (par) :</t>
        </is>
      </c>
      <c r="D33" s="16" t="inlineStr">
        <is>
          <t>Chiffre d'affaires</t>
        </is>
      </c>
      <c r="E33" s="19" t="inlineStr">
        <is>
          <t>◄ pilote l'allocation par campus (feuille 09)</t>
        </is>
      </c>
    </row>
    <row r="34">
      <c r="B34" s="15" t="inlineStr">
        <is>
          <t>Marque → CAMPUS (par) :</t>
        </is>
      </c>
      <c r="D34" s="16" t="inlineStr">
        <is>
          <t>Effectifs</t>
        </is>
      </c>
    </row>
    <row r="35">
      <c r="B35" s="15" t="inlineStr">
        <is>
          <t>Campus → PROGRAMME (par) :</t>
        </is>
      </c>
      <c r="D35" s="16" t="inlineStr">
        <is>
          <t>Nombre de classes</t>
        </is>
      </c>
      <c r="E35" s="19" t="inlineStr">
        <is>
          <t>◄ pour l'allocation fine à la classe (feuille 11c)</t>
        </is>
      </c>
    </row>
  </sheetData>
  <mergeCells count="14">
    <mergeCell ref="G4:H4"/>
    <mergeCell ref="B22:H22"/>
    <mergeCell ref="B32:H32"/>
    <mergeCell ref="J5:O5"/>
    <mergeCell ref="B33:C33"/>
    <mergeCell ref="E3:H3"/>
    <mergeCell ref="B13:H13"/>
    <mergeCell ref="B34:C34"/>
    <mergeCell ref="E35:H35"/>
    <mergeCell ref="B2:H2"/>
    <mergeCell ref="B11:E11"/>
    <mergeCell ref="E33:H33"/>
    <mergeCell ref="B5:H5"/>
    <mergeCell ref="B35:C35"/>
  </mergeCells>
  <dataValidations count="4">
    <dataValidation sqref="D3" showDropDown="0" showInputMessage="0" showErrorMessage="0" allowBlank="0" type="list">
      <formula1>"Cadrage,Optimiste,Prudent"</formula1>
    </dataValidation>
    <dataValidation sqref="D4" showDropDown="0" showInputMessage="0" showErrorMessage="0" allowBlank="0" type="list">
      <formula1>"Atterrissage N,Réalisé N-1"</formula1>
    </dataValidation>
    <dataValidation sqref="D33 D34" showDropDown="0" showInputMessage="0" showErrorMessage="0" allowBlank="0" type="list">
      <formula1>"Effectifs,Chiffre d'affaires,Surface m2"</formula1>
    </dataValidation>
    <dataValidation sqref="D35" showDropDown="0" showInputMessage="0" showErrorMessage="0" allowBlank="0" type="list">
      <formula1>"Effectifs,Chiffre d'affaires,Nombre de classes"</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97"/>
  <sheetViews>
    <sheetView showGridLines="0" workbookViewId="0">
      <selection activeCell="A1" sqref="A1"/>
    </sheetView>
  </sheetViews>
  <sheetFormatPr baseColWidth="8" defaultRowHeight="15"/>
  <cols>
    <col width="2" customWidth="1" min="1" max="1"/>
    <col width="18" customWidth="1" min="2" max="2"/>
    <col width="42" customWidth="1" min="3" max="3"/>
    <col width="16" customWidth="1" min="4" max="4"/>
    <col width="14" customWidth="1" min="5" max="5"/>
    <col width="12" customWidth="1" min="6" max="6"/>
  </cols>
  <sheetData>
    <row r="1"/>
    <row r="2" ht="26" customHeight="1">
      <c r="B2" s="1" t="inlineStr">
        <is>
          <t>RÉFÉRENTIEL DES DIMENSIONS (à charger dans Tagetik) — CODE · DESCRIPTION · HIÉRARCHIE</t>
        </is>
      </c>
    </row>
    <row r="4" ht="20" customHeight="1">
      <c r="B4" s="3" t="inlineStr">
        <is>
          <t>1) Dimension ENTITÉ — hiérarchie Groupe → Marque → Campus</t>
        </is>
      </c>
      <c r="C4" s="4" t="n"/>
      <c r="D4" s="4" t="n"/>
      <c r="E4" s="4" t="n"/>
      <c r="F4" s="4" t="n"/>
    </row>
    <row r="5">
      <c r="B5" s="20" t="inlineStr">
        <is>
          <t>Code</t>
        </is>
      </c>
      <c r="C5" s="20" t="inlineStr">
        <is>
          <t>Description</t>
        </is>
      </c>
      <c r="D5" s="20" t="inlineStr">
        <is>
          <t>Parent</t>
        </is>
      </c>
      <c r="E5" s="20" t="inlineStr">
        <is>
          <t>Niveau</t>
        </is>
      </c>
    </row>
    <row r="6">
      <c r="B6" s="8" t="inlineStr">
        <is>
          <t>EDU</t>
        </is>
      </c>
      <c r="C6" s="8" t="inlineStr">
        <is>
          <t>EDUSERVICES (Groupe)</t>
        </is>
      </c>
      <c r="D6" s="25" t="inlineStr"/>
      <c r="E6" s="25" t="inlineStr">
        <is>
          <t>Groupe</t>
        </is>
      </c>
    </row>
    <row r="7">
      <c r="B7" s="8" t="inlineStr">
        <is>
          <t>MBWAY</t>
        </is>
      </c>
      <c r="C7" s="8" t="inlineStr">
        <is>
          <t>MBway</t>
        </is>
      </c>
      <c r="D7" s="25" t="inlineStr">
        <is>
          <t>EDU</t>
        </is>
      </c>
      <c r="E7" s="25" t="inlineStr">
        <is>
          <t>Marque</t>
        </is>
      </c>
    </row>
    <row r="8">
      <c r="B8" s="8" t="inlineStr">
        <is>
          <t>ISCOM</t>
        </is>
      </c>
      <c r="C8" s="8" t="inlineStr">
        <is>
          <t>ISCOM</t>
        </is>
      </c>
      <c r="D8" s="25" t="inlineStr">
        <is>
          <t>EDU</t>
        </is>
      </c>
      <c r="E8" s="25" t="inlineStr">
        <is>
          <t>Marque</t>
        </is>
      </c>
    </row>
    <row r="9">
      <c r="B9" s="8" t="inlineStr">
        <is>
          <t>IPAC</t>
        </is>
      </c>
      <c r="C9" s="8" t="inlineStr">
        <is>
          <t>Ipac Bachelor Factory</t>
        </is>
      </c>
      <c r="D9" s="25" t="inlineStr">
        <is>
          <t>EDU</t>
        </is>
      </c>
      <c r="E9" s="25" t="inlineStr">
        <is>
          <t>Marque</t>
        </is>
      </c>
    </row>
    <row r="10">
      <c r="B10" s="8" t="inlineStr">
        <is>
          <t>PIGIER</t>
        </is>
      </c>
      <c r="C10" s="8" t="inlineStr">
        <is>
          <t>Pigier</t>
        </is>
      </c>
      <c r="D10" s="25" t="inlineStr">
        <is>
          <t>EDU</t>
        </is>
      </c>
      <c r="E10" s="25" t="inlineStr">
        <is>
          <t>Marque</t>
        </is>
      </c>
    </row>
    <row r="11">
      <c r="B11" s="8" t="inlineStr">
        <is>
          <t>TUNON</t>
        </is>
      </c>
      <c r="C11" s="8" t="inlineStr">
        <is>
          <t>Tunon</t>
        </is>
      </c>
      <c r="D11" s="25" t="inlineStr">
        <is>
          <t>EDU</t>
        </is>
      </c>
      <c r="E11" s="25" t="inlineStr">
        <is>
          <t>Marque</t>
        </is>
      </c>
    </row>
    <row r="12">
      <c r="B12" s="8" t="inlineStr">
        <is>
          <t>MBWAY_PAR</t>
        </is>
      </c>
      <c r="C12" s="8" t="inlineStr">
        <is>
          <t>MBway Paris</t>
        </is>
      </c>
      <c r="D12" s="25" t="inlineStr">
        <is>
          <t>MBWAY</t>
        </is>
      </c>
      <c r="E12" s="25" t="inlineStr">
        <is>
          <t>Campus</t>
        </is>
      </c>
    </row>
    <row r="13">
      <c r="B13" s="8" t="inlineStr">
        <is>
          <t>MBWAY_LYO</t>
        </is>
      </c>
      <c r="C13" s="8" t="inlineStr">
        <is>
          <t>MBway Lyon</t>
        </is>
      </c>
      <c r="D13" s="25" t="inlineStr">
        <is>
          <t>MBWAY</t>
        </is>
      </c>
      <c r="E13" s="25" t="inlineStr">
        <is>
          <t>Campus</t>
        </is>
      </c>
    </row>
    <row r="14">
      <c r="B14" s="8" t="inlineStr">
        <is>
          <t>MBWAY_NAN</t>
        </is>
      </c>
      <c r="C14" s="8" t="inlineStr">
        <is>
          <t>MBway Nantes</t>
        </is>
      </c>
      <c r="D14" s="25" t="inlineStr">
        <is>
          <t>MBWAY</t>
        </is>
      </c>
      <c r="E14" s="25" t="inlineStr">
        <is>
          <t>Campus</t>
        </is>
      </c>
    </row>
    <row r="15">
      <c r="B15" s="8" t="inlineStr">
        <is>
          <t>MBWAY_BOR</t>
        </is>
      </c>
      <c r="C15" s="8" t="inlineStr">
        <is>
          <t>MBway Bordeaux</t>
        </is>
      </c>
      <c r="D15" s="25" t="inlineStr">
        <is>
          <t>MBWAY</t>
        </is>
      </c>
      <c r="E15" s="25" t="inlineStr">
        <is>
          <t>Campus</t>
        </is>
      </c>
    </row>
    <row r="16">
      <c r="B16" s="8" t="inlineStr">
        <is>
          <t>ISCOM_PAR</t>
        </is>
      </c>
      <c r="C16" s="8" t="inlineStr">
        <is>
          <t>ISCOM Paris</t>
        </is>
      </c>
      <c r="D16" s="25" t="inlineStr">
        <is>
          <t>ISCOM</t>
        </is>
      </c>
      <c r="E16" s="25" t="inlineStr">
        <is>
          <t>Campus</t>
        </is>
      </c>
    </row>
    <row r="17">
      <c r="B17" s="8" t="inlineStr">
        <is>
          <t>ISCOM_LIL</t>
        </is>
      </c>
      <c r="C17" s="8" t="inlineStr">
        <is>
          <t>ISCOM Lille</t>
        </is>
      </c>
      <c r="D17" s="25" t="inlineStr">
        <is>
          <t>ISCOM</t>
        </is>
      </c>
      <c r="E17" s="25" t="inlineStr">
        <is>
          <t>Campus</t>
        </is>
      </c>
    </row>
    <row r="18">
      <c r="B18" s="8" t="inlineStr">
        <is>
          <t>ISCOM_TLS</t>
        </is>
      </c>
      <c r="C18" s="8" t="inlineStr">
        <is>
          <t>ISCOM Toulouse</t>
        </is>
      </c>
      <c r="D18" s="25" t="inlineStr">
        <is>
          <t>ISCOM</t>
        </is>
      </c>
      <c r="E18" s="25" t="inlineStr">
        <is>
          <t>Campus</t>
        </is>
      </c>
    </row>
    <row r="19">
      <c r="B19" s="8" t="inlineStr">
        <is>
          <t>IPAC_NAN</t>
        </is>
      </c>
      <c r="C19" s="8" t="inlineStr">
        <is>
          <t>Ipac Bachelor Factory Nantes</t>
        </is>
      </c>
      <c r="D19" s="25" t="inlineStr">
        <is>
          <t>IPAC</t>
        </is>
      </c>
      <c r="E19" s="25" t="inlineStr">
        <is>
          <t>Campus</t>
        </is>
      </c>
    </row>
    <row r="20">
      <c r="B20" s="8" t="inlineStr">
        <is>
          <t>IPAC_REN</t>
        </is>
      </c>
      <c r="C20" s="8" t="inlineStr">
        <is>
          <t>Ipac Bachelor Factory Rennes</t>
        </is>
      </c>
      <c r="D20" s="25" t="inlineStr">
        <is>
          <t>IPAC</t>
        </is>
      </c>
      <c r="E20" s="25" t="inlineStr">
        <is>
          <t>Campus</t>
        </is>
      </c>
    </row>
    <row r="21">
      <c r="B21" s="8" t="inlineStr">
        <is>
          <t>IPAC_MTP</t>
        </is>
      </c>
      <c r="C21" s="8" t="inlineStr">
        <is>
          <t>Ipac Bachelor Factory Montpellier</t>
        </is>
      </c>
      <c r="D21" s="25" t="inlineStr">
        <is>
          <t>IPAC</t>
        </is>
      </c>
      <c r="E21" s="25" t="inlineStr">
        <is>
          <t>Campus</t>
        </is>
      </c>
    </row>
    <row r="22">
      <c r="B22" s="8" t="inlineStr">
        <is>
          <t>PIGIER_LYO</t>
        </is>
      </c>
      <c r="C22" s="8" t="inlineStr">
        <is>
          <t>Pigier Lyon</t>
        </is>
      </c>
      <c r="D22" s="25" t="inlineStr">
        <is>
          <t>PIGIER</t>
        </is>
      </c>
      <c r="E22" s="25" t="inlineStr">
        <is>
          <t>Campus</t>
        </is>
      </c>
    </row>
    <row r="23">
      <c r="B23" s="8" t="inlineStr">
        <is>
          <t>PIGIER_BOR</t>
        </is>
      </c>
      <c r="C23" s="8" t="inlineStr">
        <is>
          <t>Pigier Bordeaux</t>
        </is>
      </c>
      <c r="D23" s="25" t="inlineStr">
        <is>
          <t>PIGIER</t>
        </is>
      </c>
      <c r="E23" s="25" t="inlineStr">
        <is>
          <t>Campus</t>
        </is>
      </c>
    </row>
    <row r="24">
      <c r="B24" s="8" t="inlineStr">
        <is>
          <t>TUNON_PAR</t>
        </is>
      </c>
      <c r="C24" s="8" t="inlineStr">
        <is>
          <t>Tunon Paris</t>
        </is>
      </c>
      <c r="D24" s="25" t="inlineStr">
        <is>
          <t>TUNON</t>
        </is>
      </c>
      <c r="E24" s="25" t="inlineStr">
        <is>
          <t>Campus</t>
        </is>
      </c>
    </row>
    <row r="25">
      <c r="B25" s="8" t="inlineStr">
        <is>
          <t>TUNON_LYO</t>
        </is>
      </c>
      <c r="C25" s="8" t="inlineStr">
        <is>
          <t>Tunon Lyon</t>
        </is>
      </c>
      <c r="D25" s="25" t="inlineStr">
        <is>
          <t>TUNON</t>
        </is>
      </c>
      <c r="E25" s="25" t="inlineStr">
        <is>
          <t>Campus</t>
        </is>
      </c>
    </row>
    <row r="27" ht="20" customHeight="1">
      <c r="B27" s="3" t="inlineStr">
        <is>
          <t>2) Dimension COMPTE — hiérarchie P&amp;L + statistiques (comptes comptables réels · codes techniques)</t>
        </is>
      </c>
      <c r="C27" s="4" t="n"/>
      <c r="D27" s="4" t="n"/>
      <c r="E27" s="4" t="n"/>
      <c r="F27" s="4" t="n"/>
    </row>
    <row r="28">
      <c r="B28" s="20" t="inlineStr">
        <is>
          <t>Code</t>
        </is>
      </c>
      <c r="C28" s="20" t="inlineStr">
        <is>
          <t>Description</t>
        </is>
      </c>
      <c r="D28" s="20" t="inlineStr">
        <is>
          <t>Parent</t>
        </is>
      </c>
      <c r="E28" s="20" t="inlineStr">
        <is>
          <t>Type</t>
        </is>
      </c>
      <c r="F28" s="20" t="inlineStr">
        <is>
          <t>Sens</t>
        </is>
      </c>
    </row>
    <row r="29">
      <c r="B29" s="8" t="inlineStr">
        <is>
          <t>PL</t>
        </is>
      </c>
      <c r="C29" s="8" t="inlineStr">
        <is>
          <t>Compte de résultat</t>
        </is>
      </c>
      <c r="D29" s="25" t="inlineStr"/>
      <c r="E29" s="25" t="inlineStr">
        <is>
          <t>Noeud</t>
        </is>
      </c>
      <c r="F29" s="25" t="inlineStr"/>
    </row>
    <row r="30">
      <c r="B30" s="8" t="inlineStr">
        <is>
          <t>CA</t>
        </is>
      </c>
      <c r="C30" s="8" t="inlineStr">
        <is>
          <t>Chiffre d'affaires</t>
        </is>
      </c>
      <c r="D30" s="25" t="inlineStr">
        <is>
          <t>PL</t>
        </is>
      </c>
      <c r="E30" s="25" t="inlineStr">
        <is>
          <t>Noeud</t>
        </is>
      </c>
      <c r="F30" s="25" t="inlineStr">
        <is>
          <t>Produit</t>
        </is>
      </c>
    </row>
    <row r="31">
      <c r="B31" s="8" t="inlineStr">
        <is>
          <t>COUTS_DIR</t>
        </is>
      </c>
      <c r="C31" s="8" t="inlineStr">
        <is>
          <t>Coûts directs évitables</t>
        </is>
      </c>
      <c r="D31" s="25" t="inlineStr">
        <is>
          <t>PL</t>
        </is>
      </c>
      <c r="E31" s="25" t="inlineStr">
        <is>
          <t>Noeud</t>
        </is>
      </c>
      <c r="F31" s="25" t="inlineStr">
        <is>
          <t>Charge</t>
        </is>
      </c>
    </row>
    <row r="32">
      <c r="B32" s="8" t="inlineStr">
        <is>
          <t>STRUCTURE</t>
        </is>
      </c>
      <c r="C32" s="8" t="inlineStr">
        <is>
          <t>Structure (non-évitable)</t>
        </is>
      </c>
      <c r="D32" s="25" t="inlineStr">
        <is>
          <t>PL</t>
        </is>
      </c>
      <c r="E32" s="25" t="inlineStr">
        <is>
          <t>Noeud</t>
        </is>
      </c>
      <c r="F32" s="25" t="inlineStr">
        <is>
          <t>Charge</t>
        </is>
      </c>
    </row>
    <row r="33">
      <c r="B33" s="8" t="inlineStr">
        <is>
          <t>AMORT</t>
        </is>
      </c>
      <c r="C33" s="8" t="inlineStr">
        <is>
          <t>Amortissements</t>
        </is>
      </c>
      <c r="D33" s="25" t="inlineStr">
        <is>
          <t>PL</t>
        </is>
      </c>
      <c r="E33" s="25" t="inlineStr">
        <is>
          <t>Noeud</t>
        </is>
      </c>
      <c r="F33" s="25" t="inlineStr">
        <is>
          <t>Charge</t>
        </is>
      </c>
    </row>
    <row r="34">
      <c r="B34" s="8" t="inlineStr">
        <is>
          <t>STATS</t>
        </is>
      </c>
      <c r="C34" s="8" t="inlineStr">
        <is>
          <t>Statistiques (effectifs/flux)</t>
        </is>
      </c>
      <c r="D34" s="25" t="inlineStr"/>
      <c r="E34" s="25" t="inlineStr">
        <is>
          <t>Noeud</t>
        </is>
      </c>
      <c r="F34" s="25" t="inlineStr">
        <is>
          <t>Technique</t>
        </is>
      </c>
    </row>
    <row r="35">
      <c r="B35" s="8" t="inlineStr">
        <is>
          <t>INDUCT</t>
        </is>
      </c>
      <c r="C35" s="8" t="inlineStr">
        <is>
          <t>Inducteurs &amp; prix unitaires</t>
        </is>
      </c>
      <c r="D35" s="25" t="inlineStr"/>
      <c r="E35" s="25" t="inlineStr">
        <is>
          <t>Noeud</t>
        </is>
      </c>
      <c r="F35" s="25" t="inlineStr">
        <is>
          <t>Technique</t>
        </is>
      </c>
    </row>
    <row r="36">
      <c r="B36" s="8" t="inlineStr">
        <is>
          <t>706100</t>
        </is>
      </c>
      <c r="C36" s="8" t="inlineStr">
        <is>
          <t>Droits de scolarité</t>
        </is>
      </c>
      <c r="D36" s="25" t="inlineStr">
        <is>
          <t>CA</t>
        </is>
      </c>
      <c r="E36" s="25" t="inlineStr">
        <is>
          <t>COMPTABLE</t>
        </is>
      </c>
      <c r="F36" s="25" t="inlineStr">
        <is>
          <t>Produit</t>
        </is>
      </c>
    </row>
    <row r="37">
      <c r="B37" s="8" t="inlineStr">
        <is>
          <t>708500</t>
        </is>
      </c>
      <c r="C37" s="8" t="inlineStr">
        <is>
          <t>Frais de dossier / inscription</t>
        </is>
      </c>
      <c r="D37" s="25" t="inlineStr">
        <is>
          <t>CA</t>
        </is>
      </c>
      <c r="E37" s="25" t="inlineStr">
        <is>
          <t>COMPTABLE</t>
        </is>
      </c>
      <c r="F37" s="25" t="inlineStr">
        <is>
          <t>Produit</t>
        </is>
      </c>
    </row>
    <row r="38">
      <c r="B38" s="8" t="inlineStr">
        <is>
          <t>604100</t>
        </is>
      </c>
      <c r="C38" s="8" t="inlineStr">
        <is>
          <t>Vacations &amp; sous-traitance pédagogique</t>
        </is>
      </c>
      <c r="D38" s="25" t="inlineStr">
        <is>
          <t>COUTS_DIR</t>
        </is>
      </c>
      <c r="E38" s="25" t="inlineStr">
        <is>
          <t>COMPTABLE</t>
        </is>
      </c>
      <c r="F38" s="25" t="inlineStr">
        <is>
          <t>Charge</t>
        </is>
      </c>
    </row>
    <row r="39">
      <c r="B39" s="8" t="inlineStr">
        <is>
          <t>606300</t>
        </is>
      </c>
      <c r="C39" s="8" t="inlineStr">
        <is>
          <t>Fournitures &amp; ressources pédagogiques</t>
        </is>
      </c>
      <c r="D39" s="25" t="inlineStr">
        <is>
          <t>COUTS_DIR</t>
        </is>
      </c>
      <c r="E39" s="25" t="inlineStr">
        <is>
          <t>COMPTABLE</t>
        </is>
      </c>
      <c r="F39" s="25" t="inlineStr">
        <is>
          <t>Charge</t>
        </is>
      </c>
    </row>
    <row r="40">
      <c r="B40" s="8" t="inlineStr">
        <is>
          <t>623000</t>
        </is>
      </c>
      <c r="C40" s="8" t="inlineStr">
        <is>
          <t>Publicité &amp; marketing (acquisition)</t>
        </is>
      </c>
      <c r="D40" s="25" t="inlineStr">
        <is>
          <t>COUTS_DIR</t>
        </is>
      </c>
      <c r="E40" s="25" t="inlineStr">
        <is>
          <t>COMPTABLE</t>
        </is>
      </c>
      <c r="F40" s="25" t="inlineStr">
        <is>
          <t>Charge</t>
        </is>
      </c>
    </row>
    <row r="41">
      <c r="B41" s="8" t="inlineStr">
        <is>
          <t>613200</t>
        </is>
      </c>
      <c r="C41" s="8" t="inlineStr">
        <is>
          <t>Locations immobilières (loyers)</t>
        </is>
      </c>
      <c r="D41" s="25" t="inlineStr">
        <is>
          <t>STRUCTURE</t>
        </is>
      </c>
      <c r="E41" s="25" t="inlineStr">
        <is>
          <t>COMPTABLE</t>
        </is>
      </c>
      <c r="F41" s="25" t="inlineStr">
        <is>
          <t>Charge</t>
        </is>
      </c>
    </row>
    <row r="42">
      <c r="B42" s="8" t="inlineStr">
        <is>
          <t>641100</t>
        </is>
      </c>
      <c r="C42" s="8" t="inlineStr">
        <is>
          <t>Rémunérations du personnel permanent</t>
        </is>
      </c>
      <c r="D42" s="25" t="inlineStr">
        <is>
          <t>STRUCTURE</t>
        </is>
      </c>
      <c r="E42" s="25" t="inlineStr">
        <is>
          <t>COMPTABLE</t>
        </is>
      </c>
      <c r="F42" s="25" t="inlineStr">
        <is>
          <t>Charge</t>
        </is>
      </c>
    </row>
    <row r="43">
      <c r="B43" s="8" t="inlineStr">
        <is>
          <t>622600</t>
        </is>
      </c>
      <c r="C43" s="8" t="inlineStr">
        <is>
          <t>Honoraires &amp; frais de siège (structure groupe)</t>
        </is>
      </c>
      <c r="D43" s="25" t="inlineStr">
        <is>
          <t>STRUCTURE</t>
        </is>
      </c>
      <c r="E43" s="25" t="inlineStr">
        <is>
          <t>COMPTABLE</t>
        </is>
      </c>
      <c r="F43" s="25" t="inlineStr">
        <is>
          <t>Charge</t>
        </is>
      </c>
    </row>
    <row r="44">
      <c r="B44" s="8" t="inlineStr">
        <is>
          <t>606800</t>
        </is>
      </c>
      <c r="C44" s="8" t="inlineStr">
        <is>
          <t>Autres achats &amp; charges externes</t>
        </is>
      </c>
      <c r="D44" s="25" t="inlineStr">
        <is>
          <t>COUTS_DIR</t>
        </is>
      </c>
      <c r="E44" s="25" t="inlineStr">
        <is>
          <t>COMPTABLE</t>
        </is>
      </c>
      <c r="F44" s="25" t="inlineStr">
        <is>
          <t>Charge</t>
        </is>
      </c>
    </row>
    <row r="45">
      <c r="B45" s="8" t="inlineStr">
        <is>
          <t>681100</t>
        </is>
      </c>
      <c r="C45" s="8" t="inlineStr">
        <is>
          <t>Dotations aux amortissements</t>
        </is>
      </c>
      <c r="D45" s="25" t="inlineStr">
        <is>
          <t>AMORT</t>
        </is>
      </c>
      <c r="E45" s="25" t="inlineStr">
        <is>
          <t>COMPTABLE</t>
        </is>
      </c>
      <c r="F45" s="25" t="inlineStr">
        <is>
          <t>Charge</t>
        </is>
      </c>
    </row>
    <row r="46">
      <c r="B46" s="8" t="inlineStr">
        <is>
          <t>STA_EFF</t>
        </is>
      </c>
      <c r="C46" s="8" t="inlineStr">
        <is>
          <t>Effectif inscrit</t>
        </is>
      </c>
      <c r="D46" s="25" t="inlineStr">
        <is>
          <t>STATS</t>
        </is>
      </c>
      <c r="E46" s="25" t="inlineStr">
        <is>
          <t>TECHNIQUE</t>
        </is>
      </c>
      <c r="F46" s="25" t="inlineStr">
        <is>
          <t>Technique</t>
        </is>
      </c>
    </row>
    <row r="47">
      <c r="B47" s="8" t="inlineStr">
        <is>
          <t>STA_CAND</t>
        </is>
      </c>
      <c r="C47" s="8" t="inlineStr">
        <is>
          <t>Candidatures reçues</t>
        </is>
      </c>
      <c r="D47" s="25" t="inlineStr">
        <is>
          <t>STATS</t>
        </is>
      </c>
      <c r="E47" s="25" t="inlineStr">
        <is>
          <t>TECHNIQUE</t>
        </is>
      </c>
      <c r="F47" s="25" t="inlineStr">
        <is>
          <t>Technique</t>
        </is>
      </c>
    </row>
    <row r="48">
      <c r="B48" s="8" t="inlineStr">
        <is>
          <t>STA_ADMIS</t>
        </is>
      </c>
      <c r="C48" s="8" t="inlineStr">
        <is>
          <t>Candidats admis</t>
        </is>
      </c>
      <c r="D48" s="25" t="inlineStr">
        <is>
          <t>STATS</t>
        </is>
      </c>
      <c r="E48" s="25" t="inlineStr">
        <is>
          <t>TECHNIQUE</t>
        </is>
      </c>
      <c r="F48" s="25" t="inlineStr">
        <is>
          <t>Technique</t>
        </is>
      </c>
    </row>
    <row r="49">
      <c r="B49" s="8" t="inlineStr">
        <is>
          <t>STA_NOUV</t>
        </is>
      </c>
      <c r="C49" s="8" t="inlineStr">
        <is>
          <t>Nouveaux inscrits</t>
        </is>
      </c>
      <c r="D49" s="25" t="inlineStr">
        <is>
          <t>STATS</t>
        </is>
      </c>
      <c r="E49" s="25" t="inlineStr">
        <is>
          <t>TECHNIQUE</t>
        </is>
      </c>
      <c r="F49" s="25" t="inlineStr">
        <is>
          <t>Technique</t>
        </is>
      </c>
    </row>
    <row r="50">
      <c r="B50" s="8" t="inlineStr">
        <is>
          <t>STA_REINS</t>
        </is>
      </c>
      <c r="C50" s="8" t="inlineStr">
        <is>
          <t>Réinscrits</t>
        </is>
      </c>
      <c r="D50" s="25" t="inlineStr">
        <is>
          <t>STATS</t>
        </is>
      </c>
      <c r="E50" s="25" t="inlineStr">
        <is>
          <t>TECHNIQUE</t>
        </is>
      </c>
      <c r="F50" s="25" t="inlineStr">
        <is>
          <t>Technique</t>
        </is>
      </c>
    </row>
    <row r="51">
      <c r="B51" s="8" t="inlineStr">
        <is>
          <t>STA_CLASS</t>
        </is>
      </c>
      <c r="C51" s="8" t="inlineStr">
        <is>
          <t>Nombre de classes</t>
        </is>
      </c>
      <c r="D51" s="25" t="inlineStr">
        <is>
          <t>STATS</t>
        </is>
      </c>
      <c r="E51" s="25" t="inlineStr">
        <is>
          <t>TECHNIQUE</t>
        </is>
      </c>
      <c r="F51" s="25" t="inlineStr">
        <is>
          <t>Technique</t>
        </is>
      </c>
    </row>
    <row r="52">
      <c r="B52" s="8" t="inlineStr">
        <is>
          <t>STA_HEURE</t>
        </is>
      </c>
      <c r="C52" s="8" t="inlineStr">
        <is>
          <t>Heures d'enseignement</t>
        </is>
      </c>
      <c r="D52" s="25" t="inlineStr">
        <is>
          <t>STATS</t>
        </is>
      </c>
      <c r="E52" s="25" t="inlineStr">
        <is>
          <t>TECHNIQUE</t>
        </is>
      </c>
      <c r="F52" s="25" t="inlineStr">
        <is>
          <t>Technique</t>
        </is>
      </c>
    </row>
    <row r="53">
      <c r="B53" s="8" t="inlineStr">
        <is>
          <t>STA_CAPA</t>
        </is>
      </c>
      <c r="C53" s="8" t="inlineStr">
        <is>
          <t>Capacité par classe</t>
        </is>
      </c>
      <c r="D53" s="25" t="inlineStr">
        <is>
          <t>STATS</t>
        </is>
      </c>
      <c r="E53" s="25" t="inlineStr">
        <is>
          <t>TECHNIQUE</t>
        </is>
      </c>
      <c r="F53" s="25" t="inlineStr">
        <is>
          <t>Technique</t>
        </is>
      </c>
    </row>
    <row r="54">
      <c r="B54" s="8" t="inlineStr">
        <is>
          <t>DRV_CONV</t>
        </is>
      </c>
      <c r="C54" s="8" t="inlineStr">
        <is>
          <t>Taux de conversion candidat→inscrit</t>
        </is>
      </c>
      <c r="D54" s="25" t="inlineStr">
        <is>
          <t>INDUCT</t>
        </is>
      </c>
      <c r="E54" s="25" t="inlineStr">
        <is>
          <t>TECHNIQUE</t>
        </is>
      </c>
      <c r="F54" s="25" t="inlineStr">
        <is>
          <t>Technique</t>
        </is>
      </c>
    </row>
    <row r="55">
      <c r="B55" s="8" t="inlineStr">
        <is>
          <t>DRV_PASS</t>
        </is>
      </c>
      <c r="C55" s="8" t="inlineStr">
        <is>
          <t>Taux de passage (réinscription)</t>
        </is>
      </c>
      <c r="D55" s="25" t="inlineStr">
        <is>
          <t>INDUCT</t>
        </is>
      </c>
      <c r="E55" s="25" t="inlineStr">
        <is>
          <t>TECHNIQUE</t>
        </is>
      </c>
      <c r="F55" s="25" t="inlineStr">
        <is>
          <t>Technique</t>
        </is>
      </c>
    </row>
    <row r="56">
      <c r="B56" s="8" t="inlineStr">
        <is>
          <t>PRX_TARIF</t>
        </is>
      </c>
      <c r="C56" s="8" t="inlineStr">
        <is>
          <t>Tarif moyen scolarité</t>
        </is>
      </c>
      <c r="D56" s="25" t="inlineStr">
        <is>
          <t>INDUCT</t>
        </is>
      </c>
      <c r="E56" s="25" t="inlineStr">
        <is>
          <t>TECHNIQUE</t>
        </is>
      </c>
      <c r="F56" s="25" t="inlineStr">
        <is>
          <t>Technique</t>
        </is>
      </c>
    </row>
    <row r="57">
      <c r="B57" s="8" t="inlineStr">
        <is>
          <t>CAC_LEAD</t>
        </is>
      </c>
      <c r="C57" s="8" t="inlineStr">
        <is>
          <t>Coût d'acquisition par lead</t>
        </is>
      </c>
      <c r="D57" s="25" t="inlineStr">
        <is>
          <t>INDUCT</t>
        </is>
      </c>
      <c r="E57" s="25" t="inlineStr">
        <is>
          <t>TECHNIQUE</t>
        </is>
      </c>
      <c r="F57" s="25" t="inlineStr">
        <is>
          <t>Technique</t>
        </is>
      </c>
    </row>
    <row r="59" ht="20" customHeight="1">
      <c r="B59" s="3" t="inlineStr">
        <is>
          <t>3) Dimension VERSION / SCÉNARIO — code Tagetik (année + type + version)</t>
        </is>
      </c>
      <c r="C59" s="4" t="n"/>
      <c r="D59" s="4" t="n"/>
      <c r="E59" s="4" t="n"/>
      <c r="F59" s="4" t="n"/>
    </row>
    <row r="60">
      <c r="B60" s="20" t="inlineStr">
        <is>
          <t>Code</t>
        </is>
      </c>
      <c r="C60" s="20" t="inlineStr">
        <is>
          <t>Description</t>
        </is>
      </c>
      <c r="D60" s="20" t="inlineStr">
        <is>
          <t>Type</t>
        </is>
      </c>
      <c r="E60" s="20" t="inlineStr">
        <is>
          <t>Année</t>
        </is>
      </c>
    </row>
    <row r="61">
      <c r="B61" s="8" t="inlineStr">
        <is>
          <t>2023ACT_VDEF</t>
        </is>
      </c>
      <c r="C61" s="8" t="inlineStr">
        <is>
          <t>Réalisé 2023 (N-2) — version définitive</t>
        </is>
      </c>
      <c r="D61" s="25" t="inlineStr">
        <is>
          <t>Actual</t>
        </is>
      </c>
      <c r="E61" s="25" t="n">
        <v>2023</v>
      </c>
    </row>
    <row r="62">
      <c r="B62" s="8" t="inlineStr">
        <is>
          <t>2024ACT_VDEF</t>
        </is>
      </c>
      <c r="C62" s="8" t="inlineStr">
        <is>
          <t>Réalisé 2024 (N-1) — version définitive</t>
        </is>
      </c>
      <c r="D62" s="25" t="inlineStr">
        <is>
          <t>Actual</t>
        </is>
      </c>
      <c r="E62" s="25" t="n">
        <v>2024</v>
      </c>
    </row>
    <row r="63">
      <c r="B63" s="8" t="inlineStr">
        <is>
          <t>2025FCST_V4</t>
        </is>
      </c>
      <c r="C63" s="8" t="inlineStr">
        <is>
          <t>Atterrissage 2025 — Forecast V4</t>
        </is>
      </c>
      <c r="D63" s="25" t="inlineStr">
        <is>
          <t>Forecast</t>
        </is>
      </c>
      <c r="E63" s="25" t="n">
        <v>2025</v>
      </c>
    </row>
    <row r="64">
      <c r="B64" s="8" t="inlineStr">
        <is>
          <t>2026BUD_V1</t>
        </is>
      </c>
      <c r="C64" s="8" t="inlineStr">
        <is>
          <t>Budget 2026 — version 1 (construit par le modèle)</t>
        </is>
      </c>
      <c r="D64" s="25" t="inlineStr">
        <is>
          <t>Budget</t>
        </is>
      </c>
      <c r="E64" s="25" t="n">
        <v>2026</v>
      </c>
    </row>
    <row r="66" ht="20" customHeight="1">
      <c r="B66" s="3" t="inlineStr">
        <is>
          <t>4) Dimension PROGRAMME</t>
        </is>
      </c>
      <c r="C66" s="4" t="n"/>
      <c r="D66" s="4" t="n"/>
      <c r="E66" s="4" t="n"/>
      <c r="F66" s="4" t="n"/>
    </row>
    <row r="67">
      <c r="B67" s="20" t="inlineStr">
        <is>
          <t>Code</t>
        </is>
      </c>
      <c r="C67" s="20" t="inlineStr">
        <is>
          <t>Description</t>
        </is>
      </c>
      <c r="D67" s="20" t="inlineStr">
        <is>
          <t>Cycle</t>
        </is>
      </c>
      <c r="E67" s="20" t="inlineStr">
        <is>
          <t>Domaine</t>
        </is>
      </c>
    </row>
    <row r="68">
      <c r="B68" s="8" t="inlineStr">
        <is>
          <t>BAC_MGT</t>
        </is>
      </c>
      <c r="C68" s="8" t="inlineStr">
        <is>
          <t>Bachelor Management</t>
        </is>
      </c>
      <c r="D68" s="25" t="inlineStr">
        <is>
          <t>Bachelor</t>
        </is>
      </c>
      <c r="E68" s="25" t="inlineStr">
        <is>
          <t>Management</t>
        </is>
      </c>
    </row>
    <row r="69">
      <c r="B69" s="8" t="inlineStr">
        <is>
          <t>MAS_MGT</t>
        </is>
      </c>
      <c r="C69" s="8" t="inlineStr">
        <is>
          <t>Mastère Management</t>
        </is>
      </c>
      <c r="D69" s="25" t="inlineStr">
        <is>
          <t>Mastère</t>
        </is>
      </c>
      <c r="E69" s="25" t="inlineStr">
        <is>
          <t>Management</t>
        </is>
      </c>
    </row>
    <row r="70">
      <c r="B70" s="8" t="inlineStr">
        <is>
          <t>BAC_COM</t>
        </is>
      </c>
      <c r="C70" s="8" t="inlineStr">
        <is>
          <t>Bachelor Communication</t>
        </is>
      </c>
      <c r="D70" s="25" t="inlineStr">
        <is>
          <t>Bachelor</t>
        </is>
      </c>
      <c r="E70" s="25" t="inlineStr">
        <is>
          <t>Communication</t>
        </is>
      </c>
    </row>
    <row r="71">
      <c r="B71" s="8" t="inlineStr">
        <is>
          <t>MAS_COM</t>
        </is>
      </c>
      <c r="C71" s="8" t="inlineStr">
        <is>
          <t>Mastère Communication</t>
        </is>
      </c>
      <c r="D71" s="25" t="inlineStr">
        <is>
          <t>Mastère</t>
        </is>
      </c>
      <c r="E71" s="25" t="inlineStr">
        <is>
          <t>Communication</t>
        </is>
      </c>
    </row>
    <row r="72">
      <c r="B72" s="8" t="inlineStr">
        <is>
          <t>BAC_CCE</t>
        </is>
      </c>
      <c r="C72" s="8" t="inlineStr">
        <is>
          <t>Bachelor Commerce</t>
        </is>
      </c>
      <c r="D72" s="25" t="inlineStr">
        <is>
          <t>Bachelor</t>
        </is>
      </c>
      <c r="E72" s="25" t="inlineStr">
        <is>
          <t>Commerce</t>
        </is>
      </c>
    </row>
    <row r="73">
      <c r="B73" s="8" t="inlineStr">
        <is>
          <t>BTS_GES</t>
        </is>
      </c>
      <c r="C73" s="8" t="inlineStr">
        <is>
          <t>BTS Gestion</t>
        </is>
      </c>
      <c r="D73" s="25" t="inlineStr">
        <is>
          <t>BTS</t>
        </is>
      </c>
      <c r="E73" s="25" t="inlineStr">
        <is>
          <t>Commerce/RH</t>
        </is>
      </c>
    </row>
    <row r="74">
      <c r="B74" s="8" t="inlineStr">
        <is>
          <t>BAC_RH</t>
        </is>
      </c>
      <c r="C74" s="8" t="inlineStr">
        <is>
          <t>Bachelor RH</t>
        </is>
      </c>
      <c r="D74" s="25" t="inlineStr">
        <is>
          <t>Bachelor</t>
        </is>
      </c>
      <c r="E74" s="25" t="inlineStr">
        <is>
          <t>Commerce/RH</t>
        </is>
      </c>
    </row>
    <row r="75">
      <c r="B75" s="8" t="inlineStr">
        <is>
          <t>BAC_TOU</t>
        </is>
      </c>
      <c r="C75" s="8" t="inlineStr">
        <is>
          <t>Bachelor Tourisme</t>
        </is>
      </c>
      <c r="D75" s="25" t="inlineStr">
        <is>
          <t>Bachelor</t>
        </is>
      </c>
      <c r="E75" s="25" t="inlineStr">
        <is>
          <t>Tourisme</t>
        </is>
      </c>
    </row>
    <row r="77" ht="20" customHeight="1">
      <c r="B77" s="3" t="inlineStr">
        <is>
          <t>5) Dimension ANNÉE D'ÉTUDES</t>
        </is>
      </c>
      <c r="C77" s="4" t="n"/>
      <c r="D77" s="4" t="n"/>
      <c r="E77" s="4" t="n"/>
      <c r="F77" s="4" t="n"/>
    </row>
    <row r="78">
      <c r="B78" s="20" t="inlineStr">
        <is>
          <t>Code</t>
        </is>
      </c>
      <c r="C78" s="20" t="inlineStr">
        <is>
          <t>Description</t>
        </is>
      </c>
      <c r="D78" s="20" t="inlineStr">
        <is>
          <t>Cycle</t>
        </is>
      </c>
    </row>
    <row r="79">
      <c r="B79" s="8" t="inlineStr">
        <is>
          <t>B1</t>
        </is>
      </c>
      <c r="C79" s="8" t="inlineStr">
        <is>
          <t>Bachelor 1</t>
        </is>
      </c>
      <c r="D79" s="25" t="inlineStr">
        <is>
          <t>Bachelor</t>
        </is>
      </c>
    </row>
    <row r="80">
      <c r="B80" s="8" t="inlineStr">
        <is>
          <t>B2</t>
        </is>
      </c>
      <c r="C80" s="8" t="inlineStr">
        <is>
          <t>Bachelor 2</t>
        </is>
      </c>
      <c r="D80" s="25" t="inlineStr">
        <is>
          <t>Bachelor</t>
        </is>
      </c>
    </row>
    <row r="81">
      <c r="B81" s="8" t="inlineStr">
        <is>
          <t>B3</t>
        </is>
      </c>
      <c r="C81" s="8" t="inlineStr">
        <is>
          <t>Bachelor 3</t>
        </is>
      </c>
      <c r="D81" s="25" t="inlineStr">
        <is>
          <t>Bachelor</t>
        </is>
      </c>
    </row>
    <row r="82">
      <c r="B82" s="8" t="inlineStr">
        <is>
          <t>M1</t>
        </is>
      </c>
      <c r="C82" s="8" t="inlineStr">
        <is>
          <t>Mastère 1</t>
        </is>
      </c>
      <c r="D82" s="25" t="inlineStr">
        <is>
          <t>Mastère</t>
        </is>
      </c>
    </row>
    <row r="83">
      <c r="B83" s="8" t="inlineStr">
        <is>
          <t>M2</t>
        </is>
      </c>
      <c r="C83" s="8" t="inlineStr">
        <is>
          <t>Mastère 2</t>
        </is>
      </c>
      <c r="D83" s="25" t="inlineStr">
        <is>
          <t>Mastère</t>
        </is>
      </c>
    </row>
    <row r="84">
      <c r="B84" s="8" t="inlineStr">
        <is>
          <t>BTS1</t>
        </is>
      </c>
      <c r="C84" s="8" t="inlineStr">
        <is>
          <t>BTS 1re année</t>
        </is>
      </c>
      <c r="D84" s="25" t="inlineStr">
        <is>
          <t>BTS</t>
        </is>
      </c>
    </row>
    <row r="85">
      <c r="B85" s="8" t="inlineStr">
        <is>
          <t>BTS2</t>
        </is>
      </c>
      <c r="C85" s="8" t="inlineStr">
        <is>
          <t>BTS 2e année</t>
        </is>
      </c>
      <c r="D85" s="25" t="inlineStr">
        <is>
          <t>BTS</t>
        </is>
      </c>
    </row>
    <row r="87" ht="20" customHeight="1">
      <c r="B87" s="3" t="inlineStr">
        <is>
          <t>6) Dimension MODALITÉ</t>
        </is>
      </c>
      <c r="C87" s="4" t="n"/>
      <c r="D87" s="4" t="n"/>
      <c r="E87" s="4" t="n"/>
      <c r="F87" s="4" t="n"/>
    </row>
    <row r="88">
      <c r="B88" s="20" t="inlineStr">
        <is>
          <t>Code</t>
        </is>
      </c>
      <c r="C88" s="20" t="inlineStr">
        <is>
          <t>Description</t>
        </is>
      </c>
    </row>
    <row r="89">
      <c r="B89" s="8" t="inlineStr">
        <is>
          <t>INIT</t>
        </is>
      </c>
      <c r="C89" s="8" t="inlineStr">
        <is>
          <t>Formation initiale</t>
        </is>
      </c>
    </row>
    <row r="90">
      <c r="B90" s="8" t="inlineStr">
        <is>
          <t>ALT</t>
        </is>
      </c>
      <c r="C90" s="8" t="inlineStr">
        <is>
          <t>Alternance</t>
        </is>
      </c>
    </row>
    <row r="92" ht="20" customHeight="1">
      <c r="B92" s="3" t="inlineStr">
        <is>
          <t>7) Dimension PÉRIODE</t>
        </is>
      </c>
      <c r="C92" s="4" t="n"/>
      <c r="D92" s="4" t="n"/>
      <c r="E92" s="4" t="n"/>
      <c r="F92" s="4" t="n"/>
    </row>
    <row r="93">
      <c r="B93" s="20" t="inlineStr">
        <is>
          <t>Code</t>
        </is>
      </c>
      <c r="C93" s="20" t="inlineStr">
        <is>
          <t>Description</t>
        </is>
      </c>
      <c r="D93" s="20" t="inlineStr">
        <is>
          <t>Type</t>
        </is>
      </c>
    </row>
    <row r="94">
      <c r="B94" s="8" t="inlineStr">
        <is>
          <t>2023</t>
        </is>
      </c>
      <c r="C94" s="8" t="inlineStr">
        <is>
          <t>Exercice 2023 (clos 31/08)</t>
        </is>
      </c>
      <c r="D94" s="25" t="inlineStr">
        <is>
          <t>Annuel</t>
        </is>
      </c>
    </row>
    <row r="95">
      <c r="B95" s="8" t="inlineStr">
        <is>
          <t>2024</t>
        </is>
      </c>
      <c r="C95" s="8" t="inlineStr">
        <is>
          <t>Exercice 2024</t>
        </is>
      </c>
      <c r="D95" s="25" t="inlineStr">
        <is>
          <t>Annuel</t>
        </is>
      </c>
    </row>
    <row r="96">
      <c r="B96" s="8" t="inlineStr">
        <is>
          <t>2025</t>
        </is>
      </c>
      <c r="C96" s="8" t="inlineStr">
        <is>
          <t>Exercice 2025</t>
        </is>
      </c>
      <c r="D96" s="25" t="inlineStr">
        <is>
          <t>Annuel</t>
        </is>
      </c>
    </row>
    <row r="97">
      <c r="B97" s="8" t="inlineStr">
        <is>
          <t>2026</t>
        </is>
      </c>
      <c r="C97" s="8" t="inlineStr">
        <is>
          <t>Exercice 2026</t>
        </is>
      </c>
      <c r="D97" s="25" t="inlineStr">
        <is>
          <t>Annuel</t>
        </is>
      </c>
    </row>
  </sheetData>
  <mergeCells count="8">
    <mergeCell ref="B4:F4"/>
    <mergeCell ref="B77:F77"/>
    <mergeCell ref="B87:F87"/>
    <mergeCell ref="B2:F2"/>
    <mergeCell ref="B59:F59"/>
    <mergeCell ref="B66:F66"/>
    <mergeCell ref="B27:F27"/>
    <mergeCell ref="B92:F92"/>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295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3" customWidth="1" min="2" max="2"/>
    <col width="11" customWidth="1" min="3" max="3"/>
    <col width="8" customWidth="1" min="4" max="4"/>
    <col width="9" customWidth="1" min="5" max="5"/>
    <col width="11" customWidth="1" min="6" max="6"/>
    <col width="34" customWidth="1" min="7" max="7"/>
    <col width="13" customWidth="1" min="8" max="8"/>
    <col width="13" customWidth="1" min="9" max="9"/>
    <col width="9" customWidth="1" min="10" max="10"/>
    <col width="8" customWidth="1" min="11" max="11"/>
    <col width="14" customWidth="1" min="12" max="12"/>
  </cols>
  <sheetData>
    <row r="1" ht="24" customHeight="1">
      <c r="B1" s="1" t="inlineStr">
        <is>
          <t>TABLE DE FAITS À CHARGER DANS TAGETIK — format long (une ligne = un croisement dimension × compte × version)</t>
        </is>
      </c>
    </row>
    <row r="2" ht="30" customHeight="1">
      <c r="B2" s="12" t="inlineStr">
        <is>
          <t>Codes issus de DATA_Referentiel. Comptable = vrai compte PCG ; technique = code STA_/DRV_/PRX_/CAC_. Structure (loyers, permanents, siège, D&amp;A) DÉJÀ ALLOUÉE jusqu'à la classe (par nb de classes). 3 versions : Réalisé N-2 · Réalisé N-1 · Atterrissage (Forecast V4).</t>
        </is>
      </c>
    </row>
    <row r="4">
      <c r="B4" s="20" t="inlineStr">
        <is>
          <t>Entité</t>
        </is>
      </c>
      <c r="C4" s="20" t="inlineStr">
        <is>
          <t>Programme</t>
        </is>
      </c>
      <c r="D4" s="20" t="inlineStr">
        <is>
          <t>Année</t>
        </is>
      </c>
      <c r="E4" s="20" t="inlineStr">
        <is>
          <t>Modalité</t>
        </is>
      </c>
      <c r="F4" s="20" t="inlineStr">
        <is>
          <t>Compte</t>
        </is>
      </c>
      <c r="G4" s="20" t="inlineStr">
        <is>
          <t>Libellé compte</t>
        </is>
      </c>
      <c r="H4" s="20" t="inlineStr">
        <is>
          <t>Type</t>
        </is>
      </c>
      <c r="I4" s="20" t="inlineStr">
        <is>
          <t>Version</t>
        </is>
      </c>
      <c r="J4" s="20" t="inlineStr">
        <is>
          <t>Période</t>
        </is>
      </c>
      <c r="K4" s="20" t="inlineStr">
        <is>
          <t>Unité</t>
        </is>
      </c>
      <c r="L4" s="20" t="inlineStr">
        <is>
          <t>Montant</t>
        </is>
      </c>
    </row>
    <row r="5">
      <c r="B5" s="39" t="inlineStr">
        <is>
          <t>MBWAY_PAR</t>
        </is>
      </c>
      <c r="C5" s="40" t="inlineStr">
        <is>
          <t>BAC_MGT</t>
        </is>
      </c>
      <c r="D5" s="40" t="inlineStr">
        <is>
          <t>B1</t>
        </is>
      </c>
      <c r="E5" s="40" t="inlineStr">
        <is>
          <t>INIT</t>
        </is>
      </c>
      <c r="F5" s="40" t="inlineStr">
        <is>
          <t>706100</t>
        </is>
      </c>
      <c r="G5" s="39" t="inlineStr">
        <is>
          <t>Droits de scolarité</t>
        </is>
      </c>
      <c r="H5" s="40" t="inlineStr">
        <is>
          <t>COMPTABLE</t>
        </is>
      </c>
      <c r="I5" s="41" t="inlineStr">
        <is>
          <t>2023ACT_VDEF</t>
        </is>
      </c>
      <c r="J5" s="41" t="n">
        <v>2023</v>
      </c>
      <c r="K5" s="41" t="inlineStr">
        <is>
          <t>EUR</t>
        </is>
      </c>
      <c r="L5" s="42" t="n">
        <v>596700</v>
      </c>
    </row>
    <row r="6">
      <c r="B6" s="39" t="inlineStr">
        <is>
          <t>MBWAY_PAR</t>
        </is>
      </c>
      <c r="C6" s="40" t="inlineStr">
        <is>
          <t>BAC_MGT</t>
        </is>
      </c>
      <c r="D6" s="40" t="inlineStr">
        <is>
          <t>B1</t>
        </is>
      </c>
      <c r="E6" s="40" t="inlineStr">
        <is>
          <t>INIT</t>
        </is>
      </c>
      <c r="F6" s="40" t="inlineStr">
        <is>
          <t>706100</t>
        </is>
      </c>
      <c r="G6" s="39" t="inlineStr">
        <is>
          <t>Droits de scolarité</t>
        </is>
      </c>
      <c r="H6" s="40" t="inlineStr">
        <is>
          <t>COMPTABLE</t>
        </is>
      </c>
      <c r="I6" s="41" t="inlineStr">
        <is>
          <t>2024ACT_VDEF</t>
        </is>
      </c>
      <c r="J6" s="41" t="n">
        <v>2024</v>
      </c>
      <c r="K6" s="41" t="inlineStr">
        <is>
          <t>EUR</t>
        </is>
      </c>
      <c r="L6" s="42" t="n">
        <v>629850</v>
      </c>
    </row>
    <row r="7">
      <c r="B7" s="39" t="inlineStr">
        <is>
          <t>MBWAY_PAR</t>
        </is>
      </c>
      <c r="C7" s="40" t="inlineStr">
        <is>
          <t>BAC_MGT</t>
        </is>
      </c>
      <c r="D7" s="40" t="inlineStr">
        <is>
          <t>B1</t>
        </is>
      </c>
      <c r="E7" s="40" t="inlineStr">
        <is>
          <t>INIT</t>
        </is>
      </c>
      <c r="F7" s="40" t="inlineStr">
        <is>
          <t>706100</t>
        </is>
      </c>
      <c r="G7" s="39" t="inlineStr">
        <is>
          <t>Droits de scolarité</t>
        </is>
      </c>
      <c r="H7" s="40" t="inlineStr">
        <is>
          <t>COMPTABLE</t>
        </is>
      </c>
      <c r="I7" s="41" t="inlineStr">
        <is>
          <t>2025FCST_V4</t>
        </is>
      </c>
      <c r="J7" s="41" t="n">
        <v>2025</v>
      </c>
      <c r="K7" s="41" t="inlineStr">
        <is>
          <t>EUR</t>
        </is>
      </c>
      <c r="L7" s="42" t="n">
        <v>663000</v>
      </c>
    </row>
    <row r="8">
      <c r="B8" s="39" t="inlineStr">
        <is>
          <t>MBWAY_PAR</t>
        </is>
      </c>
      <c r="C8" s="40" t="inlineStr">
        <is>
          <t>BAC_MGT</t>
        </is>
      </c>
      <c r="D8" s="40" t="inlineStr">
        <is>
          <t>B1</t>
        </is>
      </c>
      <c r="E8" s="40" t="inlineStr">
        <is>
          <t>INIT</t>
        </is>
      </c>
      <c r="F8" s="40" t="inlineStr">
        <is>
          <t>708500</t>
        </is>
      </c>
      <c r="G8" s="39" t="inlineStr">
        <is>
          <t>Frais de dossier / inscription</t>
        </is>
      </c>
      <c r="H8" s="40" t="inlineStr">
        <is>
          <t>COMPTABLE</t>
        </is>
      </c>
      <c r="I8" s="41" t="inlineStr">
        <is>
          <t>2023ACT_VDEF</t>
        </is>
      </c>
      <c r="J8" s="41" t="n">
        <v>2023</v>
      </c>
      <c r="K8" s="41" t="inlineStr">
        <is>
          <t>EUR</t>
        </is>
      </c>
      <c r="L8" s="42" t="n">
        <v>6318</v>
      </c>
    </row>
    <row r="9">
      <c r="B9" s="39" t="inlineStr">
        <is>
          <t>MBWAY_PAR</t>
        </is>
      </c>
      <c r="C9" s="40" t="inlineStr">
        <is>
          <t>BAC_MGT</t>
        </is>
      </c>
      <c r="D9" s="40" t="inlineStr">
        <is>
          <t>B1</t>
        </is>
      </c>
      <c r="E9" s="40" t="inlineStr">
        <is>
          <t>INIT</t>
        </is>
      </c>
      <c r="F9" s="40" t="inlineStr">
        <is>
          <t>708500</t>
        </is>
      </c>
      <c r="G9" s="39" t="inlineStr">
        <is>
          <t>Frais de dossier / inscription</t>
        </is>
      </c>
      <c r="H9" s="40" t="inlineStr">
        <is>
          <t>COMPTABLE</t>
        </is>
      </c>
      <c r="I9" s="41" t="inlineStr">
        <is>
          <t>2024ACT_VDEF</t>
        </is>
      </c>
      <c r="J9" s="41" t="n">
        <v>2024</v>
      </c>
      <c r="K9" s="41" t="inlineStr">
        <is>
          <t>EUR</t>
        </is>
      </c>
      <c r="L9" s="42" t="n">
        <v>6669</v>
      </c>
    </row>
    <row r="10">
      <c r="B10" s="39" t="inlineStr">
        <is>
          <t>MBWAY_PAR</t>
        </is>
      </c>
      <c r="C10" s="40" t="inlineStr">
        <is>
          <t>BAC_MGT</t>
        </is>
      </c>
      <c r="D10" s="40" t="inlineStr">
        <is>
          <t>B1</t>
        </is>
      </c>
      <c r="E10" s="40" t="inlineStr">
        <is>
          <t>INIT</t>
        </is>
      </c>
      <c r="F10" s="40" t="inlineStr">
        <is>
          <t>708500</t>
        </is>
      </c>
      <c r="G10" s="39" t="inlineStr">
        <is>
          <t>Frais de dossier / inscription</t>
        </is>
      </c>
      <c r="H10" s="40" t="inlineStr">
        <is>
          <t>COMPTABLE</t>
        </is>
      </c>
      <c r="I10" s="41" t="inlineStr">
        <is>
          <t>2025FCST_V4</t>
        </is>
      </c>
      <c r="J10" s="41" t="n">
        <v>2025</v>
      </c>
      <c r="K10" s="41" t="inlineStr">
        <is>
          <t>EUR</t>
        </is>
      </c>
      <c r="L10" s="42" t="n">
        <v>7020</v>
      </c>
    </row>
    <row r="11">
      <c r="B11" s="39" t="inlineStr">
        <is>
          <t>MBWAY_PAR</t>
        </is>
      </c>
      <c r="C11" s="40" t="inlineStr">
        <is>
          <t>BAC_MGT</t>
        </is>
      </c>
      <c r="D11" s="40" t="inlineStr">
        <is>
          <t>B1</t>
        </is>
      </c>
      <c r="E11" s="40" t="inlineStr">
        <is>
          <t>INIT</t>
        </is>
      </c>
      <c r="F11" s="40" t="inlineStr">
        <is>
          <t>604100</t>
        </is>
      </c>
      <c r="G11" s="39" t="inlineStr">
        <is>
          <t>Vacations &amp; sous-traitance pédagogique</t>
        </is>
      </c>
      <c r="H11" s="40" t="inlineStr">
        <is>
          <t>COMPTABLE</t>
        </is>
      </c>
      <c r="I11" s="41" t="inlineStr">
        <is>
          <t>2023ACT_VDEF</t>
        </is>
      </c>
      <c r="J11" s="41" t="n">
        <v>2023</v>
      </c>
      <c r="K11" s="41" t="inlineStr">
        <is>
          <t>EUR</t>
        </is>
      </c>
      <c r="L11" s="42" t="n">
        <v>93960</v>
      </c>
    </row>
    <row r="12">
      <c r="B12" s="39" t="inlineStr">
        <is>
          <t>MBWAY_PAR</t>
        </is>
      </c>
      <c r="C12" s="40" t="inlineStr">
        <is>
          <t>BAC_MGT</t>
        </is>
      </c>
      <c r="D12" s="40" t="inlineStr">
        <is>
          <t>B1</t>
        </is>
      </c>
      <c r="E12" s="40" t="inlineStr">
        <is>
          <t>INIT</t>
        </is>
      </c>
      <c r="F12" s="40" t="inlineStr">
        <is>
          <t>604100</t>
        </is>
      </c>
      <c r="G12" s="39" t="inlineStr">
        <is>
          <t>Vacations &amp; sous-traitance pédagogique</t>
        </is>
      </c>
      <c r="H12" s="40" t="inlineStr">
        <is>
          <t>COMPTABLE</t>
        </is>
      </c>
      <c r="I12" s="41" t="inlineStr">
        <is>
          <t>2024ACT_VDEF</t>
        </is>
      </c>
      <c r="J12" s="41" t="n">
        <v>2024</v>
      </c>
      <c r="K12" s="41" t="inlineStr">
        <is>
          <t>EUR</t>
        </is>
      </c>
      <c r="L12" s="42" t="n">
        <v>99180</v>
      </c>
    </row>
    <row r="13">
      <c r="B13" s="39" t="inlineStr">
        <is>
          <t>MBWAY_PAR</t>
        </is>
      </c>
      <c r="C13" s="40" t="inlineStr">
        <is>
          <t>BAC_MGT</t>
        </is>
      </c>
      <c r="D13" s="40" t="inlineStr">
        <is>
          <t>B1</t>
        </is>
      </c>
      <c r="E13" s="40" t="inlineStr">
        <is>
          <t>INIT</t>
        </is>
      </c>
      <c r="F13" s="40" t="inlineStr">
        <is>
          <t>604100</t>
        </is>
      </c>
      <c r="G13" s="39" t="inlineStr">
        <is>
          <t>Vacations &amp; sous-traitance pédagogique</t>
        </is>
      </c>
      <c r="H13" s="40" t="inlineStr">
        <is>
          <t>COMPTABLE</t>
        </is>
      </c>
      <c r="I13" s="41" t="inlineStr">
        <is>
          <t>2025FCST_V4</t>
        </is>
      </c>
      <c r="J13" s="41" t="n">
        <v>2025</v>
      </c>
      <c r="K13" s="41" t="inlineStr">
        <is>
          <t>EUR</t>
        </is>
      </c>
      <c r="L13" s="42" t="n">
        <v>104400</v>
      </c>
    </row>
    <row r="14">
      <c r="B14" s="39" t="inlineStr">
        <is>
          <t>MBWAY_PAR</t>
        </is>
      </c>
      <c r="C14" s="40" t="inlineStr">
        <is>
          <t>BAC_MGT</t>
        </is>
      </c>
      <c r="D14" s="40" t="inlineStr">
        <is>
          <t>B1</t>
        </is>
      </c>
      <c r="E14" s="40" t="inlineStr">
        <is>
          <t>INIT</t>
        </is>
      </c>
      <c r="F14" s="40" t="inlineStr">
        <is>
          <t>606300</t>
        </is>
      </c>
      <c r="G14" s="39" t="inlineStr">
        <is>
          <t>Fournitures &amp; ressources pédagogiques</t>
        </is>
      </c>
      <c r="H14" s="40" t="inlineStr">
        <is>
          <t>COMPTABLE</t>
        </is>
      </c>
      <c r="I14" s="41" t="inlineStr">
        <is>
          <t>2023ACT_VDEF</t>
        </is>
      </c>
      <c r="J14" s="41" t="n">
        <v>2023</v>
      </c>
      <c r="K14" s="41" t="inlineStr">
        <is>
          <t>EUR</t>
        </is>
      </c>
      <c r="L14" s="42" t="n">
        <v>28080</v>
      </c>
    </row>
    <row r="15">
      <c r="B15" s="39" t="inlineStr">
        <is>
          <t>MBWAY_PAR</t>
        </is>
      </c>
      <c r="C15" s="40" t="inlineStr">
        <is>
          <t>BAC_MGT</t>
        </is>
      </c>
      <c r="D15" s="40" t="inlineStr">
        <is>
          <t>B1</t>
        </is>
      </c>
      <c r="E15" s="40" t="inlineStr">
        <is>
          <t>INIT</t>
        </is>
      </c>
      <c r="F15" s="40" t="inlineStr">
        <is>
          <t>606300</t>
        </is>
      </c>
      <c r="G15" s="39" t="inlineStr">
        <is>
          <t>Fournitures &amp; ressources pédagogiques</t>
        </is>
      </c>
      <c r="H15" s="40" t="inlineStr">
        <is>
          <t>COMPTABLE</t>
        </is>
      </c>
      <c r="I15" s="41" t="inlineStr">
        <is>
          <t>2024ACT_VDEF</t>
        </is>
      </c>
      <c r="J15" s="41" t="n">
        <v>2024</v>
      </c>
      <c r="K15" s="41" t="inlineStr">
        <is>
          <t>EUR</t>
        </is>
      </c>
      <c r="L15" s="42" t="n">
        <v>29640</v>
      </c>
    </row>
    <row r="16">
      <c r="B16" s="39" t="inlineStr">
        <is>
          <t>MBWAY_PAR</t>
        </is>
      </c>
      <c r="C16" s="40" t="inlineStr">
        <is>
          <t>BAC_MGT</t>
        </is>
      </c>
      <c r="D16" s="40" t="inlineStr">
        <is>
          <t>B1</t>
        </is>
      </c>
      <c r="E16" s="40" t="inlineStr">
        <is>
          <t>INIT</t>
        </is>
      </c>
      <c r="F16" s="40" t="inlineStr">
        <is>
          <t>606300</t>
        </is>
      </c>
      <c r="G16" s="39" t="inlineStr">
        <is>
          <t>Fournitures &amp; ressources pédagogiques</t>
        </is>
      </c>
      <c r="H16" s="40" t="inlineStr">
        <is>
          <t>COMPTABLE</t>
        </is>
      </c>
      <c r="I16" s="41" t="inlineStr">
        <is>
          <t>2025FCST_V4</t>
        </is>
      </c>
      <c r="J16" s="41" t="n">
        <v>2025</v>
      </c>
      <c r="K16" s="41" t="inlineStr">
        <is>
          <t>EUR</t>
        </is>
      </c>
      <c r="L16" s="42" t="n">
        <v>31200</v>
      </c>
    </row>
    <row r="17">
      <c r="B17" s="39" t="inlineStr">
        <is>
          <t>MBWAY_PAR</t>
        </is>
      </c>
      <c r="C17" s="40" t="inlineStr">
        <is>
          <t>BAC_MGT</t>
        </is>
      </c>
      <c r="D17" s="40" t="inlineStr">
        <is>
          <t>B1</t>
        </is>
      </c>
      <c r="E17" s="40" t="inlineStr">
        <is>
          <t>INIT</t>
        </is>
      </c>
      <c r="F17" s="40" t="inlineStr">
        <is>
          <t>623000</t>
        </is>
      </c>
      <c r="G17" s="39" t="inlineStr">
        <is>
          <t>Publicité &amp; marketing (acquisition)</t>
        </is>
      </c>
      <c r="H17" s="40" t="inlineStr">
        <is>
          <t>COMPTABLE</t>
        </is>
      </c>
      <c r="I17" s="41" t="inlineStr">
        <is>
          <t>2023ACT_VDEF</t>
        </is>
      </c>
      <c r="J17" s="41" t="n">
        <v>2023</v>
      </c>
      <c r="K17" s="41" t="inlineStr">
        <is>
          <t>EUR</t>
        </is>
      </c>
      <c r="L17" s="42" t="n">
        <v>22464</v>
      </c>
    </row>
    <row r="18">
      <c r="B18" s="39" t="inlineStr">
        <is>
          <t>MBWAY_PAR</t>
        </is>
      </c>
      <c r="C18" s="40" t="inlineStr">
        <is>
          <t>BAC_MGT</t>
        </is>
      </c>
      <c r="D18" s="40" t="inlineStr">
        <is>
          <t>B1</t>
        </is>
      </c>
      <c r="E18" s="40" t="inlineStr">
        <is>
          <t>INIT</t>
        </is>
      </c>
      <c r="F18" s="40" t="inlineStr">
        <is>
          <t>623000</t>
        </is>
      </c>
      <c r="G18" s="39" t="inlineStr">
        <is>
          <t>Publicité &amp; marketing (acquisition)</t>
        </is>
      </c>
      <c r="H18" s="40" t="inlineStr">
        <is>
          <t>COMPTABLE</t>
        </is>
      </c>
      <c r="I18" s="41" t="inlineStr">
        <is>
          <t>2024ACT_VDEF</t>
        </is>
      </c>
      <c r="J18" s="41" t="n">
        <v>2024</v>
      </c>
      <c r="K18" s="41" t="inlineStr">
        <is>
          <t>EUR</t>
        </is>
      </c>
      <c r="L18" s="42" t="n">
        <v>23712</v>
      </c>
    </row>
    <row r="19">
      <c r="B19" s="39" t="inlineStr">
        <is>
          <t>MBWAY_PAR</t>
        </is>
      </c>
      <c r="C19" s="40" t="inlineStr">
        <is>
          <t>BAC_MGT</t>
        </is>
      </c>
      <c r="D19" s="40" t="inlineStr">
        <is>
          <t>B1</t>
        </is>
      </c>
      <c r="E19" s="40" t="inlineStr">
        <is>
          <t>INIT</t>
        </is>
      </c>
      <c r="F19" s="40" t="inlineStr">
        <is>
          <t>623000</t>
        </is>
      </c>
      <c r="G19" s="39" t="inlineStr">
        <is>
          <t>Publicité &amp; marketing (acquisition)</t>
        </is>
      </c>
      <c r="H19" s="40" t="inlineStr">
        <is>
          <t>COMPTABLE</t>
        </is>
      </c>
      <c r="I19" s="41" t="inlineStr">
        <is>
          <t>2025FCST_V4</t>
        </is>
      </c>
      <c r="J19" s="41" t="n">
        <v>2025</v>
      </c>
      <c r="K19" s="41" t="inlineStr">
        <is>
          <t>EUR</t>
        </is>
      </c>
      <c r="L19" s="42" t="n">
        <v>24960</v>
      </c>
    </row>
    <row r="20">
      <c r="B20" s="39" t="inlineStr">
        <is>
          <t>MBWAY_PAR</t>
        </is>
      </c>
      <c r="C20" s="40" t="inlineStr">
        <is>
          <t>BAC_MGT</t>
        </is>
      </c>
      <c r="D20" s="40" t="inlineStr">
        <is>
          <t>B1</t>
        </is>
      </c>
      <c r="E20" s="40" t="inlineStr">
        <is>
          <t>INIT</t>
        </is>
      </c>
      <c r="F20" s="40" t="inlineStr">
        <is>
          <t>613200</t>
        </is>
      </c>
      <c r="G20" s="39" t="inlineStr">
        <is>
          <t>Locations immobilières (loyers)</t>
        </is>
      </c>
      <c r="H20" s="40" t="inlineStr">
        <is>
          <t>COMPTABLE</t>
        </is>
      </c>
      <c r="I20" s="41" t="inlineStr">
        <is>
          <t>2023ACT_VDEF</t>
        </is>
      </c>
      <c r="J20" s="41" t="n">
        <v>2023</v>
      </c>
      <c r="K20" s="41" t="inlineStr">
        <is>
          <t>EUR</t>
        </is>
      </c>
      <c r="L20" s="42" t="n">
        <v>60975</v>
      </c>
    </row>
    <row r="21">
      <c r="B21" s="39" t="inlineStr">
        <is>
          <t>MBWAY_PAR</t>
        </is>
      </c>
      <c r="C21" s="40" t="inlineStr">
        <is>
          <t>BAC_MGT</t>
        </is>
      </c>
      <c r="D21" s="40" t="inlineStr">
        <is>
          <t>B1</t>
        </is>
      </c>
      <c r="E21" s="40" t="inlineStr">
        <is>
          <t>INIT</t>
        </is>
      </c>
      <c r="F21" s="40" t="inlineStr">
        <is>
          <t>613200</t>
        </is>
      </c>
      <c r="G21" s="39" t="inlineStr">
        <is>
          <t>Locations immobilières (loyers)</t>
        </is>
      </c>
      <c r="H21" s="40" t="inlineStr">
        <is>
          <t>COMPTABLE</t>
        </is>
      </c>
      <c r="I21" s="41" t="inlineStr">
        <is>
          <t>2024ACT_VDEF</t>
        </is>
      </c>
      <c r="J21" s="41" t="n">
        <v>2024</v>
      </c>
      <c r="K21" s="41" t="inlineStr">
        <is>
          <t>EUR</t>
        </is>
      </c>
      <c r="L21" s="42" t="n">
        <v>64362</v>
      </c>
    </row>
    <row r="22">
      <c r="B22" s="39" t="inlineStr">
        <is>
          <t>MBWAY_PAR</t>
        </is>
      </c>
      <c r="C22" s="40" t="inlineStr">
        <is>
          <t>BAC_MGT</t>
        </is>
      </c>
      <c r="D22" s="40" t="inlineStr">
        <is>
          <t>B1</t>
        </is>
      </c>
      <c r="E22" s="40" t="inlineStr">
        <is>
          <t>INIT</t>
        </is>
      </c>
      <c r="F22" s="40" t="inlineStr">
        <is>
          <t>613200</t>
        </is>
      </c>
      <c r="G22" s="39" t="inlineStr">
        <is>
          <t>Locations immobilières (loyers)</t>
        </is>
      </c>
      <c r="H22" s="40" t="inlineStr">
        <is>
          <t>COMPTABLE</t>
        </is>
      </c>
      <c r="I22" s="41" t="inlineStr">
        <is>
          <t>2025FCST_V4</t>
        </is>
      </c>
      <c r="J22" s="41" t="n">
        <v>2025</v>
      </c>
      <c r="K22" s="41" t="inlineStr">
        <is>
          <t>EUR</t>
        </is>
      </c>
      <c r="L22" s="42" t="n">
        <v>67750</v>
      </c>
    </row>
    <row r="23">
      <c r="B23" s="39" t="inlineStr">
        <is>
          <t>MBWAY_PAR</t>
        </is>
      </c>
      <c r="C23" s="40" t="inlineStr">
        <is>
          <t>BAC_MGT</t>
        </is>
      </c>
      <c r="D23" s="40" t="inlineStr">
        <is>
          <t>B1</t>
        </is>
      </c>
      <c r="E23" s="40" t="inlineStr">
        <is>
          <t>INIT</t>
        </is>
      </c>
      <c r="F23" s="40" t="inlineStr">
        <is>
          <t>641100</t>
        </is>
      </c>
      <c r="G23" s="39" t="inlineStr">
        <is>
          <t>Rémunérations du personnel permanent</t>
        </is>
      </c>
      <c r="H23" s="40" t="inlineStr">
        <is>
          <t>COMPTABLE</t>
        </is>
      </c>
      <c r="I23" s="41" t="inlineStr">
        <is>
          <t>2023ACT_VDEF</t>
        </is>
      </c>
      <c r="J23" s="41" t="n">
        <v>2023</v>
      </c>
      <c r="K23" s="41" t="inlineStr">
        <is>
          <t>EUR</t>
        </is>
      </c>
      <c r="L23" s="42" t="n">
        <v>143550</v>
      </c>
    </row>
    <row r="24">
      <c r="B24" s="39" t="inlineStr">
        <is>
          <t>MBWAY_PAR</t>
        </is>
      </c>
      <c r="C24" s="40" t="inlineStr">
        <is>
          <t>BAC_MGT</t>
        </is>
      </c>
      <c r="D24" s="40" t="inlineStr">
        <is>
          <t>B1</t>
        </is>
      </c>
      <c r="E24" s="40" t="inlineStr">
        <is>
          <t>INIT</t>
        </is>
      </c>
      <c r="F24" s="40" t="inlineStr">
        <is>
          <t>641100</t>
        </is>
      </c>
      <c r="G24" s="39" t="inlineStr">
        <is>
          <t>Rémunérations du personnel permanent</t>
        </is>
      </c>
      <c r="H24" s="40" t="inlineStr">
        <is>
          <t>COMPTABLE</t>
        </is>
      </c>
      <c r="I24" s="41" t="inlineStr">
        <is>
          <t>2024ACT_VDEF</t>
        </is>
      </c>
      <c r="J24" s="41" t="n">
        <v>2024</v>
      </c>
      <c r="K24" s="41" t="inlineStr">
        <is>
          <t>EUR</t>
        </is>
      </c>
      <c r="L24" s="42" t="n">
        <v>151525</v>
      </c>
    </row>
    <row r="25">
      <c r="B25" s="39" t="inlineStr">
        <is>
          <t>MBWAY_PAR</t>
        </is>
      </c>
      <c r="C25" s="40" t="inlineStr">
        <is>
          <t>BAC_MGT</t>
        </is>
      </c>
      <c r="D25" s="40" t="inlineStr">
        <is>
          <t>B1</t>
        </is>
      </c>
      <c r="E25" s="40" t="inlineStr">
        <is>
          <t>INIT</t>
        </is>
      </c>
      <c r="F25" s="40" t="inlineStr">
        <is>
          <t>641100</t>
        </is>
      </c>
      <c r="G25" s="39" t="inlineStr">
        <is>
          <t>Rémunérations du personnel permanent</t>
        </is>
      </c>
      <c r="H25" s="40" t="inlineStr">
        <is>
          <t>COMPTABLE</t>
        </is>
      </c>
      <c r="I25" s="41" t="inlineStr">
        <is>
          <t>2025FCST_V4</t>
        </is>
      </c>
      <c r="J25" s="41" t="n">
        <v>2025</v>
      </c>
      <c r="K25" s="41" t="inlineStr">
        <is>
          <t>EUR</t>
        </is>
      </c>
      <c r="L25" s="42" t="n">
        <v>159500</v>
      </c>
    </row>
    <row r="26">
      <c r="B26" s="39" t="inlineStr">
        <is>
          <t>MBWAY_PAR</t>
        </is>
      </c>
      <c r="C26" s="40" t="inlineStr">
        <is>
          <t>BAC_MGT</t>
        </is>
      </c>
      <c r="D26" s="40" t="inlineStr">
        <is>
          <t>B1</t>
        </is>
      </c>
      <c r="E26" s="40" t="inlineStr">
        <is>
          <t>INIT</t>
        </is>
      </c>
      <c r="F26" s="40" t="inlineStr">
        <is>
          <t>622600</t>
        </is>
      </c>
      <c r="G26" s="39" t="inlineStr">
        <is>
          <t>Honoraires &amp; frais de siège (structure groupe)</t>
        </is>
      </c>
      <c r="H26" s="40" t="inlineStr">
        <is>
          <t>COMPTABLE</t>
        </is>
      </c>
      <c r="I26" s="41" t="inlineStr">
        <is>
          <t>2023ACT_VDEF</t>
        </is>
      </c>
      <c r="J26" s="41" t="n">
        <v>2023</v>
      </c>
      <c r="K26" s="41" t="inlineStr">
        <is>
          <t>EUR</t>
        </is>
      </c>
      <c r="L26" s="42" t="n">
        <v>55548</v>
      </c>
    </row>
    <row r="27">
      <c r="B27" s="39" t="inlineStr">
        <is>
          <t>MBWAY_PAR</t>
        </is>
      </c>
      <c r="C27" s="40" t="inlineStr">
        <is>
          <t>BAC_MGT</t>
        </is>
      </c>
      <c r="D27" s="40" t="inlineStr">
        <is>
          <t>B1</t>
        </is>
      </c>
      <c r="E27" s="40" t="inlineStr">
        <is>
          <t>INIT</t>
        </is>
      </c>
      <c r="F27" s="40" t="inlineStr">
        <is>
          <t>622600</t>
        </is>
      </c>
      <c r="G27" s="39" t="inlineStr">
        <is>
          <t>Honoraires &amp; frais de siège (structure groupe)</t>
        </is>
      </c>
      <c r="H27" s="40" t="inlineStr">
        <is>
          <t>COMPTABLE</t>
        </is>
      </c>
      <c r="I27" s="41" t="inlineStr">
        <is>
          <t>2024ACT_VDEF</t>
        </is>
      </c>
      <c r="J27" s="41" t="n">
        <v>2024</v>
      </c>
      <c r="K27" s="41" t="inlineStr">
        <is>
          <t>EUR</t>
        </is>
      </c>
      <c r="L27" s="42" t="n">
        <v>58634</v>
      </c>
    </row>
    <row r="28">
      <c r="B28" s="39" t="inlineStr">
        <is>
          <t>MBWAY_PAR</t>
        </is>
      </c>
      <c r="C28" s="40" t="inlineStr">
        <is>
          <t>BAC_MGT</t>
        </is>
      </c>
      <c r="D28" s="40" t="inlineStr">
        <is>
          <t>B1</t>
        </is>
      </c>
      <c r="E28" s="40" t="inlineStr">
        <is>
          <t>INIT</t>
        </is>
      </c>
      <c r="F28" s="40" t="inlineStr">
        <is>
          <t>622600</t>
        </is>
      </c>
      <c r="G28" s="39" t="inlineStr">
        <is>
          <t>Honoraires &amp; frais de siège (structure groupe)</t>
        </is>
      </c>
      <c r="H28" s="40" t="inlineStr">
        <is>
          <t>COMPTABLE</t>
        </is>
      </c>
      <c r="I28" s="41" t="inlineStr">
        <is>
          <t>2025FCST_V4</t>
        </is>
      </c>
      <c r="J28" s="41" t="n">
        <v>2025</v>
      </c>
      <c r="K28" s="41" t="inlineStr">
        <is>
          <t>EUR</t>
        </is>
      </c>
      <c r="L28" s="42" t="n">
        <v>61720</v>
      </c>
    </row>
    <row r="29">
      <c r="B29" s="39" t="inlineStr">
        <is>
          <t>MBWAY_PAR</t>
        </is>
      </c>
      <c r="C29" s="40" t="inlineStr">
        <is>
          <t>BAC_MGT</t>
        </is>
      </c>
      <c r="D29" s="40" t="inlineStr">
        <is>
          <t>B1</t>
        </is>
      </c>
      <c r="E29" s="40" t="inlineStr">
        <is>
          <t>INIT</t>
        </is>
      </c>
      <c r="F29" s="40" t="inlineStr">
        <is>
          <t>606800</t>
        </is>
      </c>
      <c r="G29" s="39" t="inlineStr">
        <is>
          <t>Autres achats &amp; charges externes</t>
        </is>
      </c>
      <c r="H29" s="40" t="inlineStr">
        <is>
          <t>COMPTABLE</t>
        </is>
      </c>
      <c r="I29" s="41" t="inlineStr">
        <is>
          <t>2023ACT_VDEF</t>
        </is>
      </c>
      <c r="J29" s="41" t="n">
        <v>2023</v>
      </c>
      <c r="K29" s="41" t="inlineStr">
        <is>
          <t>EUR</t>
        </is>
      </c>
      <c r="L29" s="42" t="n">
        <v>65567</v>
      </c>
    </row>
    <row r="30">
      <c r="B30" s="39" t="inlineStr">
        <is>
          <t>MBWAY_PAR</t>
        </is>
      </c>
      <c r="C30" s="40" t="inlineStr">
        <is>
          <t>BAC_MGT</t>
        </is>
      </c>
      <c r="D30" s="40" t="inlineStr">
        <is>
          <t>B1</t>
        </is>
      </c>
      <c r="E30" s="40" t="inlineStr">
        <is>
          <t>INIT</t>
        </is>
      </c>
      <c r="F30" s="40" t="inlineStr">
        <is>
          <t>606800</t>
        </is>
      </c>
      <c r="G30" s="39" t="inlineStr">
        <is>
          <t>Autres achats &amp; charges externes</t>
        </is>
      </c>
      <c r="H30" s="40" t="inlineStr">
        <is>
          <t>COMPTABLE</t>
        </is>
      </c>
      <c r="I30" s="41" t="inlineStr">
        <is>
          <t>2024ACT_VDEF</t>
        </is>
      </c>
      <c r="J30" s="41" t="n">
        <v>2024</v>
      </c>
      <c r="K30" s="41" t="inlineStr">
        <is>
          <t>EUR</t>
        </is>
      </c>
      <c r="L30" s="42" t="n">
        <v>69209</v>
      </c>
    </row>
    <row r="31">
      <c r="B31" s="39" t="inlineStr">
        <is>
          <t>MBWAY_PAR</t>
        </is>
      </c>
      <c r="C31" s="40" t="inlineStr">
        <is>
          <t>BAC_MGT</t>
        </is>
      </c>
      <c r="D31" s="40" t="inlineStr">
        <is>
          <t>B1</t>
        </is>
      </c>
      <c r="E31" s="40" t="inlineStr">
        <is>
          <t>INIT</t>
        </is>
      </c>
      <c r="F31" s="40" t="inlineStr">
        <is>
          <t>606800</t>
        </is>
      </c>
      <c r="G31" s="39" t="inlineStr">
        <is>
          <t>Autres achats &amp; charges externes</t>
        </is>
      </c>
      <c r="H31" s="40" t="inlineStr">
        <is>
          <t>COMPTABLE</t>
        </is>
      </c>
      <c r="I31" s="41" t="inlineStr">
        <is>
          <t>2025FCST_V4</t>
        </is>
      </c>
      <c r="J31" s="41" t="n">
        <v>2025</v>
      </c>
      <c r="K31" s="41" t="inlineStr">
        <is>
          <t>EUR</t>
        </is>
      </c>
      <c r="L31" s="42" t="n">
        <v>72852</v>
      </c>
    </row>
    <row r="32">
      <c r="B32" s="39" t="inlineStr">
        <is>
          <t>MBWAY_PAR</t>
        </is>
      </c>
      <c r="C32" s="40" t="inlineStr">
        <is>
          <t>BAC_MGT</t>
        </is>
      </c>
      <c r="D32" s="40" t="inlineStr">
        <is>
          <t>B1</t>
        </is>
      </c>
      <c r="E32" s="40" t="inlineStr">
        <is>
          <t>INIT</t>
        </is>
      </c>
      <c r="F32" s="40" t="inlineStr">
        <is>
          <t>681100</t>
        </is>
      </c>
      <c r="G32" s="39" t="inlineStr">
        <is>
          <t>Dotations aux amortissements</t>
        </is>
      </c>
      <c r="H32" s="40" t="inlineStr">
        <is>
          <t>COMPTABLE</t>
        </is>
      </c>
      <c r="I32" s="41" t="inlineStr">
        <is>
          <t>2023ACT_VDEF</t>
        </is>
      </c>
      <c r="J32" s="41" t="n">
        <v>2023</v>
      </c>
      <c r="K32" s="41" t="inlineStr">
        <is>
          <t>EUR</t>
        </is>
      </c>
      <c r="L32" s="42" t="n">
        <v>33300</v>
      </c>
    </row>
    <row r="33">
      <c r="B33" s="39" t="inlineStr">
        <is>
          <t>MBWAY_PAR</t>
        </is>
      </c>
      <c r="C33" s="40" t="inlineStr">
        <is>
          <t>BAC_MGT</t>
        </is>
      </c>
      <c r="D33" s="40" t="inlineStr">
        <is>
          <t>B1</t>
        </is>
      </c>
      <c r="E33" s="40" t="inlineStr">
        <is>
          <t>INIT</t>
        </is>
      </c>
      <c r="F33" s="40" t="inlineStr">
        <is>
          <t>681100</t>
        </is>
      </c>
      <c r="G33" s="39" t="inlineStr">
        <is>
          <t>Dotations aux amortissements</t>
        </is>
      </c>
      <c r="H33" s="40" t="inlineStr">
        <is>
          <t>COMPTABLE</t>
        </is>
      </c>
      <c r="I33" s="41" t="inlineStr">
        <is>
          <t>2024ACT_VDEF</t>
        </is>
      </c>
      <c r="J33" s="41" t="n">
        <v>2024</v>
      </c>
      <c r="K33" s="41" t="inlineStr">
        <is>
          <t>EUR</t>
        </is>
      </c>
      <c r="L33" s="42" t="n">
        <v>35150</v>
      </c>
    </row>
    <row r="34">
      <c r="B34" s="39" t="inlineStr">
        <is>
          <t>MBWAY_PAR</t>
        </is>
      </c>
      <c r="C34" s="40" t="inlineStr">
        <is>
          <t>BAC_MGT</t>
        </is>
      </c>
      <c r="D34" s="40" t="inlineStr">
        <is>
          <t>B1</t>
        </is>
      </c>
      <c r="E34" s="40" t="inlineStr">
        <is>
          <t>INIT</t>
        </is>
      </c>
      <c r="F34" s="40" t="inlineStr">
        <is>
          <t>681100</t>
        </is>
      </c>
      <c r="G34" s="39" t="inlineStr">
        <is>
          <t>Dotations aux amortissements</t>
        </is>
      </c>
      <c r="H34" s="40" t="inlineStr">
        <is>
          <t>COMPTABLE</t>
        </is>
      </c>
      <c r="I34" s="41" t="inlineStr">
        <is>
          <t>2025FCST_V4</t>
        </is>
      </c>
      <c r="J34" s="41" t="n">
        <v>2025</v>
      </c>
      <c r="K34" s="41" t="inlineStr">
        <is>
          <t>EUR</t>
        </is>
      </c>
      <c r="L34" s="42" t="n">
        <v>37000</v>
      </c>
    </row>
    <row r="35">
      <c r="B35" s="39" t="inlineStr">
        <is>
          <t>MBWAY_PAR</t>
        </is>
      </c>
      <c r="C35" s="40" t="inlineStr">
        <is>
          <t>BAC_MGT</t>
        </is>
      </c>
      <c r="D35" s="40" t="inlineStr">
        <is>
          <t>B1</t>
        </is>
      </c>
      <c r="E35" s="40" t="inlineStr">
        <is>
          <t>INIT</t>
        </is>
      </c>
      <c r="F35" s="40" t="inlineStr">
        <is>
          <t>STA_EFF</t>
        </is>
      </c>
      <c r="G35" s="39" t="inlineStr">
        <is>
          <t>Effectif inscrit</t>
        </is>
      </c>
      <c r="H35" s="40" t="inlineStr">
        <is>
          <t>TECHNIQUE</t>
        </is>
      </c>
      <c r="I35" s="41" t="inlineStr">
        <is>
          <t>2023ACT_VDEF</t>
        </is>
      </c>
      <c r="J35" s="41" t="n">
        <v>2023</v>
      </c>
      <c r="K35" s="41" t="inlineStr">
        <is>
          <t>NB</t>
        </is>
      </c>
      <c r="L35" s="43" t="n">
        <v>70</v>
      </c>
    </row>
    <row r="36">
      <c r="B36" s="39" t="inlineStr">
        <is>
          <t>MBWAY_PAR</t>
        </is>
      </c>
      <c r="C36" s="40" t="inlineStr">
        <is>
          <t>BAC_MGT</t>
        </is>
      </c>
      <c r="D36" s="40" t="inlineStr">
        <is>
          <t>B1</t>
        </is>
      </c>
      <c r="E36" s="40" t="inlineStr">
        <is>
          <t>INIT</t>
        </is>
      </c>
      <c r="F36" s="40" t="inlineStr">
        <is>
          <t>STA_EFF</t>
        </is>
      </c>
      <c r="G36" s="39" t="inlineStr">
        <is>
          <t>Effectif inscrit</t>
        </is>
      </c>
      <c r="H36" s="40" t="inlineStr">
        <is>
          <t>TECHNIQUE</t>
        </is>
      </c>
      <c r="I36" s="41" t="inlineStr">
        <is>
          <t>2024ACT_VDEF</t>
        </is>
      </c>
      <c r="J36" s="41" t="n">
        <v>2024</v>
      </c>
      <c r="K36" s="41" t="inlineStr">
        <is>
          <t>NB</t>
        </is>
      </c>
      <c r="L36" s="43" t="n">
        <v>74</v>
      </c>
    </row>
    <row r="37">
      <c r="B37" s="39" t="inlineStr">
        <is>
          <t>MBWAY_PAR</t>
        </is>
      </c>
      <c r="C37" s="40" t="inlineStr">
        <is>
          <t>BAC_MGT</t>
        </is>
      </c>
      <c r="D37" s="40" t="inlineStr">
        <is>
          <t>B1</t>
        </is>
      </c>
      <c r="E37" s="40" t="inlineStr">
        <is>
          <t>INIT</t>
        </is>
      </c>
      <c r="F37" s="40" t="inlineStr">
        <is>
          <t>STA_EFF</t>
        </is>
      </c>
      <c r="G37" s="39" t="inlineStr">
        <is>
          <t>Effectif inscrit</t>
        </is>
      </c>
      <c r="H37" s="40" t="inlineStr">
        <is>
          <t>TECHNIQUE</t>
        </is>
      </c>
      <c r="I37" s="41" t="inlineStr">
        <is>
          <t>2025FCST_V4</t>
        </is>
      </c>
      <c r="J37" s="41" t="n">
        <v>2025</v>
      </c>
      <c r="K37" s="41" t="inlineStr">
        <is>
          <t>NB</t>
        </is>
      </c>
      <c r="L37" s="43" t="n">
        <v>78</v>
      </c>
    </row>
    <row r="38">
      <c r="B38" s="39" t="inlineStr">
        <is>
          <t>MBWAY_PAR</t>
        </is>
      </c>
      <c r="C38" s="40" t="inlineStr">
        <is>
          <t>BAC_MGT</t>
        </is>
      </c>
      <c r="D38" s="40" t="inlineStr">
        <is>
          <t>B1</t>
        </is>
      </c>
      <c r="E38" s="40" t="inlineStr">
        <is>
          <t>INIT</t>
        </is>
      </c>
      <c r="F38" s="40" t="inlineStr">
        <is>
          <t>STA_CAND</t>
        </is>
      </c>
      <c r="G38" s="39" t="inlineStr">
        <is>
          <t>Candidatures reçues</t>
        </is>
      </c>
      <c r="H38" s="40" t="inlineStr">
        <is>
          <t>TECHNIQUE</t>
        </is>
      </c>
      <c r="I38" s="41" t="inlineStr">
        <is>
          <t>2023ACT_VDEF</t>
        </is>
      </c>
      <c r="J38" s="41" t="n">
        <v>2023</v>
      </c>
      <c r="K38" s="41" t="inlineStr">
        <is>
          <t>NB</t>
        </is>
      </c>
      <c r="L38" s="43" t="n">
        <v>189</v>
      </c>
    </row>
    <row r="39">
      <c r="B39" s="39" t="inlineStr">
        <is>
          <t>MBWAY_PAR</t>
        </is>
      </c>
      <c r="C39" s="40" t="inlineStr">
        <is>
          <t>BAC_MGT</t>
        </is>
      </c>
      <c r="D39" s="40" t="inlineStr">
        <is>
          <t>B1</t>
        </is>
      </c>
      <c r="E39" s="40" t="inlineStr">
        <is>
          <t>INIT</t>
        </is>
      </c>
      <c r="F39" s="40" t="inlineStr">
        <is>
          <t>STA_CAND</t>
        </is>
      </c>
      <c r="G39" s="39" t="inlineStr">
        <is>
          <t>Candidatures reçues</t>
        </is>
      </c>
      <c r="H39" s="40" t="inlineStr">
        <is>
          <t>TECHNIQUE</t>
        </is>
      </c>
      <c r="I39" s="41" t="inlineStr">
        <is>
          <t>2024ACT_VDEF</t>
        </is>
      </c>
      <c r="J39" s="41" t="n">
        <v>2024</v>
      </c>
      <c r="K39" s="41" t="inlineStr">
        <is>
          <t>NB</t>
        </is>
      </c>
      <c r="L39" s="43" t="n">
        <v>200</v>
      </c>
    </row>
    <row r="40">
      <c r="B40" s="39" t="inlineStr">
        <is>
          <t>MBWAY_PAR</t>
        </is>
      </c>
      <c r="C40" s="40" t="inlineStr">
        <is>
          <t>BAC_MGT</t>
        </is>
      </c>
      <c r="D40" s="40" t="inlineStr">
        <is>
          <t>B1</t>
        </is>
      </c>
      <c r="E40" s="40" t="inlineStr">
        <is>
          <t>INIT</t>
        </is>
      </c>
      <c r="F40" s="40" t="inlineStr">
        <is>
          <t>STA_CAND</t>
        </is>
      </c>
      <c r="G40" s="39" t="inlineStr">
        <is>
          <t>Candidatures reçues</t>
        </is>
      </c>
      <c r="H40" s="40" t="inlineStr">
        <is>
          <t>TECHNIQUE</t>
        </is>
      </c>
      <c r="I40" s="41" t="inlineStr">
        <is>
          <t>2025FCST_V4</t>
        </is>
      </c>
      <c r="J40" s="41" t="n">
        <v>2025</v>
      </c>
      <c r="K40" s="41" t="inlineStr">
        <is>
          <t>NB</t>
        </is>
      </c>
      <c r="L40" s="43" t="n">
        <v>210</v>
      </c>
    </row>
    <row r="41">
      <c r="B41" s="39" t="inlineStr">
        <is>
          <t>MBWAY_PAR</t>
        </is>
      </c>
      <c r="C41" s="40" t="inlineStr">
        <is>
          <t>BAC_MGT</t>
        </is>
      </c>
      <c r="D41" s="40" t="inlineStr">
        <is>
          <t>B1</t>
        </is>
      </c>
      <c r="E41" s="40" t="inlineStr">
        <is>
          <t>INIT</t>
        </is>
      </c>
      <c r="F41" s="40" t="inlineStr">
        <is>
          <t>STA_ADMIS</t>
        </is>
      </c>
      <c r="G41" s="39" t="inlineStr">
        <is>
          <t>Candidats admis</t>
        </is>
      </c>
      <c r="H41" s="40" t="inlineStr">
        <is>
          <t>TECHNIQUE</t>
        </is>
      </c>
      <c r="I41" s="41" t="inlineStr">
        <is>
          <t>2023ACT_VDEF</t>
        </is>
      </c>
      <c r="J41" s="41" t="n">
        <v>2023</v>
      </c>
      <c r="K41" s="41" t="inlineStr">
        <is>
          <t>NB</t>
        </is>
      </c>
      <c r="L41" s="43" t="n">
        <v>117</v>
      </c>
    </row>
    <row r="42">
      <c r="B42" s="39" t="inlineStr">
        <is>
          <t>MBWAY_PAR</t>
        </is>
      </c>
      <c r="C42" s="40" t="inlineStr">
        <is>
          <t>BAC_MGT</t>
        </is>
      </c>
      <c r="D42" s="40" t="inlineStr">
        <is>
          <t>B1</t>
        </is>
      </c>
      <c r="E42" s="40" t="inlineStr">
        <is>
          <t>INIT</t>
        </is>
      </c>
      <c r="F42" s="40" t="inlineStr">
        <is>
          <t>STA_ADMIS</t>
        </is>
      </c>
      <c r="G42" s="39" t="inlineStr">
        <is>
          <t>Candidats admis</t>
        </is>
      </c>
      <c r="H42" s="40" t="inlineStr">
        <is>
          <t>TECHNIQUE</t>
        </is>
      </c>
      <c r="I42" s="41" t="inlineStr">
        <is>
          <t>2024ACT_VDEF</t>
        </is>
      </c>
      <c r="J42" s="41" t="n">
        <v>2024</v>
      </c>
      <c r="K42" s="41" t="inlineStr">
        <is>
          <t>NB</t>
        </is>
      </c>
      <c r="L42" s="43" t="n">
        <v>124</v>
      </c>
    </row>
    <row r="43">
      <c r="B43" s="39" t="inlineStr">
        <is>
          <t>MBWAY_PAR</t>
        </is>
      </c>
      <c r="C43" s="40" t="inlineStr">
        <is>
          <t>BAC_MGT</t>
        </is>
      </c>
      <c r="D43" s="40" t="inlineStr">
        <is>
          <t>B1</t>
        </is>
      </c>
      <c r="E43" s="40" t="inlineStr">
        <is>
          <t>INIT</t>
        </is>
      </c>
      <c r="F43" s="40" t="inlineStr">
        <is>
          <t>STA_ADMIS</t>
        </is>
      </c>
      <c r="G43" s="39" t="inlineStr">
        <is>
          <t>Candidats admis</t>
        </is>
      </c>
      <c r="H43" s="40" t="inlineStr">
        <is>
          <t>TECHNIQUE</t>
        </is>
      </c>
      <c r="I43" s="41" t="inlineStr">
        <is>
          <t>2025FCST_V4</t>
        </is>
      </c>
      <c r="J43" s="41" t="n">
        <v>2025</v>
      </c>
      <c r="K43" s="41" t="inlineStr">
        <is>
          <t>NB</t>
        </is>
      </c>
      <c r="L43" s="43" t="n">
        <v>130</v>
      </c>
    </row>
    <row r="44">
      <c r="B44" s="39" t="inlineStr">
        <is>
          <t>MBWAY_PAR</t>
        </is>
      </c>
      <c r="C44" s="40" t="inlineStr">
        <is>
          <t>BAC_MGT</t>
        </is>
      </c>
      <c r="D44" s="40" t="inlineStr">
        <is>
          <t>B1</t>
        </is>
      </c>
      <c r="E44" s="40" t="inlineStr">
        <is>
          <t>INIT</t>
        </is>
      </c>
      <c r="F44" s="40" t="inlineStr">
        <is>
          <t>STA_NOUV</t>
        </is>
      </c>
      <c r="G44" s="39" t="inlineStr">
        <is>
          <t>Nouveaux inscrits</t>
        </is>
      </c>
      <c r="H44" s="40" t="inlineStr">
        <is>
          <t>TECHNIQUE</t>
        </is>
      </c>
      <c r="I44" s="41" t="inlineStr">
        <is>
          <t>2023ACT_VDEF</t>
        </is>
      </c>
      <c r="J44" s="41" t="n">
        <v>2023</v>
      </c>
      <c r="K44" s="41" t="inlineStr">
        <is>
          <t>NB</t>
        </is>
      </c>
      <c r="L44" s="43" t="n">
        <v>70</v>
      </c>
    </row>
    <row r="45">
      <c r="B45" s="39" t="inlineStr">
        <is>
          <t>MBWAY_PAR</t>
        </is>
      </c>
      <c r="C45" s="40" t="inlineStr">
        <is>
          <t>BAC_MGT</t>
        </is>
      </c>
      <c r="D45" s="40" t="inlineStr">
        <is>
          <t>B1</t>
        </is>
      </c>
      <c r="E45" s="40" t="inlineStr">
        <is>
          <t>INIT</t>
        </is>
      </c>
      <c r="F45" s="40" t="inlineStr">
        <is>
          <t>STA_NOUV</t>
        </is>
      </c>
      <c r="G45" s="39" t="inlineStr">
        <is>
          <t>Nouveaux inscrits</t>
        </is>
      </c>
      <c r="H45" s="40" t="inlineStr">
        <is>
          <t>TECHNIQUE</t>
        </is>
      </c>
      <c r="I45" s="41" t="inlineStr">
        <is>
          <t>2024ACT_VDEF</t>
        </is>
      </c>
      <c r="J45" s="41" t="n">
        <v>2024</v>
      </c>
      <c r="K45" s="41" t="inlineStr">
        <is>
          <t>NB</t>
        </is>
      </c>
      <c r="L45" s="43" t="n">
        <v>74</v>
      </c>
    </row>
    <row r="46">
      <c r="B46" s="39" t="inlineStr">
        <is>
          <t>MBWAY_PAR</t>
        </is>
      </c>
      <c r="C46" s="40" t="inlineStr">
        <is>
          <t>BAC_MGT</t>
        </is>
      </c>
      <c r="D46" s="40" t="inlineStr">
        <is>
          <t>B1</t>
        </is>
      </c>
      <c r="E46" s="40" t="inlineStr">
        <is>
          <t>INIT</t>
        </is>
      </c>
      <c r="F46" s="40" t="inlineStr">
        <is>
          <t>STA_NOUV</t>
        </is>
      </c>
      <c r="G46" s="39" t="inlineStr">
        <is>
          <t>Nouveaux inscrits</t>
        </is>
      </c>
      <c r="H46" s="40" t="inlineStr">
        <is>
          <t>TECHNIQUE</t>
        </is>
      </c>
      <c r="I46" s="41" t="inlineStr">
        <is>
          <t>2025FCST_V4</t>
        </is>
      </c>
      <c r="J46" s="41" t="n">
        <v>2025</v>
      </c>
      <c r="K46" s="41" t="inlineStr">
        <is>
          <t>NB</t>
        </is>
      </c>
      <c r="L46" s="43" t="n">
        <v>78</v>
      </c>
    </row>
    <row r="47">
      <c r="B47" s="39" t="inlineStr">
        <is>
          <t>MBWAY_PAR</t>
        </is>
      </c>
      <c r="C47" s="40" t="inlineStr">
        <is>
          <t>BAC_MGT</t>
        </is>
      </c>
      <c r="D47" s="40" t="inlineStr">
        <is>
          <t>B1</t>
        </is>
      </c>
      <c r="E47" s="40" t="inlineStr">
        <is>
          <t>INIT</t>
        </is>
      </c>
      <c r="F47" s="40" t="inlineStr">
        <is>
          <t>STA_CLASS</t>
        </is>
      </c>
      <c r="G47" s="39" t="inlineStr">
        <is>
          <t>Nombre de classes</t>
        </is>
      </c>
      <c r="H47" s="40" t="inlineStr">
        <is>
          <t>TECHNIQUE</t>
        </is>
      </c>
      <c r="I47" s="41" t="inlineStr">
        <is>
          <t>2023ACT_VDEF</t>
        </is>
      </c>
      <c r="J47" s="41" t="n">
        <v>2023</v>
      </c>
      <c r="K47" s="41" t="inlineStr">
        <is>
          <t>NB</t>
        </is>
      </c>
      <c r="L47" s="43" t="n">
        <v>3</v>
      </c>
    </row>
    <row r="48">
      <c r="B48" s="39" t="inlineStr">
        <is>
          <t>MBWAY_PAR</t>
        </is>
      </c>
      <c r="C48" s="40" t="inlineStr">
        <is>
          <t>BAC_MGT</t>
        </is>
      </c>
      <c r="D48" s="40" t="inlineStr">
        <is>
          <t>B1</t>
        </is>
      </c>
      <c r="E48" s="40" t="inlineStr">
        <is>
          <t>INIT</t>
        </is>
      </c>
      <c r="F48" s="40" t="inlineStr">
        <is>
          <t>STA_CLASS</t>
        </is>
      </c>
      <c r="G48" s="39" t="inlineStr">
        <is>
          <t>Nombre de classes</t>
        </is>
      </c>
      <c r="H48" s="40" t="inlineStr">
        <is>
          <t>TECHNIQUE</t>
        </is>
      </c>
      <c r="I48" s="41" t="inlineStr">
        <is>
          <t>2024ACT_VDEF</t>
        </is>
      </c>
      <c r="J48" s="41" t="n">
        <v>2024</v>
      </c>
      <c r="K48" s="41" t="inlineStr">
        <is>
          <t>NB</t>
        </is>
      </c>
      <c r="L48" s="43" t="n">
        <v>3</v>
      </c>
    </row>
    <row r="49">
      <c r="B49" s="39" t="inlineStr">
        <is>
          <t>MBWAY_PAR</t>
        </is>
      </c>
      <c r="C49" s="40" t="inlineStr">
        <is>
          <t>BAC_MGT</t>
        </is>
      </c>
      <c r="D49" s="40" t="inlineStr">
        <is>
          <t>B1</t>
        </is>
      </c>
      <c r="E49" s="40" t="inlineStr">
        <is>
          <t>INIT</t>
        </is>
      </c>
      <c r="F49" s="40" t="inlineStr">
        <is>
          <t>STA_CLASS</t>
        </is>
      </c>
      <c r="G49" s="39" t="inlineStr">
        <is>
          <t>Nombre de classes</t>
        </is>
      </c>
      <c r="H49" s="40" t="inlineStr">
        <is>
          <t>TECHNIQUE</t>
        </is>
      </c>
      <c r="I49" s="41" t="inlineStr">
        <is>
          <t>2025FCST_V4</t>
        </is>
      </c>
      <c r="J49" s="41" t="n">
        <v>2025</v>
      </c>
      <c r="K49" s="41" t="inlineStr">
        <is>
          <t>NB</t>
        </is>
      </c>
      <c r="L49" s="43" t="n">
        <v>3</v>
      </c>
    </row>
    <row r="50">
      <c r="B50" s="39" t="inlineStr">
        <is>
          <t>MBWAY_PAR</t>
        </is>
      </c>
      <c r="C50" s="40" t="inlineStr">
        <is>
          <t>BAC_MGT</t>
        </is>
      </c>
      <c r="D50" s="40" t="inlineStr">
        <is>
          <t>B1</t>
        </is>
      </c>
      <c r="E50" s="40" t="inlineStr">
        <is>
          <t>INIT</t>
        </is>
      </c>
      <c r="F50" s="40" t="inlineStr">
        <is>
          <t>STA_HEURE</t>
        </is>
      </c>
      <c r="G50" s="39" t="inlineStr">
        <is>
          <t>Heures d'enseignement</t>
        </is>
      </c>
      <c r="H50" s="40" t="inlineStr">
        <is>
          <t>TECHNIQUE</t>
        </is>
      </c>
      <c r="I50" s="41" t="inlineStr">
        <is>
          <t>2023ACT_VDEF</t>
        </is>
      </c>
      <c r="J50" s="41" t="n">
        <v>2023</v>
      </c>
      <c r="K50" s="41" t="inlineStr">
        <is>
          <t>NB</t>
        </is>
      </c>
      <c r="L50" s="43" t="n">
        <v>1620</v>
      </c>
    </row>
    <row r="51">
      <c r="B51" s="39" t="inlineStr">
        <is>
          <t>MBWAY_PAR</t>
        </is>
      </c>
      <c r="C51" s="40" t="inlineStr">
        <is>
          <t>BAC_MGT</t>
        </is>
      </c>
      <c r="D51" s="40" t="inlineStr">
        <is>
          <t>B1</t>
        </is>
      </c>
      <c r="E51" s="40" t="inlineStr">
        <is>
          <t>INIT</t>
        </is>
      </c>
      <c r="F51" s="40" t="inlineStr">
        <is>
          <t>STA_HEURE</t>
        </is>
      </c>
      <c r="G51" s="39" t="inlineStr">
        <is>
          <t>Heures d'enseignement</t>
        </is>
      </c>
      <c r="H51" s="40" t="inlineStr">
        <is>
          <t>TECHNIQUE</t>
        </is>
      </c>
      <c r="I51" s="41" t="inlineStr">
        <is>
          <t>2024ACT_VDEF</t>
        </is>
      </c>
      <c r="J51" s="41" t="n">
        <v>2024</v>
      </c>
      <c r="K51" s="41" t="inlineStr">
        <is>
          <t>NB</t>
        </is>
      </c>
      <c r="L51" s="43" t="n">
        <v>1710</v>
      </c>
    </row>
    <row r="52">
      <c r="B52" s="39" t="inlineStr">
        <is>
          <t>MBWAY_PAR</t>
        </is>
      </c>
      <c r="C52" s="40" t="inlineStr">
        <is>
          <t>BAC_MGT</t>
        </is>
      </c>
      <c r="D52" s="40" t="inlineStr">
        <is>
          <t>B1</t>
        </is>
      </c>
      <c r="E52" s="40" t="inlineStr">
        <is>
          <t>INIT</t>
        </is>
      </c>
      <c r="F52" s="40" t="inlineStr">
        <is>
          <t>STA_HEURE</t>
        </is>
      </c>
      <c r="G52" s="39" t="inlineStr">
        <is>
          <t>Heures d'enseignement</t>
        </is>
      </c>
      <c r="H52" s="40" t="inlineStr">
        <is>
          <t>TECHNIQUE</t>
        </is>
      </c>
      <c r="I52" s="41" t="inlineStr">
        <is>
          <t>2025FCST_V4</t>
        </is>
      </c>
      <c r="J52" s="41" t="n">
        <v>2025</v>
      </c>
      <c r="K52" s="41" t="inlineStr">
        <is>
          <t>NB</t>
        </is>
      </c>
      <c r="L52" s="43" t="n">
        <v>1800</v>
      </c>
    </row>
    <row r="53">
      <c r="B53" s="39" t="inlineStr">
        <is>
          <t>MBWAY_PAR</t>
        </is>
      </c>
      <c r="C53" s="40" t="inlineStr">
        <is>
          <t>BAC_MGT</t>
        </is>
      </c>
      <c r="D53" s="40" t="inlineStr">
        <is>
          <t>B1</t>
        </is>
      </c>
      <c r="E53" s="40" t="inlineStr">
        <is>
          <t>INIT</t>
        </is>
      </c>
      <c r="F53" s="40" t="inlineStr">
        <is>
          <t>STA_CAPA</t>
        </is>
      </c>
      <c r="G53" s="39" t="inlineStr">
        <is>
          <t>Capacité par classe</t>
        </is>
      </c>
      <c r="H53" s="40" t="inlineStr">
        <is>
          <t>TECHNIQUE</t>
        </is>
      </c>
      <c r="I53" s="41" t="inlineStr">
        <is>
          <t>2023ACT_VDEF</t>
        </is>
      </c>
      <c r="J53" s="41" t="n">
        <v>2023</v>
      </c>
      <c r="K53" s="41" t="inlineStr">
        <is>
          <t>NB</t>
        </is>
      </c>
      <c r="L53" s="43" t="n">
        <v>32</v>
      </c>
    </row>
    <row r="54">
      <c r="B54" s="39" t="inlineStr">
        <is>
          <t>MBWAY_PAR</t>
        </is>
      </c>
      <c r="C54" s="40" t="inlineStr">
        <is>
          <t>BAC_MGT</t>
        </is>
      </c>
      <c r="D54" s="40" t="inlineStr">
        <is>
          <t>B1</t>
        </is>
      </c>
      <c r="E54" s="40" t="inlineStr">
        <is>
          <t>INIT</t>
        </is>
      </c>
      <c r="F54" s="40" t="inlineStr">
        <is>
          <t>STA_CAPA</t>
        </is>
      </c>
      <c r="G54" s="39" t="inlineStr">
        <is>
          <t>Capacité par classe</t>
        </is>
      </c>
      <c r="H54" s="40" t="inlineStr">
        <is>
          <t>TECHNIQUE</t>
        </is>
      </c>
      <c r="I54" s="41" t="inlineStr">
        <is>
          <t>2024ACT_VDEF</t>
        </is>
      </c>
      <c r="J54" s="41" t="n">
        <v>2024</v>
      </c>
      <c r="K54" s="41" t="inlineStr">
        <is>
          <t>NB</t>
        </is>
      </c>
      <c r="L54" s="43" t="n">
        <v>32</v>
      </c>
    </row>
    <row r="55">
      <c r="B55" s="39" t="inlineStr">
        <is>
          <t>MBWAY_PAR</t>
        </is>
      </c>
      <c r="C55" s="40" t="inlineStr">
        <is>
          <t>BAC_MGT</t>
        </is>
      </c>
      <c r="D55" s="40" t="inlineStr">
        <is>
          <t>B1</t>
        </is>
      </c>
      <c r="E55" s="40" t="inlineStr">
        <is>
          <t>INIT</t>
        </is>
      </c>
      <c r="F55" s="40" t="inlineStr">
        <is>
          <t>STA_CAPA</t>
        </is>
      </c>
      <c r="G55" s="39" t="inlineStr">
        <is>
          <t>Capacité par classe</t>
        </is>
      </c>
      <c r="H55" s="40" t="inlineStr">
        <is>
          <t>TECHNIQUE</t>
        </is>
      </c>
      <c r="I55" s="41" t="inlineStr">
        <is>
          <t>2025FCST_V4</t>
        </is>
      </c>
      <c r="J55" s="41" t="n">
        <v>2025</v>
      </c>
      <c r="K55" s="41" t="inlineStr">
        <is>
          <t>NB</t>
        </is>
      </c>
      <c r="L55" s="43" t="n">
        <v>32</v>
      </c>
    </row>
    <row r="56">
      <c r="B56" s="39" t="inlineStr">
        <is>
          <t>MBWAY_PAR</t>
        </is>
      </c>
      <c r="C56" s="40" t="inlineStr">
        <is>
          <t>BAC_MGT</t>
        </is>
      </c>
      <c r="D56" s="40" t="inlineStr">
        <is>
          <t>B1</t>
        </is>
      </c>
      <c r="E56" s="40" t="inlineStr">
        <is>
          <t>INIT</t>
        </is>
      </c>
      <c r="F56" s="40" t="inlineStr">
        <is>
          <t>DRV_CONV</t>
        </is>
      </c>
      <c r="G56" s="39" t="inlineStr">
        <is>
          <t>Taux de conversion candidat→inscrit</t>
        </is>
      </c>
      <c r="H56" s="40" t="inlineStr">
        <is>
          <t>TECHNIQUE</t>
        </is>
      </c>
      <c r="I56" s="41" t="inlineStr">
        <is>
          <t>2023ACT_VDEF</t>
        </is>
      </c>
      <c r="J56" s="41" t="n">
        <v>2023</v>
      </c>
      <c r="K56" s="41" t="inlineStr">
        <is>
          <t>PCT</t>
        </is>
      </c>
      <c r="L56" s="44" t="n">
        <v>0.3714</v>
      </c>
    </row>
    <row r="57">
      <c r="B57" s="39" t="inlineStr">
        <is>
          <t>MBWAY_PAR</t>
        </is>
      </c>
      <c r="C57" s="40" t="inlineStr">
        <is>
          <t>BAC_MGT</t>
        </is>
      </c>
      <c r="D57" s="40" t="inlineStr">
        <is>
          <t>B1</t>
        </is>
      </c>
      <c r="E57" s="40" t="inlineStr">
        <is>
          <t>INIT</t>
        </is>
      </c>
      <c r="F57" s="40" t="inlineStr">
        <is>
          <t>DRV_CONV</t>
        </is>
      </c>
      <c r="G57" s="39" t="inlineStr">
        <is>
          <t>Taux de conversion candidat→inscrit</t>
        </is>
      </c>
      <c r="H57" s="40" t="inlineStr">
        <is>
          <t>TECHNIQUE</t>
        </is>
      </c>
      <c r="I57" s="41" t="inlineStr">
        <is>
          <t>2024ACT_VDEF</t>
        </is>
      </c>
      <c r="J57" s="41" t="n">
        <v>2024</v>
      </c>
      <c r="K57" s="41" t="inlineStr">
        <is>
          <t>PCT</t>
        </is>
      </c>
      <c r="L57" s="44" t="n">
        <v>0.3714</v>
      </c>
    </row>
    <row r="58">
      <c r="B58" s="39" t="inlineStr">
        <is>
          <t>MBWAY_PAR</t>
        </is>
      </c>
      <c r="C58" s="40" t="inlineStr">
        <is>
          <t>BAC_MGT</t>
        </is>
      </c>
      <c r="D58" s="40" t="inlineStr">
        <is>
          <t>B1</t>
        </is>
      </c>
      <c r="E58" s="40" t="inlineStr">
        <is>
          <t>INIT</t>
        </is>
      </c>
      <c r="F58" s="40" t="inlineStr">
        <is>
          <t>DRV_CONV</t>
        </is>
      </c>
      <c r="G58" s="39" t="inlineStr">
        <is>
          <t>Taux de conversion candidat→inscrit</t>
        </is>
      </c>
      <c r="H58" s="40" t="inlineStr">
        <is>
          <t>TECHNIQUE</t>
        </is>
      </c>
      <c r="I58" s="41" t="inlineStr">
        <is>
          <t>2025FCST_V4</t>
        </is>
      </c>
      <c r="J58" s="41" t="n">
        <v>2025</v>
      </c>
      <c r="K58" s="41" t="inlineStr">
        <is>
          <t>PCT</t>
        </is>
      </c>
      <c r="L58" s="44" t="n">
        <v>0.3714</v>
      </c>
    </row>
    <row r="59">
      <c r="B59" s="39" t="inlineStr">
        <is>
          <t>MBWAY_PAR</t>
        </is>
      </c>
      <c r="C59" s="40" t="inlineStr">
        <is>
          <t>BAC_MGT</t>
        </is>
      </c>
      <c r="D59" s="40" t="inlineStr">
        <is>
          <t>B1</t>
        </is>
      </c>
      <c r="E59" s="40" t="inlineStr">
        <is>
          <t>INIT</t>
        </is>
      </c>
      <c r="F59" s="40" t="inlineStr">
        <is>
          <t>PRX_TARIF</t>
        </is>
      </c>
      <c r="G59" s="39" t="inlineStr">
        <is>
          <t>Tarif moyen scolarité</t>
        </is>
      </c>
      <c r="H59" s="40" t="inlineStr">
        <is>
          <t>TECHNIQUE</t>
        </is>
      </c>
      <c r="I59" s="41" t="inlineStr">
        <is>
          <t>2023ACT_VDEF</t>
        </is>
      </c>
      <c r="J59" s="41" t="n">
        <v>2023</v>
      </c>
      <c r="K59" s="41" t="inlineStr">
        <is>
          <t>EUR</t>
        </is>
      </c>
      <c r="L59" s="42" t="n">
        <v>8500</v>
      </c>
    </row>
    <row r="60">
      <c r="B60" s="39" t="inlineStr">
        <is>
          <t>MBWAY_PAR</t>
        </is>
      </c>
      <c r="C60" s="40" t="inlineStr">
        <is>
          <t>BAC_MGT</t>
        </is>
      </c>
      <c r="D60" s="40" t="inlineStr">
        <is>
          <t>B1</t>
        </is>
      </c>
      <c r="E60" s="40" t="inlineStr">
        <is>
          <t>INIT</t>
        </is>
      </c>
      <c r="F60" s="40" t="inlineStr">
        <is>
          <t>PRX_TARIF</t>
        </is>
      </c>
      <c r="G60" s="39" t="inlineStr">
        <is>
          <t>Tarif moyen scolarité</t>
        </is>
      </c>
      <c r="H60" s="40" t="inlineStr">
        <is>
          <t>TECHNIQUE</t>
        </is>
      </c>
      <c r="I60" s="41" t="inlineStr">
        <is>
          <t>2024ACT_VDEF</t>
        </is>
      </c>
      <c r="J60" s="41" t="n">
        <v>2024</v>
      </c>
      <c r="K60" s="41" t="inlineStr">
        <is>
          <t>EUR</t>
        </is>
      </c>
      <c r="L60" s="42" t="n">
        <v>8500</v>
      </c>
    </row>
    <row r="61">
      <c r="B61" s="39" t="inlineStr">
        <is>
          <t>MBWAY_PAR</t>
        </is>
      </c>
      <c r="C61" s="40" t="inlineStr">
        <is>
          <t>BAC_MGT</t>
        </is>
      </c>
      <c r="D61" s="40" t="inlineStr">
        <is>
          <t>B1</t>
        </is>
      </c>
      <c r="E61" s="40" t="inlineStr">
        <is>
          <t>INIT</t>
        </is>
      </c>
      <c r="F61" s="40" t="inlineStr">
        <is>
          <t>PRX_TARIF</t>
        </is>
      </c>
      <c r="G61" s="39" t="inlineStr">
        <is>
          <t>Tarif moyen scolarité</t>
        </is>
      </c>
      <c r="H61" s="40" t="inlineStr">
        <is>
          <t>TECHNIQUE</t>
        </is>
      </c>
      <c r="I61" s="41" t="inlineStr">
        <is>
          <t>2025FCST_V4</t>
        </is>
      </c>
      <c r="J61" s="41" t="n">
        <v>2025</v>
      </c>
      <c r="K61" s="41" t="inlineStr">
        <is>
          <t>EUR</t>
        </is>
      </c>
      <c r="L61" s="42" t="n">
        <v>8500</v>
      </c>
    </row>
    <row r="62">
      <c r="B62" s="39" t="inlineStr">
        <is>
          <t>MBWAY_PAR</t>
        </is>
      </c>
      <c r="C62" s="40" t="inlineStr">
        <is>
          <t>BAC_MGT</t>
        </is>
      </c>
      <c r="D62" s="40" t="inlineStr">
        <is>
          <t>B1</t>
        </is>
      </c>
      <c r="E62" s="40" t="inlineStr">
        <is>
          <t>INIT</t>
        </is>
      </c>
      <c r="F62" s="40" t="inlineStr">
        <is>
          <t>CAC_LEAD</t>
        </is>
      </c>
      <c r="G62" s="39" t="inlineStr">
        <is>
          <t>Coût d'acquisition par lead</t>
        </is>
      </c>
      <c r="H62" s="40" t="inlineStr">
        <is>
          <t>TECHNIQUE</t>
        </is>
      </c>
      <c r="I62" s="41" t="inlineStr">
        <is>
          <t>2023ACT_VDEF</t>
        </is>
      </c>
      <c r="J62" s="41" t="n">
        <v>2023</v>
      </c>
      <c r="K62" s="41" t="inlineStr">
        <is>
          <t>EUR</t>
        </is>
      </c>
      <c r="L62" s="42" t="n">
        <v>320</v>
      </c>
    </row>
    <row r="63">
      <c r="B63" s="39" t="inlineStr">
        <is>
          <t>MBWAY_PAR</t>
        </is>
      </c>
      <c r="C63" s="40" t="inlineStr">
        <is>
          <t>BAC_MGT</t>
        </is>
      </c>
      <c r="D63" s="40" t="inlineStr">
        <is>
          <t>B1</t>
        </is>
      </c>
      <c r="E63" s="40" t="inlineStr">
        <is>
          <t>INIT</t>
        </is>
      </c>
      <c r="F63" s="40" t="inlineStr">
        <is>
          <t>CAC_LEAD</t>
        </is>
      </c>
      <c r="G63" s="39" t="inlineStr">
        <is>
          <t>Coût d'acquisition par lead</t>
        </is>
      </c>
      <c r="H63" s="40" t="inlineStr">
        <is>
          <t>TECHNIQUE</t>
        </is>
      </c>
      <c r="I63" s="41" t="inlineStr">
        <is>
          <t>2024ACT_VDEF</t>
        </is>
      </c>
      <c r="J63" s="41" t="n">
        <v>2024</v>
      </c>
      <c r="K63" s="41" t="inlineStr">
        <is>
          <t>EUR</t>
        </is>
      </c>
      <c r="L63" s="42" t="n">
        <v>320</v>
      </c>
    </row>
    <row r="64">
      <c r="B64" s="39" t="inlineStr">
        <is>
          <t>MBWAY_PAR</t>
        </is>
      </c>
      <c r="C64" s="40" t="inlineStr">
        <is>
          <t>BAC_MGT</t>
        </is>
      </c>
      <c r="D64" s="40" t="inlineStr">
        <is>
          <t>B1</t>
        </is>
      </c>
      <c r="E64" s="40" t="inlineStr">
        <is>
          <t>INIT</t>
        </is>
      </c>
      <c r="F64" s="40" t="inlineStr">
        <is>
          <t>CAC_LEAD</t>
        </is>
      </c>
      <c r="G64" s="39" t="inlineStr">
        <is>
          <t>Coût d'acquisition par lead</t>
        </is>
      </c>
      <c r="H64" s="40" t="inlineStr">
        <is>
          <t>TECHNIQUE</t>
        </is>
      </c>
      <c r="I64" s="41" t="inlineStr">
        <is>
          <t>2025FCST_V4</t>
        </is>
      </c>
      <c r="J64" s="41" t="n">
        <v>2025</v>
      </c>
      <c r="K64" s="41" t="inlineStr">
        <is>
          <t>EUR</t>
        </is>
      </c>
      <c r="L64" s="42" t="n">
        <v>320</v>
      </c>
    </row>
    <row r="65">
      <c r="B65" s="39" t="inlineStr">
        <is>
          <t>MBWAY_PAR</t>
        </is>
      </c>
      <c r="C65" s="40" t="inlineStr">
        <is>
          <t>BAC_MGT</t>
        </is>
      </c>
      <c r="D65" s="40" t="inlineStr">
        <is>
          <t>B2</t>
        </is>
      </c>
      <c r="E65" s="40" t="inlineStr">
        <is>
          <t>ALT</t>
        </is>
      </c>
      <c r="F65" s="40" t="inlineStr">
        <is>
          <t>706100</t>
        </is>
      </c>
      <c r="G65" s="39" t="inlineStr">
        <is>
          <t>Droits de scolarité</t>
        </is>
      </c>
      <c r="H65" s="40" t="inlineStr">
        <is>
          <t>COMPTABLE</t>
        </is>
      </c>
      <c r="I65" s="41" t="inlineStr">
        <is>
          <t>2023ACT_VDEF</t>
        </is>
      </c>
      <c r="J65" s="41" t="n">
        <v>2023</v>
      </c>
      <c r="K65" s="41" t="inlineStr">
        <is>
          <t>EUR</t>
        </is>
      </c>
      <c r="L65" s="42" t="n">
        <v>475200</v>
      </c>
    </row>
    <row r="66">
      <c r="B66" s="39" t="inlineStr">
        <is>
          <t>MBWAY_PAR</t>
        </is>
      </c>
      <c r="C66" s="40" t="inlineStr">
        <is>
          <t>BAC_MGT</t>
        </is>
      </c>
      <c r="D66" s="40" t="inlineStr">
        <is>
          <t>B2</t>
        </is>
      </c>
      <c r="E66" s="40" t="inlineStr">
        <is>
          <t>ALT</t>
        </is>
      </c>
      <c r="F66" s="40" t="inlineStr">
        <is>
          <t>706100</t>
        </is>
      </c>
      <c r="G66" s="39" t="inlineStr">
        <is>
          <t>Droits de scolarité</t>
        </is>
      </c>
      <c r="H66" s="40" t="inlineStr">
        <is>
          <t>COMPTABLE</t>
        </is>
      </c>
      <c r="I66" s="41" t="inlineStr">
        <is>
          <t>2024ACT_VDEF</t>
        </is>
      </c>
      <c r="J66" s="41" t="n">
        <v>2024</v>
      </c>
      <c r="K66" s="41" t="inlineStr">
        <is>
          <t>EUR</t>
        </is>
      </c>
      <c r="L66" s="42" t="n">
        <v>501600</v>
      </c>
    </row>
    <row r="67">
      <c r="B67" s="39" t="inlineStr">
        <is>
          <t>MBWAY_PAR</t>
        </is>
      </c>
      <c r="C67" s="40" t="inlineStr">
        <is>
          <t>BAC_MGT</t>
        </is>
      </c>
      <c r="D67" s="40" t="inlineStr">
        <is>
          <t>B2</t>
        </is>
      </c>
      <c r="E67" s="40" t="inlineStr">
        <is>
          <t>ALT</t>
        </is>
      </c>
      <c r="F67" s="40" t="inlineStr">
        <is>
          <t>706100</t>
        </is>
      </c>
      <c r="G67" s="39" t="inlineStr">
        <is>
          <t>Droits de scolarité</t>
        </is>
      </c>
      <c r="H67" s="40" t="inlineStr">
        <is>
          <t>COMPTABLE</t>
        </is>
      </c>
      <c r="I67" s="41" t="inlineStr">
        <is>
          <t>2025FCST_V4</t>
        </is>
      </c>
      <c r="J67" s="41" t="n">
        <v>2025</v>
      </c>
      <c r="K67" s="41" t="inlineStr">
        <is>
          <t>EUR</t>
        </is>
      </c>
      <c r="L67" s="42" t="n">
        <v>528000</v>
      </c>
    </row>
    <row r="68">
      <c r="B68" s="39" t="inlineStr">
        <is>
          <t>MBWAY_PAR</t>
        </is>
      </c>
      <c r="C68" s="40" t="inlineStr">
        <is>
          <t>BAC_MGT</t>
        </is>
      </c>
      <c r="D68" s="40" t="inlineStr">
        <is>
          <t>B2</t>
        </is>
      </c>
      <c r="E68" s="40" t="inlineStr">
        <is>
          <t>ALT</t>
        </is>
      </c>
      <c r="F68" s="40" t="inlineStr">
        <is>
          <t>604100</t>
        </is>
      </c>
      <c r="G68" s="39" t="inlineStr">
        <is>
          <t>Vacations &amp; sous-traitance pédagogique</t>
        </is>
      </c>
      <c r="H68" s="40" t="inlineStr">
        <is>
          <t>COMPTABLE</t>
        </is>
      </c>
      <c r="I68" s="41" t="inlineStr">
        <is>
          <t>2023ACT_VDEF</t>
        </is>
      </c>
      <c r="J68" s="41" t="n">
        <v>2023</v>
      </c>
      <c r="K68" s="41" t="inlineStr">
        <is>
          <t>EUR</t>
        </is>
      </c>
      <c r="L68" s="42" t="n">
        <v>87696</v>
      </c>
    </row>
    <row r="69">
      <c r="B69" s="39" t="inlineStr">
        <is>
          <t>MBWAY_PAR</t>
        </is>
      </c>
      <c r="C69" s="40" t="inlineStr">
        <is>
          <t>BAC_MGT</t>
        </is>
      </c>
      <c r="D69" s="40" t="inlineStr">
        <is>
          <t>B2</t>
        </is>
      </c>
      <c r="E69" s="40" t="inlineStr">
        <is>
          <t>ALT</t>
        </is>
      </c>
      <c r="F69" s="40" t="inlineStr">
        <is>
          <t>604100</t>
        </is>
      </c>
      <c r="G69" s="39" t="inlineStr">
        <is>
          <t>Vacations &amp; sous-traitance pédagogique</t>
        </is>
      </c>
      <c r="H69" s="40" t="inlineStr">
        <is>
          <t>COMPTABLE</t>
        </is>
      </c>
      <c r="I69" s="41" t="inlineStr">
        <is>
          <t>2024ACT_VDEF</t>
        </is>
      </c>
      <c r="J69" s="41" t="n">
        <v>2024</v>
      </c>
      <c r="K69" s="41" t="inlineStr">
        <is>
          <t>EUR</t>
        </is>
      </c>
      <c r="L69" s="42" t="n">
        <v>92568</v>
      </c>
    </row>
    <row r="70">
      <c r="B70" s="39" t="inlineStr">
        <is>
          <t>MBWAY_PAR</t>
        </is>
      </c>
      <c r="C70" s="40" t="inlineStr">
        <is>
          <t>BAC_MGT</t>
        </is>
      </c>
      <c r="D70" s="40" t="inlineStr">
        <is>
          <t>B2</t>
        </is>
      </c>
      <c r="E70" s="40" t="inlineStr">
        <is>
          <t>ALT</t>
        </is>
      </c>
      <c r="F70" s="40" t="inlineStr">
        <is>
          <t>604100</t>
        </is>
      </c>
      <c r="G70" s="39" t="inlineStr">
        <is>
          <t>Vacations &amp; sous-traitance pédagogique</t>
        </is>
      </c>
      <c r="H70" s="40" t="inlineStr">
        <is>
          <t>COMPTABLE</t>
        </is>
      </c>
      <c r="I70" s="41" t="inlineStr">
        <is>
          <t>2025FCST_V4</t>
        </is>
      </c>
      <c r="J70" s="41" t="n">
        <v>2025</v>
      </c>
      <c r="K70" s="41" t="inlineStr">
        <is>
          <t>EUR</t>
        </is>
      </c>
      <c r="L70" s="42" t="n">
        <v>97440</v>
      </c>
    </row>
    <row r="71">
      <c r="B71" s="39" t="inlineStr">
        <is>
          <t>MBWAY_PAR</t>
        </is>
      </c>
      <c r="C71" s="40" t="inlineStr">
        <is>
          <t>BAC_MGT</t>
        </is>
      </c>
      <c r="D71" s="40" t="inlineStr">
        <is>
          <t>B2</t>
        </is>
      </c>
      <c r="E71" s="40" t="inlineStr">
        <is>
          <t>ALT</t>
        </is>
      </c>
      <c r="F71" s="40" t="inlineStr">
        <is>
          <t>606300</t>
        </is>
      </c>
      <c r="G71" s="39" t="inlineStr">
        <is>
          <t>Fournitures &amp; ressources pédagogiques</t>
        </is>
      </c>
      <c r="H71" s="40" t="inlineStr">
        <is>
          <t>COMPTABLE</t>
        </is>
      </c>
      <c r="I71" s="41" t="inlineStr">
        <is>
          <t>2023ACT_VDEF</t>
        </is>
      </c>
      <c r="J71" s="41" t="n">
        <v>2023</v>
      </c>
      <c r="K71" s="41" t="inlineStr">
        <is>
          <t>EUR</t>
        </is>
      </c>
      <c r="L71" s="42" t="n">
        <v>23760</v>
      </c>
    </row>
    <row r="72">
      <c r="B72" s="39" t="inlineStr">
        <is>
          <t>MBWAY_PAR</t>
        </is>
      </c>
      <c r="C72" s="40" t="inlineStr">
        <is>
          <t>BAC_MGT</t>
        </is>
      </c>
      <c r="D72" s="40" t="inlineStr">
        <is>
          <t>B2</t>
        </is>
      </c>
      <c r="E72" s="40" t="inlineStr">
        <is>
          <t>ALT</t>
        </is>
      </c>
      <c r="F72" s="40" t="inlineStr">
        <is>
          <t>606300</t>
        </is>
      </c>
      <c r="G72" s="39" t="inlineStr">
        <is>
          <t>Fournitures &amp; ressources pédagogiques</t>
        </is>
      </c>
      <c r="H72" s="40" t="inlineStr">
        <is>
          <t>COMPTABLE</t>
        </is>
      </c>
      <c r="I72" s="41" t="inlineStr">
        <is>
          <t>2024ACT_VDEF</t>
        </is>
      </c>
      <c r="J72" s="41" t="n">
        <v>2024</v>
      </c>
      <c r="K72" s="41" t="inlineStr">
        <is>
          <t>EUR</t>
        </is>
      </c>
      <c r="L72" s="42" t="n">
        <v>25080</v>
      </c>
    </row>
    <row r="73">
      <c r="B73" s="39" t="inlineStr">
        <is>
          <t>MBWAY_PAR</t>
        </is>
      </c>
      <c r="C73" s="40" t="inlineStr">
        <is>
          <t>BAC_MGT</t>
        </is>
      </c>
      <c r="D73" s="40" t="inlineStr">
        <is>
          <t>B2</t>
        </is>
      </c>
      <c r="E73" s="40" t="inlineStr">
        <is>
          <t>ALT</t>
        </is>
      </c>
      <c r="F73" s="40" t="inlineStr">
        <is>
          <t>606300</t>
        </is>
      </c>
      <c r="G73" s="39" t="inlineStr">
        <is>
          <t>Fournitures &amp; ressources pédagogiques</t>
        </is>
      </c>
      <c r="H73" s="40" t="inlineStr">
        <is>
          <t>COMPTABLE</t>
        </is>
      </c>
      <c r="I73" s="41" t="inlineStr">
        <is>
          <t>2025FCST_V4</t>
        </is>
      </c>
      <c r="J73" s="41" t="n">
        <v>2025</v>
      </c>
      <c r="K73" s="41" t="inlineStr">
        <is>
          <t>EUR</t>
        </is>
      </c>
      <c r="L73" s="42" t="n">
        <v>26400</v>
      </c>
    </row>
    <row r="74">
      <c r="B74" s="39" t="inlineStr">
        <is>
          <t>MBWAY_PAR</t>
        </is>
      </c>
      <c r="C74" s="40" t="inlineStr">
        <is>
          <t>BAC_MGT</t>
        </is>
      </c>
      <c r="D74" s="40" t="inlineStr">
        <is>
          <t>B2</t>
        </is>
      </c>
      <c r="E74" s="40" t="inlineStr">
        <is>
          <t>ALT</t>
        </is>
      </c>
      <c r="F74" s="40" t="inlineStr">
        <is>
          <t>613200</t>
        </is>
      </c>
      <c r="G74" s="39" t="inlineStr">
        <is>
          <t>Locations immobilières (loyers)</t>
        </is>
      </c>
      <c r="H74" s="40" t="inlineStr">
        <is>
          <t>COMPTABLE</t>
        </is>
      </c>
      <c r="I74" s="41" t="inlineStr">
        <is>
          <t>2023ACT_VDEF</t>
        </is>
      </c>
      <c r="J74" s="41" t="n">
        <v>2023</v>
      </c>
      <c r="K74" s="41" t="inlineStr">
        <is>
          <t>EUR</t>
        </is>
      </c>
      <c r="L74" s="42" t="n">
        <v>60975</v>
      </c>
    </row>
    <row r="75">
      <c r="B75" s="39" t="inlineStr">
        <is>
          <t>MBWAY_PAR</t>
        </is>
      </c>
      <c r="C75" s="40" t="inlineStr">
        <is>
          <t>BAC_MGT</t>
        </is>
      </c>
      <c r="D75" s="40" t="inlineStr">
        <is>
          <t>B2</t>
        </is>
      </c>
      <c r="E75" s="40" t="inlineStr">
        <is>
          <t>ALT</t>
        </is>
      </c>
      <c r="F75" s="40" t="inlineStr">
        <is>
          <t>613200</t>
        </is>
      </c>
      <c r="G75" s="39" t="inlineStr">
        <is>
          <t>Locations immobilières (loyers)</t>
        </is>
      </c>
      <c r="H75" s="40" t="inlineStr">
        <is>
          <t>COMPTABLE</t>
        </is>
      </c>
      <c r="I75" s="41" t="inlineStr">
        <is>
          <t>2024ACT_VDEF</t>
        </is>
      </c>
      <c r="J75" s="41" t="n">
        <v>2024</v>
      </c>
      <c r="K75" s="41" t="inlineStr">
        <is>
          <t>EUR</t>
        </is>
      </c>
      <c r="L75" s="42" t="n">
        <v>64362</v>
      </c>
    </row>
    <row r="76">
      <c r="B76" s="39" t="inlineStr">
        <is>
          <t>MBWAY_PAR</t>
        </is>
      </c>
      <c r="C76" s="40" t="inlineStr">
        <is>
          <t>BAC_MGT</t>
        </is>
      </c>
      <c r="D76" s="40" t="inlineStr">
        <is>
          <t>B2</t>
        </is>
      </c>
      <c r="E76" s="40" t="inlineStr">
        <is>
          <t>ALT</t>
        </is>
      </c>
      <c r="F76" s="40" t="inlineStr">
        <is>
          <t>613200</t>
        </is>
      </c>
      <c r="G76" s="39" t="inlineStr">
        <is>
          <t>Locations immobilières (loyers)</t>
        </is>
      </c>
      <c r="H76" s="40" t="inlineStr">
        <is>
          <t>COMPTABLE</t>
        </is>
      </c>
      <c r="I76" s="41" t="inlineStr">
        <is>
          <t>2025FCST_V4</t>
        </is>
      </c>
      <c r="J76" s="41" t="n">
        <v>2025</v>
      </c>
      <c r="K76" s="41" t="inlineStr">
        <is>
          <t>EUR</t>
        </is>
      </c>
      <c r="L76" s="42" t="n">
        <v>67750</v>
      </c>
    </row>
    <row r="77">
      <c r="B77" s="39" t="inlineStr">
        <is>
          <t>MBWAY_PAR</t>
        </is>
      </c>
      <c r="C77" s="40" t="inlineStr">
        <is>
          <t>BAC_MGT</t>
        </is>
      </c>
      <c r="D77" s="40" t="inlineStr">
        <is>
          <t>B2</t>
        </is>
      </c>
      <c r="E77" s="40" t="inlineStr">
        <is>
          <t>ALT</t>
        </is>
      </c>
      <c r="F77" s="40" t="inlineStr">
        <is>
          <t>641100</t>
        </is>
      </c>
      <c r="G77" s="39" t="inlineStr">
        <is>
          <t>Rémunérations du personnel permanent</t>
        </is>
      </c>
      <c r="H77" s="40" t="inlineStr">
        <is>
          <t>COMPTABLE</t>
        </is>
      </c>
      <c r="I77" s="41" t="inlineStr">
        <is>
          <t>2023ACT_VDEF</t>
        </is>
      </c>
      <c r="J77" s="41" t="n">
        <v>2023</v>
      </c>
      <c r="K77" s="41" t="inlineStr">
        <is>
          <t>EUR</t>
        </is>
      </c>
      <c r="L77" s="42" t="n">
        <v>143550</v>
      </c>
    </row>
    <row r="78">
      <c r="B78" s="39" t="inlineStr">
        <is>
          <t>MBWAY_PAR</t>
        </is>
      </c>
      <c r="C78" s="40" t="inlineStr">
        <is>
          <t>BAC_MGT</t>
        </is>
      </c>
      <c r="D78" s="40" t="inlineStr">
        <is>
          <t>B2</t>
        </is>
      </c>
      <c r="E78" s="40" t="inlineStr">
        <is>
          <t>ALT</t>
        </is>
      </c>
      <c r="F78" s="40" t="inlineStr">
        <is>
          <t>641100</t>
        </is>
      </c>
      <c r="G78" s="39" t="inlineStr">
        <is>
          <t>Rémunérations du personnel permanent</t>
        </is>
      </c>
      <c r="H78" s="40" t="inlineStr">
        <is>
          <t>COMPTABLE</t>
        </is>
      </c>
      <c r="I78" s="41" t="inlineStr">
        <is>
          <t>2024ACT_VDEF</t>
        </is>
      </c>
      <c r="J78" s="41" t="n">
        <v>2024</v>
      </c>
      <c r="K78" s="41" t="inlineStr">
        <is>
          <t>EUR</t>
        </is>
      </c>
      <c r="L78" s="42" t="n">
        <v>151525</v>
      </c>
    </row>
    <row r="79">
      <c r="B79" s="39" t="inlineStr">
        <is>
          <t>MBWAY_PAR</t>
        </is>
      </c>
      <c r="C79" s="40" t="inlineStr">
        <is>
          <t>BAC_MGT</t>
        </is>
      </c>
      <c r="D79" s="40" t="inlineStr">
        <is>
          <t>B2</t>
        </is>
      </c>
      <c r="E79" s="40" t="inlineStr">
        <is>
          <t>ALT</t>
        </is>
      </c>
      <c r="F79" s="40" t="inlineStr">
        <is>
          <t>641100</t>
        </is>
      </c>
      <c r="G79" s="39" t="inlineStr">
        <is>
          <t>Rémunérations du personnel permanent</t>
        </is>
      </c>
      <c r="H79" s="40" t="inlineStr">
        <is>
          <t>COMPTABLE</t>
        </is>
      </c>
      <c r="I79" s="41" t="inlineStr">
        <is>
          <t>2025FCST_V4</t>
        </is>
      </c>
      <c r="J79" s="41" t="n">
        <v>2025</v>
      </c>
      <c r="K79" s="41" t="inlineStr">
        <is>
          <t>EUR</t>
        </is>
      </c>
      <c r="L79" s="42" t="n">
        <v>159500</v>
      </c>
    </row>
    <row r="80">
      <c r="B80" s="39" t="inlineStr">
        <is>
          <t>MBWAY_PAR</t>
        </is>
      </c>
      <c r="C80" s="40" t="inlineStr">
        <is>
          <t>BAC_MGT</t>
        </is>
      </c>
      <c r="D80" s="40" t="inlineStr">
        <is>
          <t>B2</t>
        </is>
      </c>
      <c r="E80" s="40" t="inlineStr">
        <is>
          <t>ALT</t>
        </is>
      </c>
      <c r="F80" s="40" t="inlineStr">
        <is>
          <t>622600</t>
        </is>
      </c>
      <c r="G80" s="39" t="inlineStr">
        <is>
          <t>Honoraires &amp; frais de siège (structure groupe)</t>
        </is>
      </c>
      <c r="H80" s="40" t="inlineStr">
        <is>
          <t>COMPTABLE</t>
        </is>
      </c>
      <c r="I80" s="41" t="inlineStr">
        <is>
          <t>2023ACT_VDEF</t>
        </is>
      </c>
      <c r="J80" s="41" t="n">
        <v>2023</v>
      </c>
      <c r="K80" s="41" t="inlineStr">
        <is>
          <t>EUR</t>
        </is>
      </c>
      <c r="L80" s="42" t="n">
        <v>55548</v>
      </c>
    </row>
    <row r="81">
      <c r="B81" s="39" t="inlineStr">
        <is>
          <t>MBWAY_PAR</t>
        </is>
      </c>
      <c r="C81" s="40" t="inlineStr">
        <is>
          <t>BAC_MGT</t>
        </is>
      </c>
      <c r="D81" s="40" t="inlineStr">
        <is>
          <t>B2</t>
        </is>
      </c>
      <c r="E81" s="40" t="inlineStr">
        <is>
          <t>ALT</t>
        </is>
      </c>
      <c r="F81" s="40" t="inlineStr">
        <is>
          <t>622600</t>
        </is>
      </c>
      <c r="G81" s="39" t="inlineStr">
        <is>
          <t>Honoraires &amp; frais de siège (structure groupe)</t>
        </is>
      </c>
      <c r="H81" s="40" t="inlineStr">
        <is>
          <t>COMPTABLE</t>
        </is>
      </c>
      <c r="I81" s="41" t="inlineStr">
        <is>
          <t>2024ACT_VDEF</t>
        </is>
      </c>
      <c r="J81" s="41" t="n">
        <v>2024</v>
      </c>
      <c r="K81" s="41" t="inlineStr">
        <is>
          <t>EUR</t>
        </is>
      </c>
      <c r="L81" s="42" t="n">
        <v>58634</v>
      </c>
    </row>
    <row r="82">
      <c r="B82" s="39" t="inlineStr">
        <is>
          <t>MBWAY_PAR</t>
        </is>
      </c>
      <c r="C82" s="40" t="inlineStr">
        <is>
          <t>BAC_MGT</t>
        </is>
      </c>
      <c r="D82" s="40" t="inlineStr">
        <is>
          <t>B2</t>
        </is>
      </c>
      <c r="E82" s="40" t="inlineStr">
        <is>
          <t>ALT</t>
        </is>
      </c>
      <c r="F82" s="40" t="inlineStr">
        <is>
          <t>622600</t>
        </is>
      </c>
      <c r="G82" s="39" t="inlineStr">
        <is>
          <t>Honoraires &amp; frais de siège (structure groupe)</t>
        </is>
      </c>
      <c r="H82" s="40" t="inlineStr">
        <is>
          <t>COMPTABLE</t>
        </is>
      </c>
      <c r="I82" s="41" t="inlineStr">
        <is>
          <t>2025FCST_V4</t>
        </is>
      </c>
      <c r="J82" s="41" t="n">
        <v>2025</v>
      </c>
      <c r="K82" s="41" t="inlineStr">
        <is>
          <t>EUR</t>
        </is>
      </c>
      <c r="L82" s="42" t="n">
        <v>61720</v>
      </c>
    </row>
    <row r="83">
      <c r="B83" s="39" t="inlineStr">
        <is>
          <t>MBWAY_PAR</t>
        </is>
      </c>
      <c r="C83" s="40" t="inlineStr">
        <is>
          <t>BAC_MGT</t>
        </is>
      </c>
      <c r="D83" s="40" t="inlineStr">
        <is>
          <t>B2</t>
        </is>
      </c>
      <c r="E83" s="40" t="inlineStr">
        <is>
          <t>ALT</t>
        </is>
      </c>
      <c r="F83" s="40" t="inlineStr">
        <is>
          <t>606800</t>
        </is>
      </c>
      <c r="G83" s="39" t="inlineStr">
        <is>
          <t>Autres achats &amp; charges externes</t>
        </is>
      </c>
      <c r="H83" s="40" t="inlineStr">
        <is>
          <t>COMPTABLE</t>
        </is>
      </c>
      <c r="I83" s="41" t="inlineStr">
        <is>
          <t>2023ACT_VDEF</t>
        </is>
      </c>
      <c r="J83" s="41" t="n">
        <v>2023</v>
      </c>
      <c r="K83" s="41" t="inlineStr">
        <is>
          <t>EUR</t>
        </is>
      </c>
      <c r="L83" s="42" t="n">
        <v>55480</v>
      </c>
    </row>
    <row r="84">
      <c r="B84" s="39" t="inlineStr">
        <is>
          <t>MBWAY_PAR</t>
        </is>
      </c>
      <c r="C84" s="40" t="inlineStr">
        <is>
          <t>BAC_MGT</t>
        </is>
      </c>
      <c r="D84" s="40" t="inlineStr">
        <is>
          <t>B2</t>
        </is>
      </c>
      <c r="E84" s="40" t="inlineStr">
        <is>
          <t>ALT</t>
        </is>
      </c>
      <c r="F84" s="40" t="inlineStr">
        <is>
          <t>606800</t>
        </is>
      </c>
      <c r="G84" s="39" t="inlineStr">
        <is>
          <t>Autres achats &amp; charges externes</t>
        </is>
      </c>
      <c r="H84" s="40" t="inlineStr">
        <is>
          <t>COMPTABLE</t>
        </is>
      </c>
      <c r="I84" s="41" t="inlineStr">
        <is>
          <t>2024ACT_VDEF</t>
        </is>
      </c>
      <c r="J84" s="41" t="n">
        <v>2024</v>
      </c>
      <c r="K84" s="41" t="inlineStr">
        <is>
          <t>EUR</t>
        </is>
      </c>
      <c r="L84" s="42" t="n">
        <v>58562</v>
      </c>
    </row>
    <row r="85">
      <c r="B85" s="39" t="inlineStr">
        <is>
          <t>MBWAY_PAR</t>
        </is>
      </c>
      <c r="C85" s="40" t="inlineStr">
        <is>
          <t>BAC_MGT</t>
        </is>
      </c>
      <c r="D85" s="40" t="inlineStr">
        <is>
          <t>B2</t>
        </is>
      </c>
      <c r="E85" s="40" t="inlineStr">
        <is>
          <t>ALT</t>
        </is>
      </c>
      <c r="F85" s="40" t="inlineStr">
        <is>
          <t>606800</t>
        </is>
      </c>
      <c r="G85" s="39" t="inlineStr">
        <is>
          <t>Autres achats &amp; charges externes</t>
        </is>
      </c>
      <c r="H85" s="40" t="inlineStr">
        <is>
          <t>COMPTABLE</t>
        </is>
      </c>
      <c r="I85" s="41" t="inlineStr">
        <is>
          <t>2025FCST_V4</t>
        </is>
      </c>
      <c r="J85" s="41" t="n">
        <v>2025</v>
      </c>
      <c r="K85" s="41" t="inlineStr">
        <is>
          <t>EUR</t>
        </is>
      </c>
      <c r="L85" s="42" t="n">
        <v>61644</v>
      </c>
    </row>
    <row r="86">
      <c r="B86" s="39" t="inlineStr">
        <is>
          <t>MBWAY_PAR</t>
        </is>
      </c>
      <c r="C86" s="40" t="inlineStr">
        <is>
          <t>BAC_MGT</t>
        </is>
      </c>
      <c r="D86" s="40" t="inlineStr">
        <is>
          <t>B2</t>
        </is>
      </c>
      <c r="E86" s="40" t="inlineStr">
        <is>
          <t>ALT</t>
        </is>
      </c>
      <c r="F86" s="40" t="inlineStr">
        <is>
          <t>681100</t>
        </is>
      </c>
      <c r="G86" s="39" t="inlineStr">
        <is>
          <t>Dotations aux amortissements</t>
        </is>
      </c>
      <c r="H86" s="40" t="inlineStr">
        <is>
          <t>COMPTABLE</t>
        </is>
      </c>
      <c r="I86" s="41" t="inlineStr">
        <is>
          <t>2023ACT_VDEF</t>
        </is>
      </c>
      <c r="J86" s="41" t="n">
        <v>2023</v>
      </c>
      <c r="K86" s="41" t="inlineStr">
        <is>
          <t>EUR</t>
        </is>
      </c>
      <c r="L86" s="42" t="n">
        <v>33300</v>
      </c>
    </row>
    <row r="87">
      <c r="B87" s="39" t="inlineStr">
        <is>
          <t>MBWAY_PAR</t>
        </is>
      </c>
      <c r="C87" s="40" t="inlineStr">
        <is>
          <t>BAC_MGT</t>
        </is>
      </c>
      <c r="D87" s="40" t="inlineStr">
        <is>
          <t>B2</t>
        </is>
      </c>
      <c r="E87" s="40" t="inlineStr">
        <is>
          <t>ALT</t>
        </is>
      </c>
      <c r="F87" s="40" t="inlineStr">
        <is>
          <t>681100</t>
        </is>
      </c>
      <c r="G87" s="39" t="inlineStr">
        <is>
          <t>Dotations aux amortissements</t>
        </is>
      </c>
      <c r="H87" s="40" t="inlineStr">
        <is>
          <t>COMPTABLE</t>
        </is>
      </c>
      <c r="I87" s="41" t="inlineStr">
        <is>
          <t>2024ACT_VDEF</t>
        </is>
      </c>
      <c r="J87" s="41" t="n">
        <v>2024</v>
      </c>
      <c r="K87" s="41" t="inlineStr">
        <is>
          <t>EUR</t>
        </is>
      </c>
      <c r="L87" s="42" t="n">
        <v>35150</v>
      </c>
    </row>
    <row r="88">
      <c r="B88" s="39" t="inlineStr">
        <is>
          <t>MBWAY_PAR</t>
        </is>
      </c>
      <c r="C88" s="40" t="inlineStr">
        <is>
          <t>BAC_MGT</t>
        </is>
      </c>
      <c r="D88" s="40" t="inlineStr">
        <is>
          <t>B2</t>
        </is>
      </c>
      <c r="E88" s="40" t="inlineStr">
        <is>
          <t>ALT</t>
        </is>
      </c>
      <c r="F88" s="40" t="inlineStr">
        <is>
          <t>681100</t>
        </is>
      </c>
      <c r="G88" s="39" t="inlineStr">
        <is>
          <t>Dotations aux amortissements</t>
        </is>
      </c>
      <c r="H88" s="40" t="inlineStr">
        <is>
          <t>COMPTABLE</t>
        </is>
      </c>
      <c r="I88" s="41" t="inlineStr">
        <is>
          <t>2025FCST_V4</t>
        </is>
      </c>
      <c r="J88" s="41" t="n">
        <v>2025</v>
      </c>
      <c r="K88" s="41" t="inlineStr">
        <is>
          <t>EUR</t>
        </is>
      </c>
      <c r="L88" s="42" t="n">
        <v>37000</v>
      </c>
    </row>
    <row r="89">
      <c r="B89" s="39" t="inlineStr">
        <is>
          <t>MBWAY_PAR</t>
        </is>
      </c>
      <c r="C89" s="40" t="inlineStr">
        <is>
          <t>BAC_MGT</t>
        </is>
      </c>
      <c r="D89" s="40" t="inlineStr">
        <is>
          <t>B2</t>
        </is>
      </c>
      <c r="E89" s="40" t="inlineStr">
        <is>
          <t>ALT</t>
        </is>
      </c>
      <c r="F89" s="40" t="inlineStr">
        <is>
          <t>STA_EFF</t>
        </is>
      </c>
      <c r="G89" s="39" t="inlineStr">
        <is>
          <t>Effectif inscrit</t>
        </is>
      </c>
      <c r="H89" s="40" t="inlineStr">
        <is>
          <t>TECHNIQUE</t>
        </is>
      </c>
      <c r="I89" s="41" t="inlineStr">
        <is>
          <t>2023ACT_VDEF</t>
        </is>
      </c>
      <c r="J89" s="41" t="n">
        <v>2023</v>
      </c>
      <c r="K89" s="41" t="inlineStr">
        <is>
          <t>NB</t>
        </is>
      </c>
      <c r="L89" s="43" t="n">
        <v>59</v>
      </c>
    </row>
    <row r="90">
      <c r="B90" s="39" t="inlineStr">
        <is>
          <t>MBWAY_PAR</t>
        </is>
      </c>
      <c r="C90" s="40" t="inlineStr">
        <is>
          <t>BAC_MGT</t>
        </is>
      </c>
      <c r="D90" s="40" t="inlineStr">
        <is>
          <t>B2</t>
        </is>
      </c>
      <c r="E90" s="40" t="inlineStr">
        <is>
          <t>ALT</t>
        </is>
      </c>
      <c r="F90" s="40" t="inlineStr">
        <is>
          <t>STA_EFF</t>
        </is>
      </c>
      <c r="G90" s="39" t="inlineStr">
        <is>
          <t>Effectif inscrit</t>
        </is>
      </c>
      <c r="H90" s="40" t="inlineStr">
        <is>
          <t>TECHNIQUE</t>
        </is>
      </c>
      <c r="I90" s="41" t="inlineStr">
        <is>
          <t>2024ACT_VDEF</t>
        </is>
      </c>
      <c r="J90" s="41" t="n">
        <v>2024</v>
      </c>
      <c r="K90" s="41" t="inlineStr">
        <is>
          <t>NB</t>
        </is>
      </c>
      <c r="L90" s="43" t="n">
        <v>63</v>
      </c>
    </row>
    <row r="91">
      <c r="B91" s="39" t="inlineStr">
        <is>
          <t>MBWAY_PAR</t>
        </is>
      </c>
      <c r="C91" s="40" t="inlineStr">
        <is>
          <t>BAC_MGT</t>
        </is>
      </c>
      <c r="D91" s="40" t="inlineStr">
        <is>
          <t>B2</t>
        </is>
      </c>
      <c r="E91" s="40" t="inlineStr">
        <is>
          <t>ALT</t>
        </is>
      </c>
      <c r="F91" s="40" t="inlineStr">
        <is>
          <t>STA_EFF</t>
        </is>
      </c>
      <c r="G91" s="39" t="inlineStr">
        <is>
          <t>Effectif inscrit</t>
        </is>
      </c>
      <c r="H91" s="40" t="inlineStr">
        <is>
          <t>TECHNIQUE</t>
        </is>
      </c>
      <c r="I91" s="41" t="inlineStr">
        <is>
          <t>2025FCST_V4</t>
        </is>
      </c>
      <c r="J91" s="41" t="n">
        <v>2025</v>
      </c>
      <c r="K91" s="41" t="inlineStr">
        <is>
          <t>NB</t>
        </is>
      </c>
      <c r="L91" s="43" t="n">
        <v>66</v>
      </c>
    </row>
    <row r="92">
      <c r="B92" s="39" t="inlineStr">
        <is>
          <t>MBWAY_PAR</t>
        </is>
      </c>
      <c r="C92" s="40" t="inlineStr">
        <is>
          <t>BAC_MGT</t>
        </is>
      </c>
      <c r="D92" s="40" t="inlineStr">
        <is>
          <t>B2</t>
        </is>
      </c>
      <c r="E92" s="40" t="inlineStr">
        <is>
          <t>ALT</t>
        </is>
      </c>
      <c r="F92" s="40" t="inlineStr">
        <is>
          <t>STA_REINS</t>
        </is>
      </c>
      <c r="G92" s="39" t="inlineStr">
        <is>
          <t>Réinscrits</t>
        </is>
      </c>
      <c r="H92" s="40" t="inlineStr">
        <is>
          <t>TECHNIQUE</t>
        </is>
      </c>
      <c r="I92" s="41" t="inlineStr">
        <is>
          <t>2023ACT_VDEF</t>
        </is>
      </c>
      <c r="J92" s="41" t="n">
        <v>2023</v>
      </c>
      <c r="K92" s="41" t="inlineStr">
        <is>
          <t>NB</t>
        </is>
      </c>
      <c r="L92" s="43" t="n">
        <v>59</v>
      </c>
    </row>
    <row r="93">
      <c r="B93" s="39" t="inlineStr">
        <is>
          <t>MBWAY_PAR</t>
        </is>
      </c>
      <c r="C93" s="40" t="inlineStr">
        <is>
          <t>BAC_MGT</t>
        </is>
      </c>
      <c r="D93" s="40" t="inlineStr">
        <is>
          <t>B2</t>
        </is>
      </c>
      <c r="E93" s="40" t="inlineStr">
        <is>
          <t>ALT</t>
        </is>
      </c>
      <c r="F93" s="40" t="inlineStr">
        <is>
          <t>STA_REINS</t>
        </is>
      </c>
      <c r="G93" s="39" t="inlineStr">
        <is>
          <t>Réinscrits</t>
        </is>
      </c>
      <c r="H93" s="40" t="inlineStr">
        <is>
          <t>TECHNIQUE</t>
        </is>
      </c>
      <c r="I93" s="41" t="inlineStr">
        <is>
          <t>2024ACT_VDEF</t>
        </is>
      </c>
      <c r="J93" s="41" t="n">
        <v>2024</v>
      </c>
      <c r="K93" s="41" t="inlineStr">
        <is>
          <t>NB</t>
        </is>
      </c>
      <c r="L93" s="43" t="n">
        <v>63</v>
      </c>
    </row>
    <row r="94">
      <c r="B94" s="39" t="inlineStr">
        <is>
          <t>MBWAY_PAR</t>
        </is>
      </c>
      <c r="C94" s="40" t="inlineStr">
        <is>
          <t>BAC_MGT</t>
        </is>
      </c>
      <c r="D94" s="40" t="inlineStr">
        <is>
          <t>B2</t>
        </is>
      </c>
      <c r="E94" s="40" t="inlineStr">
        <is>
          <t>ALT</t>
        </is>
      </c>
      <c r="F94" s="40" t="inlineStr">
        <is>
          <t>STA_REINS</t>
        </is>
      </c>
      <c r="G94" s="39" t="inlineStr">
        <is>
          <t>Réinscrits</t>
        </is>
      </c>
      <c r="H94" s="40" t="inlineStr">
        <is>
          <t>TECHNIQUE</t>
        </is>
      </c>
      <c r="I94" s="41" t="inlineStr">
        <is>
          <t>2025FCST_V4</t>
        </is>
      </c>
      <c r="J94" s="41" t="n">
        <v>2025</v>
      </c>
      <c r="K94" s="41" t="inlineStr">
        <is>
          <t>NB</t>
        </is>
      </c>
      <c r="L94" s="43" t="n">
        <v>66</v>
      </c>
    </row>
    <row r="95">
      <c r="B95" s="39" t="inlineStr">
        <is>
          <t>MBWAY_PAR</t>
        </is>
      </c>
      <c r="C95" s="40" t="inlineStr">
        <is>
          <t>BAC_MGT</t>
        </is>
      </c>
      <c r="D95" s="40" t="inlineStr">
        <is>
          <t>B2</t>
        </is>
      </c>
      <c r="E95" s="40" t="inlineStr">
        <is>
          <t>ALT</t>
        </is>
      </c>
      <c r="F95" s="40" t="inlineStr">
        <is>
          <t>STA_CLASS</t>
        </is>
      </c>
      <c r="G95" s="39" t="inlineStr">
        <is>
          <t>Nombre de classes</t>
        </is>
      </c>
      <c r="H95" s="40" t="inlineStr">
        <is>
          <t>TECHNIQUE</t>
        </is>
      </c>
      <c r="I95" s="41" t="inlineStr">
        <is>
          <t>2023ACT_VDEF</t>
        </is>
      </c>
      <c r="J95" s="41" t="n">
        <v>2023</v>
      </c>
      <c r="K95" s="41" t="inlineStr">
        <is>
          <t>NB</t>
        </is>
      </c>
      <c r="L95" s="43" t="n">
        <v>3</v>
      </c>
    </row>
    <row r="96">
      <c r="B96" s="39" t="inlineStr">
        <is>
          <t>MBWAY_PAR</t>
        </is>
      </c>
      <c r="C96" s="40" t="inlineStr">
        <is>
          <t>BAC_MGT</t>
        </is>
      </c>
      <c r="D96" s="40" t="inlineStr">
        <is>
          <t>B2</t>
        </is>
      </c>
      <c r="E96" s="40" t="inlineStr">
        <is>
          <t>ALT</t>
        </is>
      </c>
      <c r="F96" s="40" t="inlineStr">
        <is>
          <t>STA_CLASS</t>
        </is>
      </c>
      <c r="G96" s="39" t="inlineStr">
        <is>
          <t>Nombre de classes</t>
        </is>
      </c>
      <c r="H96" s="40" t="inlineStr">
        <is>
          <t>TECHNIQUE</t>
        </is>
      </c>
      <c r="I96" s="41" t="inlineStr">
        <is>
          <t>2024ACT_VDEF</t>
        </is>
      </c>
      <c r="J96" s="41" t="n">
        <v>2024</v>
      </c>
      <c r="K96" s="41" t="inlineStr">
        <is>
          <t>NB</t>
        </is>
      </c>
      <c r="L96" s="43" t="n">
        <v>3</v>
      </c>
    </row>
    <row r="97">
      <c r="B97" s="39" t="inlineStr">
        <is>
          <t>MBWAY_PAR</t>
        </is>
      </c>
      <c r="C97" s="40" t="inlineStr">
        <is>
          <t>BAC_MGT</t>
        </is>
      </c>
      <c r="D97" s="40" t="inlineStr">
        <is>
          <t>B2</t>
        </is>
      </c>
      <c r="E97" s="40" t="inlineStr">
        <is>
          <t>ALT</t>
        </is>
      </c>
      <c r="F97" s="40" t="inlineStr">
        <is>
          <t>STA_CLASS</t>
        </is>
      </c>
      <c r="G97" s="39" t="inlineStr">
        <is>
          <t>Nombre de classes</t>
        </is>
      </c>
      <c r="H97" s="40" t="inlineStr">
        <is>
          <t>TECHNIQUE</t>
        </is>
      </c>
      <c r="I97" s="41" t="inlineStr">
        <is>
          <t>2025FCST_V4</t>
        </is>
      </c>
      <c r="J97" s="41" t="n">
        <v>2025</v>
      </c>
      <c r="K97" s="41" t="inlineStr">
        <is>
          <t>NB</t>
        </is>
      </c>
      <c r="L97" s="43" t="n">
        <v>3</v>
      </c>
    </row>
    <row r="98">
      <c r="B98" s="39" t="inlineStr">
        <is>
          <t>MBWAY_PAR</t>
        </is>
      </c>
      <c r="C98" s="40" t="inlineStr">
        <is>
          <t>BAC_MGT</t>
        </is>
      </c>
      <c r="D98" s="40" t="inlineStr">
        <is>
          <t>B2</t>
        </is>
      </c>
      <c r="E98" s="40" t="inlineStr">
        <is>
          <t>ALT</t>
        </is>
      </c>
      <c r="F98" s="40" t="inlineStr">
        <is>
          <t>STA_HEURE</t>
        </is>
      </c>
      <c r="G98" s="39" t="inlineStr">
        <is>
          <t>Heures d'enseignement</t>
        </is>
      </c>
      <c r="H98" s="40" t="inlineStr">
        <is>
          <t>TECHNIQUE</t>
        </is>
      </c>
      <c r="I98" s="41" t="inlineStr">
        <is>
          <t>2023ACT_VDEF</t>
        </is>
      </c>
      <c r="J98" s="41" t="n">
        <v>2023</v>
      </c>
      <c r="K98" s="41" t="inlineStr">
        <is>
          <t>NB</t>
        </is>
      </c>
      <c r="L98" s="43" t="n">
        <v>1512</v>
      </c>
    </row>
    <row r="99">
      <c r="B99" s="39" t="inlineStr">
        <is>
          <t>MBWAY_PAR</t>
        </is>
      </c>
      <c r="C99" s="40" t="inlineStr">
        <is>
          <t>BAC_MGT</t>
        </is>
      </c>
      <c r="D99" s="40" t="inlineStr">
        <is>
          <t>B2</t>
        </is>
      </c>
      <c r="E99" s="40" t="inlineStr">
        <is>
          <t>ALT</t>
        </is>
      </c>
      <c r="F99" s="40" t="inlineStr">
        <is>
          <t>STA_HEURE</t>
        </is>
      </c>
      <c r="G99" s="39" t="inlineStr">
        <is>
          <t>Heures d'enseignement</t>
        </is>
      </c>
      <c r="H99" s="40" t="inlineStr">
        <is>
          <t>TECHNIQUE</t>
        </is>
      </c>
      <c r="I99" s="41" t="inlineStr">
        <is>
          <t>2024ACT_VDEF</t>
        </is>
      </c>
      <c r="J99" s="41" t="n">
        <v>2024</v>
      </c>
      <c r="K99" s="41" t="inlineStr">
        <is>
          <t>NB</t>
        </is>
      </c>
      <c r="L99" s="43" t="n">
        <v>1596</v>
      </c>
    </row>
    <row r="100">
      <c r="B100" s="39" t="inlineStr">
        <is>
          <t>MBWAY_PAR</t>
        </is>
      </c>
      <c r="C100" s="40" t="inlineStr">
        <is>
          <t>BAC_MGT</t>
        </is>
      </c>
      <c r="D100" s="40" t="inlineStr">
        <is>
          <t>B2</t>
        </is>
      </c>
      <c r="E100" s="40" t="inlineStr">
        <is>
          <t>ALT</t>
        </is>
      </c>
      <c r="F100" s="40" t="inlineStr">
        <is>
          <t>STA_HEURE</t>
        </is>
      </c>
      <c r="G100" s="39" t="inlineStr">
        <is>
          <t>Heures d'enseignement</t>
        </is>
      </c>
      <c r="H100" s="40" t="inlineStr">
        <is>
          <t>TECHNIQUE</t>
        </is>
      </c>
      <c r="I100" s="41" t="inlineStr">
        <is>
          <t>2025FCST_V4</t>
        </is>
      </c>
      <c r="J100" s="41" t="n">
        <v>2025</v>
      </c>
      <c r="K100" s="41" t="inlineStr">
        <is>
          <t>NB</t>
        </is>
      </c>
      <c r="L100" s="43" t="n">
        <v>1680</v>
      </c>
    </row>
    <row r="101">
      <c r="B101" s="39" t="inlineStr">
        <is>
          <t>MBWAY_PAR</t>
        </is>
      </c>
      <c r="C101" s="40" t="inlineStr">
        <is>
          <t>BAC_MGT</t>
        </is>
      </c>
      <c r="D101" s="40" t="inlineStr">
        <is>
          <t>B2</t>
        </is>
      </c>
      <c r="E101" s="40" t="inlineStr">
        <is>
          <t>ALT</t>
        </is>
      </c>
      <c r="F101" s="40" t="inlineStr">
        <is>
          <t>STA_CAPA</t>
        </is>
      </c>
      <c r="G101" s="39" t="inlineStr">
        <is>
          <t>Capacité par classe</t>
        </is>
      </c>
      <c r="H101" s="40" t="inlineStr">
        <is>
          <t>TECHNIQUE</t>
        </is>
      </c>
      <c r="I101" s="41" t="inlineStr">
        <is>
          <t>2023ACT_VDEF</t>
        </is>
      </c>
      <c r="J101" s="41" t="n">
        <v>2023</v>
      </c>
      <c r="K101" s="41" t="inlineStr">
        <is>
          <t>NB</t>
        </is>
      </c>
      <c r="L101" s="43" t="n">
        <v>32</v>
      </c>
    </row>
    <row r="102">
      <c r="B102" s="39" t="inlineStr">
        <is>
          <t>MBWAY_PAR</t>
        </is>
      </c>
      <c r="C102" s="40" t="inlineStr">
        <is>
          <t>BAC_MGT</t>
        </is>
      </c>
      <c r="D102" s="40" t="inlineStr">
        <is>
          <t>B2</t>
        </is>
      </c>
      <c r="E102" s="40" t="inlineStr">
        <is>
          <t>ALT</t>
        </is>
      </c>
      <c r="F102" s="40" t="inlineStr">
        <is>
          <t>STA_CAPA</t>
        </is>
      </c>
      <c r="G102" s="39" t="inlineStr">
        <is>
          <t>Capacité par classe</t>
        </is>
      </c>
      <c r="H102" s="40" t="inlineStr">
        <is>
          <t>TECHNIQUE</t>
        </is>
      </c>
      <c r="I102" s="41" t="inlineStr">
        <is>
          <t>2024ACT_VDEF</t>
        </is>
      </c>
      <c r="J102" s="41" t="n">
        <v>2024</v>
      </c>
      <c r="K102" s="41" t="inlineStr">
        <is>
          <t>NB</t>
        </is>
      </c>
      <c r="L102" s="43" t="n">
        <v>32</v>
      </c>
    </row>
    <row r="103">
      <c r="B103" s="39" t="inlineStr">
        <is>
          <t>MBWAY_PAR</t>
        </is>
      </c>
      <c r="C103" s="40" t="inlineStr">
        <is>
          <t>BAC_MGT</t>
        </is>
      </c>
      <c r="D103" s="40" t="inlineStr">
        <is>
          <t>B2</t>
        </is>
      </c>
      <c r="E103" s="40" t="inlineStr">
        <is>
          <t>ALT</t>
        </is>
      </c>
      <c r="F103" s="40" t="inlineStr">
        <is>
          <t>STA_CAPA</t>
        </is>
      </c>
      <c r="G103" s="39" t="inlineStr">
        <is>
          <t>Capacité par classe</t>
        </is>
      </c>
      <c r="H103" s="40" t="inlineStr">
        <is>
          <t>TECHNIQUE</t>
        </is>
      </c>
      <c r="I103" s="41" t="inlineStr">
        <is>
          <t>2025FCST_V4</t>
        </is>
      </c>
      <c r="J103" s="41" t="n">
        <v>2025</v>
      </c>
      <c r="K103" s="41" t="inlineStr">
        <is>
          <t>NB</t>
        </is>
      </c>
      <c r="L103" s="43" t="n">
        <v>32</v>
      </c>
    </row>
    <row r="104">
      <c r="B104" s="39" t="inlineStr">
        <is>
          <t>MBWAY_PAR</t>
        </is>
      </c>
      <c r="C104" s="40" t="inlineStr">
        <is>
          <t>BAC_MGT</t>
        </is>
      </c>
      <c r="D104" s="40" t="inlineStr">
        <is>
          <t>B2</t>
        </is>
      </c>
      <c r="E104" s="40" t="inlineStr">
        <is>
          <t>ALT</t>
        </is>
      </c>
      <c r="F104" s="40" t="inlineStr">
        <is>
          <t>DRV_PASS</t>
        </is>
      </c>
      <c r="G104" s="39" t="inlineStr">
        <is>
          <t>Taux de passage (réinscription)</t>
        </is>
      </c>
      <c r="H104" s="40" t="inlineStr">
        <is>
          <t>TECHNIQUE</t>
        </is>
      </c>
      <c r="I104" s="41" t="inlineStr">
        <is>
          <t>2023ACT_VDEF</t>
        </is>
      </c>
      <c r="J104" s="41" t="n">
        <v>2023</v>
      </c>
      <c r="K104" s="41" t="inlineStr">
        <is>
          <t>PCT</t>
        </is>
      </c>
      <c r="L104" s="44" t="n">
        <v>0.93</v>
      </c>
    </row>
    <row r="105">
      <c r="B105" s="39" t="inlineStr">
        <is>
          <t>MBWAY_PAR</t>
        </is>
      </c>
      <c r="C105" s="40" t="inlineStr">
        <is>
          <t>BAC_MGT</t>
        </is>
      </c>
      <c r="D105" s="40" t="inlineStr">
        <is>
          <t>B2</t>
        </is>
      </c>
      <c r="E105" s="40" t="inlineStr">
        <is>
          <t>ALT</t>
        </is>
      </c>
      <c r="F105" s="40" t="inlineStr">
        <is>
          <t>DRV_PASS</t>
        </is>
      </c>
      <c r="G105" s="39" t="inlineStr">
        <is>
          <t>Taux de passage (réinscription)</t>
        </is>
      </c>
      <c r="H105" s="40" t="inlineStr">
        <is>
          <t>TECHNIQUE</t>
        </is>
      </c>
      <c r="I105" s="41" t="inlineStr">
        <is>
          <t>2024ACT_VDEF</t>
        </is>
      </c>
      <c r="J105" s="41" t="n">
        <v>2024</v>
      </c>
      <c r="K105" s="41" t="inlineStr">
        <is>
          <t>PCT</t>
        </is>
      </c>
      <c r="L105" s="44" t="n">
        <v>0.93</v>
      </c>
    </row>
    <row r="106">
      <c r="B106" s="39" t="inlineStr">
        <is>
          <t>MBWAY_PAR</t>
        </is>
      </c>
      <c r="C106" s="40" t="inlineStr">
        <is>
          <t>BAC_MGT</t>
        </is>
      </c>
      <c r="D106" s="40" t="inlineStr">
        <is>
          <t>B2</t>
        </is>
      </c>
      <c r="E106" s="40" t="inlineStr">
        <is>
          <t>ALT</t>
        </is>
      </c>
      <c r="F106" s="40" t="inlineStr">
        <is>
          <t>DRV_PASS</t>
        </is>
      </c>
      <c r="G106" s="39" t="inlineStr">
        <is>
          <t>Taux de passage (réinscription)</t>
        </is>
      </c>
      <c r="H106" s="40" t="inlineStr">
        <is>
          <t>TECHNIQUE</t>
        </is>
      </c>
      <c r="I106" s="41" t="inlineStr">
        <is>
          <t>2025FCST_V4</t>
        </is>
      </c>
      <c r="J106" s="41" t="n">
        <v>2025</v>
      </c>
      <c r="K106" s="41" t="inlineStr">
        <is>
          <t>PCT</t>
        </is>
      </c>
      <c r="L106" s="44" t="n">
        <v>0.93</v>
      </c>
    </row>
    <row r="107">
      <c r="B107" s="39" t="inlineStr">
        <is>
          <t>MBWAY_PAR</t>
        </is>
      </c>
      <c r="C107" s="40" t="inlineStr">
        <is>
          <t>BAC_MGT</t>
        </is>
      </c>
      <c r="D107" s="40" t="inlineStr">
        <is>
          <t>B2</t>
        </is>
      </c>
      <c r="E107" s="40" t="inlineStr">
        <is>
          <t>ALT</t>
        </is>
      </c>
      <c r="F107" s="40" t="inlineStr">
        <is>
          <t>PRX_TARIF</t>
        </is>
      </c>
      <c r="G107" s="39" t="inlineStr">
        <is>
          <t>Tarif moyen scolarité</t>
        </is>
      </c>
      <c r="H107" s="40" t="inlineStr">
        <is>
          <t>TECHNIQUE</t>
        </is>
      </c>
      <c r="I107" s="41" t="inlineStr">
        <is>
          <t>2023ACT_VDEF</t>
        </is>
      </c>
      <c r="J107" s="41" t="n">
        <v>2023</v>
      </c>
      <c r="K107" s="41" t="inlineStr">
        <is>
          <t>EUR</t>
        </is>
      </c>
      <c r="L107" s="42" t="n">
        <v>8000</v>
      </c>
    </row>
    <row r="108">
      <c r="B108" s="39" t="inlineStr">
        <is>
          <t>MBWAY_PAR</t>
        </is>
      </c>
      <c r="C108" s="40" t="inlineStr">
        <is>
          <t>BAC_MGT</t>
        </is>
      </c>
      <c r="D108" s="40" t="inlineStr">
        <is>
          <t>B2</t>
        </is>
      </c>
      <c r="E108" s="40" t="inlineStr">
        <is>
          <t>ALT</t>
        </is>
      </c>
      <c r="F108" s="40" t="inlineStr">
        <is>
          <t>PRX_TARIF</t>
        </is>
      </c>
      <c r="G108" s="39" t="inlineStr">
        <is>
          <t>Tarif moyen scolarité</t>
        </is>
      </c>
      <c r="H108" s="40" t="inlineStr">
        <is>
          <t>TECHNIQUE</t>
        </is>
      </c>
      <c r="I108" s="41" t="inlineStr">
        <is>
          <t>2024ACT_VDEF</t>
        </is>
      </c>
      <c r="J108" s="41" t="n">
        <v>2024</v>
      </c>
      <c r="K108" s="41" t="inlineStr">
        <is>
          <t>EUR</t>
        </is>
      </c>
      <c r="L108" s="42" t="n">
        <v>8000</v>
      </c>
    </row>
    <row r="109">
      <c r="B109" s="39" t="inlineStr">
        <is>
          <t>MBWAY_PAR</t>
        </is>
      </c>
      <c r="C109" s="40" t="inlineStr">
        <is>
          <t>BAC_MGT</t>
        </is>
      </c>
      <c r="D109" s="40" t="inlineStr">
        <is>
          <t>B2</t>
        </is>
      </c>
      <c r="E109" s="40" t="inlineStr">
        <is>
          <t>ALT</t>
        </is>
      </c>
      <c r="F109" s="40" t="inlineStr">
        <is>
          <t>PRX_TARIF</t>
        </is>
      </c>
      <c r="G109" s="39" t="inlineStr">
        <is>
          <t>Tarif moyen scolarité</t>
        </is>
      </c>
      <c r="H109" s="40" t="inlineStr">
        <is>
          <t>TECHNIQUE</t>
        </is>
      </c>
      <c r="I109" s="41" t="inlineStr">
        <is>
          <t>2025FCST_V4</t>
        </is>
      </c>
      <c r="J109" s="41" t="n">
        <v>2025</v>
      </c>
      <c r="K109" s="41" t="inlineStr">
        <is>
          <t>EUR</t>
        </is>
      </c>
      <c r="L109" s="42" t="n">
        <v>8000</v>
      </c>
    </row>
    <row r="110">
      <c r="B110" s="39" t="inlineStr">
        <is>
          <t>MBWAY_PAR</t>
        </is>
      </c>
      <c r="C110" s="40" t="inlineStr">
        <is>
          <t>BAC_MGT</t>
        </is>
      </c>
      <c r="D110" s="40" t="inlineStr">
        <is>
          <t>B3</t>
        </is>
      </c>
      <c r="E110" s="40" t="inlineStr">
        <is>
          <t>ALT</t>
        </is>
      </c>
      <c r="F110" s="40" t="inlineStr">
        <is>
          <t>706100</t>
        </is>
      </c>
      <c r="G110" s="39" t="inlineStr">
        <is>
          <t>Droits de scolarité</t>
        </is>
      </c>
      <c r="H110" s="40" t="inlineStr">
        <is>
          <t>COMPTABLE</t>
        </is>
      </c>
      <c r="I110" s="41" t="inlineStr">
        <is>
          <t>2023ACT_VDEF</t>
        </is>
      </c>
      <c r="J110" s="41" t="n">
        <v>2023</v>
      </c>
      <c r="K110" s="41" t="inlineStr">
        <is>
          <t>EUR</t>
        </is>
      </c>
      <c r="L110" s="42" t="n">
        <v>417600</v>
      </c>
    </row>
    <row r="111">
      <c r="B111" s="39" t="inlineStr">
        <is>
          <t>MBWAY_PAR</t>
        </is>
      </c>
      <c r="C111" s="40" t="inlineStr">
        <is>
          <t>BAC_MGT</t>
        </is>
      </c>
      <c r="D111" s="40" t="inlineStr">
        <is>
          <t>B3</t>
        </is>
      </c>
      <c r="E111" s="40" t="inlineStr">
        <is>
          <t>ALT</t>
        </is>
      </c>
      <c r="F111" s="40" t="inlineStr">
        <is>
          <t>706100</t>
        </is>
      </c>
      <c r="G111" s="39" t="inlineStr">
        <is>
          <t>Droits de scolarité</t>
        </is>
      </c>
      <c r="H111" s="40" t="inlineStr">
        <is>
          <t>COMPTABLE</t>
        </is>
      </c>
      <c r="I111" s="41" t="inlineStr">
        <is>
          <t>2024ACT_VDEF</t>
        </is>
      </c>
      <c r="J111" s="41" t="n">
        <v>2024</v>
      </c>
      <c r="K111" s="41" t="inlineStr">
        <is>
          <t>EUR</t>
        </is>
      </c>
      <c r="L111" s="42" t="n">
        <v>440800</v>
      </c>
    </row>
    <row r="112">
      <c r="B112" s="39" t="inlineStr">
        <is>
          <t>MBWAY_PAR</t>
        </is>
      </c>
      <c r="C112" s="40" t="inlineStr">
        <is>
          <t>BAC_MGT</t>
        </is>
      </c>
      <c r="D112" s="40" t="inlineStr">
        <is>
          <t>B3</t>
        </is>
      </c>
      <c r="E112" s="40" t="inlineStr">
        <is>
          <t>ALT</t>
        </is>
      </c>
      <c r="F112" s="40" t="inlineStr">
        <is>
          <t>706100</t>
        </is>
      </c>
      <c r="G112" s="39" t="inlineStr">
        <is>
          <t>Droits de scolarité</t>
        </is>
      </c>
      <c r="H112" s="40" t="inlineStr">
        <is>
          <t>COMPTABLE</t>
        </is>
      </c>
      <c r="I112" s="41" t="inlineStr">
        <is>
          <t>2025FCST_V4</t>
        </is>
      </c>
      <c r="J112" s="41" t="n">
        <v>2025</v>
      </c>
      <c r="K112" s="41" t="inlineStr">
        <is>
          <t>EUR</t>
        </is>
      </c>
      <c r="L112" s="42" t="n">
        <v>464000</v>
      </c>
    </row>
    <row r="113">
      <c r="B113" s="39" t="inlineStr">
        <is>
          <t>MBWAY_PAR</t>
        </is>
      </c>
      <c r="C113" s="40" t="inlineStr">
        <is>
          <t>BAC_MGT</t>
        </is>
      </c>
      <c r="D113" s="40" t="inlineStr">
        <is>
          <t>B3</t>
        </is>
      </c>
      <c r="E113" s="40" t="inlineStr">
        <is>
          <t>ALT</t>
        </is>
      </c>
      <c r="F113" s="40" t="inlineStr">
        <is>
          <t>604100</t>
        </is>
      </c>
      <c r="G113" s="39" t="inlineStr">
        <is>
          <t>Vacations &amp; sous-traitance pédagogique</t>
        </is>
      </c>
      <c r="H113" s="40" t="inlineStr">
        <is>
          <t>COMPTABLE</t>
        </is>
      </c>
      <c r="I113" s="41" t="inlineStr">
        <is>
          <t>2023ACT_VDEF</t>
        </is>
      </c>
      <c r="J113" s="41" t="n">
        <v>2023</v>
      </c>
      <c r="K113" s="41" t="inlineStr">
        <is>
          <t>EUR</t>
        </is>
      </c>
      <c r="L113" s="42" t="n">
        <v>54288</v>
      </c>
    </row>
    <row r="114">
      <c r="B114" s="39" t="inlineStr">
        <is>
          <t>MBWAY_PAR</t>
        </is>
      </c>
      <c r="C114" s="40" t="inlineStr">
        <is>
          <t>BAC_MGT</t>
        </is>
      </c>
      <c r="D114" s="40" t="inlineStr">
        <is>
          <t>B3</t>
        </is>
      </c>
      <c r="E114" s="40" t="inlineStr">
        <is>
          <t>ALT</t>
        </is>
      </c>
      <c r="F114" s="40" t="inlineStr">
        <is>
          <t>604100</t>
        </is>
      </c>
      <c r="G114" s="39" t="inlineStr">
        <is>
          <t>Vacations &amp; sous-traitance pédagogique</t>
        </is>
      </c>
      <c r="H114" s="40" t="inlineStr">
        <is>
          <t>COMPTABLE</t>
        </is>
      </c>
      <c r="I114" s="41" t="inlineStr">
        <is>
          <t>2024ACT_VDEF</t>
        </is>
      </c>
      <c r="J114" s="41" t="n">
        <v>2024</v>
      </c>
      <c r="K114" s="41" t="inlineStr">
        <is>
          <t>EUR</t>
        </is>
      </c>
      <c r="L114" s="42" t="n">
        <v>57304</v>
      </c>
    </row>
    <row r="115">
      <c r="B115" s="39" t="inlineStr">
        <is>
          <t>MBWAY_PAR</t>
        </is>
      </c>
      <c r="C115" s="40" t="inlineStr">
        <is>
          <t>BAC_MGT</t>
        </is>
      </c>
      <c r="D115" s="40" t="inlineStr">
        <is>
          <t>B3</t>
        </is>
      </c>
      <c r="E115" s="40" t="inlineStr">
        <is>
          <t>ALT</t>
        </is>
      </c>
      <c r="F115" s="40" t="inlineStr">
        <is>
          <t>604100</t>
        </is>
      </c>
      <c r="G115" s="39" t="inlineStr">
        <is>
          <t>Vacations &amp; sous-traitance pédagogique</t>
        </is>
      </c>
      <c r="H115" s="40" t="inlineStr">
        <is>
          <t>COMPTABLE</t>
        </is>
      </c>
      <c r="I115" s="41" t="inlineStr">
        <is>
          <t>2025FCST_V4</t>
        </is>
      </c>
      <c r="J115" s="41" t="n">
        <v>2025</v>
      </c>
      <c r="K115" s="41" t="inlineStr">
        <is>
          <t>EUR</t>
        </is>
      </c>
      <c r="L115" s="42" t="n">
        <v>60320</v>
      </c>
    </row>
    <row r="116">
      <c r="B116" s="39" t="inlineStr">
        <is>
          <t>MBWAY_PAR</t>
        </is>
      </c>
      <c r="C116" s="40" t="inlineStr">
        <is>
          <t>BAC_MGT</t>
        </is>
      </c>
      <c r="D116" s="40" t="inlineStr">
        <is>
          <t>B3</t>
        </is>
      </c>
      <c r="E116" s="40" t="inlineStr">
        <is>
          <t>ALT</t>
        </is>
      </c>
      <c r="F116" s="40" t="inlineStr">
        <is>
          <t>606300</t>
        </is>
      </c>
      <c r="G116" s="39" t="inlineStr">
        <is>
          <t>Fournitures &amp; ressources pédagogiques</t>
        </is>
      </c>
      <c r="H116" s="40" t="inlineStr">
        <is>
          <t>COMPTABLE</t>
        </is>
      </c>
      <c r="I116" s="41" t="inlineStr">
        <is>
          <t>2023ACT_VDEF</t>
        </is>
      </c>
      <c r="J116" s="41" t="n">
        <v>2023</v>
      </c>
      <c r="K116" s="41" t="inlineStr">
        <is>
          <t>EUR</t>
        </is>
      </c>
      <c r="L116" s="42" t="n">
        <v>20880</v>
      </c>
    </row>
    <row r="117">
      <c r="B117" s="39" t="inlineStr">
        <is>
          <t>MBWAY_PAR</t>
        </is>
      </c>
      <c r="C117" s="40" t="inlineStr">
        <is>
          <t>BAC_MGT</t>
        </is>
      </c>
      <c r="D117" s="40" t="inlineStr">
        <is>
          <t>B3</t>
        </is>
      </c>
      <c r="E117" s="40" t="inlineStr">
        <is>
          <t>ALT</t>
        </is>
      </c>
      <c r="F117" s="40" t="inlineStr">
        <is>
          <t>606300</t>
        </is>
      </c>
      <c r="G117" s="39" t="inlineStr">
        <is>
          <t>Fournitures &amp; ressources pédagogiques</t>
        </is>
      </c>
      <c r="H117" s="40" t="inlineStr">
        <is>
          <t>COMPTABLE</t>
        </is>
      </c>
      <c r="I117" s="41" t="inlineStr">
        <is>
          <t>2024ACT_VDEF</t>
        </is>
      </c>
      <c r="J117" s="41" t="n">
        <v>2024</v>
      </c>
      <c r="K117" s="41" t="inlineStr">
        <is>
          <t>EUR</t>
        </is>
      </c>
      <c r="L117" s="42" t="n">
        <v>22040</v>
      </c>
    </row>
    <row r="118">
      <c r="B118" s="39" t="inlineStr">
        <is>
          <t>MBWAY_PAR</t>
        </is>
      </c>
      <c r="C118" s="40" t="inlineStr">
        <is>
          <t>BAC_MGT</t>
        </is>
      </c>
      <c r="D118" s="40" t="inlineStr">
        <is>
          <t>B3</t>
        </is>
      </c>
      <c r="E118" s="40" t="inlineStr">
        <is>
          <t>ALT</t>
        </is>
      </c>
      <c r="F118" s="40" t="inlineStr">
        <is>
          <t>606300</t>
        </is>
      </c>
      <c r="G118" s="39" t="inlineStr">
        <is>
          <t>Fournitures &amp; ressources pédagogiques</t>
        </is>
      </c>
      <c r="H118" s="40" t="inlineStr">
        <is>
          <t>COMPTABLE</t>
        </is>
      </c>
      <c r="I118" s="41" t="inlineStr">
        <is>
          <t>2025FCST_V4</t>
        </is>
      </c>
      <c r="J118" s="41" t="n">
        <v>2025</v>
      </c>
      <c r="K118" s="41" t="inlineStr">
        <is>
          <t>EUR</t>
        </is>
      </c>
      <c r="L118" s="42" t="n">
        <v>23200</v>
      </c>
    </row>
    <row r="119">
      <c r="B119" s="39" t="inlineStr">
        <is>
          <t>MBWAY_PAR</t>
        </is>
      </c>
      <c r="C119" s="40" t="inlineStr">
        <is>
          <t>BAC_MGT</t>
        </is>
      </c>
      <c r="D119" s="40" t="inlineStr">
        <is>
          <t>B3</t>
        </is>
      </c>
      <c r="E119" s="40" t="inlineStr">
        <is>
          <t>ALT</t>
        </is>
      </c>
      <c r="F119" s="40" t="inlineStr">
        <is>
          <t>613200</t>
        </is>
      </c>
      <c r="G119" s="39" t="inlineStr">
        <is>
          <t>Locations immobilières (loyers)</t>
        </is>
      </c>
      <c r="H119" s="40" t="inlineStr">
        <is>
          <t>COMPTABLE</t>
        </is>
      </c>
      <c r="I119" s="41" t="inlineStr">
        <is>
          <t>2023ACT_VDEF</t>
        </is>
      </c>
      <c r="J119" s="41" t="n">
        <v>2023</v>
      </c>
      <c r="K119" s="41" t="inlineStr">
        <is>
          <t>EUR</t>
        </is>
      </c>
      <c r="L119" s="42" t="n">
        <v>40650</v>
      </c>
    </row>
    <row r="120">
      <c r="B120" s="39" t="inlineStr">
        <is>
          <t>MBWAY_PAR</t>
        </is>
      </c>
      <c r="C120" s="40" t="inlineStr">
        <is>
          <t>BAC_MGT</t>
        </is>
      </c>
      <c r="D120" s="40" t="inlineStr">
        <is>
          <t>B3</t>
        </is>
      </c>
      <c r="E120" s="40" t="inlineStr">
        <is>
          <t>ALT</t>
        </is>
      </c>
      <c r="F120" s="40" t="inlineStr">
        <is>
          <t>613200</t>
        </is>
      </c>
      <c r="G120" s="39" t="inlineStr">
        <is>
          <t>Locations immobilières (loyers)</t>
        </is>
      </c>
      <c r="H120" s="40" t="inlineStr">
        <is>
          <t>COMPTABLE</t>
        </is>
      </c>
      <c r="I120" s="41" t="inlineStr">
        <is>
          <t>2024ACT_VDEF</t>
        </is>
      </c>
      <c r="J120" s="41" t="n">
        <v>2024</v>
      </c>
      <c r="K120" s="41" t="inlineStr">
        <is>
          <t>EUR</t>
        </is>
      </c>
      <c r="L120" s="42" t="n">
        <v>42909</v>
      </c>
    </row>
    <row r="121">
      <c r="B121" s="39" t="inlineStr">
        <is>
          <t>MBWAY_PAR</t>
        </is>
      </c>
      <c r="C121" s="40" t="inlineStr">
        <is>
          <t>BAC_MGT</t>
        </is>
      </c>
      <c r="D121" s="40" t="inlineStr">
        <is>
          <t>B3</t>
        </is>
      </c>
      <c r="E121" s="40" t="inlineStr">
        <is>
          <t>ALT</t>
        </is>
      </c>
      <c r="F121" s="40" t="inlineStr">
        <is>
          <t>613200</t>
        </is>
      </c>
      <c r="G121" s="39" t="inlineStr">
        <is>
          <t>Locations immobilières (loyers)</t>
        </is>
      </c>
      <c r="H121" s="40" t="inlineStr">
        <is>
          <t>COMPTABLE</t>
        </is>
      </c>
      <c r="I121" s="41" t="inlineStr">
        <is>
          <t>2025FCST_V4</t>
        </is>
      </c>
      <c r="J121" s="41" t="n">
        <v>2025</v>
      </c>
      <c r="K121" s="41" t="inlineStr">
        <is>
          <t>EUR</t>
        </is>
      </c>
      <c r="L121" s="42" t="n">
        <v>45167</v>
      </c>
    </row>
    <row r="122">
      <c r="B122" s="39" t="inlineStr">
        <is>
          <t>MBWAY_PAR</t>
        </is>
      </c>
      <c r="C122" s="40" t="inlineStr">
        <is>
          <t>BAC_MGT</t>
        </is>
      </c>
      <c r="D122" s="40" t="inlineStr">
        <is>
          <t>B3</t>
        </is>
      </c>
      <c r="E122" s="40" t="inlineStr">
        <is>
          <t>ALT</t>
        </is>
      </c>
      <c r="F122" s="40" t="inlineStr">
        <is>
          <t>641100</t>
        </is>
      </c>
      <c r="G122" s="39" t="inlineStr">
        <is>
          <t>Rémunérations du personnel permanent</t>
        </is>
      </c>
      <c r="H122" s="40" t="inlineStr">
        <is>
          <t>COMPTABLE</t>
        </is>
      </c>
      <c r="I122" s="41" t="inlineStr">
        <is>
          <t>2023ACT_VDEF</t>
        </is>
      </c>
      <c r="J122" s="41" t="n">
        <v>2023</v>
      </c>
      <c r="K122" s="41" t="inlineStr">
        <is>
          <t>EUR</t>
        </is>
      </c>
      <c r="L122" s="42" t="n">
        <v>95700</v>
      </c>
    </row>
    <row r="123">
      <c r="B123" s="39" t="inlineStr">
        <is>
          <t>MBWAY_PAR</t>
        </is>
      </c>
      <c r="C123" s="40" t="inlineStr">
        <is>
          <t>BAC_MGT</t>
        </is>
      </c>
      <c r="D123" s="40" t="inlineStr">
        <is>
          <t>B3</t>
        </is>
      </c>
      <c r="E123" s="40" t="inlineStr">
        <is>
          <t>ALT</t>
        </is>
      </c>
      <c r="F123" s="40" t="inlineStr">
        <is>
          <t>641100</t>
        </is>
      </c>
      <c r="G123" s="39" t="inlineStr">
        <is>
          <t>Rémunérations du personnel permanent</t>
        </is>
      </c>
      <c r="H123" s="40" t="inlineStr">
        <is>
          <t>COMPTABLE</t>
        </is>
      </c>
      <c r="I123" s="41" t="inlineStr">
        <is>
          <t>2024ACT_VDEF</t>
        </is>
      </c>
      <c r="J123" s="41" t="n">
        <v>2024</v>
      </c>
      <c r="K123" s="41" t="inlineStr">
        <is>
          <t>EUR</t>
        </is>
      </c>
      <c r="L123" s="42" t="n">
        <v>101016</v>
      </c>
    </row>
    <row r="124">
      <c r="B124" s="39" t="inlineStr">
        <is>
          <t>MBWAY_PAR</t>
        </is>
      </c>
      <c r="C124" s="40" t="inlineStr">
        <is>
          <t>BAC_MGT</t>
        </is>
      </c>
      <c r="D124" s="40" t="inlineStr">
        <is>
          <t>B3</t>
        </is>
      </c>
      <c r="E124" s="40" t="inlineStr">
        <is>
          <t>ALT</t>
        </is>
      </c>
      <c r="F124" s="40" t="inlineStr">
        <is>
          <t>641100</t>
        </is>
      </c>
      <c r="G124" s="39" t="inlineStr">
        <is>
          <t>Rémunérations du personnel permanent</t>
        </is>
      </c>
      <c r="H124" s="40" t="inlineStr">
        <is>
          <t>COMPTABLE</t>
        </is>
      </c>
      <c r="I124" s="41" t="inlineStr">
        <is>
          <t>2025FCST_V4</t>
        </is>
      </c>
      <c r="J124" s="41" t="n">
        <v>2025</v>
      </c>
      <c r="K124" s="41" t="inlineStr">
        <is>
          <t>EUR</t>
        </is>
      </c>
      <c r="L124" s="42" t="n">
        <v>106333</v>
      </c>
    </row>
    <row r="125">
      <c r="B125" s="39" t="inlineStr">
        <is>
          <t>MBWAY_PAR</t>
        </is>
      </c>
      <c r="C125" s="40" t="inlineStr">
        <is>
          <t>BAC_MGT</t>
        </is>
      </c>
      <c r="D125" s="40" t="inlineStr">
        <is>
          <t>B3</t>
        </is>
      </c>
      <c r="E125" s="40" t="inlineStr">
        <is>
          <t>ALT</t>
        </is>
      </c>
      <c r="F125" s="40" t="inlineStr">
        <is>
          <t>622600</t>
        </is>
      </c>
      <c r="G125" s="39" t="inlineStr">
        <is>
          <t>Honoraires &amp; frais de siège (structure groupe)</t>
        </is>
      </c>
      <c r="H125" s="40" t="inlineStr">
        <is>
          <t>COMPTABLE</t>
        </is>
      </c>
      <c r="I125" s="41" t="inlineStr">
        <is>
          <t>2023ACT_VDEF</t>
        </is>
      </c>
      <c r="J125" s="41" t="n">
        <v>2023</v>
      </c>
      <c r="K125" s="41" t="inlineStr">
        <is>
          <t>EUR</t>
        </is>
      </c>
      <c r="L125" s="42" t="n">
        <v>37032</v>
      </c>
    </row>
    <row r="126">
      <c r="B126" s="39" t="inlineStr">
        <is>
          <t>MBWAY_PAR</t>
        </is>
      </c>
      <c r="C126" s="40" t="inlineStr">
        <is>
          <t>BAC_MGT</t>
        </is>
      </c>
      <c r="D126" s="40" t="inlineStr">
        <is>
          <t>B3</t>
        </is>
      </c>
      <c r="E126" s="40" t="inlineStr">
        <is>
          <t>ALT</t>
        </is>
      </c>
      <c r="F126" s="40" t="inlineStr">
        <is>
          <t>622600</t>
        </is>
      </c>
      <c r="G126" s="39" t="inlineStr">
        <is>
          <t>Honoraires &amp; frais de siège (structure groupe)</t>
        </is>
      </c>
      <c r="H126" s="40" t="inlineStr">
        <is>
          <t>COMPTABLE</t>
        </is>
      </c>
      <c r="I126" s="41" t="inlineStr">
        <is>
          <t>2024ACT_VDEF</t>
        </is>
      </c>
      <c r="J126" s="41" t="n">
        <v>2024</v>
      </c>
      <c r="K126" s="41" t="inlineStr">
        <is>
          <t>EUR</t>
        </is>
      </c>
      <c r="L126" s="42" t="n">
        <v>39090</v>
      </c>
    </row>
    <row r="127">
      <c r="B127" s="39" t="inlineStr">
        <is>
          <t>MBWAY_PAR</t>
        </is>
      </c>
      <c r="C127" s="40" t="inlineStr">
        <is>
          <t>BAC_MGT</t>
        </is>
      </c>
      <c r="D127" s="40" t="inlineStr">
        <is>
          <t>B3</t>
        </is>
      </c>
      <c r="E127" s="40" t="inlineStr">
        <is>
          <t>ALT</t>
        </is>
      </c>
      <c r="F127" s="40" t="inlineStr">
        <is>
          <t>622600</t>
        </is>
      </c>
      <c r="G127" s="39" t="inlineStr">
        <is>
          <t>Honoraires &amp; frais de siège (structure groupe)</t>
        </is>
      </c>
      <c r="H127" s="40" t="inlineStr">
        <is>
          <t>COMPTABLE</t>
        </is>
      </c>
      <c r="I127" s="41" t="inlineStr">
        <is>
          <t>2025FCST_V4</t>
        </is>
      </c>
      <c r="J127" s="41" t="n">
        <v>2025</v>
      </c>
      <c r="K127" s="41" t="inlineStr">
        <is>
          <t>EUR</t>
        </is>
      </c>
      <c r="L127" s="42" t="n">
        <v>41147</v>
      </c>
    </row>
    <row r="128">
      <c r="B128" s="39" t="inlineStr">
        <is>
          <t>MBWAY_PAR</t>
        </is>
      </c>
      <c r="C128" s="40" t="inlineStr">
        <is>
          <t>BAC_MGT</t>
        </is>
      </c>
      <c r="D128" s="40" t="inlineStr">
        <is>
          <t>B3</t>
        </is>
      </c>
      <c r="E128" s="40" t="inlineStr">
        <is>
          <t>ALT</t>
        </is>
      </c>
      <c r="F128" s="40" t="inlineStr">
        <is>
          <t>606800</t>
        </is>
      </c>
      <c r="G128" s="39" t="inlineStr">
        <is>
          <t>Autres achats &amp; charges externes</t>
        </is>
      </c>
      <c r="H128" s="40" t="inlineStr">
        <is>
          <t>COMPTABLE</t>
        </is>
      </c>
      <c r="I128" s="41" t="inlineStr">
        <is>
          <t>2023ACT_VDEF</t>
        </is>
      </c>
      <c r="J128" s="41" t="n">
        <v>2023</v>
      </c>
      <c r="K128" s="41" t="inlineStr">
        <is>
          <t>EUR</t>
        </is>
      </c>
      <c r="L128" s="42" t="n">
        <v>48755</v>
      </c>
    </row>
    <row r="129">
      <c r="B129" s="39" t="inlineStr">
        <is>
          <t>MBWAY_PAR</t>
        </is>
      </c>
      <c r="C129" s="40" t="inlineStr">
        <is>
          <t>BAC_MGT</t>
        </is>
      </c>
      <c r="D129" s="40" t="inlineStr">
        <is>
          <t>B3</t>
        </is>
      </c>
      <c r="E129" s="40" t="inlineStr">
        <is>
          <t>ALT</t>
        </is>
      </c>
      <c r="F129" s="40" t="inlineStr">
        <is>
          <t>606800</t>
        </is>
      </c>
      <c r="G129" s="39" t="inlineStr">
        <is>
          <t>Autres achats &amp; charges externes</t>
        </is>
      </c>
      <c r="H129" s="40" t="inlineStr">
        <is>
          <t>COMPTABLE</t>
        </is>
      </c>
      <c r="I129" s="41" t="inlineStr">
        <is>
          <t>2024ACT_VDEF</t>
        </is>
      </c>
      <c r="J129" s="41" t="n">
        <v>2024</v>
      </c>
      <c r="K129" s="41" t="inlineStr">
        <is>
          <t>EUR</t>
        </is>
      </c>
      <c r="L129" s="42" t="n">
        <v>51463</v>
      </c>
    </row>
    <row r="130">
      <c r="B130" s="39" t="inlineStr">
        <is>
          <t>MBWAY_PAR</t>
        </is>
      </c>
      <c r="C130" s="40" t="inlineStr">
        <is>
          <t>BAC_MGT</t>
        </is>
      </c>
      <c r="D130" s="40" t="inlineStr">
        <is>
          <t>B3</t>
        </is>
      </c>
      <c r="E130" s="40" t="inlineStr">
        <is>
          <t>ALT</t>
        </is>
      </c>
      <c r="F130" s="40" t="inlineStr">
        <is>
          <t>606800</t>
        </is>
      </c>
      <c r="G130" s="39" t="inlineStr">
        <is>
          <t>Autres achats &amp; charges externes</t>
        </is>
      </c>
      <c r="H130" s="40" t="inlineStr">
        <is>
          <t>COMPTABLE</t>
        </is>
      </c>
      <c r="I130" s="41" t="inlineStr">
        <is>
          <t>2025FCST_V4</t>
        </is>
      </c>
      <c r="J130" s="41" t="n">
        <v>2025</v>
      </c>
      <c r="K130" s="41" t="inlineStr">
        <is>
          <t>EUR</t>
        </is>
      </c>
      <c r="L130" s="42" t="n">
        <v>54172</v>
      </c>
    </row>
    <row r="131">
      <c r="B131" s="39" t="inlineStr">
        <is>
          <t>MBWAY_PAR</t>
        </is>
      </c>
      <c r="C131" s="40" t="inlineStr">
        <is>
          <t>BAC_MGT</t>
        </is>
      </c>
      <c r="D131" s="40" t="inlineStr">
        <is>
          <t>B3</t>
        </is>
      </c>
      <c r="E131" s="40" t="inlineStr">
        <is>
          <t>ALT</t>
        </is>
      </c>
      <c r="F131" s="40" t="inlineStr">
        <is>
          <t>681100</t>
        </is>
      </c>
      <c r="G131" s="39" t="inlineStr">
        <is>
          <t>Dotations aux amortissements</t>
        </is>
      </c>
      <c r="H131" s="40" t="inlineStr">
        <is>
          <t>COMPTABLE</t>
        </is>
      </c>
      <c r="I131" s="41" t="inlineStr">
        <is>
          <t>2023ACT_VDEF</t>
        </is>
      </c>
      <c r="J131" s="41" t="n">
        <v>2023</v>
      </c>
      <c r="K131" s="41" t="inlineStr">
        <is>
          <t>EUR</t>
        </is>
      </c>
      <c r="L131" s="42" t="n">
        <v>22200</v>
      </c>
    </row>
    <row r="132">
      <c r="B132" s="39" t="inlineStr">
        <is>
          <t>MBWAY_PAR</t>
        </is>
      </c>
      <c r="C132" s="40" t="inlineStr">
        <is>
          <t>BAC_MGT</t>
        </is>
      </c>
      <c r="D132" s="40" t="inlineStr">
        <is>
          <t>B3</t>
        </is>
      </c>
      <c r="E132" s="40" t="inlineStr">
        <is>
          <t>ALT</t>
        </is>
      </c>
      <c r="F132" s="40" t="inlineStr">
        <is>
          <t>681100</t>
        </is>
      </c>
      <c r="G132" s="39" t="inlineStr">
        <is>
          <t>Dotations aux amortissements</t>
        </is>
      </c>
      <c r="H132" s="40" t="inlineStr">
        <is>
          <t>COMPTABLE</t>
        </is>
      </c>
      <c r="I132" s="41" t="inlineStr">
        <is>
          <t>2024ACT_VDEF</t>
        </is>
      </c>
      <c r="J132" s="41" t="n">
        <v>2024</v>
      </c>
      <c r="K132" s="41" t="inlineStr">
        <is>
          <t>EUR</t>
        </is>
      </c>
      <c r="L132" s="42" t="n">
        <v>23434</v>
      </c>
    </row>
    <row r="133">
      <c r="B133" s="39" t="inlineStr">
        <is>
          <t>MBWAY_PAR</t>
        </is>
      </c>
      <c r="C133" s="40" t="inlineStr">
        <is>
          <t>BAC_MGT</t>
        </is>
      </c>
      <c r="D133" s="40" t="inlineStr">
        <is>
          <t>B3</t>
        </is>
      </c>
      <c r="E133" s="40" t="inlineStr">
        <is>
          <t>ALT</t>
        </is>
      </c>
      <c r="F133" s="40" t="inlineStr">
        <is>
          <t>681100</t>
        </is>
      </c>
      <c r="G133" s="39" t="inlineStr">
        <is>
          <t>Dotations aux amortissements</t>
        </is>
      </c>
      <c r="H133" s="40" t="inlineStr">
        <is>
          <t>COMPTABLE</t>
        </is>
      </c>
      <c r="I133" s="41" t="inlineStr">
        <is>
          <t>2025FCST_V4</t>
        </is>
      </c>
      <c r="J133" s="41" t="n">
        <v>2025</v>
      </c>
      <c r="K133" s="41" t="inlineStr">
        <is>
          <t>EUR</t>
        </is>
      </c>
      <c r="L133" s="42" t="n">
        <v>24667</v>
      </c>
    </row>
    <row r="134">
      <c r="B134" s="39" t="inlineStr">
        <is>
          <t>MBWAY_PAR</t>
        </is>
      </c>
      <c r="C134" s="40" t="inlineStr">
        <is>
          <t>BAC_MGT</t>
        </is>
      </c>
      <c r="D134" s="40" t="inlineStr">
        <is>
          <t>B3</t>
        </is>
      </c>
      <c r="E134" s="40" t="inlineStr">
        <is>
          <t>ALT</t>
        </is>
      </c>
      <c r="F134" s="40" t="inlineStr">
        <is>
          <t>STA_EFF</t>
        </is>
      </c>
      <c r="G134" s="39" t="inlineStr">
        <is>
          <t>Effectif inscrit</t>
        </is>
      </c>
      <c r="H134" s="40" t="inlineStr">
        <is>
          <t>TECHNIQUE</t>
        </is>
      </c>
      <c r="I134" s="41" t="inlineStr">
        <is>
          <t>2023ACT_VDEF</t>
        </is>
      </c>
      <c r="J134" s="41" t="n">
        <v>2023</v>
      </c>
      <c r="K134" s="41" t="inlineStr">
        <is>
          <t>NB</t>
        </is>
      </c>
      <c r="L134" s="43" t="n">
        <v>52</v>
      </c>
    </row>
    <row r="135">
      <c r="B135" s="39" t="inlineStr">
        <is>
          <t>MBWAY_PAR</t>
        </is>
      </c>
      <c r="C135" s="40" t="inlineStr">
        <is>
          <t>BAC_MGT</t>
        </is>
      </c>
      <c r="D135" s="40" t="inlineStr">
        <is>
          <t>B3</t>
        </is>
      </c>
      <c r="E135" s="40" t="inlineStr">
        <is>
          <t>ALT</t>
        </is>
      </c>
      <c r="F135" s="40" t="inlineStr">
        <is>
          <t>STA_EFF</t>
        </is>
      </c>
      <c r="G135" s="39" t="inlineStr">
        <is>
          <t>Effectif inscrit</t>
        </is>
      </c>
      <c r="H135" s="40" t="inlineStr">
        <is>
          <t>TECHNIQUE</t>
        </is>
      </c>
      <c r="I135" s="41" t="inlineStr">
        <is>
          <t>2024ACT_VDEF</t>
        </is>
      </c>
      <c r="J135" s="41" t="n">
        <v>2024</v>
      </c>
      <c r="K135" s="41" t="inlineStr">
        <is>
          <t>NB</t>
        </is>
      </c>
      <c r="L135" s="43" t="n">
        <v>55</v>
      </c>
    </row>
    <row r="136">
      <c r="B136" s="39" t="inlineStr">
        <is>
          <t>MBWAY_PAR</t>
        </is>
      </c>
      <c r="C136" s="40" t="inlineStr">
        <is>
          <t>BAC_MGT</t>
        </is>
      </c>
      <c r="D136" s="40" t="inlineStr">
        <is>
          <t>B3</t>
        </is>
      </c>
      <c r="E136" s="40" t="inlineStr">
        <is>
          <t>ALT</t>
        </is>
      </c>
      <c r="F136" s="40" t="inlineStr">
        <is>
          <t>STA_EFF</t>
        </is>
      </c>
      <c r="G136" s="39" t="inlineStr">
        <is>
          <t>Effectif inscrit</t>
        </is>
      </c>
      <c r="H136" s="40" t="inlineStr">
        <is>
          <t>TECHNIQUE</t>
        </is>
      </c>
      <c r="I136" s="41" t="inlineStr">
        <is>
          <t>2025FCST_V4</t>
        </is>
      </c>
      <c r="J136" s="41" t="n">
        <v>2025</v>
      </c>
      <c r="K136" s="41" t="inlineStr">
        <is>
          <t>NB</t>
        </is>
      </c>
      <c r="L136" s="43" t="n">
        <v>58</v>
      </c>
    </row>
    <row r="137">
      <c r="B137" s="39" t="inlineStr">
        <is>
          <t>MBWAY_PAR</t>
        </is>
      </c>
      <c r="C137" s="40" t="inlineStr">
        <is>
          <t>BAC_MGT</t>
        </is>
      </c>
      <c r="D137" s="40" t="inlineStr">
        <is>
          <t>B3</t>
        </is>
      </c>
      <c r="E137" s="40" t="inlineStr">
        <is>
          <t>ALT</t>
        </is>
      </c>
      <c r="F137" s="40" t="inlineStr">
        <is>
          <t>STA_REINS</t>
        </is>
      </c>
      <c r="G137" s="39" t="inlineStr">
        <is>
          <t>Réinscrits</t>
        </is>
      </c>
      <c r="H137" s="40" t="inlineStr">
        <is>
          <t>TECHNIQUE</t>
        </is>
      </c>
      <c r="I137" s="41" t="inlineStr">
        <is>
          <t>2023ACT_VDEF</t>
        </is>
      </c>
      <c r="J137" s="41" t="n">
        <v>2023</v>
      </c>
      <c r="K137" s="41" t="inlineStr">
        <is>
          <t>NB</t>
        </is>
      </c>
      <c r="L137" s="43" t="n">
        <v>52</v>
      </c>
    </row>
    <row r="138">
      <c r="B138" s="39" t="inlineStr">
        <is>
          <t>MBWAY_PAR</t>
        </is>
      </c>
      <c r="C138" s="40" t="inlineStr">
        <is>
          <t>BAC_MGT</t>
        </is>
      </c>
      <c r="D138" s="40" t="inlineStr">
        <is>
          <t>B3</t>
        </is>
      </c>
      <c r="E138" s="40" t="inlineStr">
        <is>
          <t>ALT</t>
        </is>
      </c>
      <c r="F138" s="40" t="inlineStr">
        <is>
          <t>STA_REINS</t>
        </is>
      </c>
      <c r="G138" s="39" t="inlineStr">
        <is>
          <t>Réinscrits</t>
        </is>
      </c>
      <c r="H138" s="40" t="inlineStr">
        <is>
          <t>TECHNIQUE</t>
        </is>
      </c>
      <c r="I138" s="41" t="inlineStr">
        <is>
          <t>2024ACT_VDEF</t>
        </is>
      </c>
      <c r="J138" s="41" t="n">
        <v>2024</v>
      </c>
      <c r="K138" s="41" t="inlineStr">
        <is>
          <t>NB</t>
        </is>
      </c>
      <c r="L138" s="43" t="n">
        <v>55</v>
      </c>
    </row>
    <row r="139">
      <c r="B139" s="39" t="inlineStr">
        <is>
          <t>MBWAY_PAR</t>
        </is>
      </c>
      <c r="C139" s="40" t="inlineStr">
        <is>
          <t>BAC_MGT</t>
        </is>
      </c>
      <c r="D139" s="40" t="inlineStr">
        <is>
          <t>B3</t>
        </is>
      </c>
      <c r="E139" s="40" t="inlineStr">
        <is>
          <t>ALT</t>
        </is>
      </c>
      <c r="F139" s="40" t="inlineStr">
        <is>
          <t>STA_REINS</t>
        </is>
      </c>
      <c r="G139" s="39" t="inlineStr">
        <is>
          <t>Réinscrits</t>
        </is>
      </c>
      <c r="H139" s="40" t="inlineStr">
        <is>
          <t>TECHNIQUE</t>
        </is>
      </c>
      <c r="I139" s="41" t="inlineStr">
        <is>
          <t>2025FCST_V4</t>
        </is>
      </c>
      <c r="J139" s="41" t="n">
        <v>2025</v>
      </c>
      <c r="K139" s="41" t="inlineStr">
        <is>
          <t>NB</t>
        </is>
      </c>
      <c r="L139" s="43" t="n">
        <v>58</v>
      </c>
    </row>
    <row r="140">
      <c r="B140" s="39" t="inlineStr">
        <is>
          <t>MBWAY_PAR</t>
        </is>
      </c>
      <c r="C140" s="40" t="inlineStr">
        <is>
          <t>BAC_MGT</t>
        </is>
      </c>
      <c r="D140" s="40" t="inlineStr">
        <is>
          <t>B3</t>
        </is>
      </c>
      <c r="E140" s="40" t="inlineStr">
        <is>
          <t>ALT</t>
        </is>
      </c>
      <c r="F140" s="40" t="inlineStr">
        <is>
          <t>STA_CLASS</t>
        </is>
      </c>
      <c r="G140" s="39" t="inlineStr">
        <is>
          <t>Nombre de classes</t>
        </is>
      </c>
      <c r="H140" s="40" t="inlineStr">
        <is>
          <t>TECHNIQUE</t>
        </is>
      </c>
      <c r="I140" s="41" t="inlineStr">
        <is>
          <t>2023ACT_VDEF</t>
        </is>
      </c>
      <c r="J140" s="41" t="n">
        <v>2023</v>
      </c>
      <c r="K140" s="41" t="inlineStr">
        <is>
          <t>NB</t>
        </is>
      </c>
      <c r="L140" s="43" t="n">
        <v>2</v>
      </c>
    </row>
    <row r="141">
      <c r="B141" s="39" t="inlineStr">
        <is>
          <t>MBWAY_PAR</t>
        </is>
      </c>
      <c r="C141" s="40" t="inlineStr">
        <is>
          <t>BAC_MGT</t>
        </is>
      </c>
      <c r="D141" s="40" t="inlineStr">
        <is>
          <t>B3</t>
        </is>
      </c>
      <c r="E141" s="40" t="inlineStr">
        <is>
          <t>ALT</t>
        </is>
      </c>
      <c r="F141" s="40" t="inlineStr">
        <is>
          <t>STA_CLASS</t>
        </is>
      </c>
      <c r="G141" s="39" t="inlineStr">
        <is>
          <t>Nombre de classes</t>
        </is>
      </c>
      <c r="H141" s="40" t="inlineStr">
        <is>
          <t>TECHNIQUE</t>
        </is>
      </c>
      <c r="I141" s="41" t="inlineStr">
        <is>
          <t>2024ACT_VDEF</t>
        </is>
      </c>
      <c r="J141" s="41" t="n">
        <v>2024</v>
      </c>
      <c r="K141" s="41" t="inlineStr">
        <is>
          <t>NB</t>
        </is>
      </c>
      <c r="L141" s="43" t="n">
        <v>2</v>
      </c>
    </row>
    <row r="142">
      <c r="B142" s="39" t="inlineStr">
        <is>
          <t>MBWAY_PAR</t>
        </is>
      </c>
      <c r="C142" s="40" t="inlineStr">
        <is>
          <t>BAC_MGT</t>
        </is>
      </c>
      <c r="D142" s="40" t="inlineStr">
        <is>
          <t>B3</t>
        </is>
      </c>
      <c r="E142" s="40" t="inlineStr">
        <is>
          <t>ALT</t>
        </is>
      </c>
      <c r="F142" s="40" t="inlineStr">
        <is>
          <t>STA_CLASS</t>
        </is>
      </c>
      <c r="G142" s="39" t="inlineStr">
        <is>
          <t>Nombre de classes</t>
        </is>
      </c>
      <c r="H142" s="40" t="inlineStr">
        <is>
          <t>TECHNIQUE</t>
        </is>
      </c>
      <c r="I142" s="41" t="inlineStr">
        <is>
          <t>2025FCST_V4</t>
        </is>
      </c>
      <c r="J142" s="41" t="n">
        <v>2025</v>
      </c>
      <c r="K142" s="41" t="inlineStr">
        <is>
          <t>NB</t>
        </is>
      </c>
      <c r="L142" s="43" t="n">
        <v>2</v>
      </c>
    </row>
    <row r="143">
      <c r="B143" s="39" t="inlineStr">
        <is>
          <t>MBWAY_PAR</t>
        </is>
      </c>
      <c r="C143" s="40" t="inlineStr">
        <is>
          <t>BAC_MGT</t>
        </is>
      </c>
      <c r="D143" s="40" t="inlineStr">
        <is>
          <t>B3</t>
        </is>
      </c>
      <c r="E143" s="40" t="inlineStr">
        <is>
          <t>ALT</t>
        </is>
      </c>
      <c r="F143" s="40" t="inlineStr">
        <is>
          <t>STA_HEURE</t>
        </is>
      </c>
      <c r="G143" s="39" t="inlineStr">
        <is>
          <t>Heures d'enseignement</t>
        </is>
      </c>
      <c r="H143" s="40" t="inlineStr">
        <is>
          <t>TECHNIQUE</t>
        </is>
      </c>
      <c r="I143" s="41" t="inlineStr">
        <is>
          <t>2023ACT_VDEF</t>
        </is>
      </c>
      <c r="J143" s="41" t="n">
        <v>2023</v>
      </c>
      <c r="K143" s="41" t="inlineStr">
        <is>
          <t>NB</t>
        </is>
      </c>
      <c r="L143" s="43" t="n">
        <v>936</v>
      </c>
    </row>
    <row r="144">
      <c r="B144" s="39" t="inlineStr">
        <is>
          <t>MBWAY_PAR</t>
        </is>
      </c>
      <c r="C144" s="40" t="inlineStr">
        <is>
          <t>BAC_MGT</t>
        </is>
      </c>
      <c r="D144" s="40" t="inlineStr">
        <is>
          <t>B3</t>
        </is>
      </c>
      <c r="E144" s="40" t="inlineStr">
        <is>
          <t>ALT</t>
        </is>
      </c>
      <c r="F144" s="40" t="inlineStr">
        <is>
          <t>STA_HEURE</t>
        </is>
      </c>
      <c r="G144" s="39" t="inlineStr">
        <is>
          <t>Heures d'enseignement</t>
        </is>
      </c>
      <c r="H144" s="40" t="inlineStr">
        <is>
          <t>TECHNIQUE</t>
        </is>
      </c>
      <c r="I144" s="41" t="inlineStr">
        <is>
          <t>2024ACT_VDEF</t>
        </is>
      </c>
      <c r="J144" s="41" t="n">
        <v>2024</v>
      </c>
      <c r="K144" s="41" t="inlineStr">
        <is>
          <t>NB</t>
        </is>
      </c>
      <c r="L144" s="43" t="n">
        <v>988</v>
      </c>
    </row>
    <row r="145">
      <c r="B145" s="39" t="inlineStr">
        <is>
          <t>MBWAY_PAR</t>
        </is>
      </c>
      <c r="C145" s="40" t="inlineStr">
        <is>
          <t>BAC_MGT</t>
        </is>
      </c>
      <c r="D145" s="40" t="inlineStr">
        <is>
          <t>B3</t>
        </is>
      </c>
      <c r="E145" s="40" t="inlineStr">
        <is>
          <t>ALT</t>
        </is>
      </c>
      <c r="F145" s="40" t="inlineStr">
        <is>
          <t>STA_HEURE</t>
        </is>
      </c>
      <c r="G145" s="39" t="inlineStr">
        <is>
          <t>Heures d'enseignement</t>
        </is>
      </c>
      <c r="H145" s="40" t="inlineStr">
        <is>
          <t>TECHNIQUE</t>
        </is>
      </c>
      <c r="I145" s="41" t="inlineStr">
        <is>
          <t>2025FCST_V4</t>
        </is>
      </c>
      <c r="J145" s="41" t="n">
        <v>2025</v>
      </c>
      <c r="K145" s="41" t="inlineStr">
        <is>
          <t>NB</t>
        </is>
      </c>
      <c r="L145" s="43" t="n">
        <v>1040</v>
      </c>
    </row>
    <row r="146">
      <c r="B146" s="39" t="inlineStr">
        <is>
          <t>MBWAY_PAR</t>
        </is>
      </c>
      <c r="C146" s="40" t="inlineStr">
        <is>
          <t>BAC_MGT</t>
        </is>
      </c>
      <c r="D146" s="40" t="inlineStr">
        <is>
          <t>B3</t>
        </is>
      </c>
      <c r="E146" s="40" t="inlineStr">
        <is>
          <t>ALT</t>
        </is>
      </c>
      <c r="F146" s="40" t="inlineStr">
        <is>
          <t>STA_CAPA</t>
        </is>
      </c>
      <c r="G146" s="39" t="inlineStr">
        <is>
          <t>Capacité par classe</t>
        </is>
      </c>
      <c r="H146" s="40" t="inlineStr">
        <is>
          <t>TECHNIQUE</t>
        </is>
      </c>
      <c r="I146" s="41" t="inlineStr">
        <is>
          <t>2023ACT_VDEF</t>
        </is>
      </c>
      <c r="J146" s="41" t="n">
        <v>2023</v>
      </c>
      <c r="K146" s="41" t="inlineStr">
        <is>
          <t>NB</t>
        </is>
      </c>
      <c r="L146" s="43" t="n">
        <v>32</v>
      </c>
    </row>
    <row r="147">
      <c r="B147" s="39" t="inlineStr">
        <is>
          <t>MBWAY_PAR</t>
        </is>
      </c>
      <c r="C147" s="40" t="inlineStr">
        <is>
          <t>BAC_MGT</t>
        </is>
      </c>
      <c r="D147" s="40" t="inlineStr">
        <is>
          <t>B3</t>
        </is>
      </c>
      <c r="E147" s="40" t="inlineStr">
        <is>
          <t>ALT</t>
        </is>
      </c>
      <c r="F147" s="40" t="inlineStr">
        <is>
          <t>STA_CAPA</t>
        </is>
      </c>
      <c r="G147" s="39" t="inlineStr">
        <is>
          <t>Capacité par classe</t>
        </is>
      </c>
      <c r="H147" s="40" t="inlineStr">
        <is>
          <t>TECHNIQUE</t>
        </is>
      </c>
      <c r="I147" s="41" t="inlineStr">
        <is>
          <t>2024ACT_VDEF</t>
        </is>
      </c>
      <c r="J147" s="41" t="n">
        <v>2024</v>
      </c>
      <c r="K147" s="41" t="inlineStr">
        <is>
          <t>NB</t>
        </is>
      </c>
      <c r="L147" s="43" t="n">
        <v>32</v>
      </c>
    </row>
    <row r="148">
      <c r="B148" s="39" t="inlineStr">
        <is>
          <t>MBWAY_PAR</t>
        </is>
      </c>
      <c r="C148" s="40" t="inlineStr">
        <is>
          <t>BAC_MGT</t>
        </is>
      </c>
      <c r="D148" s="40" t="inlineStr">
        <is>
          <t>B3</t>
        </is>
      </c>
      <c r="E148" s="40" t="inlineStr">
        <is>
          <t>ALT</t>
        </is>
      </c>
      <c r="F148" s="40" t="inlineStr">
        <is>
          <t>STA_CAPA</t>
        </is>
      </c>
      <c r="G148" s="39" t="inlineStr">
        <is>
          <t>Capacité par classe</t>
        </is>
      </c>
      <c r="H148" s="40" t="inlineStr">
        <is>
          <t>TECHNIQUE</t>
        </is>
      </c>
      <c r="I148" s="41" t="inlineStr">
        <is>
          <t>2025FCST_V4</t>
        </is>
      </c>
      <c r="J148" s="41" t="n">
        <v>2025</v>
      </c>
      <c r="K148" s="41" t="inlineStr">
        <is>
          <t>NB</t>
        </is>
      </c>
      <c r="L148" s="43" t="n">
        <v>32</v>
      </c>
    </row>
    <row r="149">
      <c r="B149" s="39" t="inlineStr">
        <is>
          <t>MBWAY_PAR</t>
        </is>
      </c>
      <c r="C149" s="40" t="inlineStr">
        <is>
          <t>BAC_MGT</t>
        </is>
      </c>
      <c r="D149" s="40" t="inlineStr">
        <is>
          <t>B3</t>
        </is>
      </c>
      <c r="E149" s="40" t="inlineStr">
        <is>
          <t>ALT</t>
        </is>
      </c>
      <c r="F149" s="40" t="inlineStr">
        <is>
          <t>DRV_PASS</t>
        </is>
      </c>
      <c r="G149" s="39" t="inlineStr">
        <is>
          <t>Taux de passage (réinscription)</t>
        </is>
      </c>
      <c r="H149" s="40" t="inlineStr">
        <is>
          <t>TECHNIQUE</t>
        </is>
      </c>
      <c r="I149" s="41" t="inlineStr">
        <is>
          <t>2023ACT_VDEF</t>
        </is>
      </c>
      <c r="J149" s="41" t="n">
        <v>2023</v>
      </c>
      <c r="K149" s="41" t="inlineStr">
        <is>
          <t>PCT</t>
        </is>
      </c>
      <c r="L149" s="44" t="n">
        <v>0.95</v>
      </c>
    </row>
    <row r="150">
      <c r="B150" s="39" t="inlineStr">
        <is>
          <t>MBWAY_PAR</t>
        </is>
      </c>
      <c r="C150" s="40" t="inlineStr">
        <is>
          <t>BAC_MGT</t>
        </is>
      </c>
      <c r="D150" s="40" t="inlineStr">
        <is>
          <t>B3</t>
        </is>
      </c>
      <c r="E150" s="40" t="inlineStr">
        <is>
          <t>ALT</t>
        </is>
      </c>
      <c r="F150" s="40" t="inlineStr">
        <is>
          <t>DRV_PASS</t>
        </is>
      </c>
      <c r="G150" s="39" t="inlineStr">
        <is>
          <t>Taux de passage (réinscription)</t>
        </is>
      </c>
      <c r="H150" s="40" t="inlineStr">
        <is>
          <t>TECHNIQUE</t>
        </is>
      </c>
      <c r="I150" s="41" t="inlineStr">
        <is>
          <t>2024ACT_VDEF</t>
        </is>
      </c>
      <c r="J150" s="41" t="n">
        <v>2024</v>
      </c>
      <c r="K150" s="41" t="inlineStr">
        <is>
          <t>PCT</t>
        </is>
      </c>
      <c r="L150" s="44" t="n">
        <v>0.95</v>
      </c>
    </row>
    <row r="151">
      <c r="B151" s="39" t="inlineStr">
        <is>
          <t>MBWAY_PAR</t>
        </is>
      </c>
      <c r="C151" s="40" t="inlineStr">
        <is>
          <t>BAC_MGT</t>
        </is>
      </c>
      <c r="D151" s="40" t="inlineStr">
        <is>
          <t>B3</t>
        </is>
      </c>
      <c r="E151" s="40" t="inlineStr">
        <is>
          <t>ALT</t>
        </is>
      </c>
      <c r="F151" s="40" t="inlineStr">
        <is>
          <t>DRV_PASS</t>
        </is>
      </c>
      <c r="G151" s="39" t="inlineStr">
        <is>
          <t>Taux de passage (réinscription)</t>
        </is>
      </c>
      <c r="H151" s="40" t="inlineStr">
        <is>
          <t>TECHNIQUE</t>
        </is>
      </c>
      <c r="I151" s="41" t="inlineStr">
        <is>
          <t>2025FCST_V4</t>
        </is>
      </c>
      <c r="J151" s="41" t="n">
        <v>2025</v>
      </c>
      <c r="K151" s="41" t="inlineStr">
        <is>
          <t>PCT</t>
        </is>
      </c>
      <c r="L151" s="44" t="n">
        <v>0.95</v>
      </c>
    </row>
    <row r="152">
      <c r="B152" s="39" t="inlineStr">
        <is>
          <t>MBWAY_PAR</t>
        </is>
      </c>
      <c r="C152" s="40" t="inlineStr">
        <is>
          <t>BAC_MGT</t>
        </is>
      </c>
      <c r="D152" s="40" t="inlineStr">
        <is>
          <t>B3</t>
        </is>
      </c>
      <c r="E152" s="40" t="inlineStr">
        <is>
          <t>ALT</t>
        </is>
      </c>
      <c r="F152" s="40" t="inlineStr">
        <is>
          <t>PRX_TARIF</t>
        </is>
      </c>
      <c r="G152" s="39" t="inlineStr">
        <is>
          <t>Tarif moyen scolarité</t>
        </is>
      </c>
      <c r="H152" s="40" t="inlineStr">
        <is>
          <t>TECHNIQUE</t>
        </is>
      </c>
      <c r="I152" s="41" t="inlineStr">
        <is>
          <t>2023ACT_VDEF</t>
        </is>
      </c>
      <c r="J152" s="41" t="n">
        <v>2023</v>
      </c>
      <c r="K152" s="41" t="inlineStr">
        <is>
          <t>EUR</t>
        </is>
      </c>
      <c r="L152" s="42" t="n">
        <v>8000</v>
      </c>
    </row>
    <row r="153">
      <c r="B153" s="39" t="inlineStr">
        <is>
          <t>MBWAY_PAR</t>
        </is>
      </c>
      <c r="C153" s="40" t="inlineStr">
        <is>
          <t>BAC_MGT</t>
        </is>
      </c>
      <c r="D153" s="40" t="inlineStr">
        <is>
          <t>B3</t>
        </is>
      </c>
      <c r="E153" s="40" t="inlineStr">
        <is>
          <t>ALT</t>
        </is>
      </c>
      <c r="F153" s="40" t="inlineStr">
        <is>
          <t>PRX_TARIF</t>
        </is>
      </c>
      <c r="G153" s="39" t="inlineStr">
        <is>
          <t>Tarif moyen scolarité</t>
        </is>
      </c>
      <c r="H153" s="40" t="inlineStr">
        <is>
          <t>TECHNIQUE</t>
        </is>
      </c>
      <c r="I153" s="41" t="inlineStr">
        <is>
          <t>2024ACT_VDEF</t>
        </is>
      </c>
      <c r="J153" s="41" t="n">
        <v>2024</v>
      </c>
      <c r="K153" s="41" t="inlineStr">
        <is>
          <t>EUR</t>
        </is>
      </c>
      <c r="L153" s="42" t="n">
        <v>8000</v>
      </c>
    </row>
    <row r="154">
      <c r="B154" s="39" t="inlineStr">
        <is>
          <t>MBWAY_PAR</t>
        </is>
      </c>
      <c r="C154" s="40" t="inlineStr">
        <is>
          <t>BAC_MGT</t>
        </is>
      </c>
      <c r="D154" s="40" t="inlineStr">
        <is>
          <t>B3</t>
        </is>
      </c>
      <c r="E154" s="40" t="inlineStr">
        <is>
          <t>ALT</t>
        </is>
      </c>
      <c r="F154" s="40" t="inlineStr">
        <is>
          <t>PRX_TARIF</t>
        </is>
      </c>
      <c r="G154" s="39" t="inlineStr">
        <is>
          <t>Tarif moyen scolarité</t>
        </is>
      </c>
      <c r="H154" s="40" t="inlineStr">
        <is>
          <t>TECHNIQUE</t>
        </is>
      </c>
      <c r="I154" s="41" t="inlineStr">
        <is>
          <t>2025FCST_V4</t>
        </is>
      </c>
      <c r="J154" s="41" t="n">
        <v>2025</v>
      </c>
      <c r="K154" s="41" t="inlineStr">
        <is>
          <t>EUR</t>
        </is>
      </c>
      <c r="L154" s="42" t="n">
        <v>8000</v>
      </c>
    </row>
    <row r="155">
      <c r="B155" s="39" t="inlineStr">
        <is>
          <t>MBWAY_PAR</t>
        </is>
      </c>
      <c r="C155" s="40" t="inlineStr">
        <is>
          <t>MAS_MGT</t>
        </is>
      </c>
      <c r="D155" s="40" t="inlineStr">
        <is>
          <t>M1</t>
        </is>
      </c>
      <c r="E155" s="40" t="inlineStr">
        <is>
          <t>ALT</t>
        </is>
      </c>
      <c r="F155" s="40" t="inlineStr">
        <is>
          <t>706100</t>
        </is>
      </c>
      <c r="G155" s="39" t="inlineStr">
        <is>
          <t>Droits de scolarité</t>
        </is>
      </c>
      <c r="H155" s="40" t="inlineStr">
        <is>
          <t>COMPTABLE</t>
        </is>
      </c>
      <c r="I155" s="41" t="inlineStr">
        <is>
          <t>2023ACT_VDEF</t>
        </is>
      </c>
      <c r="J155" s="41" t="n">
        <v>2023</v>
      </c>
      <c r="K155" s="41" t="inlineStr">
        <is>
          <t>EUR</t>
        </is>
      </c>
      <c r="L155" s="42" t="n">
        <v>380700</v>
      </c>
    </row>
    <row r="156">
      <c r="B156" s="39" t="inlineStr">
        <is>
          <t>MBWAY_PAR</t>
        </is>
      </c>
      <c r="C156" s="40" t="inlineStr">
        <is>
          <t>MAS_MGT</t>
        </is>
      </c>
      <c r="D156" s="40" t="inlineStr">
        <is>
          <t>M1</t>
        </is>
      </c>
      <c r="E156" s="40" t="inlineStr">
        <is>
          <t>ALT</t>
        </is>
      </c>
      <c r="F156" s="40" t="inlineStr">
        <is>
          <t>706100</t>
        </is>
      </c>
      <c r="G156" s="39" t="inlineStr">
        <is>
          <t>Droits de scolarité</t>
        </is>
      </c>
      <c r="H156" s="40" t="inlineStr">
        <is>
          <t>COMPTABLE</t>
        </is>
      </c>
      <c r="I156" s="41" t="inlineStr">
        <is>
          <t>2024ACT_VDEF</t>
        </is>
      </c>
      <c r="J156" s="41" t="n">
        <v>2024</v>
      </c>
      <c r="K156" s="41" t="inlineStr">
        <is>
          <t>EUR</t>
        </is>
      </c>
      <c r="L156" s="42" t="n">
        <v>401850</v>
      </c>
    </row>
    <row r="157">
      <c r="B157" s="39" t="inlineStr">
        <is>
          <t>MBWAY_PAR</t>
        </is>
      </c>
      <c r="C157" s="40" t="inlineStr">
        <is>
          <t>MAS_MGT</t>
        </is>
      </c>
      <c r="D157" s="40" t="inlineStr">
        <is>
          <t>M1</t>
        </is>
      </c>
      <c r="E157" s="40" t="inlineStr">
        <is>
          <t>ALT</t>
        </is>
      </c>
      <c r="F157" s="40" t="inlineStr">
        <is>
          <t>706100</t>
        </is>
      </c>
      <c r="G157" s="39" t="inlineStr">
        <is>
          <t>Droits de scolarité</t>
        </is>
      </c>
      <c r="H157" s="40" t="inlineStr">
        <is>
          <t>COMPTABLE</t>
        </is>
      </c>
      <c r="I157" s="41" t="inlineStr">
        <is>
          <t>2025FCST_V4</t>
        </is>
      </c>
      <c r="J157" s="41" t="n">
        <v>2025</v>
      </c>
      <c r="K157" s="41" t="inlineStr">
        <is>
          <t>EUR</t>
        </is>
      </c>
      <c r="L157" s="42" t="n">
        <v>423000</v>
      </c>
    </row>
    <row r="158">
      <c r="B158" s="39" t="inlineStr">
        <is>
          <t>MBWAY_PAR</t>
        </is>
      </c>
      <c r="C158" s="40" t="inlineStr">
        <is>
          <t>MAS_MGT</t>
        </is>
      </c>
      <c r="D158" s="40" t="inlineStr">
        <is>
          <t>M1</t>
        </is>
      </c>
      <c r="E158" s="40" t="inlineStr">
        <is>
          <t>ALT</t>
        </is>
      </c>
      <c r="F158" s="40" t="inlineStr">
        <is>
          <t>708500</t>
        </is>
      </c>
      <c r="G158" s="39" t="inlineStr">
        <is>
          <t>Frais de dossier / inscription</t>
        </is>
      </c>
      <c r="H158" s="40" t="inlineStr">
        <is>
          <t>COMPTABLE</t>
        </is>
      </c>
      <c r="I158" s="41" t="inlineStr">
        <is>
          <t>2023ACT_VDEF</t>
        </is>
      </c>
      <c r="J158" s="41" t="n">
        <v>2023</v>
      </c>
      <c r="K158" s="41" t="inlineStr">
        <is>
          <t>EUR</t>
        </is>
      </c>
      <c r="L158" s="42" t="n">
        <v>3807</v>
      </c>
    </row>
    <row r="159">
      <c r="B159" s="39" t="inlineStr">
        <is>
          <t>MBWAY_PAR</t>
        </is>
      </c>
      <c r="C159" s="40" t="inlineStr">
        <is>
          <t>MAS_MGT</t>
        </is>
      </c>
      <c r="D159" s="40" t="inlineStr">
        <is>
          <t>M1</t>
        </is>
      </c>
      <c r="E159" s="40" t="inlineStr">
        <is>
          <t>ALT</t>
        </is>
      </c>
      <c r="F159" s="40" t="inlineStr">
        <is>
          <t>708500</t>
        </is>
      </c>
      <c r="G159" s="39" t="inlineStr">
        <is>
          <t>Frais de dossier / inscription</t>
        </is>
      </c>
      <c r="H159" s="40" t="inlineStr">
        <is>
          <t>COMPTABLE</t>
        </is>
      </c>
      <c r="I159" s="41" t="inlineStr">
        <is>
          <t>2024ACT_VDEF</t>
        </is>
      </c>
      <c r="J159" s="41" t="n">
        <v>2024</v>
      </c>
      <c r="K159" s="41" t="inlineStr">
        <is>
          <t>EUR</t>
        </is>
      </c>
      <c r="L159" s="42" t="n">
        <v>4018</v>
      </c>
    </row>
    <row r="160">
      <c r="B160" s="39" t="inlineStr">
        <is>
          <t>MBWAY_PAR</t>
        </is>
      </c>
      <c r="C160" s="40" t="inlineStr">
        <is>
          <t>MAS_MGT</t>
        </is>
      </c>
      <c r="D160" s="40" t="inlineStr">
        <is>
          <t>M1</t>
        </is>
      </c>
      <c r="E160" s="40" t="inlineStr">
        <is>
          <t>ALT</t>
        </is>
      </c>
      <c r="F160" s="40" t="inlineStr">
        <is>
          <t>708500</t>
        </is>
      </c>
      <c r="G160" s="39" t="inlineStr">
        <is>
          <t>Frais de dossier / inscription</t>
        </is>
      </c>
      <c r="H160" s="40" t="inlineStr">
        <is>
          <t>COMPTABLE</t>
        </is>
      </c>
      <c r="I160" s="41" t="inlineStr">
        <is>
          <t>2025FCST_V4</t>
        </is>
      </c>
      <c r="J160" s="41" t="n">
        <v>2025</v>
      </c>
      <c r="K160" s="41" t="inlineStr">
        <is>
          <t>EUR</t>
        </is>
      </c>
      <c r="L160" s="42" t="n">
        <v>4230</v>
      </c>
    </row>
    <row r="161">
      <c r="B161" s="39" t="inlineStr">
        <is>
          <t>MBWAY_PAR</t>
        </is>
      </c>
      <c r="C161" s="40" t="inlineStr">
        <is>
          <t>MAS_MGT</t>
        </is>
      </c>
      <c r="D161" s="40" t="inlineStr">
        <is>
          <t>M1</t>
        </is>
      </c>
      <c r="E161" s="40" t="inlineStr">
        <is>
          <t>ALT</t>
        </is>
      </c>
      <c r="F161" s="40" t="inlineStr">
        <is>
          <t>604100</t>
        </is>
      </c>
      <c r="G161" s="39" t="inlineStr">
        <is>
          <t>Vacations &amp; sous-traitance pédagogique</t>
        </is>
      </c>
      <c r="H161" s="40" t="inlineStr">
        <is>
          <t>COMPTABLE</t>
        </is>
      </c>
      <c r="I161" s="41" t="inlineStr">
        <is>
          <t>2023ACT_VDEF</t>
        </is>
      </c>
      <c r="J161" s="41" t="n">
        <v>2023</v>
      </c>
      <c r="K161" s="41" t="inlineStr">
        <is>
          <t>EUR</t>
        </is>
      </c>
      <c r="L161" s="42" t="n">
        <v>60480</v>
      </c>
    </row>
    <row r="162">
      <c r="B162" s="39" t="inlineStr">
        <is>
          <t>MBWAY_PAR</t>
        </is>
      </c>
      <c r="C162" s="40" t="inlineStr">
        <is>
          <t>MAS_MGT</t>
        </is>
      </c>
      <c r="D162" s="40" t="inlineStr">
        <is>
          <t>M1</t>
        </is>
      </c>
      <c r="E162" s="40" t="inlineStr">
        <is>
          <t>ALT</t>
        </is>
      </c>
      <c r="F162" s="40" t="inlineStr">
        <is>
          <t>604100</t>
        </is>
      </c>
      <c r="G162" s="39" t="inlineStr">
        <is>
          <t>Vacations &amp; sous-traitance pédagogique</t>
        </is>
      </c>
      <c r="H162" s="40" t="inlineStr">
        <is>
          <t>COMPTABLE</t>
        </is>
      </c>
      <c r="I162" s="41" t="inlineStr">
        <is>
          <t>2024ACT_VDEF</t>
        </is>
      </c>
      <c r="J162" s="41" t="n">
        <v>2024</v>
      </c>
      <c r="K162" s="41" t="inlineStr">
        <is>
          <t>EUR</t>
        </is>
      </c>
      <c r="L162" s="42" t="n">
        <v>63840</v>
      </c>
    </row>
    <row r="163">
      <c r="B163" s="39" t="inlineStr">
        <is>
          <t>MBWAY_PAR</t>
        </is>
      </c>
      <c r="C163" s="40" t="inlineStr">
        <is>
          <t>MAS_MGT</t>
        </is>
      </c>
      <c r="D163" s="40" t="inlineStr">
        <is>
          <t>M1</t>
        </is>
      </c>
      <c r="E163" s="40" t="inlineStr">
        <is>
          <t>ALT</t>
        </is>
      </c>
      <c r="F163" s="40" t="inlineStr">
        <is>
          <t>604100</t>
        </is>
      </c>
      <c r="G163" s="39" t="inlineStr">
        <is>
          <t>Vacations &amp; sous-traitance pédagogique</t>
        </is>
      </c>
      <c r="H163" s="40" t="inlineStr">
        <is>
          <t>COMPTABLE</t>
        </is>
      </c>
      <c r="I163" s="41" t="inlineStr">
        <is>
          <t>2025FCST_V4</t>
        </is>
      </c>
      <c r="J163" s="41" t="n">
        <v>2025</v>
      </c>
      <c r="K163" s="41" t="inlineStr">
        <is>
          <t>EUR</t>
        </is>
      </c>
      <c r="L163" s="42" t="n">
        <v>67200</v>
      </c>
    </row>
    <row r="164">
      <c r="B164" s="39" t="inlineStr">
        <is>
          <t>MBWAY_PAR</t>
        </is>
      </c>
      <c r="C164" s="40" t="inlineStr">
        <is>
          <t>MAS_MGT</t>
        </is>
      </c>
      <c r="D164" s="40" t="inlineStr">
        <is>
          <t>M1</t>
        </is>
      </c>
      <c r="E164" s="40" t="inlineStr">
        <is>
          <t>ALT</t>
        </is>
      </c>
      <c r="F164" s="40" t="inlineStr">
        <is>
          <t>606300</t>
        </is>
      </c>
      <c r="G164" s="39" t="inlineStr">
        <is>
          <t>Fournitures &amp; ressources pédagogiques</t>
        </is>
      </c>
      <c r="H164" s="40" t="inlineStr">
        <is>
          <t>COMPTABLE</t>
        </is>
      </c>
      <c r="I164" s="41" t="inlineStr">
        <is>
          <t>2023ACT_VDEF</t>
        </is>
      </c>
      <c r="J164" s="41" t="n">
        <v>2023</v>
      </c>
      <c r="K164" s="41" t="inlineStr">
        <is>
          <t>EUR</t>
        </is>
      </c>
      <c r="L164" s="42" t="n">
        <v>21996</v>
      </c>
    </row>
    <row r="165">
      <c r="B165" s="39" t="inlineStr">
        <is>
          <t>MBWAY_PAR</t>
        </is>
      </c>
      <c r="C165" s="40" t="inlineStr">
        <is>
          <t>MAS_MGT</t>
        </is>
      </c>
      <c r="D165" s="40" t="inlineStr">
        <is>
          <t>M1</t>
        </is>
      </c>
      <c r="E165" s="40" t="inlineStr">
        <is>
          <t>ALT</t>
        </is>
      </c>
      <c r="F165" s="40" t="inlineStr">
        <is>
          <t>606300</t>
        </is>
      </c>
      <c r="G165" s="39" t="inlineStr">
        <is>
          <t>Fournitures &amp; ressources pédagogiques</t>
        </is>
      </c>
      <c r="H165" s="40" t="inlineStr">
        <is>
          <t>COMPTABLE</t>
        </is>
      </c>
      <c r="I165" s="41" t="inlineStr">
        <is>
          <t>2024ACT_VDEF</t>
        </is>
      </c>
      <c r="J165" s="41" t="n">
        <v>2024</v>
      </c>
      <c r="K165" s="41" t="inlineStr">
        <is>
          <t>EUR</t>
        </is>
      </c>
      <c r="L165" s="42" t="n">
        <v>23218</v>
      </c>
    </row>
    <row r="166">
      <c r="B166" s="39" t="inlineStr">
        <is>
          <t>MBWAY_PAR</t>
        </is>
      </c>
      <c r="C166" s="40" t="inlineStr">
        <is>
          <t>MAS_MGT</t>
        </is>
      </c>
      <c r="D166" s="40" t="inlineStr">
        <is>
          <t>M1</t>
        </is>
      </c>
      <c r="E166" s="40" t="inlineStr">
        <is>
          <t>ALT</t>
        </is>
      </c>
      <c r="F166" s="40" t="inlineStr">
        <is>
          <t>606300</t>
        </is>
      </c>
      <c r="G166" s="39" t="inlineStr">
        <is>
          <t>Fournitures &amp; ressources pédagogiques</t>
        </is>
      </c>
      <c r="H166" s="40" t="inlineStr">
        <is>
          <t>COMPTABLE</t>
        </is>
      </c>
      <c r="I166" s="41" t="inlineStr">
        <is>
          <t>2025FCST_V4</t>
        </is>
      </c>
      <c r="J166" s="41" t="n">
        <v>2025</v>
      </c>
      <c r="K166" s="41" t="inlineStr">
        <is>
          <t>EUR</t>
        </is>
      </c>
      <c r="L166" s="42" t="n">
        <v>24440</v>
      </c>
    </row>
    <row r="167">
      <c r="B167" s="39" t="inlineStr">
        <is>
          <t>MBWAY_PAR</t>
        </is>
      </c>
      <c r="C167" s="40" t="inlineStr">
        <is>
          <t>MAS_MGT</t>
        </is>
      </c>
      <c r="D167" s="40" t="inlineStr">
        <is>
          <t>M1</t>
        </is>
      </c>
      <c r="E167" s="40" t="inlineStr">
        <is>
          <t>ALT</t>
        </is>
      </c>
      <c r="F167" s="40" t="inlineStr">
        <is>
          <t>623000</t>
        </is>
      </c>
      <c r="G167" s="39" t="inlineStr">
        <is>
          <t>Publicité &amp; marketing (acquisition)</t>
        </is>
      </c>
      <c r="H167" s="40" t="inlineStr">
        <is>
          <t>COMPTABLE</t>
        </is>
      </c>
      <c r="I167" s="41" t="inlineStr">
        <is>
          <t>2023ACT_VDEF</t>
        </is>
      </c>
      <c r="J167" s="41" t="n">
        <v>2023</v>
      </c>
      <c r="K167" s="41" t="inlineStr">
        <is>
          <t>EUR</t>
        </is>
      </c>
      <c r="L167" s="42" t="n">
        <v>25380</v>
      </c>
    </row>
    <row r="168">
      <c r="B168" s="39" t="inlineStr">
        <is>
          <t>MBWAY_PAR</t>
        </is>
      </c>
      <c r="C168" s="40" t="inlineStr">
        <is>
          <t>MAS_MGT</t>
        </is>
      </c>
      <c r="D168" s="40" t="inlineStr">
        <is>
          <t>M1</t>
        </is>
      </c>
      <c r="E168" s="40" t="inlineStr">
        <is>
          <t>ALT</t>
        </is>
      </c>
      <c r="F168" s="40" t="inlineStr">
        <is>
          <t>623000</t>
        </is>
      </c>
      <c r="G168" s="39" t="inlineStr">
        <is>
          <t>Publicité &amp; marketing (acquisition)</t>
        </is>
      </c>
      <c r="H168" s="40" t="inlineStr">
        <is>
          <t>COMPTABLE</t>
        </is>
      </c>
      <c r="I168" s="41" t="inlineStr">
        <is>
          <t>2024ACT_VDEF</t>
        </is>
      </c>
      <c r="J168" s="41" t="n">
        <v>2024</v>
      </c>
      <c r="K168" s="41" t="inlineStr">
        <is>
          <t>EUR</t>
        </is>
      </c>
      <c r="L168" s="42" t="n">
        <v>26790</v>
      </c>
    </row>
    <row r="169">
      <c r="B169" s="39" t="inlineStr">
        <is>
          <t>MBWAY_PAR</t>
        </is>
      </c>
      <c r="C169" s="40" t="inlineStr">
        <is>
          <t>MAS_MGT</t>
        </is>
      </c>
      <c r="D169" s="40" t="inlineStr">
        <is>
          <t>M1</t>
        </is>
      </c>
      <c r="E169" s="40" t="inlineStr">
        <is>
          <t>ALT</t>
        </is>
      </c>
      <c r="F169" s="40" t="inlineStr">
        <is>
          <t>623000</t>
        </is>
      </c>
      <c r="G169" s="39" t="inlineStr">
        <is>
          <t>Publicité &amp; marketing (acquisition)</t>
        </is>
      </c>
      <c r="H169" s="40" t="inlineStr">
        <is>
          <t>COMPTABLE</t>
        </is>
      </c>
      <c r="I169" s="41" t="inlineStr">
        <is>
          <t>2025FCST_V4</t>
        </is>
      </c>
      <c r="J169" s="41" t="n">
        <v>2025</v>
      </c>
      <c r="K169" s="41" t="inlineStr">
        <is>
          <t>EUR</t>
        </is>
      </c>
      <c r="L169" s="42" t="n">
        <v>28200</v>
      </c>
    </row>
    <row r="170">
      <c r="B170" s="39" t="inlineStr">
        <is>
          <t>MBWAY_PAR</t>
        </is>
      </c>
      <c r="C170" s="40" t="inlineStr">
        <is>
          <t>MAS_MGT</t>
        </is>
      </c>
      <c r="D170" s="40" t="inlineStr">
        <is>
          <t>M1</t>
        </is>
      </c>
      <c r="E170" s="40" t="inlineStr">
        <is>
          <t>ALT</t>
        </is>
      </c>
      <c r="F170" s="40" t="inlineStr">
        <is>
          <t>613200</t>
        </is>
      </c>
      <c r="G170" s="39" t="inlineStr">
        <is>
          <t>Locations immobilières (loyers)</t>
        </is>
      </c>
      <c r="H170" s="40" t="inlineStr">
        <is>
          <t>COMPTABLE</t>
        </is>
      </c>
      <c r="I170" s="41" t="inlineStr">
        <is>
          <t>2023ACT_VDEF</t>
        </is>
      </c>
      <c r="J170" s="41" t="n">
        <v>2023</v>
      </c>
      <c r="K170" s="41" t="inlineStr">
        <is>
          <t>EUR</t>
        </is>
      </c>
      <c r="L170" s="42" t="n">
        <v>40650</v>
      </c>
    </row>
    <row r="171">
      <c r="B171" s="39" t="inlineStr">
        <is>
          <t>MBWAY_PAR</t>
        </is>
      </c>
      <c r="C171" s="40" t="inlineStr">
        <is>
          <t>MAS_MGT</t>
        </is>
      </c>
      <c r="D171" s="40" t="inlineStr">
        <is>
          <t>M1</t>
        </is>
      </c>
      <c r="E171" s="40" t="inlineStr">
        <is>
          <t>ALT</t>
        </is>
      </c>
      <c r="F171" s="40" t="inlineStr">
        <is>
          <t>613200</t>
        </is>
      </c>
      <c r="G171" s="39" t="inlineStr">
        <is>
          <t>Locations immobilières (loyers)</t>
        </is>
      </c>
      <c r="H171" s="40" t="inlineStr">
        <is>
          <t>COMPTABLE</t>
        </is>
      </c>
      <c r="I171" s="41" t="inlineStr">
        <is>
          <t>2024ACT_VDEF</t>
        </is>
      </c>
      <c r="J171" s="41" t="n">
        <v>2024</v>
      </c>
      <c r="K171" s="41" t="inlineStr">
        <is>
          <t>EUR</t>
        </is>
      </c>
      <c r="L171" s="42" t="n">
        <v>42909</v>
      </c>
    </row>
    <row r="172">
      <c r="B172" s="39" t="inlineStr">
        <is>
          <t>MBWAY_PAR</t>
        </is>
      </c>
      <c r="C172" s="40" t="inlineStr">
        <is>
          <t>MAS_MGT</t>
        </is>
      </c>
      <c r="D172" s="40" t="inlineStr">
        <is>
          <t>M1</t>
        </is>
      </c>
      <c r="E172" s="40" t="inlineStr">
        <is>
          <t>ALT</t>
        </is>
      </c>
      <c r="F172" s="40" t="inlineStr">
        <is>
          <t>613200</t>
        </is>
      </c>
      <c r="G172" s="39" t="inlineStr">
        <is>
          <t>Locations immobilières (loyers)</t>
        </is>
      </c>
      <c r="H172" s="40" t="inlineStr">
        <is>
          <t>COMPTABLE</t>
        </is>
      </c>
      <c r="I172" s="41" t="inlineStr">
        <is>
          <t>2025FCST_V4</t>
        </is>
      </c>
      <c r="J172" s="41" t="n">
        <v>2025</v>
      </c>
      <c r="K172" s="41" t="inlineStr">
        <is>
          <t>EUR</t>
        </is>
      </c>
      <c r="L172" s="42" t="n">
        <v>45167</v>
      </c>
    </row>
    <row r="173">
      <c r="B173" s="39" t="inlineStr">
        <is>
          <t>MBWAY_PAR</t>
        </is>
      </c>
      <c r="C173" s="40" t="inlineStr">
        <is>
          <t>MAS_MGT</t>
        </is>
      </c>
      <c r="D173" s="40" t="inlineStr">
        <is>
          <t>M1</t>
        </is>
      </c>
      <c r="E173" s="40" t="inlineStr">
        <is>
          <t>ALT</t>
        </is>
      </c>
      <c r="F173" s="40" t="inlineStr">
        <is>
          <t>641100</t>
        </is>
      </c>
      <c r="G173" s="39" t="inlineStr">
        <is>
          <t>Rémunérations du personnel permanent</t>
        </is>
      </c>
      <c r="H173" s="40" t="inlineStr">
        <is>
          <t>COMPTABLE</t>
        </is>
      </c>
      <c r="I173" s="41" t="inlineStr">
        <is>
          <t>2023ACT_VDEF</t>
        </is>
      </c>
      <c r="J173" s="41" t="n">
        <v>2023</v>
      </c>
      <c r="K173" s="41" t="inlineStr">
        <is>
          <t>EUR</t>
        </is>
      </c>
      <c r="L173" s="42" t="n">
        <v>95700</v>
      </c>
    </row>
    <row r="174">
      <c r="B174" s="39" t="inlineStr">
        <is>
          <t>MBWAY_PAR</t>
        </is>
      </c>
      <c r="C174" s="40" t="inlineStr">
        <is>
          <t>MAS_MGT</t>
        </is>
      </c>
      <c r="D174" s="40" t="inlineStr">
        <is>
          <t>M1</t>
        </is>
      </c>
      <c r="E174" s="40" t="inlineStr">
        <is>
          <t>ALT</t>
        </is>
      </c>
      <c r="F174" s="40" t="inlineStr">
        <is>
          <t>641100</t>
        </is>
      </c>
      <c r="G174" s="39" t="inlineStr">
        <is>
          <t>Rémunérations du personnel permanent</t>
        </is>
      </c>
      <c r="H174" s="40" t="inlineStr">
        <is>
          <t>COMPTABLE</t>
        </is>
      </c>
      <c r="I174" s="41" t="inlineStr">
        <is>
          <t>2024ACT_VDEF</t>
        </is>
      </c>
      <c r="J174" s="41" t="n">
        <v>2024</v>
      </c>
      <c r="K174" s="41" t="inlineStr">
        <is>
          <t>EUR</t>
        </is>
      </c>
      <c r="L174" s="42" t="n">
        <v>101016</v>
      </c>
    </row>
    <row r="175">
      <c r="B175" s="39" t="inlineStr">
        <is>
          <t>MBWAY_PAR</t>
        </is>
      </c>
      <c r="C175" s="40" t="inlineStr">
        <is>
          <t>MAS_MGT</t>
        </is>
      </c>
      <c r="D175" s="40" t="inlineStr">
        <is>
          <t>M1</t>
        </is>
      </c>
      <c r="E175" s="40" t="inlineStr">
        <is>
          <t>ALT</t>
        </is>
      </c>
      <c r="F175" s="40" t="inlineStr">
        <is>
          <t>641100</t>
        </is>
      </c>
      <c r="G175" s="39" t="inlineStr">
        <is>
          <t>Rémunérations du personnel permanent</t>
        </is>
      </c>
      <c r="H175" s="40" t="inlineStr">
        <is>
          <t>COMPTABLE</t>
        </is>
      </c>
      <c r="I175" s="41" t="inlineStr">
        <is>
          <t>2025FCST_V4</t>
        </is>
      </c>
      <c r="J175" s="41" t="n">
        <v>2025</v>
      </c>
      <c r="K175" s="41" t="inlineStr">
        <is>
          <t>EUR</t>
        </is>
      </c>
      <c r="L175" s="42" t="n">
        <v>106333</v>
      </c>
    </row>
    <row r="176">
      <c r="B176" s="39" t="inlineStr">
        <is>
          <t>MBWAY_PAR</t>
        </is>
      </c>
      <c r="C176" s="40" t="inlineStr">
        <is>
          <t>MAS_MGT</t>
        </is>
      </c>
      <c r="D176" s="40" t="inlineStr">
        <is>
          <t>M1</t>
        </is>
      </c>
      <c r="E176" s="40" t="inlineStr">
        <is>
          <t>ALT</t>
        </is>
      </c>
      <c r="F176" s="40" t="inlineStr">
        <is>
          <t>622600</t>
        </is>
      </c>
      <c r="G176" s="39" t="inlineStr">
        <is>
          <t>Honoraires &amp; frais de siège (structure groupe)</t>
        </is>
      </c>
      <c r="H176" s="40" t="inlineStr">
        <is>
          <t>COMPTABLE</t>
        </is>
      </c>
      <c r="I176" s="41" t="inlineStr">
        <is>
          <t>2023ACT_VDEF</t>
        </is>
      </c>
      <c r="J176" s="41" t="n">
        <v>2023</v>
      </c>
      <c r="K176" s="41" t="inlineStr">
        <is>
          <t>EUR</t>
        </is>
      </c>
      <c r="L176" s="42" t="n">
        <v>37032</v>
      </c>
    </row>
    <row r="177">
      <c r="B177" s="39" t="inlineStr">
        <is>
          <t>MBWAY_PAR</t>
        </is>
      </c>
      <c r="C177" s="40" t="inlineStr">
        <is>
          <t>MAS_MGT</t>
        </is>
      </c>
      <c r="D177" s="40" t="inlineStr">
        <is>
          <t>M1</t>
        </is>
      </c>
      <c r="E177" s="40" t="inlineStr">
        <is>
          <t>ALT</t>
        </is>
      </c>
      <c r="F177" s="40" t="inlineStr">
        <is>
          <t>622600</t>
        </is>
      </c>
      <c r="G177" s="39" t="inlineStr">
        <is>
          <t>Honoraires &amp; frais de siège (structure groupe)</t>
        </is>
      </c>
      <c r="H177" s="40" t="inlineStr">
        <is>
          <t>COMPTABLE</t>
        </is>
      </c>
      <c r="I177" s="41" t="inlineStr">
        <is>
          <t>2024ACT_VDEF</t>
        </is>
      </c>
      <c r="J177" s="41" t="n">
        <v>2024</v>
      </c>
      <c r="K177" s="41" t="inlineStr">
        <is>
          <t>EUR</t>
        </is>
      </c>
      <c r="L177" s="42" t="n">
        <v>39090</v>
      </c>
    </row>
    <row r="178">
      <c r="B178" s="39" t="inlineStr">
        <is>
          <t>MBWAY_PAR</t>
        </is>
      </c>
      <c r="C178" s="40" t="inlineStr">
        <is>
          <t>MAS_MGT</t>
        </is>
      </c>
      <c r="D178" s="40" t="inlineStr">
        <is>
          <t>M1</t>
        </is>
      </c>
      <c r="E178" s="40" t="inlineStr">
        <is>
          <t>ALT</t>
        </is>
      </c>
      <c r="F178" s="40" t="inlineStr">
        <is>
          <t>622600</t>
        </is>
      </c>
      <c r="G178" s="39" t="inlineStr">
        <is>
          <t>Honoraires &amp; frais de siège (structure groupe)</t>
        </is>
      </c>
      <c r="H178" s="40" t="inlineStr">
        <is>
          <t>COMPTABLE</t>
        </is>
      </c>
      <c r="I178" s="41" t="inlineStr">
        <is>
          <t>2025FCST_V4</t>
        </is>
      </c>
      <c r="J178" s="41" t="n">
        <v>2025</v>
      </c>
      <c r="K178" s="41" t="inlineStr">
        <is>
          <t>EUR</t>
        </is>
      </c>
      <c r="L178" s="42" t="n">
        <v>41147</v>
      </c>
    </row>
    <row r="179">
      <c r="B179" s="39" t="inlineStr">
        <is>
          <t>MBWAY_PAR</t>
        </is>
      </c>
      <c r="C179" s="40" t="inlineStr">
        <is>
          <t>MAS_MGT</t>
        </is>
      </c>
      <c r="D179" s="40" t="inlineStr">
        <is>
          <t>M1</t>
        </is>
      </c>
      <c r="E179" s="40" t="inlineStr">
        <is>
          <t>ALT</t>
        </is>
      </c>
      <c r="F179" s="40" t="inlineStr">
        <is>
          <t>606800</t>
        </is>
      </c>
      <c r="G179" s="39" t="inlineStr">
        <is>
          <t>Autres achats &amp; charges externes</t>
        </is>
      </c>
      <c r="H179" s="40" t="inlineStr">
        <is>
          <t>COMPTABLE</t>
        </is>
      </c>
      <c r="I179" s="41" t="inlineStr">
        <is>
          <t>2023ACT_VDEF</t>
        </is>
      </c>
      <c r="J179" s="41" t="n">
        <v>2023</v>
      </c>
      <c r="K179" s="41" t="inlineStr">
        <is>
          <t>EUR</t>
        </is>
      </c>
      <c r="L179" s="42" t="n">
        <v>39508</v>
      </c>
    </row>
    <row r="180">
      <c r="B180" s="39" t="inlineStr">
        <is>
          <t>MBWAY_PAR</t>
        </is>
      </c>
      <c r="C180" s="40" t="inlineStr">
        <is>
          <t>MAS_MGT</t>
        </is>
      </c>
      <c r="D180" s="40" t="inlineStr">
        <is>
          <t>M1</t>
        </is>
      </c>
      <c r="E180" s="40" t="inlineStr">
        <is>
          <t>ALT</t>
        </is>
      </c>
      <c r="F180" s="40" t="inlineStr">
        <is>
          <t>606800</t>
        </is>
      </c>
      <c r="G180" s="39" t="inlineStr">
        <is>
          <t>Autres achats &amp; charges externes</t>
        </is>
      </c>
      <c r="H180" s="40" t="inlineStr">
        <is>
          <t>COMPTABLE</t>
        </is>
      </c>
      <c r="I180" s="41" t="inlineStr">
        <is>
          <t>2024ACT_VDEF</t>
        </is>
      </c>
      <c r="J180" s="41" t="n">
        <v>2024</v>
      </c>
      <c r="K180" s="41" t="inlineStr">
        <is>
          <t>EUR</t>
        </is>
      </c>
      <c r="L180" s="42" t="n">
        <v>41703</v>
      </c>
    </row>
    <row r="181">
      <c r="B181" s="39" t="inlineStr">
        <is>
          <t>MBWAY_PAR</t>
        </is>
      </c>
      <c r="C181" s="40" t="inlineStr">
        <is>
          <t>MAS_MGT</t>
        </is>
      </c>
      <c r="D181" s="40" t="inlineStr">
        <is>
          <t>M1</t>
        </is>
      </c>
      <c r="E181" s="40" t="inlineStr">
        <is>
          <t>ALT</t>
        </is>
      </c>
      <c r="F181" s="40" t="inlineStr">
        <is>
          <t>606800</t>
        </is>
      </c>
      <c r="G181" s="39" t="inlineStr">
        <is>
          <t>Autres achats &amp; charges externes</t>
        </is>
      </c>
      <c r="H181" s="40" t="inlineStr">
        <is>
          <t>COMPTABLE</t>
        </is>
      </c>
      <c r="I181" s="41" t="inlineStr">
        <is>
          <t>2025FCST_V4</t>
        </is>
      </c>
      <c r="J181" s="41" t="n">
        <v>2025</v>
      </c>
      <c r="K181" s="41" t="inlineStr">
        <is>
          <t>EUR</t>
        </is>
      </c>
      <c r="L181" s="42" t="n">
        <v>43898</v>
      </c>
    </row>
    <row r="182">
      <c r="B182" s="39" t="inlineStr">
        <is>
          <t>MBWAY_PAR</t>
        </is>
      </c>
      <c r="C182" s="40" t="inlineStr">
        <is>
          <t>MAS_MGT</t>
        </is>
      </c>
      <c r="D182" s="40" t="inlineStr">
        <is>
          <t>M1</t>
        </is>
      </c>
      <c r="E182" s="40" t="inlineStr">
        <is>
          <t>ALT</t>
        </is>
      </c>
      <c r="F182" s="40" t="inlineStr">
        <is>
          <t>681100</t>
        </is>
      </c>
      <c r="G182" s="39" t="inlineStr">
        <is>
          <t>Dotations aux amortissements</t>
        </is>
      </c>
      <c r="H182" s="40" t="inlineStr">
        <is>
          <t>COMPTABLE</t>
        </is>
      </c>
      <c r="I182" s="41" t="inlineStr">
        <is>
          <t>2023ACT_VDEF</t>
        </is>
      </c>
      <c r="J182" s="41" t="n">
        <v>2023</v>
      </c>
      <c r="K182" s="41" t="inlineStr">
        <is>
          <t>EUR</t>
        </is>
      </c>
      <c r="L182" s="42" t="n">
        <v>22200</v>
      </c>
    </row>
    <row r="183">
      <c r="B183" s="39" t="inlineStr">
        <is>
          <t>MBWAY_PAR</t>
        </is>
      </c>
      <c r="C183" s="40" t="inlineStr">
        <is>
          <t>MAS_MGT</t>
        </is>
      </c>
      <c r="D183" s="40" t="inlineStr">
        <is>
          <t>M1</t>
        </is>
      </c>
      <c r="E183" s="40" t="inlineStr">
        <is>
          <t>ALT</t>
        </is>
      </c>
      <c r="F183" s="40" t="inlineStr">
        <is>
          <t>681100</t>
        </is>
      </c>
      <c r="G183" s="39" t="inlineStr">
        <is>
          <t>Dotations aux amortissements</t>
        </is>
      </c>
      <c r="H183" s="40" t="inlineStr">
        <is>
          <t>COMPTABLE</t>
        </is>
      </c>
      <c r="I183" s="41" t="inlineStr">
        <is>
          <t>2024ACT_VDEF</t>
        </is>
      </c>
      <c r="J183" s="41" t="n">
        <v>2024</v>
      </c>
      <c r="K183" s="41" t="inlineStr">
        <is>
          <t>EUR</t>
        </is>
      </c>
      <c r="L183" s="42" t="n">
        <v>23434</v>
      </c>
    </row>
    <row r="184">
      <c r="B184" s="39" t="inlineStr">
        <is>
          <t>MBWAY_PAR</t>
        </is>
      </c>
      <c r="C184" s="40" t="inlineStr">
        <is>
          <t>MAS_MGT</t>
        </is>
      </c>
      <c r="D184" s="40" t="inlineStr">
        <is>
          <t>M1</t>
        </is>
      </c>
      <c r="E184" s="40" t="inlineStr">
        <is>
          <t>ALT</t>
        </is>
      </c>
      <c r="F184" s="40" t="inlineStr">
        <is>
          <t>681100</t>
        </is>
      </c>
      <c r="G184" s="39" t="inlineStr">
        <is>
          <t>Dotations aux amortissements</t>
        </is>
      </c>
      <c r="H184" s="40" t="inlineStr">
        <is>
          <t>COMPTABLE</t>
        </is>
      </c>
      <c r="I184" s="41" t="inlineStr">
        <is>
          <t>2025FCST_V4</t>
        </is>
      </c>
      <c r="J184" s="41" t="n">
        <v>2025</v>
      </c>
      <c r="K184" s="41" t="inlineStr">
        <is>
          <t>EUR</t>
        </is>
      </c>
      <c r="L184" s="42" t="n">
        <v>24667</v>
      </c>
    </row>
    <row r="185">
      <c r="B185" s="39" t="inlineStr">
        <is>
          <t>MBWAY_PAR</t>
        </is>
      </c>
      <c r="C185" s="40" t="inlineStr">
        <is>
          <t>MAS_MGT</t>
        </is>
      </c>
      <c r="D185" s="40" t="inlineStr">
        <is>
          <t>M1</t>
        </is>
      </c>
      <c r="E185" s="40" t="inlineStr">
        <is>
          <t>ALT</t>
        </is>
      </c>
      <c r="F185" s="40" t="inlineStr">
        <is>
          <t>STA_EFF</t>
        </is>
      </c>
      <c r="G185" s="39" t="inlineStr">
        <is>
          <t>Effectif inscrit</t>
        </is>
      </c>
      <c r="H185" s="40" t="inlineStr">
        <is>
          <t>TECHNIQUE</t>
        </is>
      </c>
      <c r="I185" s="41" t="inlineStr">
        <is>
          <t>2023ACT_VDEF</t>
        </is>
      </c>
      <c r="J185" s="41" t="n">
        <v>2023</v>
      </c>
      <c r="K185" s="41" t="inlineStr">
        <is>
          <t>NB</t>
        </is>
      </c>
      <c r="L185" s="43" t="n">
        <v>42</v>
      </c>
    </row>
    <row r="186">
      <c r="B186" s="39" t="inlineStr">
        <is>
          <t>MBWAY_PAR</t>
        </is>
      </c>
      <c r="C186" s="40" t="inlineStr">
        <is>
          <t>MAS_MGT</t>
        </is>
      </c>
      <c r="D186" s="40" t="inlineStr">
        <is>
          <t>M1</t>
        </is>
      </c>
      <c r="E186" s="40" t="inlineStr">
        <is>
          <t>ALT</t>
        </is>
      </c>
      <c r="F186" s="40" t="inlineStr">
        <is>
          <t>STA_EFF</t>
        </is>
      </c>
      <c r="G186" s="39" t="inlineStr">
        <is>
          <t>Effectif inscrit</t>
        </is>
      </c>
      <c r="H186" s="40" t="inlineStr">
        <is>
          <t>TECHNIQUE</t>
        </is>
      </c>
      <c r="I186" s="41" t="inlineStr">
        <is>
          <t>2024ACT_VDEF</t>
        </is>
      </c>
      <c r="J186" s="41" t="n">
        <v>2024</v>
      </c>
      <c r="K186" s="41" t="inlineStr">
        <is>
          <t>NB</t>
        </is>
      </c>
      <c r="L186" s="43" t="n">
        <v>45</v>
      </c>
    </row>
    <row r="187">
      <c r="B187" s="39" t="inlineStr">
        <is>
          <t>MBWAY_PAR</t>
        </is>
      </c>
      <c r="C187" s="40" t="inlineStr">
        <is>
          <t>MAS_MGT</t>
        </is>
      </c>
      <c r="D187" s="40" t="inlineStr">
        <is>
          <t>M1</t>
        </is>
      </c>
      <c r="E187" s="40" t="inlineStr">
        <is>
          <t>ALT</t>
        </is>
      </c>
      <c r="F187" s="40" t="inlineStr">
        <is>
          <t>STA_EFF</t>
        </is>
      </c>
      <c r="G187" s="39" t="inlineStr">
        <is>
          <t>Effectif inscrit</t>
        </is>
      </c>
      <c r="H187" s="40" t="inlineStr">
        <is>
          <t>TECHNIQUE</t>
        </is>
      </c>
      <c r="I187" s="41" t="inlineStr">
        <is>
          <t>2025FCST_V4</t>
        </is>
      </c>
      <c r="J187" s="41" t="n">
        <v>2025</v>
      </c>
      <c r="K187" s="41" t="inlineStr">
        <is>
          <t>NB</t>
        </is>
      </c>
      <c r="L187" s="43" t="n">
        <v>47</v>
      </c>
    </row>
    <row r="188">
      <c r="B188" s="39" t="inlineStr">
        <is>
          <t>MBWAY_PAR</t>
        </is>
      </c>
      <c r="C188" s="40" t="inlineStr">
        <is>
          <t>MAS_MGT</t>
        </is>
      </c>
      <c r="D188" s="40" t="inlineStr">
        <is>
          <t>M1</t>
        </is>
      </c>
      <c r="E188" s="40" t="inlineStr">
        <is>
          <t>ALT</t>
        </is>
      </c>
      <c r="F188" s="40" t="inlineStr">
        <is>
          <t>STA_CAND</t>
        </is>
      </c>
      <c r="G188" s="39" t="inlineStr">
        <is>
          <t>Candidatures reçues</t>
        </is>
      </c>
      <c r="H188" s="40" t="inlineStr">
        <is>
          <t>TECHNIQUE</t>
        </is>
      </c>
      <c r="I188" s="41" t="inlineStr">
        <is>
          <t>2023ACT_VDEF</t>
        </is>
      </c>
      <c r="J188" s="41" t="n">
        <v>2023</v>
      </c>
      <c r="K188" s="41" t="inlineStr">
        <is>
          <t>NB</t>
        </is>
      </c>
      <c r="L188" s="43" t="n">
        <v>113</v>
      </c>
    </row>
    <row r="189">
      <c r="B189" s="39" t="inlineStr">
        <is>
          <t>MBWAY_PAR</t>
        </is>
      </c>
      <c r="C189" s="40" t="inlineStr">
        <is>
          <t>MAS_MGT</t>
        </is>
      </c>
      <c r="D189" s="40" t="inlineStr">
        <is>
          <t>M1</t>
        </is>
      </c>
      <c r="E189" s="40" t="inlineStr">
        <is>
          <t>ALT</t>
        </is>
      </c>
      <c r="F189" s="40" t="inlineStr">
        <is>
          <t>STA_CAND</t>
        </is>
      </c>
      <c r="G189" s="39" t="inlineStr">
        <is>
          <t>Candidatures reçues</t>
        </is>
      </c>
      <c r="H189" s="40" t="inlineStr">
        <is>
          <t>TECHNIQUE</t>
        </is>
      </c>
      <c r="I189" s="41" t="inlineStr">
        <is>
          <t>2024ACT_VDEF</t>
        </is>
      </c>
      <c r="J189" s="41" t="n">
        <v>2024</v>
      </c>
      <c r="K189" s="41" t="inlineStr">
        <is>
          <t>NB</t>
        </is>
      </c>
      <c r="L189" s="43" t="n">
        <v>120</v>
      </c>
    </row>
    <row r="190">
      <c r="B190" s="39" t="inlineStr">
        <is>
          <t>MBWAY_PAR</t>
        </is>
      </c>
      <c r="C190" s="40" t="inlineStr">
        <is>
          <t>MAS_MGT</t>
        </is>
      </c>
      <c r="D190" s="40" t="inlineStr">
        <is>
          <t>M1</t>
        </is>
      </c>
      <c r="E190" s="40" t="inlineStr">
        <is>
          <t>ALT</t>
        </is>
      </c>
      <c r="F190" s="40" t="inlineStr">
        <is>
          <t>STA_CAND</t>
        </is>
      </c>
      <c r="G190" s="39" t="inlineStr">
        <is>
          <t>Candidatures reçues</t>
        </is>
      </c>
      <c r="H190" s="40" t="inlineStr">
        <is>
          <t>TECHNIQUE</t>
        </is>
      </c>
      <c r="I190" s="41" t="inlineStr">
        <is>
          <t>2025FCST_V4</t>
        </is>
      </c>
      <c r="J190" s="41" t="n">
        <v>2025</v>
      </c>
      <c r="K190" s="41" t="inlineStr">
        <is>
          <t>NB</t>
        </is>
      </c>
      <c r="L190" s="43" t="n">
        <v>126</v>
      </c>
    </row>
    <row r="191">
      <c r="B191" s="39" t="inlineStr">
        <is>
          <t>MBWAY_PAR</t>
        </is>
      </c>
      <c r="C191" s="40" t="inlineStr">
        <is>
          <t>MAS_MGT</t>
        </is>
      </c>
      <c r="D191" s="40" t="inlineStr">
        <is>
          <t>M1</t>
        </is>
      </c>
      <c r="E191" s="40" t="inlineStr">
        <is>
          <t>ALT</t>
        </is>
      </c>
      <c r="F191" s="40" t="inlineStr">
        <is>
          <t>STA_ADMIS</t>
        </is>
      </c>
      <c r="G191" s="39" t="inlineStr">
        <is>
          <t>Candidats admis</t>
        </is>
      </c>
      <c r="H191" s="40" t="inlineStr">
        <is>
          <t>TECHNIQUE</t>
        </is>
      </c>
      <c r="I191" s="41" t="inlineStr">
        <is>
          <t>2023ACT_VDEF</t>
        </is>
      </c>
      <c r="J191" s="41" t="n">
        <v>2023</v>
      </c>
      <c r="K191" s="41" t="inlineStr">
        <is>
          <t>NB</t>
        </is>
      </c>
      <c r="L191" s="43" t="n">
        <v>70</v>
      </c>
    </row>
    <row r="192">
      <c r="B192" s="39" t="inlineStr">
        <is>
          <t>MBWAY_PAR</t>
        </is>
      </c>
      <c r="C192" s="40" t="inlineStr">
        <is>
          <t>MAS_MGT</t>
        </is>
      </c>
      <c r="D192" s="40" t="inlineStr">
        <is>
          <t>M1</t>
        </is>
      </c>
      <c r="E192" s="40" t="inlineStr">
        <is>
          <t>ALT</t>
        </is>
      </c>
      <c r="F192" s="40" t="inlineStr">
        <is>
          <t>STA_ADMIS</t>
        </is>
      </c>
      <c r="G192" s="39" t="inlineStr">
        <is>
          <t>Candidats admis</t>
        </is>
      </c>
      <c r="H192" s="40" t="inlineStr">
        <is>
          <t>TECHNIQUE</t>
        </is>
      </c>
      <c r="I192" s="41" t="inlineStr">
        <is>
          <t>2024ACT_VDEF</t>
        </is>
      </c>
      <c r="J192" s="41" t="n">
        <v>2024</v>
      </c>
      <c r="K192" s="41" t="inlineStr">
        <is>
          <t>NB</t>
        </is>
      </c>
      <c r="L192" s="43" t="n">
        <v>74</v>
      </c>
    </row>
    <row r="193">
      <c r="B193" s="39" t="inlineStr">
        <is>
          <t>MBWAY_PAR</t>
        </is>
      </c>
      <c r="C193" s="40" t="inlineStr">
        <is>
          <t>MAS_MGT</t>
        </is>
      </c>
      <c r="D193" s="40" t="inlineStr">
        <is>
          <t>M1</t>
        </is>
      </c>
      <c r="E193" s="40" t="inlineStr">
        <is>
          <t>ALT</t>
        </is>
      </c>
      <c r="F193" s="40" t="inlineStr">
        <is>
          <t>STA_ADMIS</t>
        </is>
      </c>
      <c r="G193" s="39" t="inlineStr">
        <is>
          <t>Candidats admis</t>
        </is>
      </c>
      <c r="H193" s="40" t="inlineStr">
        <is>
          <t>TECHNIQUE</t>
        </is>
      </c>
      <c r="I193" s="41" t="inlineStr">
        <is>
          <t>2025FCST_V4</t>
        </is>
      </c>
      <c r="J193" s="41" t="n">
        <v>2025</v>
      </c>
      <c r="K193" s="41" t="inlineStr">
        <is>
          <t>NB</t>
        </is>
      </c>
      <c r="L193" s="43" t="n">
        <v>78</v>
      </c>
    </row>
    <row r="194">
      <c r="B194" s="39" t="inlineStr">
        <is>
          <t>MBWAY_PAR</t>
        </is>
      </c>
      <c r="C194" s="40" t="inlineStr">
        <is>
          <t>MAS_MGT</t>
        </is>
      </c>
      <c r="D194" s="40" t="inlineStr">
        <is>
          <t>M1</t>
        </is>
      </c>
      <c r="E194" s="40" t="inlineStr">
        <is>
          <t>ALT</t>
        </is>
      </c>
      <c r="F194" s="40" t="inlineStr">
        <is>
          <t>STA_NOUV</t>
        </is>
      </c>
      <c r="G194" s="39" t="inlineStr">
        <is>
          <t>Nouveaux inscrits</t>
        </is>
      </c>
      <c r="H194" s="40" t="inlineStr">
        <is>
          <t>TECHNIQUE</t>
        </is>
      </c>
      <c r="I194" s="41" t="inlineStr">
        <is>
          <t>2023ACT_VDEF</t>
        </is>
      </c>
      <c r="J194" s="41" t="n">
        <v>2023</v>
      </c>
      <c r="K194" s="41" t="inlineStr">
        <is>
          <t>NB</t>
        </is>
      </c>
      <c r="L194" s="43" t="n">
        <v>42</v>
      </c>
    </row>
    <row r="195">
      <c r="B195" s="39" t="inlineStr">
        <is>
          <t>MBWAY_PAR</t>
        </is>
      </c>
      <c r="C195" s="40" t="inlineStr">
        <is>
          <t>MAS_MGT</t>
        </is>
      </c>
      <c r="D195" s="40" t="inlineStr">
        <is>
          <t>M1</t>
        </is>
      </c>
      <c r="E195" s="40" t="inlineStr">
        <is>
          <t>ALT</t>
        </is>
      </c>
      <c r="F195" s="40" t="inlineStr">
        <is>
          <t>STA_NOUV</t>
        </is>
      </c>
      <c r="G195" s="39" t="inlineStr">
        <is>
          <t>Nouveaux inscrits</t>
        </is>
      </c>
      <c r="H195" s="40" t="inlineStr">
        <is>
          <t>TECHNIQUE</t>
        </is>
      </c>
      <c r="I195" s="41" t="inlineStr">
        <is>
          <t>2024ACT_VDEF</t>
        </is>
      </c>
      <c r="J195" s="41" t="n">
        <v>2024</v>
      </c>
      <c r="K195" s="41" t="inlineStr">
        <is>
          <t>NB</t>
        </is>
      </c>
      <c r="L195" s="43" t="n">
        <v>45</v>
      </c>
    </row>
    <row r="196">
      <c r="B196" s="39" t="inlineStr">
        <is>
          <t>MBWAY_PAR</t>
        </is>
      </c>
      <c r="C196" s="40" t="inlineStr">
        <is>
          <t>MAS_MGT</t>
        </is>
      </c>
      <c r="D196" s="40" t="inlineStr">
        <is>
          <t>M1</t>
        </is>
      </c>
      <c r="E196" s="40" t="inlineStr">
        <is>
          <t>ALT</t>
        </is>
      </c>
      <c r="F196" s="40" t="inlineStr">
        <is>
          <t>STA_NOUV</t>
        </is>
      </c>
      <c r="G196" s="39" t="inlineStr">
        <is>
          <t>Nouveaux inscrits</t>
        </is>
      </c>
      <c r="H196" s="40" t="inlineStr">
        <is>
          <t>TECHNIQUE</t>
        </is>
      </c>
      <c r="I196" s="41" t="inlineStr">
        <is>
          <t>2025FCST_V4</t>
        </is>
      </c>
      <c r="J196" s="41" t="n">
        <v>2025</v>
      </c>
      <c r="K196" s="41" t="inlineStr">
        <is>
          <t>NB</t>
        </is>
      </c>
      <c r="L196" s="43" t="n">
        <v>47</v>
      </c>
    </row>
    <row r="197">
      <c r="B197" s="39" t="inlineStr">
        <is>
          <t>MBWAY_PAR</t>
        </is>
      </c>
      <c r="C197" s="40" t="inlineStr">
        <is>
          <t>MAS_MGT</t>
        </is>
      </c>
      <c r="D197" s="40" t="inlineStr">
        <is>
          <t>M1</t>
        </is>
      </c>
      <c r="E197" s="40" t="inlineStr">
        <is>
          <t>ALT</t>
        </is>
      </c>
      <c r="F197" s="40" t="inlineStr">
        <is>
          <t>STA_CLASS</t>
        </is>
      </c>
      <c r="G197" s="39" t="inlineStr">
        <is>
          <t>Nombre de classes</t>
        </is>
      </c>
      <c r="H197" s="40" t="inlineStr">
        <is>
          <t>TECHNIQUE</t>
        </is>
      </c>
      <c r="I197" s="41" t="inlineStr">
        <is>
          <t>2023ACT_VDEF</t>
        </is>
      </c>
      <c r="J197" s="41" t="n">
        <v>2023</v>
      </c>
      <c r="K197" s="41" t="inlineStr">
        <is>
          <t>NB</t>
        </is>
      </c>
      <c r="L197" s="43" t="n">
        <v>2</v>
      </c>
    </row>
    <row r="198">
      <c r="B198" s="39" t="inlineStr">
        <is>
          <t>MBWAY_PAR</t>
        </is>
      </c>
      <c r="C198" s="40" t="inlineStr">
        <is>
          <t>MAS_MGT</t>
        </is>
      </c>
      <c r="D198" s="40" t="inlineStr">
        <is>
          <t>M1</t>
        </is>
      </c>
      <c r="E198" s="40" t="inlineStr">
        <is>
          <t>ALT</t>
        </is>
      </c>
      <c r="F198" s="40" t="inlineStr">
        <is>
          <t>STA_CLASS</t>
        </is>
      </c>
      <c r="G198" s="39" t="inlineStr">
        <is>
          <t>Nombre de classes</t>
        </is>
      </c>
      <c r="H198" s="40" t="inlineStr">
        <is>
          <t>TECHNIQUE</t>
        </is>
      </c>
      <c r="I198" s="41" t="inlineStr">
        <is>
          <t>2024ACT_VDEF</t>
        </is>
      </c>
      <c r="J198" s="41" t="n">
        <v>2024</v>
      </c>
      <c r="K198" s="41" t="inlineStr">
        <is>
          <t>NB</t>
        </is>
      </c>
      <c r="L198" s="43" t="n">
        <v>2</v>
      </c>
    </row>
    <row r="199">
      <c r="B199" s="39" t="inlineStr">
        <is>
          <t>MBWAY_PAR</t>
        </is>
      </c>
      <c r="C199" s="40" t="inlineStr">
        <is>
          <t>MAS_MGT</t>
        </is>
      </c>
      <c r="D199" s="40" t="inlineStr">
        <is>
          <t>M1</t>
        </is>
      </c>
      <c r="E199" s="40" t="inlineStr">
        <is>
          <t>ALT</t>
        </is>
      </c>
      <c r="F199" s="40" t="inlineStr">
        <is>
          <t>STA_CLASS</t>
        </is>
      </c>
      <c r="G199" s="39" t="inlineStr">
        <is>
          <t>Nombre de classes</t>
        </is>
      </c>
      <c r="H199" s="40" t="inlineStr">
        <is>
          <t>TECHNIQUE</t>
        </is>
      </c>
      <c r="I199" s="41" t="inlineStr">
        <is>
          <t>2025FCST_V4</t>
        </is>
      </c>
      <c r="J199" s="41" t="n">
        <v>2025</v>
      </c>
      <c r="K199" s="41" t="inlineStr">
        <is>
          <t>NB</t>
        </is>
      </c>
      <c r="L199" s="43" t="n">
        <v>2</v>
      </c>
    </row>
    <row r="200">
      <c r="B200" s="39" t="inlineStr">
        <is>
          <t>MBWAY_PAR</t>
        </is>
      </c>
      <c r="C200" s="40" t="inlineStr">
        <is>
          <t>MAS_MGT</t>
        </is>
      </c>
      <c r="D200" s="40" t="inlineStr">
        <is>
          <t>M1</t>
        </is>
      </c>
      <c r="E200" s="40" t="inlineStr">
        <is>
          <t>ALT</t>
        </is>
      </c>
      <c r="F200" s="40" t="inlineStr">
        <is>
          <t>STA_HEURE</t>
        </is>
      </c>
      <c r="G200" s="39" t="inlineStr">
        <is>
          <t>Heures d'enseignement</t>
        </is>
      </c>
      <c r="H200" s="40" t="inlineStr">
        <is>
          <t>TECHNIQUE</t>
        </is>
      </c>
      <c r="I200" s="41" t="inlineStr">
        <is>
          <t>2023ACT_VDEF</t>
        </is>
      </c>
      <c r="J200" s="41" t="n">
        <v>2023</v>
      </c>
      <c r="K200" s="41" t="inlineStr">
        <is>
          <t>NB</t>
        </is>
      </c>
      <c r="L200" s="43" t="n">
        <v>864</v>
      </c>
    </row>
    <row r="201">
      <c r="B201" s="39" t="inlineStr">
        <is>
          <t>MBWAY_PAR</t>
        </is>
      </c>
      <c r="C201" s="40" t="inlineStr">
        <is>
          <t>MAS_MGT</t>
        </is>
      </c>
      <c r="D201" s="40" t="inlineStr">
        <is>
          <t>M1</t>
        </is>
      </c>
      <c r="E201" s="40" t="inlineStr">
        <is>
          <t>ALT</t>
        </is>
      </c>
      <c r="F201" s="40" t="inlineStr">
        <is>
          <t>STA_HEURE</t>
        </is>
      </c>
      <c r="G201" s="39" t="inlineStr">
        <is>
          <t>Heures d'enseignement</t>
        </is>
      </c>
      <c r="H201" s="40" t="inlineStr">
        <is>
          <t>TECHNIQUE</t>
        </is>
      </c>
      <c r="I201" s="41" t="inlineStr">
        <is>
          <t>2024ACT_VDEF</t>
        </is>
      </c>
      <c r="J201" s="41" t="n">
        <v>2024</v>
      </c>
      <c r="K201" s="41" t="inlineStr">
        <is>
          <t>NB</t>
        </is>
      </c>
      <c r="L201" s="43" t="n">
        <v>912</v>
      </c>
    </row>
    <row r="202">
      <c r="B202" s="39" t="inlineStr">
        <is>
          <t>MBWAY_PAR</t>
        </is>
      </c>
      <c r="C202" s="40" t="inlineStr">
        <is>
          <t>MAS_MGT</t>
        </is>
      </c>
      <c r="D202" s="40" t="inlineStr">
        <is>
          <t>M1</t>
        </is>
      </c>
      <c r="E202" s="40" t="inlineStr">
        <is>
          <t>ALT</t>
        </is>
      </c>
      <c r="F202" s="40" t="inlineStr">
        <is>
          <t>STA_HEURE</t>
        </is>
      </c>
      <c r="G202" s="39" t="inlineStr">
        <is>
          <t>Heures d'enseignement</t>
        </is>
      </c>
      <c r="H202" s="40" t="inlineStr">
        <is>
          <t>TECHNIQUE</t>
        </is>
      </c>
      <c r="I202" s="41" t="inlineStr">
        <is>
          <t>2025FCST_V4</t>
        </is>
      </c>
      <c r="J202" s="41" t="n">
        <v>2025</v>
      </c>
      <c r="K202" s="41" t="inlineStr">
        <is>
          <t>NB</t>
        </is>
      </c>
      <c r="L202" s="43" t="n">
        <v>960</v>
      </c>
    </row>
    <row r="203">
      <c r="B203" s="39" t="inlineStr">
        <is>
          <t>MBWAY_PAR</t>
        </is>
      </c>
      <c r="C203" s="40" t="inlineStr">
        <is>
          <t>MAS_MGT</t>
        </is>
      </c>
      <c r="D203" s="40" t="inlineStr">
        <is>
          <t>M1</t>
        </is>
      </c>
      <c r="E203" s="40" t="inlineStr">
        <is>
          <t>ALT</t>
        </is>
      </c>
      <c r="F203" s="40" t="inlineStr">
        <is>
          <t>STA_CAPA</t>
        </is>
      </c>
      <c r="G203" s="39" t="inlineStr">
        <is>
          <t>Capacité par classe</t>
        </is>
      </c>
      <c r="H203" s="40" t="inlineStr">
        <is>
          <t>TECHNIQUE</t>
        </is>
      </c>
      <c r="I203" s="41" t="inlineStr">
        <is>
          <t>2023ACT_VDEF</t>
        </is>
      </c>
      <c r="J203" s="41" t="n">
        <v>2023</v>
      </c>
      <c r="K203" s="41" t="inlineStr">
        <is>
          <t>NB</t>
        </is>
      </c>
      <c r="L203" s="43" t="n">
        <v>26</v>
      </c>
    </row>
    <row r="204">
      <c r="B204" s="39" t="inlineStr">
        <is>
          <t>MBWAY_PAR</t>
        </is>
      </c>
      <c r="C204" s="40" t="inlineStr">
        <is>
          <t>MAS_MGT</t>
        </is>
      </c>
      <c r="D204" s="40" t="inlineStr">
        <is>
          <t>M1</t>
        </is>
      </c>
      <c r="E204" s="40" t="inlineStr">
        <is>
          <t>ALT</t>
        </is>
      </c>
      <c r="F204" s="40" t="inlineStr">
        <is>
          <t>STA_CAPA</t>
        </is>
      </c>
      <c r="G204" s="39" t="inlineStr">
        <is>
          <t>Capacité par classe</t>
        </is>
      </c>
      <c r="H204" s="40" t="inlineStr">
        <is>
          <t>TECHNIQUE</t>
        </is>
      </c>
      <c r="I204" s="41" t="inlineStr">
        <is>
          <t>2024ACT_VDEF</t>
        </is>
      </c>
      <c r="J204" s="41" t="n">
        <v>2024</v>
      </c>
      <c r="K204" s="41" t="inlineStr">
        <is>
          <t>NB</t>
        </is>
      </c>
      <c r="L204" s="43" t="n">
        <v>26</v>
      </c>
    </row>
    <row r="205">
      <c r="B205" s="39" t="inlineStr">
        <is>
          <t>MBWAY_PAR</t>
        </is>
      </c>
      <c r="C205" s="40" t="inlineStr">
        <is>
          <t>MAS_MGT</t>
        </is>
      </c>
      <c r="D205" s="40" t="inlineStr">
        <is>
          <t>M1</t>
        </is>
      </c>
      <c r="E205" s="40" t="inlineStr">
        <is>
          <t>ALT</t>
        </is>
      </c>
      <c r="F205" s="40" t="inlineStr">
        <is>
          <t>STA_CAPA</t>
        </is>
      </c>
      <c r="G205" s="39" t="inlineStr">
        <is>
          <t>Capacité par classe</t>
        </is>
      </c>
      <c r="H205" s="40" t="inlineStr">
        <is>
          <t>TECHNIQUE</t>
        </is>
      </c>
      <c r="I205" s="41" t="inlineStr">
        <is>
          <t>2025FCST_V4</t>
        </is>
      </c>
      <c r="J205" s="41" t="n">
        <v>2025</v>
      </c>
      <c r="K205" s="41" t="inlineStr">
        <is>
          <t>NB</t>
        </is>
      </c>
      <c r="L205" s="43" t="n">
        <v>26</v>
      </c>
    </row>
    <row r="206">
      <c r="B206" s="39" t="inlineStr">
        <is>
          <t>MBWAY_PAR</t>
        </is>
      </c>
      <c r="C206" s="40" t="inlineStr">
        <is>
          <t>MAS_MGT</t>
        </is>
      </c>
      <c r="D206" s="40" t="inlineStr">
        <is>
          <t>M1</t>
        </is>
      </c>
      <c r="E206" s="40" t="inlineStr">
        <is>
          <t>ALT</t>
        </is>
      </c>
      <c r="F206" s="40" t="inlineStr">
        <is>
          <t>DRV_CONV</t>
        </is>
      </c>
      <c r="G206" s="39" t="inlineStr">
        <is>
          <t>Taux de conversion candidat→inscrit</t>
        </is>
      </c>
      <c r="H206" s="40" t="inlineStr">
        <is>
          <t>TECHNIQUE</t>
        </is>
      </c>
      <c r="I206" s="41" t="inlineStr">
        <is>
          <t>2023ACT_VDEF</t>
        </is>
      </c>
      <c r="J206" s="41" t="n">
        <v>2023</v>
      </c>
      <c r="K206" s="41" t="inlineStr">
        <is>
          <t>PCT</t>
        </is>
      </c>
      <c r="L206" s="44" t="n">
        <v>0.373</v>
      </c>
    </row>
    <row r="207">
      <c r="B207" s="39" t="inlineStr">
        <is>
          <t>MBWAY_PAR</t>
        </is>
      </c>
      <c r="C207" s="40" t="inlineStr">
        <is>
          <t>MAS_MGT</t>
        </is>
      </c>
      <c r="D207" s="40" t="inlineStr">
        <is>
          <t>M1</t>
        </is>
      </c>
      <c r="E207" s="40" t="inlineStr">
        <is>
          <t>ALT</t>
        </is>
      </c>
      <c r="F207" s="40" t="inlineStr">
        <is>
          <t>DRV_CONV</t>
        </is>
      </c>
      <c r="G207" s="39" t="inlineStr">
        <is>
          <t>Taux de conversion candidat→inscrit</t>
        </is>
      </c>
      <c r="H207" s="40" t="inlineStr">
        <is>
          <t>TECHNIQUE</t>
        </is>
      </c>
      <c r="I207" s="41" t="inlineStr">
        <is>
          <t>2024ACT_VDEF</t>
        </is>
      </c>
      <c r="J207" s="41" t="n">
        <v>2024</v>
      </c>
      <c r="K207" s="41" t="inlineStr">
        <is>
          <t>PCT</t>
        </is>
      </c>
      <c r="L207" s="44" t="n">
        <v>0.373</v>
      </c>
    </row>
    <row r="208">
      <c r="B208" s="39" t="inlineStr">
        <is>
          <t>MBWAY_PAR</t>
        </is>
      </c>
      <c r="C208" s="40" t="inlineStr">
        <is>
          <t>MAS_MGT</t>
        </is>
      </c>
      <c r="D208" s="40" t="inlineStr">
        <is>
          <t>M1</t>
        </is>
      </c>
      <c r="E208" s="40" t="inlineStr">
        <is>
          <t>ALT</t>
        </is>
      </c>
      <c r="F208" s="40" t="inlineStr">
        <is>
          <t>DRV_CONV</t>
        </is>
      </c>
      <c r="G208" s="39" t="inlineStr">
        <is>
          <t>Taux de conversion candidat→inscrit</t>
        </is>
      </c>
      <c r="H208" s="40" t="inlineStr">
        <is>
          <t>TECHNIQUE</t>
        </is>
      </c>
      <c r="I208" s="41" t="inlineStr">
        <is>
          <t>2025FCST_V4</t>
        </is>
      </c>
      <c r="J208" s="41" t="n">
        <v>2025</v>
      </c>
      <c r="K208" s="41" t="inlineStr">
        <is>
          <t>PCT</t>
        </is>
      </c>
      <c r="L208" s="44" t="n">
        <v>0.373</v>
      </c>
    </row>
    <row r="209">
      <c r="B209" s="39" t="inlineStr">
        <is>
          <t>MBWAY_PAR</t>
        </is>
      </c>
      <c r="C209" s="40" t="inlineStr">
        <is>
          <t>MAS_MGT</t>
        </is>
      </c>
      <c r="D209" s="40" t="inlineStr">
        <is>
          <t>M1</t>
        </is>
      </c>
      <c r="E209" s="40" t="inlineStr">
        <is>
          <t>ALT</t>
        </is>
      </c>
      <c r="F209" s="40" t="inlineStr">
        <is>
          <t>PRX_TARIF</t>
        </is>
      </c>
      <c r="G209" s="39" t="inlineStr">
        <is>
          <t>Tarif moyen scolarité</t>
        </is>
      </c>
      <c r="H209" s="40" t="inlineStr">
        <is>
          <t>TECHNIQUE</t>
        </is>
      </c>
      <c r="I209" s="41" t="inlineStr">
        <is>
          <t>2023ACT_VDEF</t>
        </is>
      </c>
      <c r="J209" s="41" t="n">
        <v>2023</v>
      </c>
      <c r="K209" s="41" t="inlineStr">
        <is>
          <t>EUR</t>
        </is>
      </c>
      <c r="L209" s="42" t="n">
        <v>9000</v>
      </c>
    </row>
    <row r="210">
      <c r="B210" s="39" t="inlineStr">
        <is>
          <t>MBWAY_PAR</t>
        </is>
      </c>
      <c r="C210" s="40" t="inlineStr">
        <is>
          <t>MAS_MGT</t>
        </is>
      </c>
      <c r="D210" s="40" t="inlineStr">
        <is>
          <t>M1</t>
        </is>
      </c>
      <c r="E210" s="40" t="inlineStr">
        <is>
          <t>ALT</t>
        </is>
      </c>
      <c r="F210" s="40" t="inlineStr">
        <is>
          <t>PRX_TARIF</t>
        </is>
      </c>
      <c r="G210" s="39" t="inlineStr">
        <is>
          <t>Tarif moyen scolarité</t>
        </is>
      </c>
      <c r="H210" s="40" t="inlineStr">
        <is>
          <t>TECHNIQUE</t>
        </is>
      </c>
      <c r="I210" s="41" t="inlineStr">
        <is>
          <t>2024ACT_VDEF</t>
        </is>
      </c>
      <c r="J210" s="41" t="n">
        <v>2024</v>
      </c>
      <c r="K210" s="41" t="inlineStr">
        <is>
          <t>EUR</t>
        </is>
      </c>
      <c r="L210" s="42" t="n">
        <v>9000</v>
      </c>
    </row>
    <row r="211">
      <c r="B211" s="39" t="inlineStr">
        <is>
          <t>MBWAY_PAR</t>
        </is>
      </c>
      <c r="C211" s="40" t="inlineStr">
        <is>
          <t>MAS_MGT</t>
        </is>
      </c>
      <c r="D211" s="40" t="inlineStr">
        <is>
          <t>M1</t>
        </is>
      </c>
      <c r="E211" s="40" t="inlineStr">
        <is>
          <t>ALT</t>
        </is>
      </c>
      <c r="F211" s="40" t="inlineStr">
        <is>
          <t>PRX_TARIF</t>
        </is>
      </c>
      <c r="G211" s="39" t="inlineStr">
        <is>
          <t>Tarif moyen scolarité</t>
        </is>
      </c>
      <c r="H211" s="40" t="inlineStr">
        <is>
          <t>TECHNIQUE</t>
        </is>
      </c>
      <c r="I211" s="41" t="inlineStr">
        <is>
          <t>2025FCST_V4</t>
        </is>
      </c>
      <c r="J211" s="41" t="n">
        <v>2025</v>
      </c>
      <c r="K211" s="41" t="inlineStr">
        <is>
          <t>EUR</t>
        </is>
      </c>
      <c r="L211" s="42" t="n">
        <v>9000</v>
      </c>
    </row>
    <row r="212">
      <c r="B212" s="39" t="inlineStr">
        <is>
          <t>MBWAY_PAR</t>
        </is>
      </c>
      <c r="C212" s="40" t="inlineStr">
        <is>
          <t>MAS_MGT</t>
        </is>
      </c>
      <c r="D212" s="40" t="inlineStr">
        <is>
          <t>M1</t>
        </is>
      </c>
      <c r="E212" s="40" t="inlineStr">
        <is>
          <t>ALT</t>
        </is>
      </c>
      <c r="F212" s="40" t="inlineStr">
        <is>
          <t>CAC_LEAD</t>
        </is>
      </c>
      <c r="G212" s="39" t="inlineStr">
        <is>
          <t>Coût d'acquisition par lead</t>
        </is>
      </c>
      <c r="H212" s="40" t="inlineStr">
        <is>
          <t>TECHNIQUE</t>
        </is>
      </c>
      <c r="I212" s="41" t="inlineStr">
        <is>
          <t>2023ACT_VDEF</t>
        </is>
      </c>
      <c r="J212" s="41" t="n">
        <v>2023</v>
      </c>
      <c r="K212" s="41" t="inlineStr">
        <is>
          <t>EUR</t>
        </is>
      </c>
      <c r="L212" s="42" t="n">
        <v>600</v>
      </c>
    </row>
    <row r="213">
      <c r="B213" s="39" t="inlineStr">
        <is>
          <t>MBWAY_PAR</t>
        </is>
      </c>
      <c r="C213" s="40" t="inlineStr">
        <is>
          <t>MAS_MGT</t>
        </is>
      </c>
      <c r="D213" s="40" t="inlineStr">
        <is>
          <t>M1</t>
        </is>
      </c>
      <c r="E213" s="40" t="inlineStr">
        <is>
          <t>ALT</t>
        </is>
      </c>
      <c r="F213" s="40" t="inlineStr">
        <is>
          <t>CAC_LEAD</t>
        </is>
      </c>
      <c r="G213" s="39" t="inlineStr">
        <is>
          <t>Coût d'acquisition par lead</t>
        </is>
      </c>
      <c r="H213" s="40" t="inlineStr">
        <is>
          <t>TECHNIQUE</t>
        </is>
      </c>
      <c r="I213" s="41" t="inlineStr">
        <is>
          <t>2024ACT_VDEF</t>
        </is>
      </c>
      <c r="J213" s="41" t="n">
        <v>2024</v>
      </c>
      <c r="K213" s="41" t="inlineStr">
        <is>
          <t>EUR</t>
        </is>
      </c>
      <c r="L213" s="42" t="n">
        <v>600</v>
      </c>
    </row>
    <row r="214">
      <c r="B214" s="39" t="inlineStr">
        <is>
          <t>MBWAY_PAR</t>
        </is>
      </c>
      <c r="C214" s="40" t="inlineStr">
        <is>
          <t>MAS_MGT</t>
        </is>
      </c>
      <c r="D214" s="40" t="inlineStr">
        <is>
          <t>M1</t>
        </is>
      </c>
      <c r="E214" s="40" t="inlineStr">
        <is>
          <t>ALT</t>
        </is>
      </c>
      <c r="F214" s="40" t="inlineStr">
        <is>
          <t>CAC_LEAD</t>
        </is>
      </c>
      <c r="G214" s="39" t="inlineStr">
        <is>
          <t>Coût d'acquisition par lead</t>
        </is>
      </c>
      <c r="H214" s="40" t="inlineStr">
        <is>
          <t>TECHNIQUE</t>
        </is>
      </c>
      <c r="I214" s="41" t="inlineStr">
        <is>
          <t>2025FCST_V4</t>
        </is>
      </c>
      <c r="J214" s="41" t="n">
        <v>2025</v>
      </c>
      <c r="K214" s="41" t="inlineStr">
        <is>
          <t>EUR</t>
        </is>
      </c>
      <c r="L214" s="42" t="n">
        <v>600</v>
      </c>
    </row>
    <row r="215">
      <c r="B215" s="39" t="inlineStr">
        <is>
          <t>MBWAY_PAR</t>
        </is>
      </c>
      <c r="C215" s="40" t="inlineStr">
        <is>
          <t>MAS_MGT</t>
        </is>
      </c>
      <c r="D215" s="40" t="inlineStr">
        <is>
          <t>M2</t>
        </is>
      </c>
      <c r="E215" s="40" t="inlineStr">
        <is>
          <t>ALT</t>
        </is>
      </c>
      <c r="F215" s="40" t="inlineStr">
        <is>
          <t>706100</t>
        </is>
      </c>
      <c r="G215" s="39" t="inlineStr">
        <is>
          <t>Droits de scolarité</t>
        </is>
      </c>
      <c r="H215" s="40" t="inlineStr">
        <is>
          <t>COMPTABLE</t>
        </is>
      </c>
      <c r="I215" s="41" t="inlineStr">
        <is>
          <t>2023ACT_VDEF</t>
        </is>
      </c>
      <c r="J215" s="41" t="n">
        <v>2023</v>
      </c>
      <c r="K215" s="41" t="inlineStr">
        <is>
          <t>EUR</t>
        </is>
      </c>
      <c r="L215" s="42" t="n">
        <v>340200</v>
      </c>
    </row>
    <row r="216">
      <c r="B216" s="39" t="inlineStr">
        <is>
          <t>MBWAY_PAR</t>
        </is>
      </c>
      <c r="C216" s="40" t="inlineStr">
        <is>
          <t>MAS_MGT</t>
        </is>
      </c>
      <c r="D216" s="40" t="inlineStr">
        <is>
          <t>M2</t>
        </is>
      </c>
      <c r="E216" s="40" t="inlineStr">
        <is>
          <t>ALT</t>
        </is>
      </c>
      <c r="F216" s="40" t="inlineStr">
        <is>
          <t>706100</t>
        </is>
      </c>
      <c r="G216" s="39" t="inlineStr">
        <is>
          <t>Droits de scolarité</t>
        </is>
      </c>
      <c r="H216" s="40" t="inlineStr">
        <is>
          <t>COMPTABLE</t>
        </is>
      </c>
      <c r="I216" s="41" t="inlineStr">
        <is>
          <t>2024ACT_VDEF</t>
        </is>
      </c>
      <c r="J216" s="41" t="n">
        <v>2024</v>
      </c>
      <c r="K216" s="41" t="inlineStr">
        <is>
          <t>EUR</t>
        </is>
      </c>
      <c r="L216" s="42" t="n">
        <v>359100</v>
      </c>
    </row>
    <row r="217">
      <c r="B217" s="39" t="inlineStr">
        <is>
          <t>MBWAY_PAR</t>
        </is>
      </c>
      <c r="C217" s="40" t="inlineStr">
        <is>
          <t>MAS_MGT</t>
        </is>
      </c>
      <c r="D217" s="40" t="inlineStr">
        <is>
          <t>M2</t>
        </is>
      </c>
      <c r="E217" s="40" t="inlineStr">
        <is>
          <t>ALT</t>
        </is>
      </c>
      <c r="F217" s="40" t="inlineStr">
        <is>
          <t>706100</t>
        </is>
      </c>
      <c r="G217" s="39" t="inlineStr">
        <is>
          <t>Droits de scolarité</t>
        </is>
      </c>
      <c r="H217" s="40" t="inlineStr">
        <is>
          <t>COMPTABLE</t>
        </is>
      </c>
      <c r="I217" s="41" t="inlineStr">
        <is>
          <t>2025FCST_V4</t>
        </is>
      </c>
      <c r="J217" s="41" t="n">
        <v>2025</v>
      </c>
      <c r="K217" s="41" t="inlineStr">
        <is>
          <t>EUR</t>
        </is>
      </c>
      <c r="L217" s="42" t="n">
        <v>378000</v>
      </c>
    </row>
    <row r="218">
      <c r="B218" s="39" t="inlineStr">
        <is>
          <t>MBWAY_PAR</t>
        </is>
      </c>
      <c r="C218" s="40" t="inlineStr">
        <is>
          <t>MAS_MGT</t>
        </is>
      </c>
      <c r="D218" s="40" t="inlineStr">
        <is>
          <t>M2</t>
        </is>
      </c>
      <c r="E218" s="40" t="inlineStr">
        <is>
          <t>ALT</t>
        </is>
      </c>
      <c r="F218" s="40" t="inlineStr">
        <is>
          <t>604100</t>
        </is>
      </c>
      <c r="G218" s="39" t="inlineStr">
        <is>
          <t>Vacations &amp; sous-traitance pédagogique</t>
        </is>
      </c>
      <c r="H218" s="40" t="inlineStr">
        <is>
          <t>COMPTABLE</t>
        </is>
      </c>
      <c r="I218" s="41" t="inlineStr">
        <is>
          <t>2023ACT_VDEF</t>
        </is>
      </c>
      <c r="J218" s="41" t="n">
        <v>2023</v>
      </c>
      <c r="K218" s="41" t="inlineStr">
        <is>
          <t>EUR</t>
        </is>
      </c>
      <c r="L218" s="42" t="n">
        <v>55440</v>
      </c>
    </row>
    <row r="219">
      <c r="B219" s="39" t="inlineStr">
        <is>
          <t>MBWAY_PAR</t>
        </is>
      </c>
      <c r="C219" s="40" t="inlineStr">
        <is>
          <t>MAS_MGT</t>
        </is>
      </c>
      <c r="D219" s="40" t="inlineStr">
        <is>
          <t>M2</t>
        </is>
      </c>
      <c r="E219" s="40" t="inlineStr">
        <is>
          <t>ALT</t>
        </is>
      </c>
      <c r="F219" s="40" t="inlineStr">
        <is>
          <t>604100</t>
        </is>
      </c>
      <c r="G219" s="39" t="inlineStr">
        <is>
          <t>Vacations &amp; sous-traitance pédagogique</t>
        </is>
      </c>
      <c r="H219" s="40" t="inlineStr">
        <is>
          <t>COMPTABLE</t>
        </is>
      </c>
      <c r="I219" s="41" t="inlineStr">
        <is>
          <t>2024ACT_VDEF</t>
        </is>
      </c>
      <c r="J219" s="41" t="n">
        <v>2024</v>
      </c>
      <c r="K219" s="41" t="inlineStr">
        <is>
          <t>EUR</t>
        </is>
      </c>
      <c r="L219" s="42" t="n">
        <v>58520</v>
      </c>
    </row>
    <row r="220">
      <c r="B220" s="39" t="inlineStr">
        <is>
          <t>MBWAY_PAR</t>
        </is>
      </c>
      <c r="C220" s="40" t="inlineStr">
        <is>
          <t>MAS_MGT</t>
        </is>
      </c>
      <c r="D220" s="40" t="inlineStr">
        <is>
          <t>M2</t>
        </is>
      </c>
      <c r="E220" s="40" t="inlineStr">
        <is>
          <t>ALT</t>
        </is>
      </c>
      <c r="F220" s="40" t="inlineStr">
        <is>
          <t>604100</t>
        </is>
      </c>
      <c r="G220" s="39" t="inlineStr">
        <is>
          <t>Vacations &amp; sous-traitance pédagogique</t>
        </is>
      </c>
      <c r="H220" s="40" t="inlineStr">
        <is>
          <t>COMPTABLE</t>
        </is>
      </c>
      <c r="I220" s="41" t="inlineStr">
        <is>
          <t>2025FCST_V4</t>
        </is>
      </c>
      <c r="J220" s="41" t="n">
        <v>2025</v>
      </c>
      <c r="K220" s="41" t="inlineStr">
        <is>
          <t>EUR</t>
        </is>
      </c>
      <c r="L220" s="42" t="n">
        <v>61600</v>
      </c>
    </row>
    <row r="221">
      <c r="B221" s="39" t="inlineStr">
        <is>
          <t>MBWAY_PAR</t>
        </is>
      </c>
      <c r="C221" s="40" t="inlineStr">
        <is>
          <t>MAS_MGT</t>
        </is>
      </c>
      <c r="D221" s="40" t="inlineStr">
        <is>
          <t>M2</t>
        </is>
      </c>
      <c r="E221" s="40" t="inlineStr">
        <is>
          <t>ALT</t>
        </is>
      </c>
      <c r="F221" s="40" t="inlineStr">
        <is>
          <t>606300</t>
        </is>
      </c>
      <c r="G221" s="39" t="inlineStr">
        <is>
          <t>Fournitures &amp; ressources pédagogiques</t>
        </is>
      </c>
      <c r="H221" s="40" t="inlineStr">
        <is>
          <t>COMPTABLE</t>
        </is>
      </c>
      <c r="I221" s="41" t="inlineStr">
        <is>
          <t>2023ACT_VDEF</t>
        </is>
      </c>
      <c r="J221" s="41" t="n">
        <v>2023</v>
      </c>
      <c r="K221" s="41" t="inlineStr">
        <is>
          <t>EUR</t>
        </is>
      </c>
      <c r="L221" s="42" t="n">
        <v>19656</v>
      </c>
    </row>
    <row r="222">
      <c r="B222" s="39" t="inlineStr">
        <is>
          <t>MBWAY_PAR</t>
        </is>
      </c>
      <c r="C222" s="40" t="inlineStr">
        <is>
          <t>MAS_MGT</t>
        </is>
      </c>
      <c r="D222" s="40" t="inlineStr">
        <is>
          <t>M2</t>
        </is>
      </c>
      <c r="E222" s="40" t="inlineStr">
        <is>
          <t>ALT</t>
        </is>
      </c>
      <c r="F222" s="40" t="inlineStr">
        <is>
          <t>606300</t>
        </is>
      </c>
      <c r="G222" s="39" t="inlineStr">
        <is>
          <t>Fournitures &amp; ressources pédagogiques</t>
        </is>
      </c>
      <c r="H222" s="40" t="inlineStr">
        <is>
          <t>COMPTABLE</t>
        </is>
      </c>
      <c r="I222" s="41" t="inlineStr">
        <is>
          <t>2024ACT_VDEF</t>
        </is>
      </c>
      <c r="J222" s="41" t="n">
        <v>2024</v>
      </c>
      <c r="K222" s="41" t="inlineStr">
        <is>
          <t>EUR</t>
        </is>
      </c>
      <c r="L222" s="42" t="n">
        <v>20748</v>
      </c>
    </row>
    <row r="223">
      <c r="B223" s="39" t="inlineStr">
        <is>
          <t>MBWAY_PAR</t>
        </is>
      </c>
      <c r="C223" s="40" t="inlineStr">
        <is>
          <t>MAS_MGT</t>
        </is>
      </c>
      <c r="D223" s="40" t="inlineStr">
        <is>
          <t>M2</t>
        </is>
      </c>
      <c r="E223" s="40" t="inlineStr">
        <is>
          <t>ALT</t>
        </is>
      </c>
      <c r="F223" s="40" t="inlineStr">
        <is>
          <t>606300</t>
        </is>
      </c>
      <c r="G223" s="39" t="inlineStr">
        <is>
          <t>Fournitures &amp; ressources pédagogiques</t>
        </is>
      </c>
      <c r="H223" s="40" t="inlineStr">
        <is>
          <t>COMPTABLE</t>
        </is>
      </c>
      <c r="I223" s="41" t="inlineStr">
        <is>
          <t>2025FCST_V4</t>
        </is>
      </c>
      <c r="J223" s="41" t="n">
        <v>2025</v>
      </c>
      <c r="K223" s="41" t="inlineStr">
        <is>
          <t>EUR</t>
        </is>
      </c>
      <c r="L223" s="42" t="n">
        <v>21840</v>
      </c>
    </row>
    <row r="224">
      <c r="B224" s="39" t="inlineStr">
        <is>
          <t>MBWAY_PAR</t>
        </is>
      </c>
      <c r="C224" s="40" t="inlineStr">
        <is>
          <t>MAS_MGT</t>
        </is>
      </c>
      <c r="D224" s="40" t="inlineStr">
        <is>
          <t>M2</t>
        </is>
      </c>
      <c r="E224" s="40" t="inlineStr">
        <is>
          <t>ALT</t>
        </is>
      </c>
      <c r="F224" s="40" t="inlineStr">
        <is>
          <t>613200</t>
        </is>
      </c>
      <c r="G224" s="39" t="inlineStr">
        <is>
          <t>Locations immobilières (loyers)</t>
        </is>
      </c>
      <c r="H224" s="40" t="inlineStr">
        <is>
          <t>COMPTABLE</t>
        </is>
      </c>
      <c r="I224" s="41" t="inlineStr">
        <is>
          <t>2023ACT_VDEF</t>
        </is>
      </c>
      <c r="J224" s="41" t="n">
        <v>2023</v>
      </c>
      <c r="K224" s="41" t="inlineStr">
        <is>
          <t>EUR</t>
        </is>
      </c>
      <c r="L224" s="42" t="n">
        <v>40650</v>
      </c>
    </row>
    <row r="225">
      <c r="B225" s="39" t="inlineStr">
        <is>
          <t>MBWAY_PAR</t>
        </is>
      </c>
      <c r="C225" s="40" t="inlineStr">
        <is>
          <t>MAS_MGT</t>
        </is>
      </c>
      <c r="D225" s="40" t="inlineStr">
        <is>
          <t>M2</t>
        </is>
      </c>
      <c r="E225" s="40" t="inlineStr">
        <is>
          <t>ALT</t>
        </is>
      </c>
      <c r="F225" s="40" t="inlineStr">
        <is>
          <t>613200</t>
        </is>
      </c>
      <c r="G225" s="39" t="inlineStr">
        <is>
          <t>Locations immobilières (loyers)</t>
        </is>
      </c>
      <c r="H225" s="40" t="inlineStr">
        <is>
          <t>COMPTABLE</t>
        </is>
      </c>
      <c r="I225" s="41" t="inlineStr">
        <is>
          <t>2024ACT_VDEF</t>
        </is>
      </c>
      <c r="J225" s="41" t="n">
        <v>2024</v>
      </c>
      <c r="K225" s="41" t="inlineStr">
        <is>
          <t>EUR</t>
        </is>
      </c>
      <c r="L225" s="42" t="n">
        <v>42909</v>
      </c>
    </row>
    <row r="226">
      <c r="B226" s="39" t="inlineStr">
        <is>
          <t>MBWAY_PAR</t>
        </is>
      </c>
      <c r="C226" s="40" t="inlineStr">
        <is>
          <t>MAS_MGT</t>
        </is>
      </c>
      <c r="D226" s="40" t="inlineStr">
        <is>
          <t>M2</t>
        </is>
      </c>
      <c r="E226" s="40" t="inlineStr">
        <is>
          <t>ALT</t>
        </is>
      </c>
      <c r="F226" s="40" t="inlineStr">
        <is>
          <t>613200</t>
        </is>
      </c>
      <c r="G226" s="39" t="inlineStr">
        <is>
          <t>Locations immobilières (loyers)</t>
        </is>
      </c>
      <c r="H226" s="40" t="inlineStr">
        <is>
          <t>COMPTABLE</t>
        </is>
      </c>
      <c r="I226" s="41" t="inlineStr">
        <is>
          <t>2025FCST_V4</t>
        </is>
      </c>
      <c r="J226" s="41" t="n">
        <v>2025</v>
      </c>
      <c r="K226" s="41" t="inlineStr">
        <is>
          <t>EUR</t>
        </is>
      </c>
      <c r="L226" s="42" t="n">
        <v>45167</v>
      </c>
    </row>
    <row r="227">
      <c r="B227" s="39" t="inlineStr">
        <is>
          <t>MBWAY_PAR</t>
        </is>
      </c>
      <c r="C227" s="40" t="inlineStr">
        <is>
          <t>MAS_MGT</t>
        </is>
      </c>
      <c r="D227" s="40" t="inlineStr">
        <is>
          <t>M2</t>
        </is>
      </c>
      <c r="E227" s="40" t="inlineStr">
        <is>
          <t>ALT</t>
        </is>
      </c>
      <c r="F227" s="40" t="inlineStr">
        <is>
          <t>641100</t>
        </is>
      </c>
      <c r="G227" s="39" t="inlineStr">
        <is>
          <t>Rémunérations du personnel permanent</t>
        </is>
      </c>
      <c r="H227" s="40" t="inlineStr">
        <is>
          <t>COMPTABLE</t>
        </is>
      </c>
      <c r="I227" s="41" t="inlineStr">
        <is>
          <t>2023ACT_VDEF</t>
        </is>
      </c>
      <c r="J227" s="41" t="n">
        <v>2023</v>
      </c>
      <c r="K227" s="41" t="inlineStr">
        <is>
          <t>EUR</t>
        </is>
      </c>
      <c r="L227" s="42" t="n">
        <v>95700</v>
      </c>
    </row>
    <row r="228">
      <c r="B228" s="39" t="inlineStr">
        <is>
          <t>MBWAY_PAR</t>
        </is>
      </c>
      <c r="C228" s="40" t="inlineStr">
        <is>
          <t>MAS_MGT</t>
        </is>
      </c>
      <c r="D228" s="40" t="inlineStr">
        <is>
          <t>M2</t>
        </is>
      </c>
      <c r="E228" s="40" t="inlineStr">
        <is>
          <t>ALT</t>
        </is>
      </c>
      <c r="F228" s="40" t="inlineStr">
        <is>
          <t>641100</t>
        </is>
      </c>
      <c r="G228" s="39" t="inlineStr">
        <is>
          <t>Rémunérations du personnel permanent</t>
        </is>
      </c>
      <c r="H228" s="40" t="inlineStr">
        <is>
          <t>COMPTABLE</t>
        </is>
      </c>
      <c r="I228" s="41" t="inlineStr">
        <is>
          <t>2024ACT_VDEF</t>
        </is>
      </c>
      <c r="J228" s="41" t="n">
        <v>2024</v>
      </c>
      <c r="K228" s="41" t="inlineStr">
        <is>
          <t>EUR</t>
        </is>
      </c>
      <c r="L228" s="42" t="n">
        <v>101016</v>
      </c>
    </row>
    <row r="229">
      <c r="B229" s="39" t="inlineStr">
        <is>
          <t>MBWAY_PAR</t>
        </is>
      </c>
      <c r="C229" s="40" t="inlineStr">
        <is>
          <t>MAS_MGT</t>
        </is>
      </c>
      <c r="D229" s="40" t="inlineStr">
        <is>
          <t>M2</t>
        </is>
      </c>
      <c r="E229" s="40" t="inlineStr">
        <is>
          <t>ALT</t>
        </is>
      </c>
      <c r="F229" s="40" t="inlineStr">
        <is>
          <t>641100</t>
        </is>
      </c>
      <c r="G229" s="39" t="inlineStr">
        <is>
          <t>Rémunérations du personnel permanent</t>
        </is>
      </c>
      <c r="H229" s="40" t="inlineStr">
        <is>
          <t>COMPTABLE</t>
        </is>
      </c>
      <c r="I229" s="41" t="inlineStr">
        <is>
          <t>2025FCST_V4</t>
        </is>
      </c>
      <c r="J229" s="41" t="n">
        <v>2025</v>
      </c>
      <c r="K229" s="41" t="inlineStr">
        <is>
          <t>EUR</t>
        </is>
      </c>
      <c r="L229" s="42" t="n">
        <v>106333</v>
      </c>
    </row>
    <row r="230">
      <c r="B230" s="39" t="inlineStr">
        <is>
          <t>MBWAY_PAR</t>
        </is>
      </c>
      <c r="C230" s="40" t="inlineStr">
        <is>
          <t>MAS_MGT</t>
        </is>
      </c>
      <c r="D230" s="40" t="inlineStr">
        <is>
          <t>M2</t>
        </is>
      </c>
      <c r="E230" s="40" t="inlineStr">
        <is>
          <t>ALT</t>
        </is>
      </c>
      <c r="F230" s="40" t="inlineStr">
        <is>
          <t>622600</t>
        </is>
      </c>
      <c r="G230" s="39" t="inlineStr">
        <is>
          <t>Honoraires &amp; frais de siège (structure groupe)</t>
        </is>
      </c>
      <c r="H230" s="40" t="inlineStr">
        <is>
          <t>COMPTABLE</t>
        </is>
      </c>
      <c r="I230" s="41" t="inlineStr">
        <is>
          <t>2023ACT_VDEF</t>
        </is>
      </c>
      <c r="J230" s="41" t="n">
        <v>2023</v>
      </c>
      <c r="K230" s="41" t="inlineStr">
        <is>
          <t>EUR</t>
        </is>
      </c>
      <c r="L230" s="42" t="n">
        <v>37032</v>
      </c>
    </row>
    <row r="231">
      <c r="B231" s="39" t="inlineStr">
        <is>
          <t>MBWAY_PAR</t>
        </is>
      </c>
      <c r="C231" s="40" t="inlineStr">
        <is>
          <t>MAS_MGT</t>
        </is>
      </c>
      <c r="D231" s="40" t="inlineStr">
        <is>
          <t>M2</t>
        </is>
      </c>
      <c r="E231" s="40" t="inlineStr">
        <is>
          <t>ALT</t>
        </is>
      </c>
      <c r="F231" s="40" t="inlineStr">
        <is>
          <t>622600</t>
        </is>
      </c>
      <c r="G231" s="39" t="inlineStr">
        <is>
          <t>Honoraires &amp; frais de siège (structure groupe)</t>
        </is>
      </c>
      <c r="H231" s="40" t="inlineStr">
        <is>
          <t>COMPTABLE</t>
        </is>
      </c>
      <c r="I231" s="41" t="inlineStr">
        <is>
          <t>2024ACT_VDEF</t>
        </is>
      </c>
      <c r="J231" s="41" t="n">
        <v>2024</v>
      </c>
      <c r="K231" s="41" t="inlineStr">
        <is>
          <t>EUR</t>
        </is>
      </c>
      <c r="L231" s="42" t="n">
        <v>39090</v>
      </c>
    </row>
    <row r="232">
      <c r="B232" s="39" t="inlineStr">
        <is>
          <t>MBWAY_PAR</t>
        </is>
      </c>
      <c r="C232" s="40" t="inlineStr">
        <is>
          <t>MAS_MGT</t>
        </is>
      </c>
      <c r="D232" s="40" t="inlineStr">
        <is>
          <t>M2</t>
        </is>
      </c>
      <c r="E232" s="40" t="inlineStr">
        <is>
          <t>ALT</t>
        </is>
      </c>
      <c r="F232" s="40" t="inlineStr">
        <is>
          <t>622600</t>
        </is>
      </c>
      <c r="G232" s="39" t="inlineStr">
        <is>
          <t>Honoraires &amp; frais de siège (structure groupe)</t>
        </is>
      </c>
      <c r="H232" s="40" t="inlineStr">
        <is>
          <t>COMPTABLE</t>
        </is>
      </c>
      <c r="I232" s="41" t="inlineStr">
        <is>
          <t>2025FCST_V4</t>
        </is>
      </c>
      <c r="J232" s="41" t="n">
        <v>2025</v>
      </c>
      <c r="K232" s="41" t="inlineStr">
        <is>
          <t>EUR</t>
        </is>
      </c>
      <c r="L232" s="42" t="n">
        <v>41147</v>
      </c>
    </row>
    <row r="233">
      <c r="B233" s="39" t="inlineStr">
        <is>
          <t>MBWAY_PAR</t>
        </is>
      </c>
      <c r="C233" s="40" t="inlineStr">
        <is>
          <t>MAS_MGT</t>
        </is>
      </c>
      <c r="D233" s="40" t="inlineStr">
        <is>
          <t>M2</t>
        </is>
      </c>
      <c r="E233" s="40" t="inlineStr">
        <is>
          <t>ALT</t>
        </is>
      </c>
      <c r="F233" s="40" t="inlineStr">
        <is>
          <t>606800</t>
        </is>
      </c>
      <c r="G233" s="39" t="inlineStr">
        <is>
          <t>Autres achats &amp; charges externes</t>
        </is>
      </c>
      <c r="H233" s="40" t="inlineStr">
        <is>
          <t>COMPTABLE</t>
        </is>
      </c>
      <c r="I233" s="41" t="inlineStr">
        <is>
          <t>2023ACT_VDEF</t>
        </is>
      </c>
      <c r="J233" s="41" t="n">
        <v>2023</v>
      </c>
      <c r="K233" s="41" t="inlineStr">
        <is>
          <t>EUR</t>
        </is>
      </c>
      <c r="L233" s="42" t="n">
        <v>35305</v>
      </c>
    </row>
    <row r="234">
      <c r="B234" s="39" t="inlineStr">
        <is>
          <t>MBWAY_PAR</t>
        </is>
      </c>
      <c r="C234" s="40" t="inlineStr">
        <is>
          <t>MAS_MGT</t>
        </is>
      </c>
      <c r="D234" s="40" t="inlineStr">
        <is>
          <t>M2</t>
        </is>
      </c>
      <c r="E234" s="40" t="inlineStr">
        <is>
          <t>ALT</t>
        </is>
      </c>
      <c r="F234" s="40" t="inlineStr">
        <is>
          <t>606800</t>
        </is>
      </c>
      <c r="G234" s="39" t="inlineStr">
        <is>
          <t>Autres achats &amp; charges externes</t>
        </is>
      </c>
      <c r="H234" s="40" t="inlineStr">
        <is>
          <t>COMPTABLE</t>
        </is>
      </c>
      <c r="I234" s="41" t="inlineStr">
        <is>
          <t>2024ACT_VDEF</t>
        </is>
      </c>
      <c r="J234" s="41" t="n">
        <v>2024</v>
      </c>
      <c r="K234" s="41" t="inlineStr">
        <is>
          <t>EUR</t>
        </is>
      </c>
      <c r="L234" s="42" t="n">
        <v>37267</v>
      </c>
    </row>
    <row r="235">
      <c r="B235" s="39" t="inlineStr">
        <is>
          <t>MBWAY_PAR</t>
        </is>
      </c>
      <c r="C235" s="40" t="inlineStr">
        <is>
          <t>MAS_MGT</t>
        </is>
      </c>
      <c r="D235" s="40" t="inlineStr">
        <is>
          <t>M2</t>
        </is>
      </c>
      <c r="E235" s="40" t="inlineStr">
        <is>
          <t>ALT</t>
        </is>
      </c>
      <c r="F235" s="40" t="inlineStr">
        <is>
          <t>606800</t>
        </is>
      </c>
      <c r="G235" s="39" t="inlineStr">
        <is>
          <t>Autres achats &amp; charges externes</t>
        </is>
      </c>
      <c r="H235" s="40" t="inlineStr">
        <is>
          <t>COMPTABLE</t>
        </is>
      </c>
      <c r="I235" s="41" t="inlineStr">
        <is>
          <t>2025FCST_V4</t>
        </is>
      </c>
      <c r="J235" s="41" t="n">
        <v>2025</v>
      </c>
      <c r="K235" s="41" t="inlineStr">
        <is>
          <t>EUR</t>
        </is>
      </c>
      <c r="L235" s="42" t="n">
        <v>39228</v>
      </c>
    </row>
    <row r="236">
      <c r="B236" s="39" t="inlineStr">
        <is>
          <t>MBWAY_PAR</t>
        </is>
      </c>
      <c r="C236" s="40" t="inlineStr">
        <is>
          <t>MAS_MGT</t>
        </is>
      </c>
      <c r="D236" s="40" t="inlineStr">
        <is>
          <t>M2</t>
        </is>
      </c>
      <c r="E236" s="40" t="inlineStr">
        <is>
          <t>ALT</t>
        </is>
      </c>
      <c r="F236" s="40" t="inlineStr">
        <is>
          <t>681100</t>
        </is>
      </c>
      <c r="G236" s="39" t="inlineStr">
        <is>
          <t>Dotations aux amortissements</t>
        </is>
      </c>
      <c r="H236" s="40" t="inlineStr">
        <is>
          <t>COMPTABLE</t>
        </is>
      </c>
      <c r="I236" s="41" t="inlineStr">
        <is>
          <t>2023ACT_VDEF</t>
        </is>
      </c>
      <c r="J236" s="41" t="n">
        <v>2023</v>
      </c>
      <c r="K236" s="41" t="inlineStr">
        <is>
          <t>EUR</t>
        </is>
      </c>
      <c r="L236" s="42" t="n">
        <v>22200</v>
      </c>
    </row>
    <row r="237">
      <c r="B237" s="39" t="inlineStr">
        <is>
          <t>MBWAY_PAR</t>
        </is>
      </c>
      <c r="C237" s="40" t="inlineStr">
        <is>
          <t>MAS_MGT</t>
        </is>
      </c>
      <c r="D237" s="40" t="inlineStr">
        <is>
          <t>M2</t>
        </is>
      </c>
      <c r="E237" s="40" t="inlineStr">
        <is>
          <t>ALT</t>
        </is>
      </c>
      <c r="F237" s="40" t="inlineStr">
        <is>
          <t>681100</t>
        </is>
      </c>
      <c r="G237" s="39" t="inlineStr">
        <is>
          <t>Dotations aux amortissements</t>
        </is>
      </c>
      <c r="H237" s="40" t="inlineStr">
        <is>
          <t>COMPTABLE</t>
        </is>
      </c>
      <c r="I237" s="41" t="inlineStr">
        <is>
          <t>2024ACT_VDEF</t>
        </is>
      </c>
      <c r="J237" s="41" t="n">
        <v>2024</v>
      </c>
      <c r="K237" s="41" t="inlineStr">
        <is>
          <t>EUR</t>
        </is>
      </c>
      <c r="L237" s="42" t="n">
        <v>23434</v>
      </c>
    </row>
    <row r="238">
      <c r="B238" s="39" t="inlineStr">
        <is>
          <t>MBWAY_PAR</t>
        </is>
      </c>
      <c r="C238" s="40" t="inlineStr">
        <is>
          <t>MAS_MGT</t>
        </is>
      </c>
      <c r="D238" s="40" t="inlineStr">
        <is>
          <t>M2</t>
        </is>
      </c>
      <c r="E238" s="40" t="inlineStr">
        <is>
          <t>ALT</t>
        </is>
      </c>
      <c r="F238" s="40" t="inlineStr">
        <is>
          <t>681100</t>
        </is>
      </c>
      <c r="G238" s="39" t="inlineStr">
        <is>
          <t>Dotations aux amortissements</t>
        </is>
      </c>
      <c r="H238" s="40" t="inlineStr">
        <is>
          <t>COMPTABLE</t>
        </is>
      </c>
      <c r="I238" s="41" t="inlineStr">
        <is>
          <t>2025FCST_V4</t>
        </is>
      </c>
      <c r="J238" s="41" t="n">
        <v>2025</v>
      </c>
      <c r="K238" s="41" t="inlineStr">
        <is>
          <t>EUR</t>
        </is>
      </c>
      <c r="L238" s="42" t="n">
        <v>24667</v>
      </c>
    </row>
    <row r="239">
      <c r="B239" s="39" t="inlineStr">
        <is>
          <t>MBWAY_PAR</t>
        </is>
      </c>
      <c r="C239" s="40" t="inlineStr">
        <is>
          <t>MAS_MGT</t>
        </is>
      </c>
      <c r="D239" s="40" t="inlineStr">
        <is>
          <t>M2</t>
        </is>
      </c>
      <c r="E239" s="40" t="inlineStr">
        <is>
          <t>ALT</t>
        </is>
      </c>
      <c r="F239" s="40" t="inlineStr">
        <is>
          <t>STA_EFF</t>
        </is>
      </c>
      <c r="G239" s="39" t="inlineStr">
        <is>
          <t>Effectif inscrit</t>
        </is>
      </c>
      <c r="H239" s="40" t="inlineStr">
        <is>
          <t>TECHNIQUE</t>
        </is>
      </c>
      <c r="I239" s="41" t="inlineStr">
        <is>
          <t>2023ACT_VDEF</t>
        </is>
      </c>
      <c r="J239" s="41" t="n">
        <v>2023</v>
      </c>
      <c r="K239" s="41" t="inlineStr">
        <is>
          <t>NB</t>
        </is>
      </c>
      <c r="L239" s="43" t="n">
        <v>38</v>
      </c>
    </row>
    <row r="240">
      <c r="B240" s="39" t="inlineStr">
        <is>
          <t>MBWAY_PAR</t>
        </is>
      </c>
      <c r="C240" s="40" t="inlineStr">
        <is>
          <t>MAS_MGT</t>
        </is>
      </c>
      <c r="D240" s="40" t="inlineStr">
        <is>
          <t>M2</t>
        </is>
      </c>
      <c r="E240" s="40" t="inlineStr">
        <is>
          <t>ALT</t>
        </is>
      </c>
      <c r="F240" s="40" t="inlineStr">
        <is>
          <t>STA_EFF</t>
        </is>
      </c>
      <c r="G240" s="39" t="inlineStr">
        <is>
          <t>Effectif inscrit</t>
        </is>
      </c>
      <c r="H240" s="40" t="inlineStr">
        <is>
          <t>TECHNIQUE</t>
        </is>
      </c>
      <c r="I240" s="41" t="inlineStr">
        <is>
          <t>2024ACT_VDEF</t>
        </is>
      </c>
      <c r="J240" s="41" t="n">
        <v>2024</v>
      </c>
      <c r="K240" s="41" t="inlineStr">
        <is>
          <t>NB</t>
        </is>
      </c>
      <c r="L240" s="43" t="n">
        <v>40</v>
      </c>
    </row>
    <row r="241">
      <c r="B241" s="39" t="inlineStr">
        <is>
          <t>MBWAY_PAR</t>
        </is>
      </c>
      <c r="C241" s="40" t="inlineStr">
        <is>
          <t>MAS_MGT</t>
        </is>
      </c>
      <c r="D241" s="40" t="inlineStr">
        <is>
          <t>M2</t>
        </is>
      </c>
      <c r="E241" s="40" t="inlineStr">
        <is>
          <t>ALT</t>
        </is>
      </c>
      <c r="F241" s="40" t="inlineStr">
        <is>
          <t>STA_EFF</t>
        </is>
      </c>
      <c r="G241" s="39" t="inlineStr">
        <is>
          <t>Effectif inscrit</t>
        </is>
      </c>
      <c r="H241" s="40" t="inlineStr">
        <is>
          <t>TECHNIQUE</t>
        </is>
      </c>
      <c r="I241" s="41" t="inlineStr">
        <is>
          <t>2025FCST_V4</t>
        </is>
      </c>
      <c r="J241" s="41" t="n">
        <v>2025</v>
      </c>
      <c r="K241" s="41" t="inlineStr">
        <is>
          <t>NB</t>
        </is>
      </c>
      <c r="L241" s="43" t="n">
        <v>42</v>
      </c>
    </row>
    <row r="242">
      <c r="B242" s="39" t="inlineStr">
        <is>
          <t>MBWAY_PAR</t>
        </is>
      </c>
      <c r="C242" s="40" t="inlineStr">
        <is>
          <t>MAS_MGT</t>
        </is>
      </c>
      <c r="D242" s="40" t="inlineStr">
        <is>
          <t>M2</t>
        </is>
      </c>
      <c r="E242" s="40" t="inlineStr">
        <is>
          <t>ALT</t>
        </is>
      </c>
      <c r="F242" s="40" t="inlineStr">
        <is>
          <t>STA_REINS</t>
        </is>
      </c>
      <c r="G242" s="39" t="inlineStr">
        <is>
          <t>Réinscrits</t>
        </is>
      </c>
      <c r="H242" s="40" t="inlineStr">
        <is>
          <t>TECHNIQUE</t>
        </is>
      </c>
      <c r="I242" s="41" t="inlineStr">
        <is>
          <t>2023ACT_VDEF</t>
        </is>
      </c>
      <c r="J242" s="41" t="n">
        <v>2023</v>
      </c>
      <c r="K242" s="41" t="inlineStr">
        <is>
          <t>NB</t>
        </is>
      </c>
      <c r="L242" s="43" t="n">
        <v>38</v>
      </c>
    </row>
    <row r="243">
      <c r="B243" s="39" t="inlineStr">
        <is>
          <t>MBWAY_PAR</t>
        </is>
      </c>
      <c r="C243" s="40" t="inlineStr">
        <is>
          <t>MAS_MGT</t>
        </is>
      </c>
      <c r="D243" s="40" t="inlineStr">
        <is>
          <t>M2</t>
        </is>
      </c>
      <c r="E243" s="40" t="inlineStr">
        <is>
          <t>ALT</t>
        </is>
      </c>
      <c r="F243" s="40" t="inlineStr">
        <is>
          <t>STA_REINS</t>
        </is>
      </c>
      <c r="G243" s="39" t="inlineStr">
        <is>
          <t>Réinscrits</t>
        </is>
      </c>
      <c r="H243" s="40" t="inlineStr">
        <is>
          <t>TECHNIQUE</t>
        </is>
      </c>
      <c r="I243" s="41" t="inlineStr">
        <is>
          <t>2024ACT_VDEF</t>
        </is>
      </c>
      <c r="J243" s="41" t="n">
        <v>2024</v>
      </c>
      <c r="K243" s="41" t="inlineStr">
        <is>
          <t>NB</t>
        </is>
      </c>
      <c r="L243" s="43" t="n">
        <v>40</v>
      </c>
    </row>
    <row r="244">
      <c r="B244" s="39" t="inlineStr">
        <is>
          <t>MBWAY_PAR</t>
        </is>
      </c>
      <c r="C244" s="40" t="inlineStr">
        <is>
          <t>MAS_MGT</t>
        </is>
      </c>
      <c r="D244" s="40" t="inlineStr">
        <is>
          <t>M2</t>
        </is>
      </c>
      <c r="E244" s="40" t="inlineStr">
        <is>
          <t>ALT</t>
        </is>
      </c>
      <c r="F244" s="40" t="inlineStr">
        <is>
          <t>STA_REINS</t>
        </is>
      </c>
      <c r="G244" s="39" t="inlineStr">
        <is>
          <t>Réinscrits</t>
        </is>
      </c>
      <c r="H244" s="40" t="inlineStr">
        <is>
          <t>TECHNIQUE</t>
        </is>
      </c>
      <c r="I244" s="41" t="inlineStr">
        <is>
          <t>2025FCST_V4</t>
        </is>
      </c>
      <c r="J244" s="41" t="n">
        <v>2025</v>
      </c>
      <c r="K244" s="41" t="inlineStr">
        <is>
          <t>NB</t>
        </is>
      </c>
      <c r="L244" s="43" t="n">
        <v>42</v>
      </c>
    </row>
    <row r="245">
      <c r="B245" s="39" t="inlineStr">
        <is>
          <t>MBWAY_PAR</t>
        </is>
      </c>
      <c r="C245" s="40" t="inlineStr">
        <is>
          <t>MAS_MGT</t>
        </is>
      </c>
      <c r="D245" s="40" t="inlineStr">
        <is>
          <t>M2</t>
        </is>
      </c>
      <c r="E245" s="40" t="inlineStr">
        <is>
          <t>ALT</t>
        </is>
      </c>
      <c r="F245" s="40" t="inlineStr">
        <is>
          <t>STA_CLASS</t>
        </is>
      </c>
      <c r="G245" s="39" t="inlineStr">
        <is>
          <t>Nombre de classes</t>
        </is>
      </c>
      <c r="H245" s="40" t="inlineStr">
        <is>
          <t>TECHNIQUE</t>
        </is>
      </c>
      <c r="I245" s="41" t="inlineStr">
        <is>
          <t>2023ACT_VDEF</t>
        </is>
      </c>
      <c r="J245" s="41" t="n">
        <v>2023</v>
      </c>
      <c r="K245" s="41" t="inlineStr">
        <is>
          <t>NB</t>
        </is>
      </c>
      <c r="L245" s="43" t="n">
        <v>2</v>
      </c>
    </row>
    <row r="246">
      <c r="B246" s="39" t="inlineStr">
        <is>
          <t>MBWAY_PAR</t>
        </is>
      </c>
      <c r="C246" s="40" t="inlineStr">
        <is>
          <t>MAS_MGT</t>
        </is>
      </c>
      <c r="D246" s="40" t="inlineStr">
        <is>
          <t>M2</t>
        </is>
      </c>
      <c r="E246" s="40" t="inlineStr">
        <is>
          <t>ALT</t>
        </is>
      </c>
      <c r="F246" s="40" t="inlineStr">
        <is>
          <t>STA_CLASS</t>
        </is>
      </c>
      <c r="G246" s="39" t="inlineStr">
        <is>
          <t>Nombre de classes</t>
        </is>
      </c>
      <c r="H246" s="40" t="inlineStr">
        <is>
          <t>TECHNIQUE</t>
        </is>
      </c>
      <c r="I246" s="41" t="inlineStr">
        <is>
          <t>2024ACT_VDEF</t>
        </is>
      </c>
      <c r="J246" s="41" t="n">
        <v>2024</v>
      </c>
      <c r="K246" s="41" t="inlineStr">
        <is>
          <t>NB</t>
        </is>
      </c>
      <c r="L246" s="43" t="n">
        <v>2</v>
      </c>
    </row>
    <row r="247">
      <c r="B247" s="39" t="inlineStr">
        <is>
          <t>MBWAY_PAR</t>
        </is>
      </c>
      <c r="C247" s="40" t="inlineStr">
        <is>
          <t>MAS_MGT</t>
        </is>
      </c>
      <c r="D247" s="40" t="inlineStr">
        <is>
          <t>M2</t>
        </is>
      </c>
      <c r="E247" s="40" t="inlineStr">
        <is>
          <t>ALT</t>
        </is>
      </c>
      <c r="F247" s="40" t="inlineStr">
        <is>
          <t>STA_CLASS</t>
        </is>
      </c>
      <c r="G247" s="39" t="inlineStr">
        <is>
          <t>Nombre de classes</t>
        </is>
      </c>
      <c r="H247" s="40" t="inlineStr">
        <is>
          <t>TECHNIQUE</t>
        </is>
      </c>
      <c r="I247" s="41" t="inlineStr">
        <is>
          <t>2025FCST_V4</t>
        </is>
      </c>
      <c r="J247" s="41" t="n">
        <v>2025</v>
      </c>
      <c r="K247" s="41" t="inlineStr">
        <is>
          <t>NB</t>
        </is>
      </c>
      <c r="L247" s="43" t="n">
        <v>2</v>
      </c>
    </row>
    <row r="248">
      <c r="B248" s="39" t="inlineStr">
        <is>
          <t>MBWAY_PAR</t>
        </is>
      </c>
      <c r="C248" s="40" t="inlineStr">
        <is>
          <t>MAS_MGT</t>
        </is>
      </c>
      <c r="D248" s="40" t="inlineStr">
        <is>
          <t>M2</t>
        </is>
      </c>
      <c r="E248" s="40" t="inlineStr">
        <is>
          <t>ALT</t>
        </is>
      </c>
      <c r="F248" s="40" t="inlineStr">
        <is>
          <t>STA_HEURE</t>
        </is>
      </c>
      <c r="G248" s="39" t="inlineStr">
        <is>
          <t>Heures d'enseignement</t>
        </is>
      </c>
      <c r="H248" s="40" t="inlineStr">
        <is>
          <t>TECHNIQUE</t>
        </is>
      </c>
      <c r="I248" s="41" t="inlineStr">
        <is>
          <t>2023ACT_VDEF</t>
        </is>
      </c>
      <c r="J248" s="41" t="n">
        <v>2023</v>
      </c>
      <c r="K248" s="41" t="inlineStr">
        <is>
          <t>NB</t>
        </is>
      </c>
      <c r="L248" s="43" t="n">
        <v>792</v>
      </c>
    </row>
    <row r="249">
      <c r="B249" s="39" t="inlineStr">
        <is>
          <t>MBWAY_PAR</t>
        </is>
      </c>
      <c r="C249" s="40" t="inlineStr">
        <is>
          <t>MAS_MGT</t>
        </is>
      </c>
      <c r="D249" s="40" t="inlineStr">
        <is>
          <t>M2</t>
        </is>
      </c>
      <c r="E249" s="40" t="inlineStr">
        <is>
          <t>ALT</t>
        </is>
      </c>
      <c r="F249" s="40" t="inlineStr">
        <is>
          <t>STA_HEURE</t>
        </is>
      </c>
      <c r="G249" s="39" t="inlineStr">
        <is>
          <t>Heures d'enseignement</t>
        </is>
      </c>
      <c r="H249" s="40" t="inlineStr">
        <is>
          <t>TECHNIQUE</t>
        </is>
      </c>
      <c r="I249" s="41" t="inlineStr">
        <is>
          <t>2024ACT_VDEF</t>
        </is>
      </c>
      <c r="J249" s="41" t="n">
        <v>2024</v>
      </c>
      <c r="K249" s="41" t="inlineStr">
        <is>
          <t>NB</t>
        </is>
      </c>
      <c r="L249" s="43" t="n">
        <v>836</v>
      </c>
    </row>
    <row r="250">
      <c r="B250" s="39" t="inlineStr">
        <is>
          <t>MBWAY_PAR</t>
        </is>
      </c>
      <c r="C250" s="40" t="inlineStr">
        <is>
          <t>MAS_MGT</t>
        </is>
      </c>
      <c r="D250" s="40" t="inlineStr">
        <is>
          <t>M2</t>
        </is>
      </c>
      <c r="E250" s="40" t="inlineStr">
        <is>
          <t>ALT</t>
        </is>
      </c>
      <c r="F250" s="40" t="inlineStr">
        <is>
          <t>STA_HEURE</t>
        </is>
      </c>
      <c r="G250" s="39" t="inlineStr">
        <is>
          <t>Heures d'enseignement</t>
        </is>
      </c>
      <c r="H250" s="40" t="inlineStr">
        <is>
          <t>TECHNIQUE</t>
        </is>
      </c>
      <c r="I250" s="41" t="inlineStr">
        <is>
          <t>2025FCST_V4</t>
        </is>
      </c>
      <c r="J250" s="41" t="n">
        <v>2025</v>
      </c>
      <c r="K250" s="41" t="inlineStr">
        <is>
          <t>NB</t>
        </is>
      </c>
      <c r="L250" s="43" t="n">
        <v>880</v>
      </c>
    </row>
    <row r="251">
      <c r="B251" s="39" t="inlineStr">
        <is>
          <t>MBWAY_PAR</t>
        </is>
      </c>
      <c r="C251" s="40" t="inlineStr">
        <is>
          <t>MAS_MGT</t>
        </is>
      </c>
      <c r="D251" s="40" t="inlineStr">
        <is>
          <t>M2</t>
        </is>
      </c>
      <c r="E251" s="40" t="inlineStr">
        <is>
          <t>ALT</t>
        </is>
      </c>
      <c r="F251" s="40" t="inlineStr">
        <is>
          <t>STA_CAPA</t>
        </is>
      </c>
      <c r="G251" s="39" t="inlineStr">
        <is>
          <t>Capacité par classe</t>
        </is>
      </c>
      <c r="H251" s="40" t="inlineStr">
        <is>
          <t>TECHNIQUE</t>
        </is>
      </c>
      <c r="I251" s="41" t="inlineStr">
        <is>
          <t>2023ACT_VDEF</t>
        </is>
      </c>
      <c r="J251" s="41" t="n">
        <v>2023</v>
      </c>
      <c r="K251" s="41" t="inlineStr">
        <is>
          <t>NB</t>
        </is>
      </c>
      <c r="L251" s="43" t="n">
        <v>26</v>
      </c>
    </row>
    <row r="252">
      <c r="B252" s="39" t="inlineStr">
        <is>
          <t>MBWAY_PAR</t>
        </is>
      </c>
      <c r="C252" s="40" t="inlineStr">
        <is>
          <t>MAS_MGT</t>
        </is>
      </c>
      <c r="D252" s="40" t="inlineStr">
        <is>
          <t>M2</t>
        </is>
      </c>
      <c r="E252" s="40" t="inlineStr">
        <is>
          <t>ALT</t>
        </is>
      </c>
      <c r="F252" s="40" t="inlineStr">
        <is>
          <t>STA_CAPA</t>
        </is>
      </c>
      <c r="G252" s="39" t="inlineStr">
        <is>
          <t>Capacité par classe</t>
        </is>
      </c>
      <c r="H252" s="40" t="inlineStr">
        <is>
          <t>TECHNIQUE</t>
        </is>
      </c>
      <c r="I252" s="41" t="inlineStr">
        <is>
          <t>2024ACT_VDEF</t>
        </is>
      </c>
      <c r="J252" s="41" t="n">
        <v>2024</v>
      </c>
      <c r="K252" s="41" t="inlineStr">
        <is>
          <t>NB</t>
        </is>
      </c>
      <c r="L252" s="43" t="n">
        <v>26</v>
      </c>
    </row>
    <row r="253">
      <c r="B253" s="39" t="inlineStr">
        <is>
          <t>MBWAY_PAR</t>
        </is>
      </c>
      <c r="C253" s="40" t="inlineStr">
        <is>
          <t>MAS_MGT</t>
        </is>
      </c>
      <c r="D253" s="40" t="inlineStr">
        <is>
          <t>M2</t>
        </is>
      </c>
      <c r="E253" s="40" t="inlineStr">
        <is>
          <t>ALT</t>
        </is>
      </c>
      <c r="F253" s="40" t="inlineStr">
        <is>
          <t>STA_CAPA</t>
        </is>
      </c>
      <c r="G253" s="39" t="inlineStr">
        <is>
          <t>Capacité par classe</t>
        </is>
      </c>
      <c r="H253" s="40" t="inlineStr">
        <is>
          <t>TECHNIQUE</t>
        </is>
      </c>
      <c r="I253" s="41" t="inlineStr">
        <is>
          <t>2025FCST_V4</t>
        </is>
      </c>
      <c r="J253" s="41" t="n">
        <v>2025</v>
      </c>
      <c r="K253" s="41" t="inlineStr">
        <is>
          <t>NB</t>
        </is>
      </c>
      <c r="L253" s="43" t="n">
        <v>26</v>
      </c>
    </row>
    <row r="254">
      <c r="B254" s="39" t="inlineStr">
        <is>
          <t>MBWAY_PAR</t>
        </is>
      </c>
      <c r="C254" s="40" t="inlineStr">
        <is>
          <t>MAS_MGT</t>
        </is>
      </c>
      <c r="D254" s="40" t="inlineStr">
        <is>
          <t>M2</t>
        </is>
      </c>
      <c r="E254" s="40" t="inlineStr">
        <is>
          <t>ALT</t>
        </is>
      </c>
      <c r="F254" s="40" t="inlineStr">
        <is>
          <t>DRV_PASS</t>
        </is>
      </c>
      <c r="G254" s="39" t="inlineStr">
        <is>
          <t>Taux de passage (réinscription)</t>
        </is>
      </c>
      <c r="H254" s="40" t="inlineStr">
        <is>
          <t>TECHNIQUE</t>
        </is>
      </c>
      <c r="I254" s="41" t="inlineStr">
        <is>
          <t>2023ACT_VDEF</t>
        </is>
      </c>
      <c r="J254" s="41" t="n">
        <v>2023</v>
      </c>
      <c r="K254" s="41" t="inlineStr">
        <is>
          <t>PCT</t>
        </is>
      </c>
      <c r="L254" s="44" t="n">
        <v>0.96</v>
      </c>
    </row>
    <row r="255">
      <c r="B255" s="39" t="inlineStr">
        <is>
          <t>MBWAY_PAR</t>
        </is>
      </c>
      <c r="C255" s="40" t="inlineStr">
        <is>
          <t>MAS_MGT</t>
        </is>
      </c>
      <c r="D255" s="40" t="inlineStr">
        <is>
          <t>M2</t>
        </is>
      </c>
      <c r="E255" s="40" t="inlineStr">
        <is>
          <t>ALT</t>
        </is>
      </c>
      <c r="F255" s="40" t="inlineStr">
        <is>
          <t>DRV_PASS</t>
        </is>
      </c>
      <c r="G255" s="39" t="inlineStr">
        <is>
          <t>Taux de passage (réinscription)</t>
        </is>
      </c>
      <c r="H255" s="40" t="inlineStr">
        <is>
          <t>TECHNIQUE</t>
        </is>
      </c>
      <c r="I255" s="41" t="inlineStr">
        <is>
          <t>2024ACT_VDEF</t>
        </is>
      </c>
      <c r="J255" s="41" t="n">
        <v>2024</v>
      </c>
      <c r="K255" s="41" t="inlineStr">
        <is>
          <t>PCT</t>
        </is>
      </c>
      <c r="L255" s="44" t="n">
        <v>0.96</v>
      </c>
    </row>
    <row r="256">
      <c r="B256" s="39" t="inlineStr">
        <is>
          <t>MBWAY_PAR</t>
        </is>
      </c>
      <c r="C256" s="40" t="inlineStr">
        <is>
          <t>MAS_MGT</t>
        </is>
      </c>
      <c r="D256" s="40" t="inlineStr">
        <is>
          <t>M2</t>
        </is>
      </c>
      <c r="E256" s="40" t="inlineStr">
        <is>
          <t>ALT</t>
        </is>
      </c>
      <c r="F256" s="40" t="inlineStr">
        <is>
          <t>DRV_PASS</t>
        </is>
      </c>
      <c r="G256" s="39" t="inlineStr">
        <is>
          <t>Taux de passage (réinscription)</t>
        </is>
      </c>
      <c r="H256" s="40" t="inlineStr">
        <is>
          <t>TECHNIQUE</t>
        </is>
      </c>
      <c r="I256" s="41" t="inlineStr">
        <is>
          <t>2025FCST_V4</t>
        </is>
      </c>
      <c r="J256" s="41" t="n">
        <v>2025</v>
      </c>
      <c r="K256" s="41" t="inlineStr">
        <is>
          <t>PCT</t>
        </is>
      </c>
      <c r="L256" s="44" t="n">
        <v>0.96</v>
      </c>
    </row>
    <row r="257">
      <c r="B257" s="39" t="inlineStr">
        <is>
          <t>MBWAY_PAR</t>
        </is>
      </c>
      <c r="C257" s="40" t="inlineStr">
        <is>
          <t>MAS_MGT</t>
        </is>
      </c>
      <c r="D257" s="40" t="inlineStr">
        <is>
          <t>M2</t>
        </is>
      </c>
      <c r="E257" s="40" t="inlineStr">
        <is>
          <t>ALT</t>
        </is>
      </c>
      <c r="F257" s="40" t="inlineStr">
        <is>
          <t>PRX_TARIF</t>
        </is>
      </c>
      <c r="G257" s="39" t="inlineStr">
        <is>
          <t>Tarif moyen scolarité</t>
        </is>
      </c>
      <c r="H257" s="40" t="inlineStr">
        <is>
          <t>TECHNIQUE</t>
        </is>
      </c>
      <c r="I257" s="41" t="inlineStr">
        <is>
          <t>2023ACT_VDEF</t>
        </is>
      </c>
      <c r="J257" s="41" t="n">
        <v>2023</v>
      </c>
      <c r="K257" s="41" t="inlineStr">
        <is>
          <t>EUR</t>
        </is>
      </c>
      <c r="L257" s="42" t="n">
        <v>9000</v>
      </c>
    </row>
    <row r="258">
      <c r="B258" s="39" t="inlineStr">
        <is>
          <t>MBWAY_PAR</t>
        </is>
      </c>
      <c r="C258" s="40" t="inlineStr">
        <is>
          <t>MAS_MGT</t>
        </is>
      </c>
      <c r="D258" s="40" t="inlineStr">
        <is>
          <t>M2</t>
        </is>
      </c>
      <c r="E258" s="40" t="inlineStr">
        <is>
          <t>ALT</t>
        </is>
      </c>
      <c r="F258" s="40" t="inlineStr">
        <is>
          <t>PRX_TARIF</t>
        </is>
      </c>
      <c r="G258" s="39" t="inlineStr">
        <is>
          <t>Tarif moyen scolarité</t>
        </is>
      </c>
      <c r="H258" s="40" t="inlineStr">
        <is>
          <t>TECHNIQUE</t>
        </is>
      </c>
      <c r="I258" s="41" t="inlineStr">
        <is>
          <t>2024ACT_VDEF</t>
        </is>
      </c>
      <c r="J258" s="41" t="n">
        <v>2024</v>
      </c>
      <c r="K258" s="41" t="inlineStr">
        <is>
          <t>EUR</t>
        </is>
      </c>
      <c r="L258" s="42" t="n">
        <v>9000</v>
      </c>
    </row>
    <row r="259">
      <c r="B259" s="39" t="inlineStr">
        <is>
          <t>MBWAY_PAR</t>
        </is>
      </c>
      <c r="C259" s="40" t="inlineStr">
        <is>
          <t>MAS_MGT</t>
        </is>
      </c>
      <c r="D259" s="40" t="inlineStr">
        <is>
          <t>M2</t>
        </is>
      </c>
      <c r="E259" s="40" t="inlineStr">
        <is>
          <t>ALT</t>
        </is>
      </c>
      <c r="F259" s="40" t="inlineStr">
        <is>
          <t>PRX_TARIF</t>
        </is>
      </c>
      <c r="G259" s="39" t="inlineStr">
        <is>
          <t>Tarif moyen scolarité</t>
        </is>
      </c>
      <c r="H259" s="40" t="inlineStr">
        <is>
          <t>TECHNIQUE</t>
        </is>
      </c>
      <c r="I259" s="41" t="inlineStr">
        <is>
          <t>2025FCST_V4</t>
        </is>
      </c>
      <c r="J259" s="41" t="n">
        <v>2025</v>
      </c>
      <c r="K259" s="41" t="inlineStr">
        <is>
          <t>EUR</t>
        </is>
      </c>
      <c r="L259" s="42" t="n">
        <v>9000</v>
      </c>
    </row>
    <row r="260">
      <c r="B260" s="39" t="inlineStr">
        <is>
          <t>MBWAY_LYO</t>
        </is>
      </c>
      <c r="C260" s="40" t="inlineStr">
        <is>
          <t>BAC_MGT</t>
        </is>
      </c>
      <c r="D260" s="40" t="inlineStr">
        <is>
          <t>B1</t>
        </is>
      </c>
      <c r="E260" s="40" t="inlineStr">
        <is>
          <t>INIT</t>
        </is>
      </c>
      <c r="F260" s="40" t="inlineStr">
        <is>
          <t>706100</t>
        </is>
      </c>
      <c r="G260" s="39" t="inlineStr">
        <is>
          <t>Droits de scolarité</t>
        </is>
      </c>
      <c r="H260" s="40" t="inlineStr">
        <is>
          <t>COMPTABLE</t>
        </is>
      </c>
      <c r="I260" s="41" t="inlineStr">
        <is>
          <t>2023ACT_VDEF</t>
        </is>
      </c>
      <c r="J260" s="41" t="n">
        <v>2023</v>
      </c>
      <c r="K260" s="41" t="inlineStr">
        <is>
          <t>EUR</t>
        </is>
      </c>
      <c r="L260" s="42" t="n">
        <v>504900</v>
      </c>
    </row>
    <row r="261">
      <c r="B261" s="39" t="inlineStr">
        <is>
          <t>MBWAY_LYO</t>
        </is>
      </c>
      <c r="C261" s="40" t="inlineStr">
        <is>
          <t>BAC_MGT</t>
        </is>
      </c>
      <c r="D261" s="40" t="inlineStr">
        <is>
          <t>B1</t>
        </is>
      </c>
      <c r="E261" s="40" t="inlineStr">
        <is>
          <t>INIT</t>
        </is>
      </c>
      <c r="F261" s="40" t="inlineStr">
        <is>
          <t>706100</t>
        </is>
      </c>
      <c r="G261" s="39" t="inlineStr">
        <is>
          <t>Droits de scolarité</t>
        </is>
      </c>
      <c r="H261" s="40" t="inlineStr">
        <is>
          <t>COMPTABLE</t>
        </is>
      </c>
      <c r="I261" s="41" t="inlineStr">
        <is>
          <t>2024ACT_VDEF</t>
        </is>
      </c>
      <c r="J261" s="41" t="n">
        <v>2024</v>
      </c>
      <c r="K261" s="41" t="inlineStr">
        <is>
          <t>EUR</t>
        </is>
      </c>
      <c r="L261" s="42" t="n">
        <v>532950</v>
      </c>
    </row>
    <row r="262">
      <c r="B262" s="39" t="inlineStr">
        <is>
          <t>MBWAY_LYO</t>
        </is>
      </c>
      <c r="C262" s="40" t="inlineStr">
        <is>
          <t>BAC_MGT</t>
        </is>
      </c>
      <c r="D262" s="40" t="inlineStr">
        <is>
          <t>B1</t>
        </is>
      </c>
      <c r="E262" s="40" t="inlineStr">
        <is>
          <t>INIT</t>
        </is>
      </c>
      <c r="F262" s="40" t="inlineStr">
        <is>
          <t>706100</t>
        </is>
      </c>
      <c r="G262" s="39" t="inlineStr">
        <is>
          <t>Droits de scolarité</t>
        </is>
      </c>
      <c r="H262" s="40" t="inlineStr">
        <is>
          <t>COMPTABLE</t>
        </is>
      </c>
      <c r="I262" s="41" t="inlineStr">
        <is>
          <t>2025FCST_V4</t>
        </is>
      </c>
      <c r="J262" s="41" t="n">
        <v>2025</v>
      </c>
      <c r="K262" s="41" t="inlineStr">
        <is>
          <t>EUR</t>
        </is>
      </c>
      <c r="L262" s="42" t="n">
        <v>561000</v>
      </c>
    </row>
    <row r="263">
      <c r="B263" s="39" t="inlineStr">
        <is>
          <t>MBWAY_LYO</t>
        </is>
      </c>
      <c r="C263" s="40" t="inlineStr">
        <is>
          <t>BAC_MGT</t>
        </is>
      </c>
      <c r="D263" s="40" t="inlineStr">
        <is>
          <t>B1</t>
        </is>
      </c>
      <c r="E263" s="40" t="inlineStr">
        <is>
          <t>INIT</t>
        </is>
      </c>
      <c r="F263" s="40" t="inlineStr">
        <is>
          <t>708500</t>
        </is>
      </c>
      <c r="G263" s="39" t="inlineStr">
        <is>
          <t>Frais de dossier / inscription</t>
        </is>
      </c>
      <c r="H263" s="40" t="inlineStr">
        <is>
          <t>COMPTABLE</t>
        </is>
      </c>
      <c r="I263" s="41" t="inlineStr">
        <is>
          <t>2023ACT_VDEF</t>
        </is>
      </c>
      <c r="J263" s="41" t="n">
        <v>2023</v>
      </c>
      <c r="K263" s="41" t="inlineStr">
        <is>
          <t>EUR</t>
        </is>
      </c>
      <c r="L263" s="42" t="n">
        <v>5346</v>
      </c>
    </row>
    <row r="264">
      <c r="B264" s="39" t="inlineStr">
        <is>
          <t>MBWAY_LYO</t>
        </is>
      </c>
      <c r="C264" s="40" t="inlineStr">
        <is>
          <t>BAC_MGT</t>
        </is>
      </c>
      <c r="D264" s="40" t="inlineStr">
        <is>
          <t>B1</t>
        </is>
      </c>
      <c r="E264" s="40" t="inlineStr">
        <is>
          <t>INIT</t>
        </is>
      </c>
      <c r="F264" s="40" t="inlineStr">
        <is>
          <t>708500</t>
        </is>
      </c>
      <c r="G264" s="39" t="inlineStr">
        <is>
          <t>Frais de dossier / inscription</t>
        </is>
      </c>
      <c r="H264" s="40" t="inlineStr">
        <is>
          <t>COMPTABLE</t>
        </is>
      </c>
      <c r="I264" s="41" t="inlineStr">
        <is>
          <t>2024ACT_VDEF</t>
        </is>
      </c>
      <c r="J264" s="41" t="n">
        <v>2024</v>
      </c>
      <c r="K264" s="41" t="inlineStr">
        <is>
          <t>EUR</t>
        </is>
      </c>
      <c r="L264" s="42" t="n">
        <v>5643</v>
      </c>
    </row>
    <row r="265">
      <c r="B265" s="39" t="inlineStr">
        <is>
          <t>MBWAY_LYO</t>
        </is>
      </c>
      <c r="C265" s="40" t="inlineStr">
        <is>
          <t>BAC_MGT</t>
        </is>
      </c>
      <c r="D265" s="40" t="inlineStr">
        <is>
          <t>B1</t>
        </is>
      </c>
      <c r="E265" s="40" t="inlineStr">
        <is>
          <t>INIT</t>
        </is>
      </c>
      <c r="F265" s="40" t="inlineStr">
        <is>
          <t>708500</t>
        </is>
      </c>
      <c r="G265" s="39" t="inlineStr">
        <is>
          <t>Frais de dossier / inscription</t>
        </is>
      </c>
      <c r="H265" s="40" t="inlineStr">
        <is>
          <t>COMPTABLE</t>
        </is>
      </c>
      <c r="I265" s="41" t="inlineStr">
        <is>
          <t>2025FCST_V4</t>
        </is>
      </c>
      <c r="J265" s="41" t="n">
        <v>2025</v>
      </c>
      <c r="K265" s="41" t="inlineStr">
        <is>
          <t>EUR</t>
        </is>
      </c>
      <c r="L265" s="42" t="n">
        <v>5940</v>
      </c>
    </row>
    <row r="266">
      <c r="B266" s="39" t="inlineStr">
        <is>
          <t>MBWAY_LYO</t>
        </is>
      </c>
      <c r="C266" s="40" t="inlineStr">
        <is>
          <t>BAC_MGT</t>
        </is>
      </c>
      <c r="D266" s="40" t="inlineStr">
        <is>
          <t>B1</t>
        </is>
      </c>
      <c r="E266" s="40" t="inlineStr">
        <is>
          <t>INIT</t>
        </is>
      </c>
      <c r="F266" s="40" t="inlineStr">
        <is>
          <t>604100</t>
        </is>
      </c>
      <c r="G266" s="39" t="inlineStr">
        <is>
          <t>Vacations &amp; sous-traitance pédagogique</t>
        </is>
      </c>
      <c r="H266" s="40" t="inlineStr">
        <is>
          <t>COMPTABLE</t>
        </is>
      </c>
      <c r="I266" s="41" t="inlineStr">
        <is>
          <t>2023ACT_VDEF</t>
        </is>
      </c>
      <c r="J266" s="41" t="n">
        <v>2023</v>
      </c>
      <c r="K266" s="41" t="inlineStr">
        <is>
          <t>EUR</t>
        </is>
      </c>
      <c r="L266" s="42" t="n">
        <v>93960</v>
      </c>
    </row>
    <row r="267">
      <c r="B267" s="39" t="inlineStr">
        <is>
          <t>MBWAY_LYO</t>
        </is>
      </c>
      <c r="C267" s="40" t="inlineStr">
        <is>
          <t>BAC_MGT</t>
        </is>
      </c>
      <c r="D267" s="40" t="inlineStr">
        <is>
          <t>B1</t>
        </is>
      </c>
      <c r="E267" s="40" t="inlineStr">
        <is>
          <t>INIT</t>
        </is>
      </c>
      <c r="F267" s="40" t="inlineStr">
        <is>
          <t>604100</t>
        </is>
      </c>
      <c r="G267" s="39" t="inlineStr">
        <is>
          <t>Vacations &amp; sous-traitance pédagogique</t>
        </is>
      </c>
      <c r="H267" s="40" t="inlineStr">
        <is>
          <t>COMPTABLE</t>
        </is>
      </c>
      <c r="I267" s="41" t="inlineStr">
        <is>
          <t>2024ACT_VDEF</t>
        </is>
      </c>
      <c r="J267" s="41" t="n">
        <v>2024</v>
      </c>
      <c r="K267" s="41" t="inlineStr">
        <is>
          <t>EUR</t>
        </is>
      </c>
      <c r="L267" s="42" t="n">
        <v>99180</v>
      </c>
    </row>
    <row r="268">
      <c r="B268" s="39" t="inlineStr">
        <is>
          <t>MBWAY_LYO</t>
        </is>
      </c>
      <c r="C268" s="40" t="inlineStr">
        <is>
          <t>BAC_MGT</t>
        </is>
      </c>
      <c r="D268" s="40" t="inlineStr">
        <is>
          <t>B1</t>
        </is>
      </c>
      <c r="E268" s="40" t="inlineStr">
        <is>
          <t>INIT</t>
        </is>
      </c>
      <c r="F268" s="40" t="inlineStr">
        <is>
          <t>604100</t>
        </is>
      </c>
      <c r="G268" s="39" t="inlineStr">
        <is>
          <t>Vacations &amp; sous-traitance pédagogique</t>
        </is>
      </c>
      <c r="H268" s="40" t="inlineStr">
        <is>
          <t>COMPTABLE</t>
        </is>
      </c>
      <c r="I268" s="41" t="inlineStr">
        <is>
          <t>2025FCST_V4</t>
        </is>
      </c>
      <c r="J268" s="41" t="n">
        <v>2025</v>
      </c>
      <c r="K268" s="41" t="inlineStr">
        <is>
          <t>EUR</t>
        </is>
      </c>
      <c r="L268" s="42" t="n">
        <v>104400</v>
      </c>
    </row>
    <row r="269">
      <c r="B269" s="39" t="inlineStr">
        <is>
          <t>MBWAY_LYO</t>
        </is>
      </c>
      <c r="C269" s="40" t="inlineStr">
        <is>
          <t>BAC_MGT</t>
        </is>
      </c>
      <c r="D269" s="40" t="inlineStr">
        <is>
          <t>B1</t>
        </is>
      </c>
      <c r="E269" s="40" t="inlineStr">
        <is>
          <t>INIT</t>
        </is>
      </c>
      <c r="F269" s="40" t="inlineStr">
        <is>
          <t>606300</t>
        </is>
      </c>
      <c r="G269" s="39" t="inlineStr">
        <is>
          <t>Fournitures &amp; ressources pédagogiques</t>
        </is>
      </c>
      <c r="H269" s="40" t="inlineStr">
        <is>
          <t>COMPTABLE</t>
        </is>
      </c>
      <c r="I269" s="41" t="inlineStr">
        <is>
          <t>2023ACT_VDEF</t>
        </is>
      </c>
      <c r="J269" s="41" t="n">
        <v>2023</v>
      </c>
      <c r="K269" s="41" t="inlineStr">
        <is>
          <t>EUR</t>
        </is>
      </c>
      <c r="L269" s="42" t="n">
        <v>23760</v>
      </c>
    </row>
    <row r="270">
      <c r="B270" s="39" t="inlineStr">
        <is>
          <t>MBWAY_LYO</t>
        </is>
      </c>
      <c r="C270" s="40" t="inlineStr">
        <is>
          <t>BAC_MGT</t>
        </is>
      </c>
      <c r="D270" s="40" t="inlineStr">
        <is>
          <t>B1</t>
        </is>
      </c>
      <c r="E270" s="40" t="inlineStr">
        <is>
          <t>INIT</t>
        </is>
      </c>
      <c r="F270" s="40" t="inlineStr">
        <is>
          <t>606300</t>
        </is>
      </c>
      <c r="G270" s="39" t="inlineStr">
        <is>
          <t>Fournitures &amp; ressources pédagogiques</t>
        </is>
      </c>
      <c r="H270" s="40" t="inlineStr">
        <is>
          <t>COMPTABLE</t>
        </is>
      </c>
      <c r="I270" s="41" t="inlineStr">
        <is>
          <t>2024ACT_VDEF</t>
        </is>
      </c>
      <c r="J270" s="41" t="n">
        <v>2024</v>
      </c>
      <c r="K270" s="41" t="inlineStr">
        <is>
          <t>EUR</t>
        </is>
      </c>
      <c r="L270" s="42" t="n">
        <v>25080</v>
      </c>
    </row>
    <row r="271">
      <c r="B271" s="39" t="inlineStr">
        <is>
          <t>MBWAY_LYO</t>
        </is>
      </c>
      <c r="C271" s="40" t="inlineStr">
        <is>
          <t>BAC_MGT</t>
        </is>
      </c>
      <c r="D271" s="40" t="inlineStr">
        <is>
          <t>B1</t>
        </is>
      </c>
      <c r="E271" s="40" t="inlineStr">
        <is>
          <t>INIT</t>
        </is>
      </c>
      <c r="F271" s="40" t="inlineStr">
        <is>
          <t>606300</t>
        </is>
      </c>
      <c r="G271" s="39" t="inlineStr">
        <is>
          <t>Fournitures &amp; ressources pédagogiques</t>
        </is>
      </c>
      <c r="H271" s="40" t="inlineStr">
        <is>
          <t>COMPTABLE</t>
        </is>
      </c>
      <c r="I271" s="41" t="inlineStr">
        <is>
          <t>2025FCST_V4</t>
        </is>
      </c>
      <c r="J271" s="41" t="n">
        <v>2025</v>
      </c>
      <c r="K271" s="41" t="inlineStr">
        <is>
          <t>EUR</t>
        </is>
      </c>
      <c r="L271" s="42" t="n">
        <v>26400</v>
      </c>
    </row>
    <row r="272">
      <c r="B272" s="39" t="inlineStr">
        <is>
          <t>MBWAY_LYO</t>
        </is>
      </c>
      <c r="C272" s="40" t="inlineStr">
        <is>
          <t>BAC_MGT</t>
        </is>
      </c>
      <c r="D272" s="40" t="inlineStr">
        <is>
          <t>B1</t>
        </is>
      </c>
      <c r="E272" s="40" t="inlineStr">
        <is>
          <t>INIT</t>
        </is>
      </c>
      <c r="F272" s="40" t="inlineStr">
        <is>
          <t>623000</t>
        </is>
      </c>
      <c r="G272" s="39" t="inlineStr">
        <is>
          <t>Publicité &amp; marketing (acquisition)</t>
        </is>
      </c>
      <c r="H272" s="40" t="inlineStr">
        <is>
          <t>COMPTABLE</t>
        </is>
      </c>
      <c r="I272" s="41" t="inlineStr">
        <is>
          <t>2023ACT_VDEF</t>
        </is>
      </c>
      <c r="J272" s="41" t="n">
        <v>2023</v>
      </c>
      <c r="K272" s="41" t="inlineStr">
        <is>
          <t>EUR</t>
        </is>
      </c>
      <c r="L272" s="42" t="n">
        <v>19008</v>
      </c>
    </row>
    <row r="273">
      <c r="B273" s="39" t="inlineStr">
        <is>
          <t>MBWAY_LYO</t>
        </is>
      </c>
      <c r="C273" s="40" t="inlineStr">
        <is>
          <t>BAC_MGT</t>
        </is>
      </c>
      <c r="D273" s="40" t="inlineStr">
        <is>
          <t>B1</t>
        </is>
      </c>
      <c r="E273" s="40" t="inlineStr">
        <is>
          <t>INIT</t>
        </is>
      </c>
      <c r="F273" s="40" t="inlineStr">
        <is>
          <t>623000</t>
        </is>
      </c>
      <c r="G273" s="39" t="inlineStr">
        <is>
          <t>Publicité &amp; marketing (acquisition)</t>
        </is>
      </c>
      <c r="H273" s="40" t="inlineStr">
        <is>
          <t>COMPTABLE</t>
        </is>
      </c>
      <c r="I273" s="41" t="inlineStr">
        <is>
          <t>2024ACT_VDEF</t>
        </is>
      </c>
      <c r="J273" s="41" t="n">
        <v>2024</v>
      </c>
      <c r="K273" s="41" t="inlineStr">
        <is>
          <t>EUR</t>
        </is>
      </c>
      <c r="L273" s="42" t="n">
        <v>20064</v>
      </c>
    </row>
    <row r="274">
      <c r="B274" s="39" t="inlineStr">
        <is>
          <t>MBWAY_LYO</t>
        </is>
      </c>
      <c r="C274" s="40" t="inlineStr">
        <is>
          <t>BAC_MGT</t>
        </is>
      </c>
      <c r="D274" s="40" t="inlineStr">
        <is>
          <t>B1</t>
        </is>
      </c>
      <c r="E274" s="40" t="inlineStr">
        <is>
          <t>INIT</t>
        </is>
      </c>
      <c r="F274" s="40" t="inlineStr">
        <is>
          <t>623000</t>
        </is>
      </c>
      <c r="G274" s="39" t="inlineStr">
        <is>
          <t>Publicité &amp; marketing (acquisition)</t>
        </is>
      </c>
      <c r="H274" s="40" t="inlineStr">
        <is>
          <t>COMPTABLE</t>
        </is>
      </c>
      <c r="I274" s="41" t="inlineStr">
        <is>
          <t>2025FCST_V4</t>
        </is>
      </c>
      <c r="J274" s="41" t="n">
        <v>2025</v>
      </c>
      <c r="K274" s="41" t="inlineStr">
        <is>
          <t>EUR</t>
        </is>
      </c>
      <c r="L274" s="42" t="n">
        <v>21120</v>
      </c>
    </row>
    <row r="275">
      <c r="B275" s="39" t="inlineStr">
        <is>
          <t>MBWAY_LYO</t>
        </is>
      </c>
      <c r="C275" s="40" t="inlineStr">
        <is>
          <t>BAC_MGT</t>
        </is>
      </c>
      <c r="D275" s="40" t="inlineStr">
        <is>
          <t>B1</t>
        </is>
      </c>
      <c r="E275" s="40" t="inlineStr">
        <is>
          <t>INIT</t>
        </is>
      </c>
      <c r="F275" s="40" t="inlineStr">
        <is>
          <t>613200</t>
        </is>
      </c>
      <c r="G275" s="39" t="inlineStr">
        <is>
          <t>Locations immobilières (loyers)</t>
        </is>
      </c>
      <c r="H275" s="40" t="inlineStr">
        <is>
          <t>COMPTABLE</t>
        </is>
      </c>
      <c r="I275" s="41" t="inlineStr">
        <is>
          <t>2023ACT_VDEF</t>
        </is>
      </c>
      <c r="J275" s="41" t="n">
        <v>2023</v>
      </c>
      <c r="K275" s="41" t="inlineStr">
        <is>
          <t>EUR</t>
        </is>
      </c>
      <c r="L275" s="42" t="n">
        <v>56700</v>
      </c>
    </row>
    <row r="276">
      <c r="B276" s="39" t="inlineStr">
        <is>
          <t>MBWAY_LYO</t>
        </is>
      </c>
      <c r="C276" s="40" t="inlineStr">
        <is>
          <t>BAC_MGT</t>
        </is>
      </c>
      <c r="D276" s="40" t="inlineStr">
        <is>
          <t>B1</t>
        </is>
      </c>
      <c r="E276" s="40" t="inlineStr">
        <is>
          <t>INIT</t>
        </is>
      </c>
      <c r="F276" s="40" t="inlineStr">
        <is>
          <t>613200</t>
        </is>
      </c>
      <c r="G276" s="39" t="inlineStr">
        <is>
          <t>Locations immobilières (loyers)</t>
        </is>
      </c>
      <c r="H276" s="40" t="inlineStr">
        <is>
          <t>COMPTABLE</t>
        </is>
      </c>
      <c r="I276" s="41" t="inlineStr">
        <is>
          <t>2024ACT_VDEF</t>
        </is>
      </c>
      <c r="J276" s="41" t="n">
        <v>2024</v>
      </c>
      <c r="K276" s="41" t="inlineStr">
        <is>
          <t>EUR</t>
        </is>
      </c>
      <c r="L276" s="42" t="n">
        <v>59850</v>
      </c>
    </row>
    <row r="277">
      <c r="B277" s="39" t="inlineStr">
        <is>
          <t>MBWAY_LYO</t>
        </is>
      </c>
      <c r="C277" s="40" t="inlineStr">
        <is>
          <t>BAC_MGT</t>
        </is>
      </c>
      <c r="D277" s="40" t="inlineStr">
        <is>
          <t>B1</t>
        </is>
      </c>
      <c r="E277" s="40" t="inlineStr">
        <is>
          <t>INIT</t>
        </is>
      </c>
      <c r="F277" s="40" t="inlineStr">
        <is>
          <t>613200</t>
        </is>
      </c>
      <c r="G277" s="39" t="inlineStr">
        <is>
          <t>Locations immobilières (loyers)</t>
        </is>
      </c>
      <c r="H277" s="40" t="inlineStr">
        <is>
          <t>COMPTABLE</t>
        </is>
      </c>
      <c r="I277" s="41" t="inlineStr">
        <is>
          <t>2025FCST_V4</t>
        </is>
      </c>
      <c r="J277" s="41" t="n">
        <v>2025</v>
      </c>
      <c r="K277" s="41" t="inlineStr">
        <is>
          <t>EUR</t>
        </is>
      </c>
      <c r="L277" s="42" t="n">
        <v>63000</v>
      </c>
    </row>
    <row r="278">
      <c r="B278" s="39" t="inlineStr">
        <is>
          <t>MBWAY_LYO</t>
        </is>
      </c>
      <c r="C278" s="40" t="inlineStr">
        <is>
          <t>BAC_MGT</t>
        </is>
      </c>
      <c r="D278" s="40" t="inlineStr">
        <is>
          <t>B1</t>
        </is>
      </c>
      <c r="E278" s="40" t="inlineStr">
        <is>
          <t>INIT</t>
        </is>
      </c>
      <c r="F278" s="40" t="inlineStr">
        <is>
          <t>641100</t>
        </is>
      </c>
      <c r="G278" s="39" t="inlineStr">
        <is>
          <t>Rémunérations du personnel permanent</t>
        </is>
      </c>
      <c r="H278" s="40" t="inlineStr">
        <is>
          <t>COMPTABLE</t>
        </is>
      </c>
      <c r="I278" s="41" t="inlineStr">
        <is>
          <t>2023ACT_VDEF</t>
        </is>
      </c>
      <c r="J278" s="41" t="n">
        <v>2023</v>
      </c>
      <c r="K278" s="41" t="inlineStr">
        <is>
          <t>EUR</t>
        </is>
      </c>
      <c r="L278" s="42" t="n">
        <v>128128</v>
      </c>
    </row>
    <row r="279">
      <c r="B279" s="39" t="inlineStr">
        <is>
          <t>MBWAY_LYO</t>
        </is>
      </c>
      <c r="C279" s="40" t="inlineStr">
        <is>
          <t>BAC_MGT</t>
        </is>
      </c>
      <c r="D279" s="40" t="inlineStr">
        <is>
          <t>B1</t>
        </is>
      </c>
      <c r="E279" s="40" t="inlineStr">
        <is>
          <t>INIT</t>
        </is>
      </c>
      <c r="F279" s="40" t="inlineStr">
        <is>
          <t>641100</t>
        </is>
      </c>
      <c r="G279" s="39" t="inlineStr">
        <is>
          <t>Rémunérations du personnel permanent</t>
        </is>
      </c>
      <c r="H279" s="40" t="inlineStr">
        <is>
          <t>COMPTABLE</t>
        </is>
      </c>
      <c r="I279" s="41" t="inlineStr">
        <is>
          <t>2024ACT_VDEF</t>
        </is>
      </c>
      <c r="J279" s="41" t="n">
        <v>2024</v>
      </c>
      <c r="K279" s="41" t="inlineStr">
        <is>
          <t>EUR</t>
        </is>
      </c>
      <c r="L279" s="42" t="n">
        <v>135246</v>
      </c>
    </row>
    <row r="280">
      <c r="B280" s="39" t="inlineStr">
        <is>
          <t>MBWAY_LYO</t>
        </is>
      </c>
      <c r="C280" s="40" t="inlineStr">
        <is>
          <t>BAC_MGT</t>
        </is>
      </c>
      <c r="D280" s="40" t="inlineStr">
        <is>
          <t>B1</t>
        </is>
      </c>
      <c r="E280" s="40" t="inlineStr">
        <is>
          <t>INIT</t>
        </is>
      </c>
      <c r="F280" s="40" t="inlineStr">
        <is>
          <t>641100</t>
        </is>
      </c>
      <c r="G280" s="39" t="inlineStr">
        <is>
          <t>Rémunérations du personnel permanent</t>
        </is>
      </c>
      <c r="H280" s="40" t="inlineStr">
        <is>
          <t>COMPTABLE</t>
        </is>
      </c>
      <c r="I280" s="41" t="inlineStr">
        <is>
          <t>2025FCST_V4</t>
        </is>
      </c>
      <c r="J280" s="41" t="n">
        <v>2025</v>
      </c>
      <c r="K280" s="41" t="inlineStr">
        <is>
          <t>EUR</t>
        </is>
      </c>
      <c r="L280" s="42" t="n">
        <v>142364</v>
      </c>
    </row>
    <row r="281">
      <c r="B281" s="39" t="inlineStr">
        <is>
          <t>MBWAY_LYO</t>
        </is>
      </c>
      <c r="C281" s="40" t="inlineStr">
        <is>
          <t>BAC_MGT</t>
        </is>
      </c>
      <c r="D281" s="40" t="inlineStr">
        <is>
          <t>B1</t>
        </is>
      </c>
      <c r="E281" s="40" t="inlineStr">
        <is>
          <t>INIT</t>
        </is>
      </c>
      <c r="F281" s="40" t="inlineStr">
        <is>
          <t>622600</t>
        </is>
      </c>
      <c r="G281" s="39" t="inlineStr">
        <is>
          <t>Honoraires &amp; frais de siège (structure groupe)</t>
        </is>
      </c>
      <c r="H281" s="40" t="inlineStr">
        <is>
          <t>COMPTABLE</t>
        </is>
      </c>
      <c r="I281" s="41" t="inlineStr">
        <is>
          <t>2023ACT_VDEF</t>
        </is>
      </c>
      <c r="J281" s="41" t="n">
        <v>2023</v>
      </c>
      <c r="K281" s="41" t="inlineStr">
        <is>
          <t>EUR</t>
        </is>
      </c>
      <c r="L281" s="42" t="n">
        <v>51644</v>
      </c>
    </row>
    <row r="282">
      <c r="B282" s="39" t="inlineStr">
        <is>
          <t>MBWAY_LYO</t>
        </is>
      </c>
      <c r="C282" s="40" t="inlineStr">
        <is>
          <t>BAC_MGT</t>
        </is>
      </c>
      <c r="D282" s="40" t="inlineStr">
        <is>
          <t>B1</t>
        </is>
      </c>
      <c r="E282" s="40" t="inlineStr">
        <is>
          <t>INIT</t>
        </is>
      </c>
      <c r="F282" s="40" t="inlineStr">
        <is>
          <t>622600</t>
        </is>
      </c>
      <c r="G282" s="39" t="inlineStr">
        <is>
          <t>Honoraires &amp; frais de siège (structure groupe)</t>
        </is>
      </c>
      <c r="H282" s="40" t="inlineStr">
        <is>
          <t>COMPTABLE</t>
        </is>
      </c>
      <c r="I282" s="41" t="inlineStr">
        <is>
          <t>2024ACT_VDEF</t>
        </is>
      </c>
      <c r="J282" s="41" t="n">
        <v>2024</v>
      </c>
      <c r="K282" s="41" t="inlineStr">
        <is>
          <t>EUR</t>
        </is>
      </c>
      <c r="L282" s="42" t="n">
        <v>54513</v>
      </c>
    </row>
    <row r="283">
      <c r="B283" s="39" t="inlineStr">
        <is>
          <t>MBWAY_LYO</t>
        </is>
      </c>
      <c r="C283" s="40" t="inlineStr">
        <is>
          <t>BAC_MGT</t>
        </is>
      </c>
      <c r="D283" s="40" t="inlineStr">
        <is>
          <t>B1</t>
        </is>
      </c>
      <c r="E283" s="40" t="inlineStr">
        <is>
          <t>INIT</t>
        </is>
      </c>
      <c r="F283" s="40" t="inlineStr">
        <is>
          <t>622600</t>
        </is>
      </c>
      <c r="G283" s="39" t="inlineStr">
        <is>
          <t>Honoraires &amp; frais de siège (structure groupe)</t>
        </is>
      </c>
      <c r="H283" s="40" t="inlineStr">
        <is>
          <t>COMPTABLE</t>
        </is>
      </c>
      <c r="I283" s="41" t="inlineStr">
        <is>
          <t>2025FCST_V4</t>
        </is>
      </c>
      <c r="J283" s="41" t="n">
        <v>2025</v>
      </c>
      <c r="K283" s="41" t="inlineStr">
        <is>
          <t>EUR</t>
        </is>
      </c>
      <c r="L283" s="42" t="n">
        <v>57382</v>
      </c>
    </row>
    <row r="284">
      <c r="B284" s="39" t="inlineStr">
        <is>
          <t>MBWAY_LYO</t>
        </is>
      </c>
      <c r="C284" s="40" t="inlineStr">
        <is>
          <t>BAC_MGT</t>
        </is>
      </c>
      <c r="D284" s="40" t="inlineStr">
        <is>
          <t>B1</t>
        </is>
      </c>
      <c r="E284" s="40" t="inlineStr">
        <is>
          <t>INIT</t>
        </is>
      </c>
      <c r="F284" s="40" t="inlineStr">
        <is>
          <t>606800</t>
        </is>
      </c>
      <c r="G284" s="39" t="inlineStr">
        <is>
          <t>Autres achats &amp; charges externes</t>
        </is>
      </c>
      <c r="H284" s="40" t="inlineStr">
        <is>
          <t>COMPTABLE</t>
        </is>
      </c>
      <c r="I284" s="41" t="inlineStr">
        <is>
          <t>2023ACT_VDEF</t>
        </is>
      </c>
      <c r="J284" s="41" t="n">
        <v>2023</v>
      </c>
      <c r="K284" s="41" t="inlineStr">
        <is>
          <t>EUR</t>
        </is>
      </c>
      <c r="L284" s="42" t="n">
        <v>55480</v>
      </c>
    </row>
    <row r="285">
      <c r="B285" s="39" t="inlineStr">
        <is>
          <t>MBWAY_LYO</t>
        </is>
      </c>
      <c r="C285" s="40" t="inlineStr">
        <is>
          <t>BAC_MGT</t>
        </is>
      </c>
      <c r="D285" s="40" t="inlineStr">
        <is>
          <t>B1</t>
        </is>
      </c>
      <c r="E285" s="40" t="inlineStr">
        <is>
          <t>INIT</t>
        </is>
      </c>
      <c r="F285" s="40" t="inlineStr">
        <is>
          <t>606800</t>
        </is>
      </c>
      <c r="G285" s="39" t="inlineStr">
        <is>
          <t>Autres achats &amp; charges externes</t>
        </is>
      </c>
      <c r="H285" s="40" t="inlineStr">
        <is>
          <t>COMPTABLE</t>
        </is>
      </c>
      <c r="I285" s="41" t="inlineStr">
        <is>
          <t>2024ACT_VDEF</t>
        </is>
      </c>
      <c r="J285" s="41" t="n">
        <v>2024</v>
      </c>
      <c r="K285" s="41" t="inlineStr">
        <is>
          <t>EUR</t>
        </is>
      </c>
      <c r="L285" s="42" t="n">
        <v>58562</v>
      </c>
    </row>
    <row r="286">
      <c r="B286" s="39" t="inlineStr">
        <is>
          <t>MBWAY_LYO</t>
        </is>
      </c>
      <c r="C286" s="40" t="inlineStr">
        <is>
          <t>BAC_MGT</t>
        </is>
      </c>
      <c r="D286" s="40" t="inlineStr">
        <is>
          <t>B1</t>
        </is>
      </c>
      <c r="E286" s="40" t="inlineStr">
        <is>
          <t>INIT</t>
        </is>
      </c>
      <c r="F286" s="40" t="inlineStr">
        <is>
          <t>606800</t>
        </is>
      </c>
      <c r="G286" s="39" t="inlineStr">
        <is>
          <t>Autres achats &amp; charges externes</t>
        </is>
      </c>
      <c r="H286" s="40" t="inlineStr">
        <is>
          <t>COMPTABLE</t>
        </is>
      </c>
      <c r="I286" s="41" t="inlineStr">
        <is>
          <t>2025FCST_V4</t>
        </is>
      </c>
      <c r="J286" s="41" t="n">
        <v>2025</v>
      </c>
      <c r="K286" s="41" t="inlineStr">
        <is>
          <t>EUR</t>
        </is>
      </c>
      <c r="L286" s="42" t="n">
        <v>61644</v>
      </c>
    </row>
    <row r="287">
      <c r="B287" s="39" t="inlineStr">
        <is>
          <t>MBWAY_LYO</t>
        </is>
      </c>
      <c r="C287" s="40" t="inlineStr">
        <is>
          <t>BAC_MGT</t>
        </is>
      </c>
      <c r="D287" s="40" t="inlineStr">
        <is>
          <t>B1</t>
        </is>
      </c>
      <c r="E287" s="40" t="inlineStr">
        <is>
          <t>INIT</t>
        </is>
      </c>
      <c r="F287" s="40" t="inlineStr">
        <is>
          <t>681100</t>
        </is>
      </c>
      <c r="G287" s="39" t="inlineStr">
        <is>
          <t>Dotations aux amortissements</t>
        </is>
      </c>
      <c r="H287" s="40" t="inlineStr">
        <is>
          <t>COMPTABLE</t>
        </is>
      </c>
      <c r="I287" s="41" t="inlineStr">
        <is>
          <t>2023ACT_VDEF</t>
        </is>
      </c>
      <c r="J287" s="41" t="n">
        <v>2023</v>
      </c>
      <c r="K287" s="41" t="inlineStr">
        <is>
          <t>EUR</t>
        </is>
      </c>
      <c r="L287" s="42" t="n">
        <v>30928</v>
      </c>
    </row>
    <row r="288">
      <c r="B288" s="39" t="inlineStr">
        <is>
          <t>MBWAY_LYO</t>
        </is>
      </c>
      <c r="C288" s="40" t="inlineStr">
        <is>
          <t>BAC_MGT</t>
        </is>
      </c>
      <c r="D288" s="40" t="inlineStr">
        <is>
          <t>B1</t>
        </is>
      </c>
      <c r="E288" s="40" t="inlineStr">
        <is>
          <t>INIT</t>
        </is>
      </c>
      <c r="F288" s="40" t="inlineStr">
        <is>
          <t>681100</t>
        </is>
      </c>
      <c r="G288" s="39" t="inlineStr">
        <is>
          <t>Dotations aux amortissements</t>
        </is>
      </c>
      <c r="H288" s="40" t="inlineStr">
        <is>
          <t>COMPTABLE</t>
        </is>
      </c>
      <c r="I288" s="41" t="inlineStr">
        <is>
          <t>2024ACT_VDEF</t>
        </is>
      </c>
      <c r="J288" s="41" t="n">
        <v>2024</v>
      </c>
      <c r="K288" s="41" t="inlineStr">
        <is>
          <t>EUR</t>
        </is>
      </c>
      <c r="L288" s="42" t="n">
        <v>32646</v>
      </c>
    </row>
    <row r="289">
      <c r="B289" s="39" t="inlineStr">
        <is>
          <t>MBWAY_LYO</t>
        </is>
      </c>
      <c r="C289" s="40" t="inlineStr">
        <is>
          <t>BAC_MGT</t>
        </is>
      </c>
      <c r="D289" s="40" t="inlineStr">
        <is>
          <t>B1</t>
        </is>
      </c>
      <c r="E289" s="40" t="inlineStr">
        <is>
          <t>INIT</t>
        </is>
      </c>
      <c r="F289" s="40" t="inlineStr">
        <is>
          <t>681100</t>
        </is>
      </c>
      <c r="G289" s="39" t="inlineStr">
        <is>
          <t>Dotations aux amortissements</t>
        </is>
      </c>
      <c r="H289" s="40" t="inlineStr">
        <is>
          <t>COMPTABLE</t>
        </is>
      </c>
      <c r="I289" s="41" t="inlineStr">
        <is>
          <t>2025FCST_V4</t>
        </is>
      </c>
      <c r="J289" s="41" t="n">
        <v>2025</v>
      </c>
      <c r="K289" s="41" t="inlineStr">
        <is>
          <t>EUR</t>
        </is>
      </c>
      <c r="L289" s="42" t="n">
        <v>34364</v>
      </c>
    </row>
    <row r="290">
      <c r="B290" s="39" t="inlineStr">
        <is>
          <t>MBWAY_LYO</t>
        </is>
      </c>
      <c r="C290" s="40" t="inlineStr">
        <is>
          <t>BAC_MGT</t>
        </is>
      </c>
      <c r="D290" s="40" t="inlineStr">
        <is>
          <t>B1</t>
        </is>
      </c>
      <c r="E290" s="40" t="inlineStr">
        <is>
          <t>INIT</t>
        </is>
      </c>
      <c r="F290" s="40" t="inlineStr">
        <is>
          <t>STA_EFF</t>
        </is>
      </c>
      <c r="G290" s="39" t="inlineStr">
        <is>
          <t>Effectif inscrit</t>
        </is>
      </c>
      <c r="H290" s="40" t="inlineStr">
        <is>
          <t>TECHNIQUE</t>
        </is>
      </c>
      <c r="I290" s="41" t="inlineStr">
        <is>
          <t>2023ACT_VDEF</t>
        </is>
      </c>
      <c r="J290" s="41" t="n">
        <v>2023</v>
      </c>
      <c r="K290" s="41" t="inlineStr">
        <is>
          <t>NB</t>
        </is>
      </c>
      <c r="L290" s="43" t="n">
        <v>59</v>
      </c>
    </row>
    <row r="291">
      <c r="B291" s="39" t="inlineStr">
        <is>
          <t>MBWAY_LYO</t>
        </is>
      </c>
      <c r="C291" s="40" t="inlineStr">
        <is>
          <t>BAC_MGT</t>
        </is>
      </c>
      <c r="D291" s="40" t="inlineStr">
        <is>
          <t>B1</t>
        </is>
      </c>
      <c r="E291" s="40" t="inlineStr">
        <is>
          <t>INIT</t>
        </is>
      </c>
      <c r="F291" s="40" t="inlineStr">
        <is>
          <t>STA_EFF</t>
        </is>
      </c>
      <c r="G291" s="39" t="inlineStr">
        <is>
          <t>Effectif inscrit</t>
        </is>
      </c>
      <c r="H291" s="40" t="inlineStr">
        <is>
          <t>TECHNIQUE</t>
        </is>
      </c>
      <c r="I291" s="41" t="inlineStr">
        <is>
          <t>2024ACT_VDEF</t>
        </is>
      </c>
      <c r="J291" s="41" t="n">
        <v>2024</v>
      </c>
      <c r="K291" s="41" t="inlineStr">
        <is>
          <t>NB</t>
        </is>
      </c>
      <c r="L291" s="43" t="n">
        <v>63</v>
      </c>
    </row>
    <row r="292">
      <c r="B292" s="39" t="inlineStr">
        <is>
          <t>MBWAY_LYO</t>
        </is>
      </c>
      <c r="C292" s="40" t="inlineStr">
        <is>
          <t>BAC_MGT</t>
        </is>
      </c>
      <c r="D292" s="40" t="inlineStr">
        <is>
          <t>B1</t>
        </is>
      </c>
      <c r="E292" s="40" t="inlineStr">
        <is>
          <t>INIT</t>
        </is>
      </c>
      <c r="F292" s="40" t="inlineStr">
        <is>
          <t>STA_EFF</t>
        </is>
      </c>
      <c r="G292" s="39" t="inlineStr">
        <is>
          <t>Effectif inscrit</t>
        </is>
      </c>
      <c r="H292" s="40" t="inlineStr">
        <is>
          <t>TECHNIQUE</t>
        </is>
      </c>
      <c r="I292" s="41" t="inlineStr">
        <is>
          <t>2025FCST_V4</t>
        </is>
      </c>
      <c r="J292" s="41" t="n">
        <v>2025</v>
      </c>
      <c r="K292" s="41" t="inlineStr">
        <is>
          <t>NB</t>
        </is>
      </c>
      <c r="L292" s="43" t="n">
        <v>66</v>
      </c>
    </row>
    <row r="293">
      <c r="B293" s="39" t="inlineStr">
        <is>
          <t>MBWAY_LYO</t>
        </is>
      </c>
      <c r="C293" s="40" t="inlineStr">
        <is>
          <t>BAC_MGT</t>
        </is>
      </c>
      <c r="D293" s="40" t="inlineStr">
        <is>
          <t>B1</t>
        </is>
      </c>
      <c r="E293" s="40" t="inlineStr">
        <is>
          <t>INIT</t>
        </is>
      </c>
      <c r="F293" s="40" t="inlineStr">
        <is>
          <t>STA_CAND</t>
        </is>
      </c>
      <c r="G293" s="39" t="inlineStr">
        <is>
          <t>Candidatures reçues</t>
        </is>
      </c>
      <c r="H293" s="40" t="inlineStr">
        <is>
          <t>TECHNIQUE</t>
        </is>
      </c>
      <c r="I293" s="41" t="inlineStr">
        <is>
          <t>2023ACT_VDEF</t>
        </is>
      </c>
      <c r="J293" s="41" t="n">
        <v>2023</v>
      </c>
      <c r="K293" s="41" t="inlineStr">
        <is>
          <t>NB</t>
        </is>
      </c>
      <c r="L293" s="43" t="n">
        <v>159</v>
      </c>
    </row>
    <row r="294">
      <c r="B294" s="39" t="inlineStr">
        <is>
          <t>MBWAY_LYO</t>
        </is>
      </c>
      <c r="C294" s="40" t="inlineStr">
        <is>
          <t>BAC_MGT</t>
        </is>
      </c>
      <c r="D294" s="40" t="inlineStr">
        <is>
          <t>B1</t>
        </is>
      </c>
      <c r="E294" s="40" t="inlineStr">
        <is>
          <t>INIT</t>
        </is>
      </c>
      <c r="F294" s="40" t="inlineStr">
        <is>
          <t>STA_CAND</t>
        </is>
      </c>
      <c r="G294" s="39" t="inlineStr">
        <is>
          <t>Candidatures reçues</t>
        </is>
      </c>
      <c r="H294" s="40" t="inlineStr">
        <is>
          <t>TECHNIQUE</t>
        </is>
      </c>
      <c r="I294" s="41" t="inlineStr">
        <is>
          <t>2024ACT_VDEF</t>
        </is>
      </c>
      <c r="J294" s="41" t="n">
        <v>2024</v>
      </c>
      <c r="K294" s="41" t="inlineStr">
        <is>
          <t>NB</t>
        </is>
      </c>
      <c r="L294" s="43" t="n">
        <v>168</v>
      </c>
    </row>
    <row r="295">
      <c r="B295" s="39" t="inlineStr">
        <is>
          <t>MBWAY_LYO</t>
        </is>
      </c>
      <c r="C295" s="40" t="inlineStr">
        <is>
          <t>BAC_MGT</t>
        </is>
      </c>
      <c r="D295" s="40" t="inlineStr">
        <is>
          <t>B1</t>
        </is>
      </c>
      <c r="E295" s="40" t="inlineStr">
        <is>
          <t>INIT</t>
        </is>
      </c>
      <c r="F295" s="40" t="inlineStr">
        <is>
          <t>STA_CAND</t>
        </is>
      </c>
      <c r="G295" s="39" t="inlineStr">
        <is>
          <t>Candidatures reçues</t>
        </is>
      </c>
      <c r="H295" s="40" t="inlineStr">
        <is>
          <t>TECHNIQUE</t>
        </is>
      </c>
      <c r="I295" s="41" t="inlineStr">
        <is>
          <t>2025FCST_V4</t>
        </is>
      </c>
      <c r="J295" s="41" t="n">
        <v>2025</v>
      </c>
      <c r="K295" s="41" t="inlineStr">
        <is>
          <t>NB</t>
        </is>
      </c>
      <c r="L295" s="43" t="n">
        <v>177</v>
      </c>
    </row>
    <row r="296">
      <c r="B296" s="39" t="inlineStr">
        <is>
          <t>MBWAY_LYO</t>
        </is>
      </c>
      <c r="C296" s="40" t="inlineStr">
        <is>
          <t>BAC_MGT</t>
        </is>
      </c>
      <c r="D296" s="40" t="inlineStr">
        <is>
          <t>B1</t>
        </is>
      </c>
      <c r="E296" s="40" t="inlineStr">
        <is>
          <t>INIT</t>
        </is>
      </c>
      <c r="F296" s="40" t="inlineStr">
        <is>
          <t>STA_ADMIS</t>
        </is>
      </c>
      <c r="G296" s="39" t="inlineStr">
        <is>
          <t>Candidats admis</t>
        </is>
      </c>
      <c r="H296" s="40" t="inlineStr">
        <is>
          <t>TECHNIQUE</t>
        </is>
      </c>
      <c r="I296" s="41" t="inlineStr">
        <is>
          <t>2023ACT_VDEF</t>
        </is>
      </c>
      <c r="J296" s="41" t="n">
        <v>2023</v>
      </c>
      <c r="K296" s="41" t="inlineStr">
        <is>
          <t>NB</t>
        </is>
      </c>
      <c r="L296" s="43" t="n">
        <v>99</v>
      </c>
    </row>
    <row r="297">
      <c r="B297" s="39" t="inlineStr">
        <is>
          <t>MBWAY_LYO</t>
        </is>
      </c>
      <c r="C297" s="40" t="inlineStr">
        <is>
          <t>BAC_MGT</t>
        </is>
      </c>
      <c r="D297" s="40" t="inlineStr">
        <is>
          <t>B1</t>
        </is>
      </c>
      <c r="E297" s="40" t="inlineStr">
        <is>
          <t>INIT</t>
        </is>
      </c>
      <c r="F297" s="40" t="inlineStr">
        <is>
          <t>STA_ADMIS</t>
        </is>
      </c>
      <c r="G297" s="39" t="inlineStr">
        <is>
          <t>Candidats admis</t>
        </is>
      </c>
      <c r="H297" s="40" t="inlineStr">
        <is>
          <t>TECHNIQUE</t>
        </is>
      </c>
      <c r="I297" s="41" t="inlineStr">
        <is>
          <t>2024ACT_VDEF</t>
        </is>
      </c>
      <c r="J297" s="41" t="n">
        <v>2024</v>
      </c>
      <c r="K297" s="41" t="inlineStr">
        <is>
          <t>NB</t>
        </is>
      </c>
      <c r="L297" s="43" t="n">
        <v>104</v>
      </c>
    </row>
    <row r="298">
      <c r="B298" s="39" t="inlineStr">
        <is>
          <t>MBWAY_LYO</t>
        </is>
      </c>
      <c r="C298" s="40" t="inlineStr">
        <is>
          <t>BAC_MGT</t>
        </is>
      </c>
      <c r="D298" s="40" t="inlineStr">
        <is>
          <t>B1</t>
        </is>
      </c>
      <c r="E298" s="40" t="inlineStr">
        <is>
          <t>INIT</t>
        </is>
      </c>
      <c r="F298" s="40" t="inlineStr">
        <is>
          <t>STA_ADMIS</t>
        </is>
      </c>
      <c r="G298" s="39" t="inlineStr">
        <is>
          <t>Candidats admis</t>
        </is>
      </c>
      <c r="H298" s="40" t="inlineStr">
        <is>
          <t>TECHNIQUE</t>
        </is>
      </c>
      <c r="I298" s="41" t="inlineStr">
        <is>
          <t>2025FCST_V4</t>
        </is>
      </c>
      <c r="J298" s="41" t="n">
        <v>2025</v>
      </c>
      <c r="K298" s="41" t="inlineStr">
        <is>
          <t>NB</t>
        </is>
      </c>
      <c r="L298" s="43" t="n">
        <v>110</v>
      </c>
    </row>
    <row r="299">
      <c r="B299" s="39" t="inlineStr">
        <is>
          <t>MBWAY_LYO</t>
        </is>
      </c>
      <c r="C299" s="40" t="inlineStr">
        <is>
          <t>BAC_MGT</t>
        </is>
      </c>
      <c r="D299" s="40" t="inlineStr">
        <is>
          <t>B1</t>
        </is>
      </c>
      <c r="E299" s="40" t="inlineStr">
        <is>
          <t>INIT</t>
        </is>
      </c>
      <c r="F299" s="40" t="inlineStr">
        <is>
          <t>STA_NOUV</t>
        </is>
      </c>
      <c r="G299" s="39" t="inlineStr">
        <is>
          <t>Nouveaux inscrits</t>
        </is>
      </c>
      <c r="H299" s="40" t="inlineStr">
        <is>
          <t>TECHNIQUE</t>
        </is>
      </c>
      <c r="I299" s="41" t="inlineStr">
        <is>
          <t>2023ACT_VDEF</t>
        </is>
      </c>
      <c r="J299" s="41" t="n">
        <v>2023</v>
      </c>
      <c r="K299" s="41" t="inlineStr">
        <is>
          <t>NB</t>
        </is>
      </c>
      <c r="L299" s="43" t="n">
        <v>59</v>
      </c>
    </row>
    <row r="300">
      <c r="B300" s="39" t="inlineStr">
        <is>
          <t>MBWAY_LYO</t>
        </is>
      </c>
      <c r="C300" s="40" t="inlineStr">
        <is>
          <t>BAC_MGT</t>
        </is>
      </c>
      <c r="D300" s="40" t="inlineStr">
        <is>
          <t>B1</t>
        </is>
      </c>
      <c r="E300" s="40" t="inlineStr">
        <is>
          <t>INIT</t>
        </is>
      </c>
      <c r="F300" s="40" t="inlineStr">
        <is>
          <t>STA_NOUV</t>
        </is>
      </c>
      <c r="G300" s="39" t="inlineStr">
        <is>
          <t>Nouveaux inscrits</t>
        </is>
      </c>
      <c r="H300" s="40" t="inlineStr">
        <is>
          <t>TECHNIQUE</t>
        </is>
      </c>
      <c r="I300" s="41" t="inlineStr">
        <is>
          <t>2024ACT_VDEF</t>
        </is>
      </c>
      <c r="J300" s="41" t="n">
        <v>2024</v>
      </c>
      <c r="K300" s="41" t="inlineStr">
        <is>
          <t>NB</t>
        </is>
      </c>
      <c r="L300" s="43" t="n">
        <v>63</v>
      </c>
    </row>
    <row r="301">
      <c r="B301" s="39" t="inlineStr">
        <is>
          <t>MBWAY_LYO</t>
        </is>
      </c>
      <c r="C301" s="40" t="inlineStr">
        <is>
          <t>BAC_MGT</t>
        </is>
      </c>
      <c r="D301" s="40" t="inlineStr">
        <is>
          <t>B1</t>
        </is>
      </c>
      <c r="E301" s="40" t="inlineStr">
        <is>
          <t>INIT</t>
        </is>
      </c>
      <c r="F301" s="40" t="inlineStr">
        <is>
          <t>STA_NOUV</t>
        </is>
      </c>
      <c r="G301" s="39" t="inlineStr">
        <is>
          <t>Nouveaux inscrits</t>
        </is>
      </c>
      <c r="H301" s="40" t="inlineStr">
        <is>
          <t>TECHNIQUE</t>
        </is>
      </c>
      <c r="I301" s="41" t="inlineStr">
        <is>
          <t>2025FCST_V4</t>
        </is>
      </c>
      <c r="J301" s="41" t="n">
        <v>2025</v>
      </c>
      <c r="K301" s="41" t="inlineStr">
        <is>
          <t>NB</t>
        </is>
      </c>
      <c r="L301" s="43" t="n">
        <v>66</v>
      </c>
    </row>
    <row r="302">
      <c r="B302" s="39" t="inlineStr">
        <is>
          <t>MBWAY_LYO</t>
        </is>
      </c>
      <c r="C302" s="40" t="inlineStr">
        <is>
          <t>BAC_MGT</t>
        </is>
      </c>
      <c r="D302" s="40" t="inlineStr">
        <is>
          <t>B1</t>
        </is>
      </c>
      <c r="E302" s="40" t="inlineStr">
        <is>
          <t>INIT</t>
        </is>
      </c>
      <c r="F302" s="40" t="inlineStr">
        <is>
          <t>STA_CLASS</t>
        </is>
      </c>
      <c r="G302" s="39" t="inlineStr">
        <is>
          <t>Nombre de classes</t>
        </is>
      </c>
      <c r="H302" s="40" t="inlineStr">
        <is>
          <t>TECHNIQUE</t>
        </is>
      </c>
      <c r="I302" s="41" t="inlineStr">
        <is>
          <t>2023ACT_VDEF</t>
        </is>
      </c>
      <c r="J302" s="41" t="n">
        <v>2023</v>
      </c>
      <c r="K302" s="41" t="inlineStr">
        <is>
          <t>NB</t>
        </is>
      </c>
      <c r="L302" s="43" t="n">
        <v>3</v>
      </c>
    </row>
    <row r="303">
      <c r="B303" s="39" t="inlineStr">
        <is>
          <t>MBWAY_LYO</t>
        </is>
      </c>
      <c r="C303" s="40" t="inlineStr">
        <is>
          <t>BAC_MGT</t>
        </is>
      </c>
      <c r="D303" s="40" t="inlineStr">
        <is>
          <t>B1</t>
        </is>
      </c>
      <c r="E303" s="40" t="inlineStr">
        <is>
          <t>INIT</t>
        </is>
      </c>
      <c r="F303" s="40" t="inlineStr">
        <is>
          <t>STA_CLASS</t>
        </is>
      </c>
      <c r="G303" s="39" t="inlineStr">
        <is>
          <t>Nombre de classes</t>
        </is>
      </c>
      <c r="H303" s="40" t="inlineStr">
        <is>
          <t>TECHNIQUE</t>
        </is>
      </c>
      <c r="I303" s="41" t="inlineStr">
        <is>
          <t>2024ACT_VDEF</t>
        </is>
      </c>
      <c r="J303" s="41" t="n">
        <v>2024</v>
      </c>
      <c r="K303" s="41" t="inlineStr">
        <is>
          <t>NB</t>
        </is>
      </c>
      <c r="L303" s="43" t="n">
        <v>3</v>
      </c>
    </row>
    <row r="304">
      <c r="B304" s="39" t="inlineStr">
        <is>
          <t>MBWAY_LYO</t>
        </is>
      </c>
      <c r="C304" s="40" t="inlineStr">
        <is>
          <t>BAC_MGT</t>
        </is>
      </c>
      <c r="D304" s="40" t="inlineStr">
        <is>
          <t>B1</t>
        </is>
      </c>
      <c r="E304" s="40" t="inlineStr">
        <is>
          <t>INIT</t>
        </is>
      </c>
      <c r="F304" s="40" t="inlineStr">
        <is>
          <t>STA_CLASS</t>
        </is>
      </c>
      <c r="G304" s="39" t="inlineStr">
        <is>
          <t>Nombre de classes</t>
        </is>
      </c>
      <c r="H304" s="40" t="inlineStr">
        <is>
          <t>TECHNIQUE</t>
        </is>
      </c>
      <c r="I304" s="41" t="inlineStr">
        <is>
          <t>2025FCST_V4</t>
        </is>
      </c>
      <c r="J304" s="41" t="n">
        <v>2025</v>
      </c>
      <c r="K304" s="41" t="inlineStr">
        <is>
          <t>NB</t>
        </is>
      </c>
      <c r="L304" s="43" t="n">
        <v>3</v>
      </c>
    </row>
    <row r="305">
      <c r="B305" s="39" t="inlineStr">
        <is>
          <t>MBWAY_LYO</t>
        </is>
      </c>
      <c r="C305" s="40" t="inlineStr">
        <is>
          <t>BAC_MGT</t>
        </is>
      </c>
      <c r="D305" s="40" t="inlineStr">
        <is>
          <t>B1</t>
        </is>
      </c>
      <c r="E305" s="40" t="inlineStr">
        <is>
          <t>INIT</t>
        </is>
      </c>
      <c r="F305" s="40" t="inlineStr">
        <is>
          <t>STA_HEURE</t>
        </is>
      </c>
      <c r="G305" s="39" t="inlineStr">
        <is>
          <t>Heures d'enseignement</t>
        </is>
      </c>
      <c r="H305" s="40" t="inlineStr">
        <is>
          <t>TECHNIQUE</t>
        </is>
      </c>
      <c r="I305" s="41" t="inlineStr">
        <is>
          <t>2023ACT_VDEF</t>
        </is>
      </c>
      <c r="J305" s="41" t="n">
        <v>2023</v>
      </c>
      <c r="K305" s="41" t="inlineStr">
        <is>
          <t>NB</t>
        </is>
      </c>
      <c r="L305" s="43" t="n">
        <v>1620</v>
      </c>
    </row>
    <row r="306">
      <c r="B306" s="39" t="inlineStr">
        <is>
          <t>MBWAY_LYO</t>
        </is>
      </c>
      <c r="C306" s="40" t="inlineStr">
        <is>
          <t>BAC_MGT</t>
        </is>
      </c>
      <c r="D306" s="40" t="inlineStr">
        <is>
          <t>B1</t>
        </is>
      </c>
      <c r="E306" s="40" t="inlineStr">
        <is>
          <t>INIT</t>
        </is>
      </c>
      <c r="F306" s="40" t="inlineStr">
        <is>
          <t>STA_HEURE</t>
        </is>
      </c>
      <c r="G306" s="39" t="inlineStr">
        <is>
          <t>Heures d'enseignement</t>
        </is>
      </c>
      <c r="H306" s="40" t="inlineStr">
        <is>
          <t>TECHNIQUE</t>
        </is>
      </c>
      <c r="I306" s="41" t="inlineStr">
        <is>
          <t>2024ACT_VDEF</t>
        </is>
      </c>
      <c r="J306" s="41" t="n">
        <v>2024</v>
      </c>
      <c r="K306" s="41" t="inlineStr">
        <is>
          <t>NB</t>
        </is>
      </c>
      <c r="L306" s="43" t="n">
        <v>1710</v>
      </c>
    </row>
    <row r="307">
      <c r="B307" s="39" t="inlineStr">
        <is>
          <t>MBWAY_LYO</t>
        </is>
      </c>
      <c r="C307" s="40" t="inlineStr">
        <is>
          <t>BAC_MGT</t>
        </is>
      </c>
      <c r="D307" s="40" t="inlineStr">
        <is>
          <t>B1</t>
        </is>
      </c>
      <c r="E307" s="40" t="inlineStr">
        <is>
          <t>INIT</t>
        </is>
      </c>
      <c r="F307" s="40" t="inlineStr">
        <is>
          <t>STA_HEURE</t>
        </is>
      </c>
      <c r="G307" s="39" t="inlineStr">
        <is>
          <t>Heures d'enseignement</t>
        </is>
      </c>
      <c r="H307" s="40" t="inlineStr">
        <is>
          <t>TECHNIQUE</t>
        </is>
      </c>
      <c r="I307" s="41" t="inlineStr">
        <is>
          <t>2025FCST_V4</t>
        </is>
      </c>
      <c r="J307" s="41" t="n">
        <v>2025</v>
      </c>
      <c r="K307" s="41" t="inlineStr">
        <is>
          <t>NB</t>
        </is>
      </c>
      <c r="L307" s="43" t="n">
        <v>1800</v>
      </c>
    </row>
    <row r="308">
      <c r="B308" s="39" t="inlineStr">
        <is>
          <t>MBWAY_LYO</t>
        </is>
      </c>
      <c r="C308" s="40" t="inlineStr">
        <is>
          <t>BAC_MGT</t>
        </is>
      </c>
      <c r="D308" s="40" t="inlineStr">
        <is>
          <t>B1</t>
        </is>
      </c>
      <c r="E308" s="40" t="inlineStr">
        <is>
          <t>INIT</t>
        </is>
      </c>
      <c r="F308" s="40" t="inlineStr">
        <is>
          <t>STA_CAPA</t>
        </is>
      </c>
      <c r="G308" s="39" t="inlineStr">
        <is>
          <t>Capacité par classe</t>
        </is>
      </c>
      <c r="H308" s="40" t="inlineStr">
        <is>
          <t>TECHNIQUE</t>
        </is>
      </c>
      <c r="I308" s="41" t="inlineStr">
        <is>
          <t>2023ACT_VDEF</t>
        </is>
      </c>
      <c r="J308" s="41" t="n">
        <v>2023</v>
      </c>
      <c r="K308" s="41" t="inlineStr">
        <is>
          <t>NB</t>
        </is>
      </c>
      <c r="L308" s="43" t="n">
        <v>32</v>
      </c>
    </row>
    <row r="309">
      <c r="B309" s="39" t="inlineStr">
        <is>
          <t>MBWAY_LYO</t>
        </is>
      </c>
      <c r="C309" s="40" t="inlineStr">
        <is>
          <t>BAC_MGT</t>
        </is>
      </c>
      <c r="D309" s="40" t="inlineStr">
        <is>
          <t>B1</t>
        </is>
      </c>
      <c r="E309" s="40" t="inlineStr">
        <is>
          <t>INIT</t>
        </is>
      </c>
      <c r="F309" s="40" t="inlineStr">
        <is>
          <t>STA_CAPA</t>
        </is>
      </c>
      <c r="G309" s="39" t="inlineStr">
        <is>
          <t>Capacité par classe</t>
        </is>
      </c>
      <c r="H309" s="40" t="inlineStr">
        <is>
          <t>TECHNIQUE</t>
        </is>
      </c>
      <c r="I309" s="41" t="inlineStr">
        <is>
          <t>2024ACT_VDEF</t>
        </is>
      </c>
      <c r="J309" s="41" t="n">
        <v>2024</v>
      </c>
      <c r="K309" s="41" t="inlineStr">
        <is>
          <t>NB</t>
        </is>
      </c>
      <c r="L309" s="43" t="n">
        <v>32</v>
      </c>
    </row>
    <row r="310">
      <c r="B310" s="39" t="inlineStr">
        <is>
          <t>MBWAY_LYO</t>
        </is>
      </c>
      <c r="C310" s="40" t="inlineStr">
        <is>
          <t>BAC_MGT</t>
        </is>
      </c>
      <c r="D310" s="40" t="inlineStr">
        <is>
          <t>B1</t>
        </is>
      </c>
      <c r="E310" s="40" t="inlineStr">
        <is>
          <t>INIT</t>
        </is>
      </c>
      <c r="F310" s="40" t="inlineStr">
        <is>
          <t>STA_CAPA</t>
        </is>
      </c>
      <c r="G310" s="39" t="inlineStr">
        <is>
          <t>Capacité par classe</t>
        </is>
      </c>
      <c r="H310" s="40" t="inlineStr">
        <is>
          <t>TECHNIQUE</t>
        </is>
      </c>
      <c r="I310" s="41" t="inlineStr">
        <is>
          <t>2025FCST_V4</t>
        </is>
      </c>
      <c r="J310" s="41" t="n">
        <v>2025</v>
      </c>
      <c r="K310" s="41" t="inlineStr">
        <is>
          <t>NB</t>
        </is>
      </c>
      <c r="L310" s="43" t="n">
        <v>32</v>
      </c>
    </row>
    <row r="311">
      <c r="B311" s="39" t="inlineStr">
        <is>
          <t>MBWAY_LYO</t>
        </is>
      </c>
      <c r="C311" s="40" t="inlineStr">
        <is>
          <t>BAC_MGT</t>
        </is>
      </c>
      <c r="D311" s="40" t="inlineStr">
        <is>
          <t>B1</t>
        </is>
      </c>
      <c r="E311" s="40" t="inlineStr">
        <is>
          <t>INIT</t>
        </is>
      </c>
      <c r="F311" s="40" t="inlineStr">
        <is>
          <t>DRV_CONV</t>
        </is>
      </c>
      <c r="G311" s="39" t="inlineStr">
        <is>
          <t>Taux de conversion candidat→inscrit</t>
        </is>
      </c>
      <c r="H311" s="40" t="inlineStr">
        <is>
          <t>TECHNIQUE</t>
        </is>
      </c>
      <c r="I311" s="41" t="inlineStr">
        <is>
          <t>2023ACT_VDEF</t>
        </is>
      </c>
      <c r="J311" s="41" t="n">
        <v>2023</v>
      </c>
      <c r="K311" s="41" t="inlineStr">
        <is>
          <t>PCT</t>
        </is>
      </c>
      <c r="L311" s="44" t="n">
        <v>0.3729</v>
      </c>
    </row>
    <row r="312">
      <c r="B312" s="39" t="inlineStr">
        <is>
          <t>MBWAY_LYO</t>
        </is>
      </c>
      <c r="C312" s="40" t="inlineStr">
        <is>
          <t>BAC_MGT</t>
        </is>
      </c>
      <c r="D312" s="40" t="inlineStr">
        <is>
          <t>B1</t>
        </is>
      </c>
      <c r="E312" s="40" t="inlineStr">
        <is>
          <t>INIT</t>
        </is>
      </c>
      <c r="F312" s="40" t="inlineStr">
        <is>
          <t>DRV_CONV</t>
        </is>
      </c>
      <c r="G312" s="39" t="inlineStr">
        <is>
          <t>Taux de conversion candidat→inscrit</t>
        </is>
      </c>
      <c r="H312" s="40" t="inlineStr">
        <is>
          <t>TECHNIQUE</t>
        </is>
      </c>
      <c r="I312" s="41" t="inlineStr">
        <is>
          <t>2024ACT_VDEF</t>
        </is>
      </c>
      <c r="J312" s="41" t="n">
        <v>2024</v>
      </c>
      <c r="K312" s="41" t="inlineStr">
        <is>
          <t>PCT</t>
        </is>
      </c>
      <c r="L312" s="44" t="n">
        <v>0.3729</v>
      </c>
    </row>
    <row r="313">
      <c r="B313" s="39" t="inlineStr">
        <is>
          <t>MBWAY_LYO</t>
        </is>
      </c>
      <c r="C313" s="40" t="inlineStr">
        <is>
          <t>BAC_MGT</t>
        </is>
      </c>
      <c r="D313" s="40" t="inlineStr">
        <is>
          <t>B1</t>
        </is>
      </c>
      <c r="E313" s="40" t="inlineStr">
        <is>
          <t>INIT</t>
        </is>
      </c>
      <c r="F313" s="40" t="inlineStr">
        <is>
          <t>DRV_CONV</t>
        </is>
      </c>
      <c r="G313" s="39" t="inlineStr">
        <is>
          <t>Taux de conversion candidat→inscrit</t>
        </is>
      </c>
      <c r="H313" s="40" t="inlineStr">
        <is>
          <t>TECHNIQUE</t>
        </is>
      </c>
      <c r="I313" s="41" t="inlineStr">
        <is>
          <t>2025FCST_V4</t>
        </is>
      </c>
      <c r="J313" s="41" t="n">
        <v>2025</v>
      </c>
      <c r="K313" s="41" t="inlineStr">
        <is>
          <t>PCT</t>
        </is>
      </c>
      <c r="L313" s="44" t="n">
        <v>0.3729</v>
      </c>
    </row>
    <row r="314">
      <c r="B314" s="39" t="inlineStr">
        <is>
          <t>MBWAY_LYO</t>
        </is>
      </c>
      <c r="C314" s="40" t="inlineStr">
        <is>
          <t>BAC_MGT</t>
        </is>
      </c>
      <c r="D314" s="40" t="inlineStr">
        <is>
          <t>B1</t>
        </is>
      </c>
      <c r="E314" s="40" t="inlineStr">
        <is>
          <t>INIT</t>
        </is>
      </c>
      <c r="F314" s="40" t="inlineStr">
        <is>
          <t>PRX_TARIF</t>
        </is>
      </c>
      <c r="G314" s="39" t="inlineStr">
        <is>
          <t>Tarif moyen scolarité</t>
        </is>
      </c>
      <c r="H314" s="40" t="inlineStr">
        <is>
          <t>TECHNIQUE</t>
        </is>
      </c>
      <c r="I314" s="41" t="inlineStr">
        <is>
          <t>2023ACT_VDEF</t>
        </is>
      </c>
      <c r="J314" s="41" t="n">
        <v>2023</v>
      </c>
      <c r="K314" s="41" t="inlineStr">
        <is>
          <t>EUR</t>
        </is>
      </c>
      <c r="L314" s="42" t="n">
        <v>8500</v>
      </c>
    </row>
    <row r="315">
      <c r="B315" s="39" t="inlineStr">
        <is>
          <t>MBWAY_LYO</t>
        </is>
      </c>
      <c r="C315" s="40" t="inlineStr">
        <is>
          <t>BAC_MGT</t>
        </is>
      </c>
      <c r="D315" s="40" t="inlineStr">
        <is>
          <t>B1</t>
        </is>
      </c>
      <c r="E315" s="40" t="inlineStr">
        <is>
          <t>INIT</t>
        </is>
      </c>
      <c r="F315" s="40" t="inlineStr">
        <is>
          <t>PRX_TARIF</t>
        </is>
      </c>
      <c r="G315" s="39" t="inlineStr">
        <is>
          <t>Tarif moyen scolarité</t>
        </is>
      </c>
      <c r="H315" s="40" t="inlineStr">
        <is>
          <t>TECHNIQUE</t>
        </is>
      </c>
      <c r="I315" s="41" t="inlineStr">
        <is>
          <t>2024ACT_VDEF</t>
        </is>
      </c>
      <c r="J315" s="41" t="n">
        <v>2024</v>
      </c>
      <c r="K315" s="41" t="inlineStr">
        <is>
          <t>EUR</t>
        </is>
      </c>
      <c r="L315" s="42" t="n">
        <v>8500</v>
      </c>
    </row>
    <row r="316">
      <c r="B316" s="39" t="inlineStr">
        <is>
          <t>MBWAY_LYO</t>
        </is>
      </c>
      <c r="C316" s="40" t="inlineStr">
        <is>
          <t>BAC_MGT</t>
        </is>
      </c>
      <c r="D316" s="40" t="inlineStr">
        <is>
          <t>B1</t>
        </is>
      </c>
      <c r="E316" s="40" t="inlineStr">
        <is>
          <t>INIT</t>
        </is>
      </c>
      <c r="F316" s="40" t="inlineStr">
        <is>
          <t>PRX_TARIF</t>
        </is>
      </c>
      <c r="G316" s="39" t="inlineStr">
        <is>
          <t>Tarif moyen scolarité</t>
        </is>
      </c>
      <c r="H316" s="40" t="inlineStr">
        <is>
          <t>TECHNIQUE</t>
        </is>
      </c>
      <c r="I316" s="41" t="inlineStr">
        <is>
          <t>2025FCST_V4</t>
        </is>
      </c>
      <c r="J316" s="41" t="n">
        <v>2025</v>
      </c>
      <c r="K316" s="41" t="inlineStr">
        <is>
          <t>EUR</t>
        </is>
      </c>
      <c r="L316" s="42" t="n">
        <v>8500</v>
      </c>
    </row>
    <row r="317">
      <c r="B317" s="39" t="inlineStr">
        <is>
          <t>MBWAY_LYO</t>
        </is>
      </c>
      <c r="C317" s="40" t="inlineStr">
        <is>
          <t>BAC_MGT</t>
        </is>
      </c>
      <c r="D317" s="40" t="inlineStr">
        <is>
          <t>B1</t>
        </is>
      </c>
      <c r="E317" s="40" t="inlineStr">
        <is>
          <t>INIT</t>
        </is>
      </c>
      <c r="F317" s="40" t="inlineStr">
        <is>
          <t>CAC_LEAD</t>
        </is>
      </c>
      <c r="G317" s="39" t="inlineStr">
        <is>
          <t>Coût d'acquisition par lead</t>
        </is>
      </c>
      <c r="H317" s="40" t="inlineStr">
        <is>
          <t>TECHNIQUE</t>
        </is>
      </c>
      <c r="I317" s="41" t="inlineStr">
        <is>
          <t>2023ACT_VDEF</t>
        </is>
      </c>
      <c r="J317" s="41" t="n">
        <v>2023</v>
      </c>
      <c r="K317" s="41" t="inlineStr">
        <is>
          <t>EUR</t>
        </is>
      </c>
      <c r="L317" s="42" t="n">
        <v>320</v>
      </c>
    </row>
    <row r="318">
      <c r="B318" s="39" t="inlineStr">
        <is>
          <t>MBWAY_LYO</t>
        </is>
      </c>
      <c r="C318" s="40" t="inlineStr">
        <is>
          <t>BAC_MGT</t>
        </is>
      </c>
      <c r="D318" s="40" t="inlineStr">
        <is>
          <t>B1</t>
        </is>
      </c>
      <c r="E318" s="40" t="inlineStr">
        <is>
          <t>INIT</t>
        </is>
      </c>
      <c r="F318" s="40" t="inlineStr">
        <is>
          <t>CAC_LEAD</t>
        </is>
      </c>
      <c r="G318" s="39" t="inlineStr">
        <is>
          <t>Coût d'acquisition par lead</t>
        </is>
      </c>
      <c r="H318" s="40" t="inlineStr">
        <is>
          <t>TECHNIQUE</t>
        </is>
      </c>
      <c r="I318" s="41" t="inlineStr">
        <is>
          <t>2024ACT_VDEF</t>
        </is>
      </c>
      <c r="J318" s="41" t="n">
        <v>2024</v>
      </c>
      <c r="K318" s="41" t="inlineStr">
        <is>
          <t>EUR</t>
        </is>
      </c>
      <c r="L318" s="42" t="n">
        <v>320</v>
      </c>
    </row>
    <row r="319">
      <c r="B319" s="39" t="inlineStr">
        <is>
          <t>MBWAY_LYO</t>
        </is>
      </c>
      <c r="C319" s="40" t="inlineStr">
        <is>
          <t>BAC_MGT</t>
        </is>
      </c>
      <c r="D319" s="40" t="inlineStr">
        <is>
          <t>B1</t>
        </is>
      </c>
      <c r="E319" s="40" t="inlineStr">
        <is>
          <t>INIT</t>
        </is>
      </c>
      <c r="F319" s="40" t="inlineStr">
        <is>
          <t>CAC_LEAD</t>
        </is>
      </c>
      <c r="G319" s="39" t="inlineStr">
        <is>
          <t>Coût d'acquisition par lead</t>
        </is>
      </c>
      <c r="H319" s="40" t="inlineStr">
        <is>
          <t>TECHNIQUE</t>
        </is>
      </c>
      <c r="I319" s="41" t="inlineStr">
        <is>
          <t>2025FCST_V4</t>
        </is>
      </c>
      <c r="J319" s="41" t="n">
        <v>2025</v>
      </c>
      <c r="K319" s="41" t="inlineStr">
        <is>
          <t>EUR</t>
        </is>
      </c>
      <c r="L319" s="42" t="n">
        <v>320</v>
      </c>
    </row>
    <row r="320">
      <c r="B320" s="39" t="inlineStr">
        <is>
          <t>MBWAY_LYO</t>
        </is>
      </c>
      <c r="C320" s="40" t="inlineStr">
        <is>
          <t>BAC_MGT</t>
        </is>
      </c>
      <c r="D320" s="40" t="inlineStr">
        <is>
          <t>B2</t>
        </is>
      </c>
      <c r="E320" s="40" t="inlineStr">
        <is>
          <t>ALT</t>
        </is>
      </c>
      <c r="F320" s="40" t="inlineStr">
        <is>
          <t>706100</t>
        </is>
      </c>
      <c r="G320" s="39" t="inlineStr">
        <is>
          <t>Droits de scolarité</t>
        </is>
      </c>
      <c r="H320" s="40" t="inlineStr">
        <is>
          <t>COMPTABLE</t>
        </is>
      </c>
      <c r="I320" s="41" t="inlineStr">
        <is>
          <t>2023ACT_VDEF</t>
        </is>
      </c>
      <c r="J320" s="41" t="n">
        <v>2023</v>
      </c>
      <c r="K320" s="41" t="inlineStr">
        <is>
          <t>EUR</t>
        </is>
      </c>
      <c r="L320" s="42" t="n">
        <v>403200</v>
      </c>
    </row>
    <row r="321">
      <c r="B321" s="39" t="inlineStr">
        <is>
          <t>MBWAY_LYO</t>
        </is>
      </c>
      <c r="C321" s="40" t="inlineStr">
        <is>
          <t>BAC_MGT</t>
        </is>
      </c>
      <c r="D321" s="40" t="inlineStr">
        <is>
          <t>B2</t>
        </is>
      </c>
      <c r="E321" s="40" t="inlineStr">
        <is>
          <t>ALT</t>
        </is>
      </c>
      <c r="F321" s="40" t="inlineStr">
        <is>
          <t>706100</t>
        </is>
      </c>
      <c r="G321" s="39" t="inlineStr">
        <is>
          <t>Droits de scolarité</t>
        </is>
      </c>
      <c r="H321" s="40" t="inlineStr">
        <is>
          <t>COMPTABLE</t>
        </is>
      </c>
      <c r="I321" s="41" t="inlineStr">
        <is>
          <t>2024ACT_VDEF</t>
        </is>
      </c>
      <c r="J321" s="41" t="n">
        <v>2024</v>
      </c>
      <c r="K321" s="41" t="inlineStr">
        <is>
          <t>EUR</t>
        </is>
      </c>
      <c r="L321" s="42" t="n">
        <v>425600</v>
      </c>
    </row>
    <row r="322">
      <c r="B322" s="39" t="inlineStr">
        <is>
          <t>MBWAY_LYO</t>
        </is>
      </c>
      <c r="C322" s="40" t="inlineStr">
        <is>
          <t>BAC_MGT</t>
        </is>
      </c>
      <c r="D322" s="40" t="inlineStr">
        <is>
          <t>B2</t>
        </is>
      </c>
      <c r="E322" s="40" t="inlineStr">
        <is>
          <t>ALT</t>
        </is>
      </c>
      <c r="F322" s="40" t="inlineStr">
        <is>
          <t>706100</t>
        </is>
      </c>
      <c r="G322" s="39" t="inlineStr">
        <is>
          <t>Droits de scolarité</t>
        </is>
      </c>
      <c r="H322" s="40" t="inlineStr">
        <is>
          <t>COMPTABLE</t>
        </is>
      </c>
      <c r="I322" s="41" t="inlineStr">
        <is>
          <t>2025FCST_V4</t>
        </is>
      </c>
      <c r="J322" s="41" t="n">
        <v>2025</v>
      </c>
      <c r="K322" s="41" t="inlineStr">
        <is>
          <t>EUR</t>
        </is>
      </c>
      <c r="L322" s="42" t="n">
        <v>448000</v>
      </c>
    </row>
    <row r="323">
      <c r="B323" s="39" t="inlineStr">
        <is>
          <t>MBWAY_LYO</t>
        </is>
      </c>
      <c r="C323" s="40" t="inlineStr">
        <is>
          <t>BAC_MGT</t>
        </is>
      </c>
      <c r="D323" s="40" t="inlineStr">
        <is>
          <t>B2</t>
        </is>
      </c>
      <c r="E323" s="40" t="inlineStr">
        <is>
          <t>ALT</t>
        </is>
      </c>
      <c r="F323" s="40" t="inlineStr">
        <is>
          <t>604100</t>
        </is>
      </c>
      <c r="G323" s="39" t="inlineStr">
        <is>
          <t>Vacations &amp; sous-traitance pédagogique</t>
        </is>
      </c>
      <c r="H323" s="40" t="inlineStr">
        <is>
          <t>COMPTABLE</t>
        </is>
      </c>
      <c r="I323" s="41" t="inlineStr">
        <is>
          <t>2023ACT_VDEF</t>
        </is>
      </c>
      <c r="J323" s="41" t="n">
        <v>2023</v>
      </c>
      <c r="K323" s="41" t="inlineStr">
        <is>
          <t>EUR</t>
        </is>
      </c>
      <c r="L323" s="42" t="n">
        <v>58464</v>
      </c>
    </row>
    <row r="324">
      <c r="B324" s="39" t="inlineStr">
        <is>
          <t>MBWAY_LYO</t>
        </is>
      </c>
      <c r="C324" s="40" t="inlineStr">
        <is>
          <t>BAC_MGT</t>
        </is>
      </c>
      <c r="D324" s="40" t="inlineStr">
        <is>
          <t>B2</t>
        </is>
      </c>
      <c r="E324" s="40" t="inlineStr">
        <is>
          <t>ALT</t>
        </is>
      </c>
      <c r="F324" s="40" t="inlineStr">
        <is>
          <t>604100</t>
        </is>
      </c>
      <c r="G324" s="39" t="inlineStr">
        <is>
          <t>Vacations &amp; sous-traitance pédagogique</t>
        </is>
      </c>
      <c r="H324" s="40" t="inlineStr">
        <is>
          <t>COMPTABLE</t>
        </is>
      </c>
      <c r="I324" s="41" t="inlineStr">
        <is>
          <t>2024ACT_VDEF</t>
        </is>
      </c>
      <c r="J324" s="41" t="n">
        <v>2024</v>
      </c>
      <c r="K324" s="41" t="inlineStr">
        <is>
          <t>EUR</t>
        </is>
      </c>
      <c r="L324" s="42" t="n">
        <v>61712</v>
      </c>
    </row>
    <row r="325">
      <c r="B325" s="39" t="inlineStr">
        <is>
          <t>MBWAY_LYO</t>
        </is>
      </c>
      <c r="C325" s="40" t="inlineStr">
        <is>
          <t>BAC_MGT</t>
        </is>
      </c>
      <c r="D325" s="40" t="inlineStr">
        <is>
          <t>B2</t>
        </is>
      </c>
      <c r="E325" s="40" t="inlineStr">
        <is>
          <t>ALT</t>
        </is>
      </c>
      <c r="F325" s="40" t="inlineStr">
        <is>
          <t>604100</t>
        </is>
      </c>
      <c r="G325" s="39" t="inlineStr">
        <is>
          <t>Vacations &amp; sous-traitance pédagogique</t>
        </is>
      </c>
      <c r="H325" s="40" t="inlineStr">
        <is>
          <t>COMPTABLE</t>
        </is>
      </c>
      <c r="I325" s="41" t="inlineStr">
        <is>
          <t>2025FCST_V4</t>
        </is>
      </c>
      <c r="J325" s="41" t="n">
        <v>2025</v>
      </c>
      <c r="K325" s="41" t="inlineStr">
        <is>
          <t>EUR</t>
        </is>
      </c>
      <c r="L325" s="42" t="n">
        <v>64960</v>
      </c>
    </row>
    <row r="326">
      <c r="B326" s="39" t="inlineStr">
        <is>
          <t>MBWAY_LYO</t>
        </is>
      </c>
      <c r="C326" s="40" t="inlineStr">
        <is>
          <t>BAC_MGT</t>
        </is>
      </c>
      <c r="D326" s="40" t="inlineStr">
        <is>
          <t>B2</t>
        </is>
      </c>
      <c r="E326" s="40" t="inlineStr">
        <is>
          <t>ALT</t>
        </is>
      </c>
      <c r="F326" s="40" t="inlineStr">
        <is>
          <t>606300</t>
        </is>
      </c>
      <c r="G326" s="39" t="inlineStr">
        <is>
          <t>Fournitures &amp; ressources pédagogiques</t>
        </is>
      </c>
      <c r="H326" s="40" t="inlineStr">
        <is>
          <t>COMPTABLE</t>
        </is>
      </c>
      <c r="I326" s="41" t="inlineStr">
        <is>
          <t>2023ACT_VDEF</t>
        </is>
      </c>
      <c r="J326" s="41" t="n">
        <v>2023</v>
      </c>
      <c r="K326" s="41" t="inlineStr">
        <is>
          <t>EUR</t>
        </is>
      </c>
      <c r="L326" s="42" t="n">
        <v>20160</v>
      </c>
    </row>
    <row r="327">
      <c r="B327" s="39" t="inlineStr">
        <is>
          <t>MBWAY_LYO</t>
        </is>
      </c>
      <c r="C327" s="40" t="inlineStr">
        <is>
          <t>BAC_MGT</t>
        </is>
      </c>
      <c r="D327" s="40" t="inlineStr">
        <is>
          <t>B2</t>
        </is>
      </c>
      <c r="E327" s="40" t="inlineStr">
        <is>
          <t>ALT</t>
        </is>
      </c>
      <c r="F327" s="40" t="inlineStr">
        <is>
          <t>606300</t>
        </is>
      </c>
      <c r="G327" s="39" t="inlineStr">
        <is>
          <t>Fournitures &amp; ressources pédagogiques</t>
        </is>
      </c>
      <c r="H327" s="40" t="inlineStr">
        <is>
          <t>COMPTABLE</t>
        </is>
      </c>
      <c r="I327" s="41" t="inlineStr">
        <is>
          <t>2024ACT_VDEF</t>
        </is>
      </c>
      <c r="J327" s="41" t="n">
        <v>2024</v>
      </c>
      <c r="K327" s="41" t="inlineStr">
        <is>
          <t>EUR</t>
        </is>
      </c>
      <c r="L327" s="42" t="n">
        <v>21280</v>
      </c>
    </row>
    <row r="328">
      <c r="B328" s="39" t="inlineStr">
        <is>
          <t>MBWAY_LYO</t>
        </is>
      </c>
      <c r="C328" s="40" t="inlineStr">
        <is>
          <t>BAC_MGT</t>
        </is>
      </c>
      <c r="D328" s="40" t="inlineStr">
        <is>
          <t>B2</t>
        </is>
      </c>
      <c r="E328" s="40" t="inlineStr">
        <is>
          <t>ALT</t>
        </is>
      </c>
      <c r="F328" s="40" t="inlineStr">
        <is>
          <t>606300</t>
        </is>
      </c>
      <c r="G328" s="39" t="inlineStr">
        <is>
          <t>Fournitures &amp; ressources pédagogiques</t>
        </is>
      </c>
      <c r="H328" s="40" t="inlineStr">
        <is>
          <t>COMPTABLE</t>
        </is>
      </c>
      <c r="I328" s="41" t="inlineStr">
        <is>
          <t>2025FCST_V4</t>
        </is>
      </c>
      <c r="J328" s="41" t="n">
        <v>2025</v>
      </c>
      <c r="K328" s="41" t="inlineStr">
        <is>
          <t>EUR</t>
        </is>
      </c>
      <c r="L328" s="42" t="n">
        <v>22400</v>
      </c>
    </row>
    <row r="329">
      <c r="B329" s="39" t="inlineStr">
        <is>
          <t>MBWAY_LYO</t>
        </is>
      </c>
      <c r="C329" s="40" t="inlineStr">
        <is>
          <t>BAC_MGT</t>
        </is>
      </c>
      <c r="D329" s="40" t="inlineStr">
        <is>
          <t>B2</t>
        </is>
      </c>
      <c r="E329" s="40" t="inlineStr">
        <is>
          <t>ALT</t>
        </is>
      </c>
      <c r="F329" s="40" t="inlineStr">
        <is>
          <t>613200</t>
        </is>
      </c>
      <c r="G329" s="39" t="inlineStr">
        <is>
          <t>Locations immobilières (loyers)</t>
        </is>
      </c>
      <c r="H329" s="40" t="inlineStr">
        <is>
          <t>COMPTABLE</t>
        </is>
      </c>
      <c r="I329" s="41" t="inlineStr">
        <is>
          <t>2023ACT_VDEF</t>
        </is>
      </c>
      <c r="J329" s="41" t="n">
        <v>2023</v>
      </c>
      <c r="K329" s="41" t="inlineStr">
        <is>
          <t>EUR</t>
        </is>
      </c>
      <c r="L329" s="42" t="n">
        <v>37800</v>
      </c>
    </row>
    <row r="330">
      <c r="B330" s="39" t="inlineStr">
        <is>
          <t>MBWAY_LYO</t>
        </is>
      </c>
      <c r="C330" s="40" t="inlineStr">
        <is>
          <t>BAC_MGT</t>
        </is>
      </c>
      <c r="D330" s="40" t="inlineStr">
        <is>
          <t>B2</t>
        </is>
      </c>
      <c r="E330" s="40" t="inlineStr">
        <is>
          <t>ALT</t>
        </is>
      </c>
      <c r="F330" s="40" t="inlineStr">
        <is>
          <t>613200</t>
        </is>
      </c>
      <c r="G330" s="39" t="inlineStr">
        <is>
          <t>Locations immobilières (loyers)</t>
        </is>
      </c>
      <c r="H330" s="40" t="inlineStr">
        <is>
          <t>COMPTABLE</t>
        </is>
      </c>
      <c r="I330" s="41" t="inlineStr">
        <is>
          <t>2024ACT_VDEF</t>
        </is>
      </c>
      <c r="J330" s="41" t="n">
        <v>2024</v>
      </c>
      <c r="K330" s="41" t="inlineStr">
        <is>
          <t>EUR</t>
        </is>
      </c>
      <c r="L330" s="42" t="n">
        <v>39900</v>
      </c>
    </row>
    <row r="331">
      <c r="B331" s="39" t="inlineStr">
        <is>
          <t>MBWAY_LYO</t>
        </is>
      </c>
      <c r="C331" s="40" t="inlineStr">
        <is>
          <t>BAC_MGT</t>
        </is>
      </c>
      <c r="D331" s="40" t="inlineStr">
        <is>
          <t>B2</t>
        </is>
      </c>
      <c r="E331" s="40" t="inlineStr">
        <is>
          <t>ALT</t>
        </is>
      </c>
      <c r="F331" s="40" t="inlineStr">
        <is>
          <t>613200</t>
        </is>
      </c>
      <c r="G331" s="39" t="inlineStr">
        <is>
          <t>Locations immobilières (loyers)</t>
        </is>
      </c>
      <c r="H331" s="40" t="inlineStr">
        <is>
          <t>COMPTABLE</t>
        </is>
      </c>
      <c r="I331" s="41" t="inlineStr">
        <is>
          <t>2025FCST_V4</t>
        </is>
      </c>
      <c r="J331" s="41" t="n">
        <v>2025</v>
      </c>
      <c r="K331" s="41" t="inlineStr">
        <is>
          <t>EUR</t>
        </is>
      </c>
      <c r="L331" s="42" t="n">
        <v>42000</v>
      </c>
    </row>
    <row r="332">
      <c r="B332" s="39" t="inlineStr">
        <is>
          <t>MBWAY_LYO</t>
        </is>
      </c>
      <c r="C332" s="40" t="inlineStr">
        <is>
          <t>BAC_MGT</t>
        </is>
      </c>
      <c r="D332" s="40" t="inlineStr">
        <is>
          <t>B2</t>
        </is>
      </c>
      <c r="E332" s="40" t="inlineStr">
        <is>
          <t>ALT</t>
        </is>
      </c>
      <c r="F332" s="40" t="inlineStr">
        <is>
          <t>641100</t>
        </is>
      </c>
      <c r="G332" s="39" t="inlineStr">
        <is>
          <t>Rémunérations du personnel permanent</t>
        </is>
      </c>
      <c r="H332" s="40" t="inlineStr">
        <is>
          <t>COMPTABLE</t>
        </is>
      </c>
      <c r="I332" s="41" t="inlineStr">
        <is>
          <t>2023ACT_VDEF</t>
        </is>
      </c>
      <c r="J332" s="41" t="n">
        <v>2023</v>
      </c>
      <c r="K332" s="41" t="inlineStr">
        <is>
          <t>EUR</t>
        </is>
      </c>
      <c r="L332" s="42" t="n">
        <v>85418</v>
      </c>
    </row>
    <row r="333">
      <c r="B333" s="39" t="inlineStr">
        <is>
          <t>MBWAY_LYO</t>
        </is>
      </c>
      <c r="C333" s="40" t="inlineStr">
        <is>
          <t>BAC_MGT</t>
        </is>
      </c>
      <c r="D333" s="40" t="inlineStr">
        <is>
          <t>B2</t>
        </is>
      </c>
      <c r="E333" s="40" t="inlineStr">
        <is>
          <t>ALT</t>
        </is>
      </c>
      <c r="F333" s="40" t="inlineStr">
        <is>
          <t>641100</t>
        </is>
      </c>
      <c r="G333" s="39" t="inlineStr">
        <is>
          <t>Rémunérations du personnel permanent</t>
        </is>
      </c>
      <c r="H333" s="40" t="inlineStr">
        <is>
          <t>COMPTABLE</t>
        </is>
      </c>
      <c r="I333" s="41" t="inlineStr">
        <is>
          <t>2024ACT_VDEF</t>
        </is>
      </c>
      <c r="J333" s="41" t="n">
        <v>2024</v>
      </c>
      <c r="K333" s="41" t="inlineStr">
        <is>
          <t>EUR</t>
        </is>
      </c>
      <c r="L333" s="42" t="n">
        <v>90164</v>
      </c>
    </row>
    <row r="334">
      <c r="B334" s="39" t="inlineStr">
        <is>
          <t>MBWAY_LYO</t>
        </is>
      </c>
      <c r="C334" s="40" t="inlineStr">
        <is>
          <t>BAC_MGT</t>
        </is>
      </c>
      <c r="D334" s="40" t="inlineStr">
        <is>
          <t>B2</t>
        </is>
      </c>
      <c r="E334" s="40" t="inlineStr">
        <is>
          <t>ALT</t>
        </is>
      </c>
      <c r="F334" s="40" t="inlineStr">
        <is>
          <t>641100</t>
        </is>
      </c>
      <c r="G334" s="39" t="inlineStr">
        <is>
          <t>Rémunérations du personnel permanent</t>
        </is>
      </c>
      <c r="H334" s="40" t="inlineStr">
        <is>
          <t>COMPTABLE</t>
        </is>
      </c>
      <c r="I334" s="41" t="inlineStr">
        <is>
          <t>2025FCST_V4</t>
        </is>
      </c>
      <c r="J334" s="41" t="n">
        <v>2025</v>
      </c>
      <c r="K334" s="41" t="inlineStr">
        <is>
          <t>EUR</t>
        </is>
      </c>
      <c r="L334" s="42" t="n">
        <v>94909</v>
      </c>
    </row>
    <row r="335">
      <c r="B335" s="39" t="inlineStr">
        <is>
          <t>MBWAY_LYO</t>
        </is>
      </c>
      <c r="C335" s="40" t="inlineStr">
        <is>
          <t>BAC_MGT</t>
        </is>
      </c>
      <c r="D335" s="40" t="inlineStr">
        <is>
          <t>B2</t>
        </is>
      </c>
      <c r="E335" s="40" t="inlineStr">
        <is>
          <t>ALT</t>
        </is>
      </c>
      <c r="F335" s="40" t="inlineStr">
        <is>
          <t>622600</t>
        </is>
      </c>
      <c r="G335" s="39" t="inlineStr">
        <is>
          <t>Honoraires &amp; frais de siège (structure groupe)</t>
        </is>
      </c>
      <c r="H335" s="40" t="inlineStr">
        <is>
          <t>COMPTABLE</t>
        </is>
      </c>
      <c r="I335" s="41" t="inlineStr">
        <is>
          <t>2023ACT_VDEF</t>
        </is>
      </c>
      <c r="J335" s="41" t="n">
        <v>2023</v>
      </c>
      <c r="K335" s="41" t="inlineStr">
        <is>
          <t>EUR</t>
        </is>
      </c>
      <c r="L335" s="42" t="n">
        <v>34429</v>
      </c>
    </row>
    <row r="336">
      <c r="B336" s="39" t="inlineStr">
        <is>
          <t>MBWAY_LYO</t>
        </is>
      </c>
      <c r="C336" s="40" t="inlineStr">
        <is>
          <t>BAC_MGT</t>
        </is>
      </c>
      <c r="D336" s="40" t="inlineStr">
        <is>
          <t>B2</t>
        </is>
      </c>
      <c r="E336" s="40" t="inlineStr">
        <is>
          <t>ALT</t>
        </is>
      </c>
      <c r="F336" s="40" t="inlineStr">
        <is>
          <t>622600</t>
        </is>
      </c>
      <c r="G336" s="39" t="inlineStr">
        <is>
          <t>Honoraires &amp; frais de siège (structure groupe)</t>
        </is>
      </c>
      <c r="H336" s="40" t="inlineStr">
        <is>
          <t>COMPTABLE</t>
        </is>
      </c>
      <c r="I336" s="41" t="inlineStr">
        <is>
          <t>2024ACT_VDEF</t>
        </is>
      </c>
      <c r="J336" s="41" t="n">
        <v>2024</v>
      </c>
      <c r="K336" s="41" t="inlineStr">
        <is>
          <t>EUR</t>
        </is>
      </c>
      <c r="L336" s="42" t="n">
        <v>36341</v>
      </c>
    </row>
    <row r="337">
      <c r="B337" s="39" t="inlineStr">
        <is>
          <t>MBWAY_LYO</t>
        </is>
      </c>
      <c r="C337" s="40" t="inlineStr">
        <is>
          <t>BAC_MGT</t>
        </is>
      </c>
      <c r="D337" s="40" t="inlineStr">
        <is>
          <t>B2</t>
        </is>
      </c>
      <c r="E337" s="40" t="inlineStr">
        <is>
          <t>ALT</t>
        </is>
      </c>
      <c r="F337" s="40" t="inlineStr">
        <is>
          <t>622600</t>
        </is>
      </c>
      <c r="G337" s="39" t="inlineStr">
        <is>
          <t>Honoraires &amp; frais de siège (structure groupe)</t>
        </is>
      </c>
      <c r="H337" s="40" t="inlineStr">
        <is>
          <t>COMPTABLE</t>
        </is>
      </c>
      <c r="I337" s="41" t="inlineStr">
        <is>
          <t>2025FCST_V4</t>
        </is>
      </c>
      <c r="J337" s="41" t="n">
        <v>2025</v>
      </c>
      <c r="K337" s="41" t="inlineStr">
        <is>
          <t>EUR</t>
        </is>
      </c>
      <c r="L337" s="42" t="n">
        <v>38254</v>
      </c>
    </row>
    <row r="338">
      <c r="B338" s="39" t="inlineStr">
        <is>
          <t>MBWAY_LYO</t>
        </is>
      </c>
      <c r="C338" s="40" t="inlineStr">
        <is>
          <t>BAC_MGT</t>
        </is>
      </c>
      <c r="D338" s="40" t="inlineStr">
        <is>
          <t>B2</t>
        </is>
      </c>
      <c r="E338" s="40" t="inlineStr">
        <is>
          <t>ALT</t>
        </is>
      </c>
      <c r="F338" s="40" t="inlineStr">
        <is>
          <t>606800</t>
        </is>
      </c>
      <c r="G338" s="39" t="inlineStr">
        <is>
          <t>Autres achats &amp; charges externes</t>
        </is>
      </c>
      <c r="H338" s="40" t="inlineStr">
        <is>
          <t>COMPTABLE</t>
        </is>
      </c>
      <c r="I338" s="41" t="inlineStr">
        <is>
          <t>2023ACT_VDEF</t>
        </is>
      </c>
      <c r="J338" s="41" t="n">
        <v>2023</v>
      </c>
      <c r="K338" s="41" t="inlineStr">
        <is>
          <t>EUR</t>
        </is>
      </c>
      <c r="L338" s="42" t="n">
        <v>47074</v>
      </c>
    </row>
    <row r="339">
      <c r="B339" s="39" t="inlineStr">
        <is>
          <t>MBWAY_LYO</t>
        </is>
      </c>
      <c r="C339" s="40" t="inlineStr">
        <is>
          <t>BAC_MGT</t>
        </is>
      </c>
      <c r="D339" s="40" t="inlineStr">
        <is>
          <t>B2</t>
        </is>
      </c>
      <c r="E339" s="40" t="inlineStr">
        <is>
          <t>ALT</t>
        </is>
      </c>
      <c r="F339" s="40" t="inlineStr">
        <is>
          <t>606800</t>
        </is>
      </c>
      <c r="G339" s="39" t="inlineStr">
        <is>
          <t>Autres achats &amp; charges externes</t>
        </is>
      </c>
      <c r="H339" s="40" t="inlineStr">
        <is>
          <t>COMPTABLE</t>
        </is>
      </c>
      <c r="I339" s="41" t="inlineStr">
        <is>
          <t>2024ACT_VDEF</t>
        </is>
      </c>
      <c r="J339" s="41" t="n">
        <v>2024</v>
      </c>
      <c r="K339" s="41" t="inlineStr">
        <is>
          <t>EUR</t>
        </is>
      </c>
      <c r="L339" s="42" t="n">
        <v>49689</v>
      </c>
    </row>
    <row r="340">
      <c r="B340" s="39" t="inlineStr">
        <is>
          <t>MBWAY_LYO</t>
        </is>
      </c>
      <c r="C340" s="40" t="inlineStr">
        <is>
          <t>BAC_MGT</t>
        </is>
      </c>
      <c r="D340" s="40" t="inlineStr">
        <is>
          <t>B2</t>
        </is>
      </c>
      <c r="E340" s="40" t="inlineStr">
        <is>
          <t>ALT</t>
        </is>
      </c>
      <c r="F340" s="40" t="inlineStr">
        <is>
          <t>606800</t>
        </is>
      </c>
      <c r="G340" s="39" t="inlineStr">
        <is>
          <t>Autres achats &amp; charges externes</t>
        </is>
      </c>
      <c r="H340" s="40" t="inlineStr">
        <is>
          <t>COMPTABLE</t>
        </is>
      </c>
      <c r="I340" s="41" t="inlineStr">
        <is>
          <t>2025FCST_V4</t>
        </is>
      </c>
      <c r="J340" s="41" t="n">
        <v>2025</v>
      </c>
      <c r="K340" s="41" t="inlineStr">
        <is>
          <t>EUR</t>
        </is>
      </c>
      <c r="L340" s="42" t="n">
        <v>52304</v>
      </c>
    </row>
    <row r="341">
      <c r="B341" s="39" t="inlineStr">
        <is>
          <t>MBWAY_LYO</t>
        </is>
      </c>
      <c r="C341" s="40" t="inlineStr">
        <is>
          <t>BAC_MGT</t>
        </is>
      </c>
      <c r="D341" s="40" t="inlineStr">
        <is>
          <t>B2</t>
        </is>
      </c>
      <c r="E341" s="40" t="inlineStr">
        <is>
          <t>ALT</t>
        </is>
      </c>
      <c r="F341" s="40" t="inlineStr">
        <is>
          <t>681100</t>
        </is>
      </c>
      <c r="G341" s="39" t="inlineStr">
        <is>
          <t>Dotations aux amortissements</t>
        </is>
      </c>
      <c r="H341" s="40" t="inlineStr">
        <is>
          <t>COMPTABLE</t>
        </is>
      </c>
      <c r="I341" s="41" t="inlineStr">
        <is>
          <t>2023ACT_VDEF</t>
        </is>
      </c>
      <c r="J341" s="41" t="n">
        <v>2023</v>
      </c>
      <c r="K341" s="41" t="inlineStr">
        <is>
          <t>EUR</t>
        </is>
      </c>
      <c r="L341" s="42" t="n">
        <v>20618</v>
      </c>
    </row>
    <row r="342">
      <c r="B342" s="39" t="inlineStr">
        <is>
          <t>MBWAY_LYO</t>
        </is>
      </c>
      <c r="C342" s="40" t="inlineStr">
        <is>
          <t>BAC_MGT</t>
        </is>
      </c>
      <c r="D342" s="40" t="inlineStr">
        <is>
          <t>B2</t>
        </is>
      </c>
      <c r="E342" s="40" t="inlineStr">
        <is>
          <t>ALT</t>
        </is>
      </c>
      <c r="F342" s="40" t="inlineStr">
        <is>
          <t>681100</t>
        </is>
      </c>
      <c r="G342" s="39" t="inlineStr">
        <is>
          <t>Dotations aux amortissements</t>
        </is>
      </c>
      <c r="H342" s="40" t="inlineStr">
        <is>
          <t>COMPTABLE</t>
        </is>
      </c>
      <c r="I342" s="41" t="inlineStr">
        <is>
          <t>2024ACT_VDEF</t>
        </is>
      </c>
      <c r="J342" s="41" t="n">
        <v>2024</v>
      </c>
      <c r="K342" s="41" t="inlineStr">
        <is>
          <t>EUR</t>
        </is>
      </c>
      <c r="L342" s="42" t="n">
        <v>21764</v>
      </c>
    </row>
    <row r="343">
      <c r="B343" s="39" t="inlineStr">
        <is>
          <t>MBWAY_LYO</t>
        </is>
      </c>
      <c r="C343" s="40" t="inlineStr">
        <is>
          <t>BAC_MGT</t>
        </is>
      </c>
      <c r="D343" s="40" t="inlineStr">
        <is>
          <t>B2</t>
        </is>
      </c>
      <c r="E343" s="40" t="inlineStr">
        <is>
          <t>ALT</t>
        </is>
      </c>
      <c r="F343" s="40" t="inlineStr">
        <is>
          <t>681100</t>
        </is>
      </c>
      <c r="G343" s="39" t="inlineStr">
        <is>
          <t>Dotations aux amortissements</t>
        </is>
      </c>
      <c r="H343" s="40" t="inlineStr">
        <is>
          <t>COMPTABLE</t>
        </is>
      </c>
      <c r="I343" s="41" t="inlineStr">
        <is>
          <t>2025FCST_V4</t>
        </is>
      </c>
      <c r="J343" s="41" t="n">
        <v>2025</v>
      </c>
      <c r="K343" s="41" t="inlineStr">
        <is>
          <t>EUR</t>
        </is>
      </c>
      <c r="L343" s="42" t="n">
        <v>22909</v>
      </c>
    </row>
    <row r="344">
      <c r="B344" s="39" t="inlineStr">
        <is>
          <t>MBWAY_LYO</t>
        </is>
      </c>
      <c r="C344" s="40" t="inlineStr">
        <is>
          <t>BAC_MGT</t>
        </is>
      </c>
      <c r="D344" s="40" t="inlineStr">
        <is>
          <t>B2</t>
        </is>
      </c>
      <c r="E344" s="40" t="inlineStr">
        <is>
          <t>ALT</t>
        </is>
      </c>
      <c r="F344" s="40" t="inlineStr">
        <is>
          <t>STA_EFF</t>
        </is>
      </c>
      <c r="G344" s="39" t="inlineStr">
        <is>
          <t>Effectif inscrit</t>
        </is>
      </c>
      <c r="H344" s="40" t="inlineStr">
        <is>
          <t>TECHNIQUE</t>
        </is>
      </c>
      <c r="I344" s="41" t="inlineStr">
        <is>
          <t>2023ACT_VDEF</t>
        </is>
      </c>
      <c r="J344" s="41" t="n">
        <v>2023</v>
      </c>
      <c r="K344" s="41" t="inlineStr">
        <is>
          <t>NB</t>
        </is>
      </c>
      <c r="L344" s="43" t="n">
        <v>50</v>
      </c>
    </row>
    <row r="345">
      <c r="B345" s="39" t="inlineStr">
        <is>
          <t>MBWAY_LYO</t>
        </is>
      </c>
      <c r="C345" s="40" t="inlineStr">
        <is>
          <t>BAC_MGT</t>
        </is>
      </c>
      <c r="D345" s="40" t="inlineStr">
        <is>
          <t>B2</t>
        </is>
      </c>
      <c r="E345" s="40" t="inlineStr">
        <is>
          <t>ALT</t>
        </is>
      </c>
      <c r="F345" s="40" t="inlineStr">
        <is>
          <t>STA_EFF</t>
        </is>
      </c>
      <c r="G345" s="39" t="inlineStr">
        <is>
          <t>Effectif inscrit</t>
        </is>
      </c>
      <c r="H345" s="40" t="inlineStr">
        <is>
          <t>TECHNIQUE</t>
        </is>
      </c>
      <c r="I345" s="41" t="inlineStr">
        <is>
          <t>2024ACT_VDEF</t>
        </is>
      </c>
      <c r="J345" s="41" t="n">
        <v>2024</v>
      </c>
      <c r="K345" s="41" t="inlineStr">
        <is>
          <t>NB</t>
        </is>
      </c>
      <c r="L345" s="43" t="n">
        <v>53</v>
      </c>
    </row>
    <row r="346">
      <c r="B346" s="39" t="inlineStr">
        <is>
          <t>MBWAY_LYO</t>
        </is>
      </c>
      <c r="C346" s="40" t="inlineStr">
        <is>
          <t>BAC_MGT</t>
        </is>
      </c>
      <c r="D346" s="40" t="inlineStr">
        <is>
          <t>B2</t>
        </is>
      </c>
      <c r="E346" s="40" t="inlineStr">
        <is>
          <t>ALT</t>
        </is>
      </c>
      <c r="F346" s="40" t="inlineStr">
        <is>
          <t>STA_EFF</t>
        </is>
      </c>
      <c r="G346" s="39" t="inlineStr">
        <is>
          <t>Effectif inscrit</t>
        </is>
      </c>
      <c r="H346" s="40" t="inlineStr">
        <is>
          <t>TECHNIQUE</t>
        </is>
      </c>
      <c r="I346" s="41" t="inlineStr">
        <is>
          <t>2025FCST_V4</t>
        </is>
      </c>
      <c r="J346" s="41" t="n">
        <v>2025</v>
      </c>
      <c r="K346" s="41" t="inlineStr">
        <is>
          <t>NB</t>
        </is>
      </c>
      <c r="L346" s="43" t="n">
        <v>56</v>
      </c>
    </row>
    <row r="347">
      <c r="B347" s="39" t="inlineStr">
        <is>
          <t>MBWAY_LYO</t>
        </is>
      </c>
      <c r="C347" s="40" t="inlineStr">
        <is>
          <t>BAC_MGT</t>
        </is>
      </c>
      <c r="D347" s="40" t="inlineStr">
        <is>
          <t>B2</t>
        </is>
      </c>
      <c r="E347" s="40" t="inlineStr">
        <is>
          <t>ALT</t>
        </is>
      </c>
      <c r="F347" s="40" t="inlineStr">
        <is>
          <t>STA_REINS</t>
        </is>
      </c>
      <c r="G347" s="39" t="inlineStr">
        <is>
          <t>Réinscrits</t>
        </is>
      </c>
      <c r="H347" s="40" t="inlineStr">
        <is>
          <t>TECHNIQUE</t>
        </is>
      </c>
      <c r="I347" s="41" t="inlineStr">
        <is>
          <t>2023ACT_VDEF</t>
        </is>
      </c>
      <c r="J347" s="41" t="n">
        <v>2023</v>
      </c>
      <c r="K347" s="41" t="inlineStr">
        <is>
          <t>NB</t>
        </is>
      </c>
      <c r="L347" s="43" t="n">
        <v>50</v>
      </c>
    </row>
    <row r="348">
      <c r="B348" s="39" t="inlineStr">
        <is>
          <t>MBWAY_LYO</t>
        </is>
      </c>
      <c r="C348" s="40" t="inlineStr">
        <is>
          <t>BAC_MGT</t>
        </is>
      </c>
      <c r="D348" s="40" t="inlineStr">
        <is>
          <t>B2</t>
        </is>
      </c>
      <c r="E348" s="40" t="inlineStr">
        <is>
          <t>ALT</t>
        </is>
      </c>
      <c r="F348" s="40" t="inlineStr">
        <is>
          <t>STA_REINS</t>
        </is>
      </c>
      <c r="G348" s="39" t="inlineStr">
        <is>
          <t>Réinscrits</t>
        </is>
      </c>
      <c r="H348" s="40" t="inlineStr">
        <is>
          <t>TECHNIQUE</t>
        </is>
      </c>
      <c r="I348" s="41" t="inlineStr">
        <is>
          <t>2024ACT_VDEF</t>
        </is>
      </c>
      <c r="J348" s="41" t="n">
        <v>2024</v>
      </c>
      <c r="K348" s="41" t="inlineStr">
        <is>
          <t>NB</t>
        </is>
      </c>
      <c r="L348" s="43" t="n">
        <v>53</v>
      </c>
    </row>
    <row r="349">
      <c r="B349" s="39" t="inlineStr">
        <is>
          <t>MBWAY_LYO</t>
        </is>
      </c>
      <c r="C349" s="40" t="inlineStr">
        <is>
          <t>BAC_MGT</t>
        </is>
      </c>
      <c r="D349" s="40" t="inlineStr">
        <is>
          <t>B2</t>
        </is>
      </c>
      <c r="E349" s="40" t="inlineStr">
        <is>
          <t>ALT</t>
        </is>
      </c>
      <c r="F349" s="40" t="inlineStr">
        <is>
          <t>STA_REINS</t>
        </is>
      </c>
      <c r="G349" s="39" t="inlineStr">
        <is>
          <t>Réinscrits</t>
        </is>
      </c>
      <c r="H349" s="40" t="inlineStr">
        <is>
          <t>TECHNIQUE</t>
        </is>
      </c>
      <c r="I349" s="41" t="inlineStr">
        <is>
          <t>2025FCST_V4</t>
        </is>
      </c>
      <c r="J349" s="41" t="n">
        <v>2025</v>
      </c>
      <c r="K349" s="41" t="inlineStr">
        <is>
          <t>NB</t>
        </is>
      </c>
      <c r="L349" s="43" t="n">
        <v>56</v>
      </c>
    </row>
    <row r="350">
      <c r="B350" s="39" t="inlineStr">
        <is>
          <t>MBWAY_LYO</t>
        </is>
      </c>
      <c r="C350" s="40" t="inlineStr">
        <is>
          <t>BAC_MGT</t>
        </is>
      </c>
      <c r="D350" s="40" t="inlineStr">
        <is>
          <t>B2</t>
        </is>
      </c>
      <c r="E350" s="40" t="inlineStr">
        <is>
          <t>ALT</t>
        </is>
      </c>
      <c r="F350" s="40" t="inlineStr">
        <is>
          <t>STA_CLASS</t>
        </is>
      </c>
      <c r="G350" s="39" t="inlineStr">
        <is>
          <t>Nombre de classes</t>
        </is>
      </c>
      <c r="H350" s="40" t="inlineStr">
        <is>
          <t>TECHNIQUE</t>
        </is>
      </c>
      <c r="I350" s="41" t="inlineStr">
        <is>
          <t>2023ACT_VDEF</t>
        </is>
      </c>
      <c r="J350" s="41" t="n">
        <v>2023</v>
      </c>
      <c r="K350" s="41" t="inlineStr">
        <is>
          <t>NB</t>
        </is>
      </c>
      <c r="L350" s="43" t="n">
        <v>2</v>
      </c>
    </row>
    <row r="351">
      <c r="B351" s="39" t="inlineStr">
        <is>
          <t>MBWAY_LYO</t>
        </is>
      </c>
      <c r="C351" s="40" t="inlineStr">
        <is>
          <t>BAC_MGT</t>
        </is>
      </c>
      <c r="D351" s="40" t="inlineStr">
        <is>
          <t>B2</t>
        </is>
      </c>
      <c r="E351" s="40" t="inlineStr">
        <is>
          <t>ALT</t>
        </is>
      </c>
      <c r="F351" s="40" t="inlineStr">
        <is>
          <t>STA_CLASS</t>
        </is>
      </c>
      <c r="G351" s="39" t="inlineStr">
        <is>
          <t>Nombre de classes</t>
        </is>
      </c>
      <c r="H351" s="40" t="inlineStr">
        <is>
          <t>TECHNIQUE</t>
        </is>
      </c>
      <c r="I351" s="41" t="inlineStr">
        <is>
          <t>2024ACT_VDEF</t>
        </is>
      </c>
      <c r="J351" s="41" t="n">
        <v>2024</v>
      </c>
      <c r="K351" s="41" t="inlineStr">
        <is>
          <t>NB</t>
        </is>
      </c>
      <c r="L351" s="43" t="n">
        <v>2</v>
      </c>
    </row>
    <row r="352">
      <c r="B352" s="39" t="inlineStr">
        <is>
          <t>MBWAY_LYO</t>
        </is>
      </c>
      <c r="C352" s="40" t="inlineStr">
        <is>
          <t>BAC_MGT</t>
        </is>
      </c>
      <c r="D352" s="40" t="inlineStr">
        <is>
          <t>B2</t>
        </is>
      </c>
      <c r="E352" s="40" t="inlineStr">
        <is>
          <t>ALT</t>
        </is>
      </c>
      <c r="F352" s="40" t="inlineStr">
        <is>
          <t>STA_CLASS</t>
        </is>
      </c>
      <c r="G352" s="39" t="inlineStr">
        <is>
          <t>Nombre de classes</t>
        </is>
      </c>
      <c r="H352" s="40" t="inlineStr">
        <is>
          <t>TECHNIQUE</t>
        </is>
      </c>
      <c r="I352" s="41" t="inlineStr">
        <is>
          <t>2025FCST_V4</t>
        </is>
      </c>
      <c r="J352" s="41" t="n">
        <v>2025</v>
      </c>
      <c r="K352" s="41" t="inlineStr">
        <is>
          <t>NB</t>
        </is>
      </c>
      <c r="L352" s="43" t="n">
        <v>2</v>
      </c>
    </row>
    <row r="353">
      <c r="B353" s="39" t="inlineStr">
        <is>
          <t>MBWAY_LYO</t>
        </is>
      </c>
      <c r="C353" s="40" t="inlineStr">
        <is>
          <t>BAC_MGT</t>
        </is>
      </c>
      <c r="D353" s="40" t="inlineStr">
        <is>
          <t>B2</t>
        </is>
      </c>
      <c r="E353" s="40" t="inlineStr">
        <is>
          <t>ALT</t>
        </is>
      </c>
      <c r="F353" s="40" t="inlineStr">
        <is>
          <t>STA_HEURE</t>
        </is>
      </c>
      <c r="G353" s="39" t="inlineStr">
        <is>
          <t>Heures d'enseignement</t>
        </is>
      </c>
      <c r="H353" s="40" t="inlineStr">
        <is>
          <t>TECHNIQUE</t>
        </is>
      </c>
      <c r="I353" s="41" t="inlineStr">
        <is>
          <t>2023ACT_VDEF</t>
        </is>
      </c>
      <c r="J353" s="41" t="n">
        <v>2023</v>
      </c>
      <c r="K353" s="41" t="inlineStr">
        <is>
          <t>NB</t>
        </is>
      </c>
      <c r="L353" s="43" t="n">
        <v>1008</v>
      </c>
    </row>
    <row r="354">
      <c r="B354" s="39" t="inlineStr">
        <is>
          <t>MBWAY_LYO</t>
        </is>
      </c>
      <c r="C354" s="40" t="inlineStr">
        <is>
          <t>BAC_MGT</t>
        </is>
      </c>
      <c r="D354" s="40" t="inlineStr">
        <is>
          <t>B2</t>
        </is>
      </c>
      <c r="E354" s="40" t="inlineStr">
        <is>
          <t>ALT</t>
        </is>
      </c>
      <c r="F354" s="40" t="inlineStr">
        <is>
          <t>STA_HEURE</t>
        </is>
      </c>
      <c r="G354" s="39" t="inlineStr">
        <is>
          <t>Heures d'enseignement</t>
        </is>
      </c>
      <c r="H354" s="40" t="inlineStr">
        <is>
          <t>TECHNIQUE</t>
        </is>
      </c>
      <c r="I354" s="41" t="inlineStr">
        <is>
          <t>2024ACT_VDEF</t>
        </is>
      </c>
      <c r="J354" s="41" t="n">
        <v>2024</v>
      </c>
      <c r="K354" s="41" t="inlineStr">
        <is>
          <t>NB</t>
        </is>
      </c>
      <c r="L354" s="43" t="n">
        <v>1064</v>
      </c>
    </row>
    <row r="355">
      <c r="B355" s="39" t="inlineStr">
        <is>
          <t>MBWAY_LYO</t>
        </is>
      </c>
      <c r="C355" s="40" t="inlineStr">
        <is>
          <t>BAC_MGT</t>
        </is>
      </c>
      <c r="D355" s="40" t="inlineStr">
        <is>
          <t>B2</t>
        </is>
      </c>
      <c r="E355" s="40" t="inlineStr">
        <is>
          <t>ALT</t>
        </is>
      </c>
      <c r="F355" s="40" t="inlineStr">
        <is>
          <t>STA_HEURE</t>
        </is>
      </c>
      <c r="G355" s="39" t="inlineStr">
        <is>
          <t>Heures d'enseignement</t>
        </is>
      </c>
      <c r="H355" s="40" t="inlineStr">
        <is>
          <t>TECHNIQUE</t>
        </is>
      </c>
      <c r="I355" s="41" t="inlineStr">
        <is>
          <t>2025FCST_V4</t>
        </is>
      </c>
      <c r="J355" s="41" t="n">
        <v>2025</v>
      </c>
      <c r="K355" s="41" t="inlineStr">
        <is>
          <t>NB</t>
        </is>
      </c>
      <c r="L355" s="43" t="n">
        <v>1120</v>
      </c>
    </row>
    <row r="356">
      <c r="B356" s="39" t="inlineStr">
        <is>
          <t>MBWAY_LYO</t>
        </is>
      </c>
      <c r="C356" s="40" t="inlineStr">
        <is>
          <t>BAC_MGT</t>
        </is>
      </c>
      <c r="D356" s="40" t="inlineStr">
        <is>
          <t>B2</t>
        </is>
      </c>
      <c r="E356" s="40" t="inlineStr">
        <is>
          <t>ALT</t>
        </is>
      </c>
      <c r="F356" s="40" t="inlineStr">
        <is>
          <t>STA_CAPA</t>
        </is>
      </c>
      <c r="G356" s="39" t="inlineStr">
        <is>
          <t>Capacité par classe</t>
        </is>
      </c>
      <c r="H356" s="40" t="inlineStr">
        <is>
          <t>TECHNIQUE</t>
        </is>
      </c>
      <c r="I356" s="41" t="inlineStr">
        <is>
          <t>2023ACT_VDEF</t>
        </is>
      </c>
      <c r="J356" s="41" t="n">
        <v>2023</v>
      </c>
      <c r="K356" s="41" t="inlineStr">
        <is>
          <t>NB</t>
        </is>
      </c>
      <c r="L356" s="43" t="n">
        <v>32</v>
      </c>
    </row>
    <row r="357">
      <c r="B357" s="39" t="inlineStr">
        <is>
          <t>MBWAY_LYO</t>
        </is>
      </c>
      <c r="C357" s="40" t="inlineStr">
        <is>
          <t>BAC_MGT</t>
        </is>
      </c>
      <c r="D357" s="40" t="inlineStr">
        <is>
          <t>B2</t>
        </is>
      </c>
      <c r="E357" s="40" t="inlineStr">
        <is>
          <t>ALT</t>
        </is>
      </c>
      <c r="F357" s="40" t="inlineStr">
        <is>
          <t>STA_CAPA</t>
        </is>
      </c>
      <c r="G357" s="39" t="inlineStr">
        <is>
          <t>Capacité par classe</t>
        </is>
      </c>
      <c r="H357" s="40" t="inlineStr">
        <is>
          <t>TECHNIQUE</t>
        </is>
      </c>
      <c r="I357" s="41" t="inlineStr">
        <is>
          <t>2024ACT_VDEF</t>
        </is>
      </c>
      <c r="J357" s="41" t="n">
        <v>2024</v>
      </c>
      <c r="K357" s="41" t="inlineStr">
        <is>
          <t>NB</t>
        </is>
      </c>
      <c r="L357" s="43" t="n">
        <v>32</v>
      </c>
    </row>
    <row r="358">
      <c r="B358" s="39" t="inlineStr">
        <is>
          <t>MBWAY_LYO</t>
        </is>
      </c>
      <c r="C358" s="40" t="inlineStr">
        <is>
          <t>BAC_MGT</t>
        </is>
      </c>
      <c r="D358" s="40" t="inlineStr">
        <is>
          <t>B2</t>
        </is>
      </c>
      <c r="E358" s="40" t="inlineStr">
        <is>
          <t>ALT</t>
        </is>
      </c>
      <c r="F358" s="40" t="inlineStr">
        <is>
          <t>STA_CAPA</t>
        </is>
      </c>
      <c r="G358" s="39" t="inlineStr">
        <is>
          <t>Capacité par classe</t>
        </is>
      </c>
      <c r="H358" s="40" t="inlineStr">
        <is>
          <t>TECHNIQUE</t>
        </is>
      </c>
      <c r="I358" s="41" t="inlineStr">
        <is>
          <t>2025FCST_V4</t>
        </is>
      </c>
      <c r="J358" s="41" t="n">
        <v>2025</v>
      </c>
      <c r="K358" s="41" t="inlineStr">
        <is>
          <t>NB</t>
        </is>
      </c>
      <c r="L358" s="43" t="n">
        <v>32</v>
      </c>
    </row>
    <row r="359">
      <c r="B359" s="39" t="inlineStr">
        <is>
          <t>MBWAY_LYO</t>
        </is>
      </c>
      <c r="C359" s="40" t="inlineStr">
        <is>
          <t>BAC_MGT</t>
        </is>
      </c>
      <c r="D359" s="40" t="inlineStr">
        <is>
          <t>B2</t>
        </is>
      </c>
      <c r="E359" s="40" t="inlineStr">
        <is>
          <t>ALT</t>
        </is>
      </c>
      <c r="F359" s="40" t="inlineStr">
        <is>
          <t>DRV_PASS</t>
        </is>
      </c>
      <c r="G359" s="39" t="inlineStr">
        <is>
          <t>Taux de passage (réinscription)</t>
        </is>
      </c>
      <c r="H359" s="40" t="inlineStr">
        <is>
          <t>TECHNIQUE</t>
        </is>
      </c>
      <c r="I359" s="41" t="inlineStr">
        <is>
          <t>2023ACT_VDEF</t>
        </is>
      </c>
      <c r="J359" s="41" t="n">
        <v>2023</v>
      </c>
      <c r="K359" s="41" t="inlineStr">
        <is>
          <t>PCT</t>
        </is>
      </c>
      <c r="L359" s="44" t="n">
        <v>0.93</v>
      </c>
    </row>
    <row r="360">
      <c r="B360" s="39" t="inlineStr">
        <is>
          <t>MBWAY_LYO</t>
        </is>
      </c>
      <c r="C360" s="40" t="inlineStr">
        <is>
          <t>BAC_MGT</t>
        </is>
      </c>
      <c r="D360" s="40" t="inlineStr">
        <is>
          <t>B2</t>
        </is>
      </c>
      <c r="E360" s="40" t="inlineStr">
        <is>
          <t>ALT</t>
        </is>
      </c>
      <c r="F360" s="40" t="inlineStr">
        <is>
          <t>DRV_PASS</t>
        </is>
      </c>
      <c r="G360" s="39" t="inlineStr">
        <is>
          <t>Taux de passage (réinscription)</t>
        </is>
      </c>
      <c r="H360" s="40" t="inlineStr">
        <is>
          <t>TECHNIQUE</t>
        </is>
      </c>
      <c r="I360" s="41" t="inlineStr">
        <is>
          <t>2024ACT_VDEF</t>
        </is>
      </c>
      <c r="J360" s="41" t="n">
        <v>2024</v>
      </c>
      <c r="K360" s="41" t="inlineStr">
        <is>
          <t>PCT</t>
        </is>
      </c>
      <c r="L360" s="44" t="n">
        <v>0.93</v>
      </c>
    </row>
    <row r="361">
      <c r="B361" s="39" t="inlineStr">
        <is>
          <t>MBWAY_LYO</t>
        </is>
      </c>
      <c r="C361" s="40" t="inlineStr">
        <is>
          <t>BAC_MGT</t>
        </is>
      </c>
      <c r="D361" s="40" t="inlineStr">
        <is>
          <t>B2</t>
        </is>
      </c>
      <c r="E361" s="40" t="inlineStr">
        <is>
          <t>ALT</t>
        </is>
      </c>
      <c r="F361" s="40" t="inlineStr">
        <is>
          <t>DRV_PASS</t>
        </is>
      </c>
      <c r="G361" s="39" t="inlineStr">
        <is>
          <t>Taux de passage (réinscription)</t>
        </is>
      </c>
      <c r="H361" s="40" t="inlineStr">
        <is>
          <t>TECHNIQUE</t>
        </is>
      </c>
      <c r="I361" s="41" t="inlineStr">
        <is>
          <t>2025FCST_V4</t>
        </is>
      </c>
      <c r="J361" s="41" t="n">
        <v>2025</v>
      </c>
      <c r="K361" s="41" t="inlineStr">
        <is>
          <t>PCT</t>
        </is>
      </c>
      <c r="L361" s="44" t="n">
        <v>0.93</v>
      </c>
    </row>
    <row r="362">
      <c r="B362" s="39" t="inlineStr">
        <is>
          <t>MBWAY_LYO</t>
        </is>
      </c>
      <c r="C362" s="40" t="inlineStr">
        <is>
          <t>BAC_MGT</t>
        </is>
      </c>
      <c r="D362" s="40" t="inlineStr">
        <is>
          <t>B2</t>
        </is>
      </c>
      <c r="E362" s="40" t="inlineStr">
        <is>
          <t>ALT</t>
        </is>
      </c>
      <c r="F362" s="40" t="inlineStr">
        <is>
          <t>PRX_TARIF</t>
        </is>
      </c>
      <c r="G362" s="39" t="inlineStr">
        <is>
          <t>Tarif moyen scolarité</t>
        </is>
      </c>
      <c r="H362" s="40" t="inlineStr">
        <is>
          <t>TECHNIQUE</t>
        </is>
      </c>
      <c r="I362" s="41" t="inlineStr">
        <is>
          <t>2023ACT_VDEF</t>
        </is>
      </c>
      <c r="J362" s="41" t="n">
        <v>2023</v>
      </c>
      <c r="K362" s="41" t="inlineStr">
        <is>
          <t>EUR</t>
        </is>
      </c>
      <c r="L362" s="42" t="n">
        <v>8000</v>
      </c>
    </row>
    <row r="363">
      <c r="B363" s="39" t="inlineStr">
        <is>
          <t>MBWAY_LYO</t>
        </is>
      </c>
      <c r="C363" s="40" t="inlineStr">
        <is>
          <t>BAC_MGT</t>
        </is>
      </c>
      <c r="D363" s="40" t="inlineStr">
        <is>
          <t>B2</t>
        </is>
      </c>
      <c r="E363" s="40" t="inlineStr">
        <is>
          <t>ALT</t>
        </is>
      </c>
      <c r="F363" s="40" t="inlineStr">
        <is>
          <t>PRX_TARIF</t>
        </is>
      </c>
      <c r="G363" s="39" t="inlineStr">
        <is>
          <t>Tarif moyen scolarité</t>
        </is>
      </c>
      <c r="H363" s="40" t="inlineStr">
        <is>
          <t>TECHNIQUE</t>
        </is>
      </c>
      <c r="I363" s="41" t="inlineStr">
        <is>
          <t>2024ACT_VDEF</t>
        </is>
      </c>
      <c r="J363" s="41" t="n">
        <v>2024</v>
      </c>
      <c r="K363" s="41" t="inlineStr">
        <is>
          <t>EUR</t>
        </is>
      </c>
      <c r="L363" s="42" t="n">
        <v>8000</v>
      </c>
    </row>
    <row r="364">
      <c r="B364" s="39" t="inlineStr">
        <is>
          <t>MBWAY_LYO</t>
        </is>
      </c>
      <c r="C364" s="40" t="inlineStr">
        <is>
          <t>BAC_MGT</t>
        </is>
      </c>
      <c r="D364" s="40" t="inlineStr">
        <is>
          <t>B2</t>
        </is>
      </c>
      <c r="E364" s="40" t="inlineStr">
        <is>
          <t>ALT</t>
        </is>
      </c>
      <c r="F364" s="40" t="inlineStr">
        <is>
          <t>PRX_TARIF</t>
        </is>
      </c>
      <c r="G364" s="39" t="inlineStr">
        <is>
          <t>Tarif moyen scolarité</t>
        </is>
      </c>
      <c r="H364" s="40" t="inlineStr">
        <is>
          <t>TECHNIQUE</t>
        </is>
      </c>
      <c r="I364" s="41" t="inlineStr">
        <is>
          <t>2025FCST_V4</t>
        </is>
      </c>
      <c r="J364" s="41" t="n">
        <v>2025</v>
      </c>
      <c r="K364" s="41" t="inlineStr">
        <is>
          <t>EUR</t>
        </is>
      </c>
      <c r="L364" s="42" t="n">
        <v>8000</v>
      </c>
    </row>
    <row r="365">
      <c r="B365" s="39" t="inlineStr">
        <is>
          <t>MBWAY_LYO</t>
        </is>
      </c>
      <c r="C365" s="40" t="inlineStr">
        <is>
          <t>BAC_MGT</t>
        </is>
      </c>
      <c r="D365" s="40" t="inlineStr">
        <is>
          <t>B3</t>
        </is>
      </c>
      <c r="E365" s="40" t="inlineStr">
        <is>
          <t>ALT</t>
        </is>
      </c>
      <c r="F365" s="40" t="inlineStr">
        <is>
          <t>706100</t>
        </is>
      </c>
      <c r="G365" s="39" t="inlineStr">
        <is>
          <t>Droits de scolarité</t>
        </is>
      </c>
      <c r="H365" s="40" t="inlineStr">
        <is>
          <t>COMPTABLE</t>
        </is>
      </c>
      <c r="I365" s="41" t="inlineStr">
        <is>
          <t>2023ACT_VDEF</t>
        </is>
      </c>
      <c r="J365" s="41" t="n">
        <v>2023</v>
      </c>
      <c r="K365" s="41" t="inlineStr">
        <is>
          <t>EUR</t>
        </is>
      </c>
      <c r="L365" s="42" t="n">
        <v>360000</v>
      </c>
    </row>
    <row r="366">
      <c r="B366" s="39" t="inlineStr">
        <is>
          <t>MBWAY_LYO</t>
        </is>
      </c>
      <c r="C366" s="40" t="inlineStr">
        <is>
          <t>BAC_MGT</t>
        </is>
      </c>
      <c r="D366" s="40" t="inlineStr">
        <is>
          <t>B3</t>
        </is>
      </c>
      <c r="E366" s="40" t="inlineStr">
        <is>
          <t>ALT</t>
        </is>
      </c>
      <c r="F366" s="40" t="inlineStr">
        <is>
          <t>706100</t>
        </is>
      </c>
      <c r="G366" s="39" t="inlineStr">
        <is>
          <t>Droits de scolarité</t>
        </is>
      </c>
      <c r="H366" s="40" t="inlineStr">
        <is>
          <t>COMPTABLE</t>
        </is>
      </c>
      <c r="I366" s="41" t="inlineStr">
        <is>
          <t>2024ACT_VDEF</t>
        </is>
      </c>
      <c r="J366" s="41" t="n">
        <v>2024</v>
      </c>
      <c r="K366" s="41" t="inlineStr">
        <is>
          <t>EUR</t>
        </is>
      </c>
      <c r="L366" s="42" t="n">
        <v>380000</v>
      </c>
    </row>
    <row r="367">
      <c r="B367" s="39" t="inlineStr">
        <is>
          <t>MBWAY_LYO</t>
        </is>
      </c>
      <c r="C367" s="40" t="inlineStr">
        <is>
          <t>BAC_MGT</t>
        </is>
      </c>
      <c r="D367" s="40" t="inlineStr">
        <is>
          <t>B3</t>
        </is>
      </c>
      <c r="E367" s="40" t="inlineStr">
        <is>
          <t>ALT</t>
        </is>
      </c>
      <c r="F367" s="40" t="inlineStr">
        <is>
          <t>706100</t>
        </is>
      </c>
      <c r="G367" s="39" t="inlineStr">
        <is>
          <t>Droits de scolarité</t>
        </is>
      </c>
      <c r="H367" s="40" t="inlineStr">
        <is>
          <t>COMPTABLE</t>
        </is>
      </c>
      <c r="I367" s="41" t="inlineStr">
        <is>
          <t>2025FCST_V4</t>
        </is>
      </c>
      <c r="J367" s="41" t="n">
        <v>2025</v>
      </c>
      <c r="K367" s="41" t="inlineStr">
        <is>
          <t>EUR</t>
        </is>
      </c>
      <c r="L367" s="42" t="n">
        <v>400000</v>
      </c>
    </row>
    <row r="368">
      <c r="B368" s="39" t="inlineStr">
        <is>
          <t>MBWAY_LYO</t>
        </is>
      </c>
      <c r="C368" s="40" t="inlineStr">
        <is>
          <t>BAC_MGT</t>
        </is>
      </c>
      <c r="D368" s="40" t="inlineStr">
        <is>
          <t>B3</t>
        </is>
      </c>
      <c r="E368" s="40" t="inlineStr">
        <is>
          <t>ALT</t>
        </is>
      </c>
      <c r="F368" s="40" t="inlineStr">
        <is>
          <t>604100</t>
        </is>
      </c>
      <c r="G368" s="39" t="inlineStr">
        <is>
          <t>Vacations &amp; sous-traitance pédagogique</t>
        </is>
      </c>
      <c r="H368" s="40" t="inlineStr">
        <is>
          <t>COMPTABLE</t>
        </is>
      </c>
      <c r="I368" s="41" t="inlineStr">
        <is>
          <t>2023ACT_VDEF</t>
        </is>
      </c>
      <c r="J368" s="41" t="n">
        <v>2023</v>
      </c>
      <c r="K368" s="41" t="inlineStr">
        <is>
          <t>EUR</t>
        </is>
      </c>
      <c r="L368" s="42" t="n">
        <v>54288</v>
      </c>
    </row>
    <row r="369">
      <c r="B369" s="39" t="inlineStr">
        <is>
          <t>MBWAY_LYO</t>
        </is>
      </c>
      <c r="C369" s="40" t="inlineStr">
        <is>
          <t>BAC_MGT</t>
        </is>
      </c>
      <c r="D369" s="40" t="inlineStr">
        <is>
          <t>B3</t>
        </is>
      </c>
      <c r="E369" s="40" t="inlineStr">
        <is>
          <t>ALT</t>
        </is>
      </c>
      <c r="F369" s="40" t="inlineStr">
        <is>
          <t>604100</t>
        </is>
      </c>
      <c r="G369" s="39" t="inlineStr">
        <is>
          <t>Vacations &amp; sous-traitance pédagogique</t>
        </is>
      </c>
      <c r="H369" s="40" t="inlineStr">
        <is>
          <t>COMPTABLE</t>
        </is>
      </c>
      <c r="I369" s="41" t="inlineStr">
        <is>
          <t>2024ACT_VDEF</t>
        </is>
      </c>
      <c r="J369" s="41" t="n">
        <v>2024</v>
      </c>
      <c r="K369" s="41" t="inlineStr">
        <is>
          <t>EUR</t>
        </is>
      </c>
      <c r="L369" s="42" t="n">
        <v>57304</v>
      </c>
    </row>
    <row r="370">
      <c r="B370" s="39" t="inlineStr">
        <is>
          <t>MBWAY_LYO</t>
        </is>
      </c>
      <c r="C370" s="40" t="inlineStr">
        <is>
          <t>BAC_MGT</t>
        </is>
      </c>
      <c r="D370" s="40" t="inlineStr">
        <is>
          <t>B3</t>
        </is>
      </c>
      <c r="E370" s="40" t="inlineStr">
        <is>
          <t>ALT</t>
        </is>
      </c>
      <c r="F370" s="40" t="inlineStr">
        <is>
          <t>604100</t>
        </is>
      </c>
      <c r="G370" s="39" t="inlineStr">
        <is>
          <t>Vacations &amp; sous-traitance pédagogique</t>
        </is>
      </c>
      <c r="H370" s="40" t="inlineStr">
        <is>
          <t>COMPTABLE</t>
        </is>
      </c>
      <c r="I370" s="41" t="inlineStr">
        <is>
          <t>2025FCST_V4</t>
        </is>
      </c>
      <c r="J370" s="41" t="n">
        <v>2025</v>
      </c>
      <c r="K370" s="41" t="inlineStr">
        <is>
          <t>EUR</t>
        </is>
      </c>
      <c r="L370" s="42" t="n">
        <v>60320</v>
      </c>
    </row>
    <row r="371">
      <c r="B371" s="39" t="inlineStr">
        <is>
          <t>MBWAY_LYO</t>
        </is>
      </c>
      <c r="C371" s="40" t="inlineStr">
        <is>
          <t>BAC_MGT</t>
        </is>
      </c>
      <c r="D371" s="40" t="inlineStr">
        <is>
          <t>B3</t>
        </is>
      </c>
      <c r="E371" s="40" t="inlineStr">
        <is>
          <t>ALT</t>
        </is>
      </c>
      <c r="F371" s="40" t="inlineStr">
        <is>
          <t>606300</t>
        </is>
      </c>
      <c r="G371" s="39" t="inlineStr">
        <is>
          <t>Fournitures &amp; ressources pédagogiques</t>
        </is>
      </c>
      <c r="H371" s="40" t="inlineStr">
        <is>
          <t>COMPTABLE</t>
        </is>
      </c>
      <c r="I371" s="41" t="inlineStr">
        <is>
          <t>2023ACT_VDEF</t>
        </is>
      </c>
      <c r="J371" s="41" t="n">
        <v>2023</v>
      </c>
      <c r="K371" s="41" t="inlineStr">
        <is>
          <t>EUR</t>
        </is>
      </c>
      <c r="L371" s="42" t="n">
        <v>18000</v>
      </c>
    </row>
    <row r="372">
      <c r="B372" s="39" t="inlineStr">
        <is>
          <t>MBWAY_LYO</t>
        </is>
      </c>
      <c r="C372" s="40" t="inlineStr">
        <is>
          <t>BAC_MGT</t>
        </is>
      </c>
      <c r="D372" s="40" t="inlineStr">
        <is>
          <t>B3</t>
        </is>
      </c>
      <c r="E372" s="40" t="inlineStr">
        <is>
          <t>ALT</t>
        </is>
      </c>
      <c r="F372" s="40" t="inlineStr">
        <is>
          <t>606300</t>
        </is>
      </c>
      <c r="G372" s="39" t="inlineStr">
        <is>
          <t>Fournitures &amp; ressources pédagogiques</t>
        </is>
      </c>
      <c r="H372" s="40" t="inlineStr">
        <is>
          <t>COMPTABLE</t>
        </is>
      </c>
      <c r="I372" s="41" t="inlineStr">
        <is>
          <t>2024ACT_VDEF</t>
        </is>
      </c>
      <c r="J372" s="41" t="n">
        <v>2024</v>
      </c>
      <c r="K372" s="41" t="inlineStr">
        <is>
          <t>EUR</t>
        </is>
      </c>
      <c r="L372" s="42" t="n">
        <v>19000</v>
      </c>
    </row>
    <row r="373">
      <c r="B373" s="39" t="inlineStr">
        <is>
          <t>MBWAY_LYO</t>
        </is>
      </c>
      <c r="C373" s="40" t="inlineStr">
        <is>
          <t>BAC_MGT</t>
        </is>
      </c>
      <c r="D373" s="40" t="inlineStr">
        <is>
          <t>B3</t>
        </is>
      </c>
      <c r="E373" s="40" t="inlineStr">
        <is>
          <t>ALT</t>
        </is>
      </c>
      <c r="F373" s="40" t="inlineStr">
        <is>
          <t>606300</t>
        </is>
      </c>
      <c r="G373" s="39" t="inlineStr">
        <is>
          <t>Fournitures &amp; ressources pédagogiques</t>
        </is>
      </c>
      <c r="H373" s="40" t="inlineStr">
        <is>
          <t>COMPTABLE</t>
        </is>
      </c>
      <c r="I373" s="41" t="inlineStr">
        <is>
          <t>2025FCST_V4</t>
        </is>
      </c>
      <c r="J373" s="41" t="n">
        <v>2025</v>
      </c>
      <c r="K373" s="41" t="inlineStr">
        <is>
          <t>EUR</t>
        </is>
      </c>
      <c r="L373" s="42" t="n">
        <v>20000</v>
      </c>
    </row>
    <row r="374">
      <c r="B374" s="39" t="inlineStr">
        <is>
          <t>MBWAY_LYO</t>
        </is>
      </c>
      <c r="C374" s="40" t="inlineStr">
        <is>
          <t>BAC_MGT</t>
        </is>
      </c>
      <c r="D374" s="40" t="inlineStr">
        <is>
          <t>B3</t>
        </is>
      </c>
      <c r="E374" s="40" t="inlineStr">
        <is>
          <t>ALT</t>
        </is>
      </c>
      <c r="F374" s="40" t="inlineStr">
        <is>
          <t>613200</t>
        </is>
      </c>
      <c r="G374" s="39" t="inlineStr">
        <is>
          <t>Locations immobilières (loyers)</t>
        </is>
      </c>
      <c r="H374" s="40" t="inlineStr">
        <is>
          <t>COMPTABLE</t>
        </is>
      </c>
      <c r="I374" s="41" t="inlineStr">
        <is>
          <t>2023ACT_VDEF</t>
        </is>
      </c>
      <c r="J374" s="41" t="n">
        <v>2023</v>
      </c>
      <c r="K374" s="41" t="inlineStr">
        <is>
          <t>EUR</t>
        </is>
      </c>
      <c r="L374" s="42" t="n">
        <v>37800</v>
      </c>
    </row>
    <row r="375">
      <c r="B375" s="39" t="inlineStr">
        <is>
          <t>MBWAY_LYO</t>
        </is>
      </c>
      <c r="C375" s="40" t="inlineStr">
        <is>
          <t>BAC_MGT</t>
        </is>
      </c>
      <c r="D375" s="40" t="inlineStr">
        <is>
          <t>B3</t>
        </is>
      </c>
      <c r="E375" s="40" t="inlineStr">
        <is>
          <t>ALT</t>
        </is>
      </c>
      <c r="F375" s="40" t="inlineStr">
        <is>
          <t>613200</t>
        </is>
      </c>
      <c r="G375" s="39" t="inlineStr">
        <is>
          <t>Locations immobilières (loyers)</t>
        </is>
      </c>
      <c r="H375" s="40" t="inlineStr">
        <is>
          <t>COMPTABLE</t>
        </is>
      </c>
      <c r="I375" s="41" t="inlineStr">
        <is>
          <t>2024ACT_VDEF</t>
        </is>
      </c>
      <c r="J375" s="41" t="n">
        <v>2024</v>
      </c>
      <c r="K375" s="41" t="inlineStr">
        <is>
          <t>EUR</t>
        </is>
      </c>
      <c r="L375" s="42" t="n">
        <v>39900</v>
      </c>
    </row>
    <row r="376">
      <c r="B376" s="39" t="inlineStr">
        <is>
          <t>MBWAY_LYO</t>
        </is>
      </c>
      <c r="C376" s="40" t="inlineStr">
        <is>
          <t>BAC_MGT</t>
        </is>
      </c>
      <c r="D376" s="40" t="inlineStr">
        <is>
          <t>B3</t>
        </is>
      </c>
      <c r="E376" s="40" t="inlineStr">
        <is>
          <t>ALT</t>
        </is>
      </c>
      <c r="F376" s="40" t="inlineStr">
        <is>
          <t>613200</t>
        </is>
      </c>
      <c r="G376" s="39" t="inlineStr">
        <is>
          <t>Locations immobilières (loyers)</t>
        </is>
      </c>
      <c r="H376" s="40" t="inlineStr">
        <is>
          <t>COMPTABLE</t>
        </is>
      </c>
      <c r="I376" s="41" t="inlineStr">
        <is>
          <t>2025FCST_V4</t>
        </is>
      </c>
      <c r="J376" s="41" t="n">
        <v>2025</v>
      </c>
      <c r="K376" s="41" t="inlineStr">
        <is>
          <t>EUR</t>
        </is>
      </c>
      <c r="L376" s="42" t="n">
        <v>42000</v>
      </c>
    </row>
    <row r="377">
      <c r="B377" s="39" t="inlineStr">
        <is>
          <t>MBWAY_LYO</t>
        </is>
      </c>
      <c r="C377" s="40" t="inlineStr">
        <is>
          <t>BAC_MGT</t>
        </is>
      </c>
      <c r="D377" s="40" t="inlineStr">
        <is>
          <t>B3</t>
        </is>
      </c>
      <c r="E377" s="40" t="inlineStr">
        <is>
          <t>ALT</t>
        </is>
      </c>
      <c r="F377" s="40" t="inlineStr">
        <is>
          <t>641100</t>
        </is>
      </c>
      <c r="G377" s="39" t="inlineStr">
        <is>
          <t>Rémunérations du personnel permanent</t>
        </is>
      </c>
      <c r="H377" s="40" t="inlineStr">
        <is>
          <t>COMPTABLE</t>
        </is>
      </c>
      <c r="I377" s="41" t="inlineStr">
        <is>
          <t>2023ACT_VDEF</t>
        </is>
      </c>
      <c r="J377" s="41" t="n">
        <v>2023</v>
      </c>
      <c r="K377" s="41" t="inlineStr">
        <is>
          <t>EUR</t>
        </is>
      </c>
      <c r="L377" s="42" t="n">
        <v>85418</v>
      </c>
    </row>
    <row r="378">
      <c r="B378" s="39" t="inlineStr">
        <is>
          <t>MBWAY_LYO</t>
        </is>
      </c>
      <c r="C378" s="40" t="inlineStr">
        <is>
          <t>BAC_MGT</t>
        </is>
      </c>
      <c r="D378" s="40" t="inlineStr">
        <is>
          <t>B3</t>
        </is>
      </c>
      <c r="E378" s="40" t="inlineStr">
        <is>
          <t>ALT</t>
        </is>
      </c>
      <c r="F378" s="40" t="inlineStr">
        <is>
          <t>641100</t>
        </is>
      </c>
      <c r="G378" s="39" t="inlineStr">
        <is>
          <t>Rémunérations du personnel permanent</t>
        </is>
      </c>
      <c r="H378" s="40" t="inlineStr">
        <is>
          <t>COMPTABLE</t>
        </is>
      </c>
      <c r="I378" s="41" t="inlineStr">
        <is>
          <t>2024ACT_VDEF</t>
        </is>
      </c>
      <c r="J378" s="41" t="n">
        <v>2024</v>
      </c>
      <c r="K378" s="41" t="inlineStr">
        <is>
          <t>EUR</t>
        </is>
      </c>
      <c r="L378" s="42" t="n">
        <v>90164</v>
      </c>
    </row>
    <row r="379">
      <c r="B379" s="39" t="inlineStr">
        <is>
          <t>MBWAY_LYO</t>
        </is>
      </c>
      <c r="C379" s="40" t="inlineStr">
        <is>
          <t>BAC_MGT</t>
        </is>
      </c>
      <c r="D379" s="40" t="inlineStr">
        <is>
          <t>B3</t>
        </is>
      </c>
      <c r="E379" s="40" t="inlineStr">
        <is>
          <t>ALT</t>
        </is>
      </c>
      <c r="F379" s="40" t="inlineStr">
        <is>
          <t>641100</t>
        </is>
      </c>
      <c r="G379" s="39" t="inlineStr">
        <is>
          <t>Rémunérations du personnel permanent</t>
        </is>
      </c>
      <c r="H379" s="40" t="inlineStr">
        <is>
          <t>COMPTABLE</t>
        </is>
      </c>
      <c r="I379" s="41" t="inlineStr">
        <is>
          <t>2025FCST_V4</t>
        </is>
      </c>
      <c r="J379" s="41" t="n">
        <v>2025</v>
      </c>
      <c r="K379" s="41" t="inlineStr">
        <is>
          <t>EUR</t>
        </is>
      </c>
      <c r="L379" s="42" t="n">
        <v>94909</v>
      </c>
    </row>
    <row r="380">
      <c r="B380" s="39" t="inlineStr">
        <is>
          <t>MBWAY_LYO</t>
        </is>
      </c>
      <c r="C380" s="40" t="inlineStr">
        <is>
          <t>BAC_MGT</t>
        </is>
      </c>
      <c r="D380" s="40" t="inlineStr">
        <is>
          <t>B3</t>
        </is>
      </c>
      <c r="E380" s="40" t="inlineStr">
        <is>
          <t>ALT</t>
        </is>
      </c>
      <c r="F380" s="40" t="inlineStr">
        <is>
          <t>622600</t>
        </is>
      </c>
      <c r="G380" s="39" t="inlineStr">
        <is>
          <t>Honoraires &amp; frais de siège (structure groupe)</t>
        </is>
      </c>
      <c r="H380" s="40" t="inlineStr">
        <is>
          <t>COMPTABLE</t>
        </is>
      </c>
      <c r="I380" s="41" t="inlineStr">
        <is>
          <t>2023ACT_VDEF</t>
        </is>
      </c>
      <c r="J380" s="41" t="n">
        <v>2023</v>
      </c>
      <c r="K380" s="41" t="inlineStr">
        <is>
          <t>EUR</t>
        </is>
      </c>
      <c r="L380" s="42" t="n">
        <v>34429</v>
      </c>
    </row>
    <row r="381">
      <c r="B381" s="39" t="inlineStr">
        <is>
          <t>MBWAY_LYO</t>
        </is>
      </c>
      <c r="C381" s="40" t="inlineStr">
        <is>
          <t>BAC_MGT</t>
        </is>
      </c>
      <c r="D381" s="40" t="inlineStr">
        <is>
          <t>B3</t>
        </is>
      </c>
      <c r="E381" s="40" t="inlineStr">
        <is>
          <t>ALT</t>
        </is>
      </c>
      <c r="F381" s="40" t="inlineStr">
        <is>
          <t>622600</t>
        </is>
      </c>
      <c r="G381" s="39" t="inlineStr">
        <is>
          <t>Honoraires &amp; frais de siège (structure groupe)</t>
        </is>
      </c>
      <c r="H381" s="40" t="inlineStr">
        <is>
          <t>COMPTABLE</t>
        </is>
      </c>
      <c r="I381" s="41" t="inlineStr">
        <is>
          <t>2024ACT_VDEF</t>
        </is>
      </c>
      <c r="J381" s="41" t="n">
        <v>2024</v>
      </c>
      <c r="K381" s="41" t="inlineStr">
        <is>
          <t>EUR</t>
        </is>
      </c>
      <c r="L381" s="42" t="n">
        <v>36341</v>
      </c>
    </row>
    <row r="382">
      <c r="B382" s="39" t="inlineStr">
        <is>
          <t>MBWAY_LYO</t>
        </is>
      </c>
      <c r="C382" s="40" t="inlineStr">
        <is>
          <t>BAC_MGT</t>
        </is>
      </c>
      <c r="D382" s="40" t="inlineStr">
        <is>
          <t>B3</t>
        </is>
      </c>
      <c r="E382" s="40" t="inlineStr">
        <is>
          <t>ALT</t>
        </is>
      </c>
      <c r="F382" s="40" t="inlineStr">
        <is>
          <t>622600</t>
        </is>
      </c>
      <c r="G382" s="39" t="inlineStr">
        <is>
          <t>Honoraires &amp; frais de siège (structure groupe)</t>
        </is>
      </c>
      <c r="H382" s="40" t="inlineStr">
        <is>
          <t>COMPTABLE</t>
        </is>
      </c>
      <c r="I382" s="41" t="inlineStr">
        <is>
          <t>2025FCST_V4</t>
        </is>
      </c>
      <c r="J382" s="41" t="n">
        <v>2025</v>
      </c>
      <c r="K382" s="41" t="inlineStr">
        <is>
          <t>EUR</t>
        </is>
      </c>
      <c r="L382" s="42" t="n">
        <v>38254</v>
      </c>
    </row>
    <row r="383">
      <c r="B383" s="39" t="inlineStr">
        <is>
          <t>MBWAY_LYO</t>
        </is>
      </c>
      <c r="C383" s="40" t="inlineStr">
        <is>
          <t>BAC_MGT</t>
        </is>
      </c>
      <c r="D383" s="40" t="inlineStr">
        <is>
          <t>B3</t>
        </is>
      </c>
      <c r="E383" s="40" t="inlineStr">
        <is>
          <t>ALT</t>
        </is>
      </c>
      <c r="F383" s="40" t="inlineStr">
        <is>
          <t>606800</t>
        </is>
      </c>
      <c r="G383" s="39" t="inlineStr">
        <is>
          <t>Autres achats &amp; charges externes</t>
        </is>
      </c>
      <c r="H383" s="40" t="inlineStr">
        <is>
          <t>COMPTABLE</t>
        </is>
      </c>
      <c r="I383" s="41" t="inlineStr">
        <is>
          <t>2023ACT_VDEF</t>
        </is>
      </c>
      <c r="J383" s="41" t="n">
        <v>2023</v>
      </c>
      <c r="K383" s="41" t="inlineStr">
        <is>
          <t>EUR</t>
        </is>
      </c>
      <c r="L383" s="42" t="n">
        <v>42030</v>
      </c>
    </row>
    <row r="384">
      <c r="B384" s="39" t="inlineStr">
        <is>
          <t>MBWAY_LYO</t>
        </is>
      </c>
      <c r="C384" s="40" t="inlineStr">
        <is>
          <t>BAC_MGT</t>
        </is>
      </c>
      <c r="D384" s="40" t="inlineStr">
        <is>
          <t>B3</t>
        </is>
      </c>
      <c r="E384" s="40" t="inlineStr">
        <is>
          <t>ALT</t>
        </is>
      </c>
      <c r="F384" s="40" t="inlineStr">
        <is>
          <t>606800</t>
        </is>
      </c>
      <c r="G384" s="39" t="inlineStr">
        <is>
          <t>Autres achats &amp; charges externes</t>
        </is>
      </c>
      <c r="H384" s="40" t="inlineStr">
        <is>
          <t>COMPTABLE</t>
        </is>
      </c>
      <c r="I384" s="41" t="inlineStr">
        <is>
          <t>2024ACT_VDEF</t>
        </is>
      </c>
      <c r="J384" s="41" t="n">
        <v>2024</v>
      </c>
      <c r="K384" s="41" t="inlineStr">
        <is>
          <t>EUR</t>
        </is>
      </c>
      <c r="L384" s="42" t="n">
        <v>44365</v>
      </c>
    </row>
    <row r="385">
      <c r="B385" s="39" t="inlineStr">
        <is>
          <t>MBWAY_LYO</t>
        </is>
      </c>
      <c r="C385" s="40" t="inlineStr">
        <is>
          <t>BAC_MGT</t>
        </is>
      </c>
      <c r="D385" s="40" t="inlineStr">
        <is>
          <t>B3</t>
        </is>
      </c>
      <c r="E385" s="40" t="inlineStr">
        <is>
          <t>ALT</t>
        </is>
      </c>
      <c r="F385" s="40" t="inlineStr">
        <is>
          <t>606800</t>
        </is>
      </c>
      <c r="G385" s="39" t="inlineStr">
        <is>
          <t>Autres achats &amp; charges externes</t>
        </is>
      </c>
      <c r="H385" s="40" t="inlineStr">
        <is>
          <t>COMPTABLE</t>
        </is>
      </c>
      <c r="I385" s="41" t="inlineStr">
        <is>
          <t>2025FCST_V4</t>
        </is>
      </c>
      <c r="J385" s="41" t="n">
        <v>2025</v>
      </c>
      <c r="K385" s="41" t="inlineStr">
        <is>
          <t>EUR</t>
        </is>
      </c>
      <c r="L385" s="42" t="n">
        <v>46700</v>
      </c>
    </row>
    <row r="386">
      <c r="B386" s="39" t="inlineStr">
        <is>
          <t>MBWAY_LYO</t>
        </is>
      </c>
      <c r="C386" s="40" t="inlineStr">
        <is>
          <t>BAC_MGT</t>
        </is>
      </c>
      <c r="D386" s="40" t="inlineStr">
        <is>
          <t>B3</t>
        </is>
      </c>
      <c r="E386" s="40" t="inlineStr">
        <is>
          <t>ALT</t>
        </is>
      </c>
      <c r="F386" s="40" t="inlineStr">
        <is>
          <t>681100</t>
        </is>
      </c>
      <c r="G386" s="39" t="inlineStr">
        <is>
          <t>Dotations aux amortissements</t>
        </is>
      </c>
      <c r="H386" s="40" t="inlineStr">
        <is>
          <t>COMPTABLE</t>
        </is>
      </c>
      <c r="I386" s="41" t="inlineStr">
        <is>
          <t>2023ACT_VDEF</t>
        </is>
      </c>
      <c r="J386" s="41" t="n">
        <v>2023</v>
      </c>
      <c r="K386" s="41" t="inlineStr">
        <is>
          <t>EUR</t>
        </is>
      </c>
      <c r="L386" s="42" t="n">
        <v>20618</v>
      </c>
    </row>
    <row r="387">
      <c r="B387" s="39" t="inlineStr">
        <is>
          <t>MBWAY_LYO</t>
        </is>
      </c>
      <c r="C387" s="40" t="inlineStr">
        <is>
          <t>BAC_MGT</t>
        </is>
      </c>
      <c r="D387" s="40" t="inlineStr">
        <is>
          <t>B3</t>
        </is>
      </c>
      <c r="E387" s="40" t="inlineStr">
        <is>
          <t>ALT</t>
        </is>
      </c>
      <c r="F387" s="40" t="inlineStr">
        <is>
          <t>681100</t>
        </is>
      </c>
      <c r="G387" s="39" t="inlineStr">
        <is>
          <t>Dotations aux amortissements</t>
        </is>
      </c>
      <c r="H387" s="40" t="inlineStr">
        <is>
          <t>COMPTABLE</t>
        </is>
      </c>
      <c r="I387" s="41" t="inlineStr">
        <is>
          <t>2024ACT_VDEF</t>
        </is>
      </c>
      <c r="J387" s="41" t="n">
        <v>2024</v>
      </c>
      <c r="K387" s="41" t="inlineStr">
        <is>
          <t>EUR</t>
        </is>
      </c>
      <c r="L387" s="42" t="n">
        <v>21764</v>
      </c>
    </row>
    <row r="388">
      <c r="B388" s="39" t="inlineStr">
        <is>
          <t>MBWAY_LYO</t>
        </is>
      </c>
      <c r="C388" s="40" t="inlineStr">
        <is>
          <t>BAC_MGT</t>
        </is>
      </c>
      <c r="D388" s="40" t="inlineStr">
        <is>
          <t>B3</t>
        </is>
      </c>
      <c r="E388" s="40" t="inlineStr">
        <is>
          <t>ALT</t>
        </is>
      </c>
      <c r="F388" s="40" t="inlineStr">
        <is>
          <t>681100</t>
        </is>
      </c>
      <c r="G388" s="39" t="inlineStr">
        <is>
          <t>Dotations aux amortissements</t>
        </is>
      </c>
      <c r="H388" s="40" t="inlineStr">
        <is>
          <t>COMPTABLE</t>
        </is>
      </c>
      <c r="I388" s="41" t="inlineStr">
        <is>
          <t>2025FCST_V4</t>
        </is>
      </c>
      <c r="J388" s="41" t="n">
        <v>2025</v>
      </c>
      <c r="K388" s="41" t="inlineStr">
        <is>
          <t>EUR</t>
        </is>
      </c>
      <c r="L388" s="42" t="n">
        <v>22909</v>
      </c>
    </row>
    <row r="389">
      <c r="B389" s="39" t="inlineStr">
        <is>
          <t>MBWAY_LYO</t>
        </is>
      </c>
      <c r="C389" s="40" t="inlineStr">
        <is>
          <t>BAC_MGT</t>
        </is>
      </c>
      <c r="D389" s="40" t="inlineStr">
        <is>
          <t>B3</t>
        </is>
      </c>
      <c r="E389" s="40" t="inlineStr">
        <is>
          <t>ALT</t>
        </is>
      </c>
      <c r="F389" s="40" t="inlineStr">
        <is>
          <t>STA_EFF</t>
        </is>
      </c>
      <c r="G389" s="39" t="inlineStr">
        <is>
          <t>Effectif inscrit</t>
        </is>
      </c>
      <c r="H389" s="40" t="inlineStr">
        <is>
          <t>TECHNIQUE</t>
        </is>
      </c>
      <c r="I389" s="41" t="inlineStr">
        <is>
          <t>2023ACT_VDEF</t>
        </is>
      </c>
      <c r="J389" s="41" t="n">
        <v>2023</v>
      </c>
      <c r="K389" s="41" t="inlineStr">
        <is>
          <t>NB</t>
        </is>
      </c>
      <c r="L389" s="43" t="n">
        <v>45</v>
      </c>
    </row>
    <row r="390">
      <c r="B390" s="39" t="inlineStr">
        <is>
          <t>MBWAY_LYO</t>
        </is>
      </c>
      <c r="C390" s="40" t="inlineStr">
        <is>
          <t>BAC_MGT</t>
        </is>
      </c>
      <c r="D390" s="40" t="inlineStr">
        <is>
          <t>B3</t>
        </is>
      </c>
      <c r="E390" s="40" t="inlineStr">
        <is>
          <t>ALT</t>
        </is>
      </c>
      <c r="F390" s="40" t="inlineStr">
        <is>
          <t>STA_EFF</t>
        </is>
      </c>
      <c r="G390" s="39" t="inlineStr">
        <is>
          <t>Effectif inscrit</t>
        </is>
      </c>
      <c r="H390" s="40" t="inlineStr">
        <is>
          <t>TECHNIQUE</t>
        </is>
      </c>
      <c r="I390" s="41" t="inlineStr">
        <is>
          <t>2024ACT_VDEF</t>
        </is>
      </c>
      <c r="J390" s="41" t="n">
        <v>2024</v>
      </c>
      <c r="K390" s="41" t="inlineStr">
        <is>
          <t>NB</t>
        </is>
      </c>
      <c r="L390" s="43" t="n">
        <v>48</v>
      </c>
    </row>
    <row r="391">
      <c r="B391" s="39" t="inlineStr">
        <is>
          <t>MBWAY_LYO</t>
        </is>
      </c>
      <c r="C391" s="40" t="inlineStr">
        <is>
          <t>BAC_MGT</t>
        </is>
      </c>
      <c r="D391" s="40" t="inlineStr">
        <is>
          <t>B3</t>
        </is>
      </c>
      <c r="E391" s="40" t="inlineStr">
        <is>
          <t>ALT</t>
        </is>
      </c>
      <c r="F391" s="40" t="inlineStr">
        <is>
          <t>STA_EFF</t>
        </is>
      </c>
      <c r="G391" s="39" t="inlineStr">
        <is>
          <t>Effectif inscrit</t>
        </is>
      </c>
      <c r="H391" s="40" t="inlineStr">
        <is>
          <t>TECHNIQUE</t>
        </is>
      </c>
      <c r="I391" s="41" t="inlineStr">
        <is>
          <t>2025FCST_V4</t>
        </is>
      </c>
      <c r="J391" s="41" t="n">
        <v>2025</v>
      </c>
      <c r="K391" s="41" t="inlineStr">
        <is>
          <t>NB</t>
        </is>
      </c>
      <c r="L391" s="43" t="n">
        <v>50</v>
      </c>
    </row>
    <row r="392">
      <c r="B392" s="39" t="inlineStr">
        <is>
          <t>MBWAY_LYO</t>
        </is>
      </c>
      <c r="C392" s="40" t="inlineStr">
        <is>
          <t>BAC_MGT</t>
        </is>
      </c>
      <c r="D392" s="40" t="inlineStr">
        <is>
          <t>B3</t>
        </is>
      </c>
      <c r="E392" s="40" t="inlineStr">
        <is>
          <t>ALT</t>
        </is>
      </c>
      <c r="F392" s="40" t="inlineStr">
        <is>
          <t>STA_REINS</t>
        </is>
      </c>
      <c r="G392" s="39" t="inlineStr">
        <is>
          <t>Réinscrits</t>
        </is>
      </c>
      <c r="H392" s="40" t="inlineStr">
        <is>
          <t>TECHNIQUE</t>
        </is>
      </c>
      <c r="I392" s="41" t="inlineStr">
        <is>
          <t>2023ACT_VDEF</t>
        </is>
      </c>
      <c r="J392" s="41" t="n">
        <v>2023</v>
      </c>
      <c r="K392" s="41" t="inlineStr">
        <is>
          <t>NB</t>
        </is>
      </c>
      <c r="L392" s="43" t="n">
        <v>45</v>
      </c>
    </row>
    <row r="393">
      <c r="B393" s="39" t="inlineStr">
        <is>
          <t>MBWAY_LYO</t>
        </is>
      </c>
      <c r="C393" s="40" t="inlineStr">
        <is>
          <t>BAC_MGT</t>
        </is>
      </c>
      <c r="D393" s="40" t="inlineStr">
        <is>
          <t>B3</t>
        </is>
      </c>
      <c r="E393" s="40" t="inlineStr">
        <is>
          <t>ALT</t>
        </is>
      </c>
      <c r="F393" s="40" t="inlineStr">
        <is>
          <t>STA_REINS</t>
        </is>
      </c>
      <c r="G393" s="39" t="inlineStr">
        <is>
          <t>Réinscrits</t>
        </is>
      </c>
      <c r="H393" s="40" t="inlineStr">
        <is>
          <t>TECHNIQUE</t>
        </is>
      </c>
      <c r="I393" s="41" t="inlineStr">
        <is>
          <t>2024ACT_VDEF</t>
        </is>
      </c>
      <c r="J393" s="41" t="n">
        <v>2024</v>
      </c>
      <c r="K393" s="41" t="inlineStr">
        <is>
          <t>NB</t>
        </is>
      </c>
      <c r="L393" s="43" t="n">
        <v>48</v>
      </c>
    </row>
    <row r="394">
      <c r="B394" s="39" t="inlineStr">
        <is>
          <t>MBWAY_LYO</t>
        </is>
      </c>
      <c r="C394" s="40" t="inlineStr">
        <is>
          <t>BAC_MGT</t>
        </is>
      </c>
      <c r="D394" s="40" t="inlineStr">
        <is>
          <t>B3</t>
        </is>
      </c>
      <c r="E394" s="40" t="inlineStr">
        <is>
          <t>ALT</t>
        </is>
      </c>
      <c r="F394" s="40" t="inlineStr">
        <is>
          <t>STA_REINS</t>
        </is>
      </c>
      <c r="G394" s="39" t="inlineStr">
        <is>
          <t>Réinscrits</t>
        </is>
      </c>
      <c r="H394" s="40" t="inlineStr">
        <is>
          <t>TECHNIQUE</t>
        </is>
      </c>
      <c r="I394" s="41" t="inlineStr">
        <is>
          <t>2025FCST_V4</t>
        </is>
      </c>
      <c r="J394" s="41" t="n">
        <v>2025</v>
      </c>
      <c r="K394" s="41" t="inlineStr">
        <is>
          <t>NB</t>
        </is>
      </c>
      <c r="L394" s="43" t="n">
        <v>50</v>
      </c>
    </row>
    <row r="395">
      <c r="B395" s="39" t="inlineStr">
        <is>
          <t>MBWAY_LYO</t>
        </is>
      </c>
      <c r="C395" s="40" t="inlineStr">
        <is>
          <t>BAC_MGT</t>
        </is>
      </c>
      <c r="D395" s="40" t="inlineStr">
        <is>
          <t>B3</t>
        </is>
      </c>
      <c r="E395" s="40" t="inlineStr">
        <is>
          <t>ALT</t>
        </is>
      </c>
      <c r="F395" s="40" t="inlineStr">
        <is>
          <t>STA_CLASS</t>
        </is>
      </c>
      <c r="G395" s="39" t="inlineStr">
        <is>
          <t>Nombre de classes</t>
        </is>
      </c>
      <c r="H395" s="40" t="inlineStr">
        <is>
          <t>TECHNIQUE</t>
        </is>
      </c>
      <c r="I395" s="41" t="inlineStr">
        <is>
          <t>2023ACT_VDEF</t>
        </is>
      </c>
      <c r="J395" s="41" t="n">
        <v>2023</v>
      </c>
      <c r="K395" s="41" t="inlineStr">
        <is>
          <t>NB</t>
        </is>
      </c>
      <c r="L395" s="43" t="n">
        <v>2</v>
      </c>
    </row>
    <row r="396">
      <c r="B396" s="39" t="inlineStr">
        <is>
          <t>MBWAY_LYO</t>
        </is>
      </c>
      <c r="C396" s="40" t="inlineStr">
        <is>
          <t>BAC_MGT</t>
        </is>
      </c>
      <c r="D396" s="40" t="inlineStr">
        <is>
          <t>B3</t>
        </is>
      </c>
      <c r="E396" s="40" t="inlineStr">
        <is>
          <t>ALT</t>
        </is>
      </c>
      <c r="F396" s="40" t="inlineStr">
        <is>
          <t>STA_CLASS</t>
        </is>
      </c>
      <c r="G396" s="39" t="inlineStr">
        <is>
          <t>Nombre de classes</t>
        </is>
      </c>
      <c r="H396" s="40" t="inlineStr">
        <is>
          <t>TECHNIQUE</t>
        </is>
      </c>
      <c r="I396" s="41" t="inlineStr">
        <is>
          <t>2024ACT_VDEF</t>
        </is>
      </c>
      <c r="J396" s="41" t="n">
        <v>2024</v>
      </c>
      <c r="K396" s="41" t="inlineStr">
        <is>
          <t>NB</t>
        </is>
      </c>
      <c r="L396" s="43" t="n">
        <v>2</v>
      </c>
    </row>
    <row r="397">
      <c r="B397" s="39" t="inlineStr">
        <is>
          <t>MBWAY_LYO</t>
        </is>
      </c>
      <c r="C397" s="40" t="inlineStr">
        <is>
          <t>BAC_MGT</t>
        </is>
      </c>
      <c r="D397" s="40" t="inlineStr">
        <is>
          <t>B3</t>
        </is>
      </c>
      <c r="E397" s="40" t="inlineStr">
        <is>
          <t>ALT</t>
        </is>
      </c>
      <c r="F397" s="40" t="inlineStr">
        <is>
          <t>STA_CLASS</t>
        </is>
      </c>
      <c r="G397" s="39" t="inlineStr">
        <is>
          <t>Nombre de classes</t>
        </is>
      </c>
      <c r="H397" s="40" t="inlineStr">
        <is>
          <t>TECHNIQUE</t>
        </is>
      </c>
      <c r="I397" s="41" t="inlineStr">
        <is>
          <t>2025FCST_V4</t>
        </is>
      </c>
      <c r="J397" s="41" t="n">
        <v>2025</v>
      </c>
      <c r="K397" s="41" t="inlineStr">
        <is>
          <t>NB</t>
        </is>
      </c>
      <c r="L397" s="43" t="n">
        <v>2</v>
      </c>
    </row>
    <row r="398">
      <c r="B398" s="39" t="inlineStr">
        <is>
          <t>MBWAY_LYO</t>
        </is>
      </c>
      <c r="C398" s="40" t="inlineStr">
        <is>
          <t>BAC_MGT</t>
        </is>
      </c>
      <c r="D398" s="40" t="inlineStr">
        <is>
          <t>B3</t>
        </is>
      </c>
      <c r="E398" s="40" t="inlineStr">
        <is>
          <t>ALT</t>
        </is>
      </c>
      <c r="F398" s="40" t="inlineStr">
        <is>
          <t>STA_HEURE</t>
        </is>
      </c>
      <c r="G398" s="39" t="inlineStr">
        <is>
          <t>Heures d'enseignement</t>
        </is>
      </c>
      <c r="H398" s="40" t="inlineStr">
        <is>
          <t>TECHNIQUE</t>
        </is>
      </c>
      <c r="I398" s="41" t="inlineStr">
        <is>
          <t>2023ACT_VDEF</t>
        </is>
      </c>
      <c r="J398" s="41" t="n">
        <v>2023</v>
      </c>
      <c r="K398" s="41" t="inlineStr">
        <is>
          <t>NB</t>
        </is>
      </c>
      <c r="L398" s="43" t="n">
        <v>936</v>
      </c>
    </row>
    <row r="399">
      <c r="B399" s="39" t="inlineStr">
        <is>
          <t>MBWAY_LYO</t>
        </is>
      </c>
      <c r="C399" s="40" t="inlineStr">
        <is>
          <t>BAC_MGT</t>
        </is>
      </c>
      <c r="D399" s="40" t="inlineStr">
        <is>
          <t>B3</t>
        </is>
      </c>
      <c r="E399" s="40" t="inlineStr">
        <is>
          <t>ALT</t>
        </is>
      </c>
      <c r="F399" s="40" t="inlineStr">
        <is>
          <t>STA_HEURE</t>
        </is>
      </c>
      <c r="G399" s="39" t="inlineStr">
        <is>
          <t>Heures d'enseignement</t>
        </is>
      </c>
      <c r="H399" s="40" t="inlineStr">
        <is>
          <t>TECHNIQUE</t>
        </is>
      </c>
      <c r="I399" s="41" t="inlineStr">
        <is>
          <t>2024ACT_VDEF</t>
        </is>
      </c>
      <c r="J399" s="41" t="n">
        <v>2024</v>
      </c>
      <c r="K399" s="41" t="inlineStr">
        <is>
          <t>NB</t>
        </is>
      </c>
      <c r="L399" s="43" t="n">
        <v>988</v>
      </c>
    </row>
    <row r="400">
      <c r="B400" s="39" t="inlineStr">
        <is>
          <t>MBWAY_LYO</t>
        </is>
      </c>
      <c r="C400" s="40" t="inlineStr">
        <is>
          <t>BAC_MGT</t>
        </is>
      </c>
      <c r="D400" s="40" t="inlineStr">
        <is>
          <t>B3</t>
        </is>
      </c>
      <c r="E400" s="40" t="inlineStr">
        <is>
          <t>ALT</t>
        </is>
      </c>
      <c r="F400" s="40" t="inlineStr">
        <is>
          <t>STA_HEURE</t>
        </is>
      </c>
      <c r="G400" s="39" t="inlineStr">
        <is>
          <t>Heures d'enseignement</t>
        </is>
      </c>
      <c r="H400" s="40" t="inlineStr">
        <is>
          <t>TECHNIQUE</t>
        </is>
      </c>
      <c r="I400" s="41" t="inlineStr">
        <is>
          <t>2025FCST_V4</t>
        </is>
      </c>
      <c r="J400" s="41" t="n">
        <v>2025</v>
      </c>
      <c r="K400" s="41" t="inlineStr">
        <is>
          <t>NB</t>
        </is>
      </c>
      <c r="L400" s="43" t="n">
        <v>1040</v>
      </c>
    </row>
    <row r="401">
      <c r="B401" s="39" t="inlineStr">
        <is>
          <t>MBWAY_LYO</t>
        </is>
      </c>
      <c r="C401" s="40" t="inlineStr">
        <is>
          <t>BAC_MGT</t>
        </is>
      </c>
      <c r="D401" s="40" t="inlineStr">
        <is>
          <t>B3</t>
        </is>
      </c>
      <c r="E401" s="40" t="inlineStr">
        <is>
          <t>ALT</t>
        </is>
      </c>
      <c r="F401" s="40" t="inlineStr">
        <is>
          <t>STA_CAPA</t>
        </is>
      </c>
      <c r="G401" s="39" t="inlineStr">
        <is>
          <t>Capacité par classe</t>
        </is>
      </c>
      <c r="H401" s="40" t="inlineStr">
        <is>
          <t>TECHNIQUE</t>
        </is>
      </c>
      <c r="I401" s="41" t="inlineStr">
        <is>
          <t>2023ACT_VDEF</t>
        </is>
      </c>
      <c r="J401" s="41" t="n">
        <v>2023</v>
      </c>
      <c r="K401" s="41" t="inlineStr">
        <is>
          <t>NB</t>
        </is>
      </c>
      <c r="L401" s="43" t="n">
        <v>32</v>
      </c>
    </row>
    <row r="402">
      <c r="B402" s="39" t="inlineStr">
        <is>
          <t>MBWAY_LYO</t>
        </is>
      </c>
      <c r="C402" s="40" t="inlineStr">
        <is>
          <t>BAC_MGT</t>
        </is>
      </c>
      <c r="D402" s="40" t="inlineStr">
        <is>
          <t>B3</t>
        </is>
      </c>
      <c r="E402" s="40" t="inlineStr">
        <is>
          <t>ALT</t>
        </is>
      </c>
      <c r="F402" s="40" t="inlineStr">
        <is>
          <t>STA_CAPA</t>
        </is>
      </c>
      <c r="G402" s="39" t="inlineStr">
        <is>
          <t>Capacité par classe</t>
        </is>
      </c>
      <c r="H402" s="40" t="inlineStr">
        <is>
          <t>TECHNIQUE</t>
        </is>
      </c>
      <c r="I402" s="41" t="inlineStr">
        <is>
          <t>2024ACT_VDEF</t>
        </is>
      </c>
      <c r="J402" s="41" t="n">
        <v>2024</v>
      </c>
      <c r="K402" s="41" t="inlineStr">
        <is>
          <t>NB</t>
        </is>
      </c>
      <c r="L402" s="43" t="n">
        <v>32</v>
      </c>
    </row>
    <row r="403">
      <c r="B403" s="39" t="inlineStr">
        <is>
          <t>MBWAY_LYO</t>
        </is>
      </c>
      <c r="C403" s="40" t="inlineStr">
        <is>
          <t>BAC_MGT</t>
        </is>
      </c>
      <c r="D403" s="40" t="inlineStr">
        <is>
          <t>B3</t>
        </is>
      </c>
      <c r="E403" s="40" t="inlineStr">
        <is>
          <t>ALT</t>
        </is>
      </c>
      <c r="F403" s="40" t="inlineStr">
        <is>
          <t>STA_CAPA</t>
        </is>
      </c>
      <c r="G403" s="39" t="inlineStr">
        <is>
          <t>Capacité par classe</t>
        </is>
      </c>
      <c r="H403" s="40" t="inlineStr">
        <is>
          <t>TECHNIQUE</t>
        </is>
      </c>
      <c r="I403" s="41" t="inlineStr">
        <is>
          <t>2025FCST_V4</t>
        </is>
      </c>
      <c r="J403" s="41" t="n">
        <v>2025</v>
      </c>
      <c r="K403" s="41" t="inlineStr">
        <is>
          <t>NB</t>
        </is>
      </c>
      <c r="L403" s="43" t="n">
        <v>32</v>
      </c>
    </row>
    <row r="404">
      <c r="B404" s="39" t="inlineStr">
        <is>
          <t>MBWAY_LYO</t>
        </is>
      </c>
      <c r="C404" s="40" t="inlineStr">
        <is>
          <t>BAC_MGT</t>
        </is>
      </c>
      <c r="D404" s="40" t="inlineStr">
        <is>
          <t>B3</t>
        </is>
      </c>
      <c r="E404" s="40" t="inlineStr">
        <is>
          <t>ALT</t>
        </is>
      </c>
      <c r="F404" s="40" t="inlineStr">
        <is>
          <t>DRV_PASS</t>
        </is>
      </c>
      <c r="G404" s="39" t="inlineStr">
        <is>
          <t>Taux de passage (réinscription)</t>
        </is>
      </c>
      <c r="H404" s="40" t="inlineStr">
        <is>
          <t>TECHNIQUE</t>
        </is>
      </c>
      <c r="I404" s="41" t="inlineStr">
        <is>
          <t>2023ACT_VDEF</t>
        </is>
      </c>
      <c r="J404" s="41" t="n">
        <v>2023</v>
      </c>
      <c r="K404" s="41" t="inlineStr">
        <is>
          <t>PCT</t>
        </is>
      </c>
      <c r="L404" s="44" t="n">
        <v>0.95</v>
      </c>
    </row>
    <row r="405">
      <c r="B405" s="39" t="inlineStr">
        <is>
          <t>MBWAY_LYO</t>
        </is>
      </c>
      <c r="C405" s="40" t="inlineStr">
        <is>
          <t>BAC_MGT</t>
        </is>
      </c>
      <c r="D405" s="40" t="inlineStr">
        <is>
          <t>B3</t>
        </is>
      </c>
      <c r="E405" s="40" t="inlineStr">
        <is>
          <t>ALT</t>
        </is>
      </c>
      <c r="F405" s="40" t="inlineStr">
        <is>
          <t>DRV_PASS</t>
        </is>
      </c>
      <c r="G405" s="39" t="inlineStr">
        <is>
          <t>Taux de passage (réinscription)</t>
        </is>
      </c>
      <c r="H405" s="40" t="inlineStr">
        <is>
          <t>TECHNIQUE</t>
        </is>
      </c>
      <c r="I405" s="41" t="inlineStr">
        <is>
          <t>2024ACT_VDEF</t>
        </is>
      </c>
      <c r="J405" s="41" t="n">
        <v>2024</v>
      </c>
      <c r="K405" s="41" t="inlineStr">
        <is>
          <t>PCT</t>
        </is>
      </c>
      <c r="L405" s="44" t="n">
        <v>0.95</v>
      </c>
    </row>
    <row r="406">
      <c r="B406" s="39" t="inlineStr">
        <is>
          <t>MBWAY_LYO</t>
        </is>
      </c>
      <c r="C406" s="40" t="inlineStr">
        <is>
          <t>BAC_MGT</t>
        </is>
      </c>
      <c r="D406" s="40" t="inlineStr">
        <is>
          <t>B3</t>
        </is>
      </c>
      <c r="E406" s="40" t="inlineStr">
        <is>
          <t>ALT</t>
        </is>
      </c>
      <c r="F406" s="40" t="inlineStr">
        <is>
          <t>DRV_PASS</t>
        </is>
      </c>
      <c r="G406" s="39" t="inlineStr">
        <is>
          <t>Taux de passage (réinscription)</t>
        </is>
      </c>
      <c r="H406" s="40" t="inlineStr">
        <is>
          <t>TECHNIQUE</t>
        </is>
      </c>
      <c r="I406" s="41" t="inlineStr">
        <is>
          <t>2025FCST_V4</t>
        </is>
      </c>
      <c r="J406" s="41" t="n">
        <v>2025</v>
      </c>
      <c r="K406" s="41" t="inlineStr">
        <is>
          <t>PCT</t>
        </is>
      </c>
      <c r="L406" s="44" t="n">
        <v>0.95</v>
      </c>
    </row>
    <row r="407">
      <c r="B407" s="39" t="inlineStr">
        <is>
          <t>MBWAY_LYO</t>
        </is>
      </c>
      <c r="C407" s="40" t="inlineStr">
        <is>
          <t>BAC_MGT</t>
        </is>
      </c>
      <c r="D407" s="40" t="inlineStr">
        <is>
          <t>B3</t>
        </is>
      </c>
      <c r="E407" s="40" t="inlineStr">
        <is>
          <t>ALT</t>
        </is>
      </c>
      <c r="F407" s="40" t="inlineStr">
        <is>
          <t>PRX_TARIF</t>
        </is>
      </c>
      <c r="G407" s="39" t="inlineStr">
        <is>
          <t>Tarif moyen scolarité</t>
        </is>
      </c>
      <c r="H407" s="40" t="inlineStr">
        <is>
          <t>TECHNIQUE</t>
        </is>
      </c>
      <c r="I407" s="41" t="inlineStr">
        <is>
          <t>2023ACT_VDEF</t>
        </is>
      </c>
      <c r="J407" s="41" t="n">
        <v>2023</v>
      </c>
      <c r="K407" s="41" t="inlineStr">
        <is>
          <t>EUR</t>
        </is>
      </c>
      <c r="L407" s="42" t="n">
        <v>8000</v>
      </c>
    </row>
    <row r="408">
      <c r="B408" s="39" t="inlineStr">
        <is>
          <t>MBWAY_LYO</t>
        </is>
      </c>
      <c r="C408" s="40" t="inlineStr">
        <is>
          <t>BAC_MGT</t>
        </is>
      </c>
      <c r="D408" s="40" t="inlineStr">
        <is>
          <t>B3</t>
        </is>
      </c>
      <c r="E408" s="40" t="inlineStr">
        <is>
          <t>ALT</t>
        </is>
      </c>
      <c r="F408" s="40" t="inlineStr">
        <is>
          <t>PRX_TARIF</t>
        </is>
      </c>
      <c r="G408" s="39" t="inlineStr">
        <is>
          <t>Tarif moyen scolarité</t>
        </is>
      </c>
      <c r="H408" s="40" t="inlineStr">
        <is>
          <t>TECHNIQUE</t>
        </is>
      </c>
      <c r="I408" s="41" t="inlineStr">
        <is>
          <t>2024ACT_VDEF</t>
        </is>
      </c>
      <c r="J408" s="41" t="n">
        <v>2024</v>
      </c>
      <c r="K408" s="41" t="inlineStr">
        <is>
          <t>EUR</t>
        </is>
      </c>
      <c r="L408" s="42" t="n">
        <v>8000</v>
      </c>
    </row>
    <row r="409">
      <c r="B409" s="39" t="inlineStr">
        <is>
          <t>MBWAY_LYO</t>
        </is>
      </c>
      <c r="C409" s="40" t="inlineStr">
        <is>
          <t>BAC_MGT</t>
        </is>
      </c>
      <c r="D409" s="40" t="inlineStr">
        <is>
          <t>B3</t>
        </is>
      </c>
      <c r="E409" s="40" t="inlineStr">
        <is>
          <t>ALT</t>
        </is>
      </c>
      <c r="F409" s="40" t="inlineStr">
        <is>
          <t>PRX_TARIF</t>
        </is>
      </c>
      <c r="G409" s="39" t="inlineStr">
        <is>
          <t>Tarif moyen scolarité</t>
        </is>
      </c>
      <c r="H409" s="40" t="inlineStr">
        <is>
          <t>TECHNIQUE</t>
        </is>
      </c>
      <c r="I409" s="41" t="inlineStr">
        <is>
          <t>2025FCST_V4</t>
        </is>
      </c>
      <c r="J409" s="41" t="n">
        <v>2025</v>
      </c>
      <c r="K409" s="41" t="inlineStr">
        <is>
          <t>EUR</t>
        </is>
      </c>
      <c r="L409" s="42" t="n">
        <v>8000</v>
      </c>
    </row>
    <row r="410">
      <c r="B410" s="39" t="inlineStr">
        <is>
          <t>MBWAY_LYO</t>
        </is>
      </c>
      <c r="C410" s="40" t="inlineStr">
        <is>
          <t>MAS_MGT</t>
        </is>
      </c>
      <c r="D410" s="40" t="inlineStr">
        <is>
          <t>M1</t>
        </is>
      </c>
      <c r="E410" s="40" t="inlineStr">
        <is>
          <t>ALT</t>
        </is>
      </c>
      <c r="F410" s="40" t="inlineStr">
        <is>
          <t>706100</t>
        </is>
      </c>
      <c r="G410" s="39" t="inlineStr">
        <is>
          <t>Droits de scolarité</t>
        </is>
      </c>
      <c r="H410" s="40" t="inlineStr">
        <is>
          <t>COMPTABLE</t>
        </is>
      </c>
      <c r="I410" s="41" t="inlineStr">
        <is>
          <t>2023ACT_VDEF</t>
        </is>
      </c>
      <c r="J410" s="41" t="n">
        <v>2023</v>
      </c>
      <c r="K410" s="41" t="inlineStr">
        <is>
          <t>EUR</t>
        </is>
      </c>
      <c r="L410" s="42" t="n">
        <v>324000</v>
      </c>
    </row>
    <row r="411">
      <c r="B411" s="39" t="inlineStr">
        <is>
          <t>MBWAY_LYO</t>
        </is>
      </c>
      <c r="C411" s="40" t="inlineStr">
        <is>
          <t>MAS_MGT</t>
        </is>
      </c>
      <c r="D411" s="40" t="inlineStr">
        <is>
          <t>M1</t>
        </is>
      </c>
      <c r="E411" s="40" t="inlineStr">
        <is>
          <t>ALT</t>
        </is>
      </c>
      <c r="F411" s="40" t="inlineStr">
        <is>
          <t>706100</t>
        </is>
      </c>
      <c r="G411" s="39" t="inlineStr">
        <is>
          <t>Droits de scolarité</t>
        </is>
      </c>
      <c r="H411" s="40" t="inlineStr">
        <is>
          <t>COMPTABLE</t>
        </is>
      </c>
      <c r="I411" s="41" t="inlineStr">
        <is>
          <t>2024ACT_VDEF</t>
        </is>
      </c>
      <c r="J411" s="41" t="n">
        <v>2024</v>
      </c>
      <c r="K411" s="41" t="inlineStr">
        <is>
          <t>EUR</t>
        </is>
      </c>
      <c r="L411" s="42" t="n">
        <v>342000</v>
      </c>
    </row>
    <row r="412">
      <c r="B412" s="39" t="inlineStr">
        <is>
          <t>MBWAY_LYO</t>
        </is>
      </c>
      <c r="C412" s="40" t="inlineStr">
        <is>
          <t>MAS_MGT</t>
        </is>
      </c>
      <c r="D412" s="40" t="inlineStr">
        <is>
          <t>M1</t>
        </is>
      </c>
      <c r="E412" s="40" t="inlineStr">
        <is>
          <t>ALT</t>
        </is>
      </c>
      <c r="F412" s="40" t="inlineStr">
        <is>
          <t>706100</t>
        </is>
      </c>
      <c r="G412" s="39" t="inlineStr">
        <is>
          <t>Droits de scolarité</t>
        </is>
      </c>
      <c r="H412" s="40" t="inlineStr">
        <is>
          <t>COMPTABLE</t>
        </is>
      </c>
      <c r="I412" s="41" t="inlineStr">
        <is>
          <t>2025FCST_V4</t>
        </is>
      </c>
      <c r="J412" s="41" t="n">
        <v>2025</v>
      </c>
      <c r="K412" s="41" t="inlineStr">
        <is>
          <t>EUR</t>
        </is>
      </c>
      <c r="L412" s="42" t="n">
        <v>360000</v>
      </c>
    </row>
    <row r="413">
      <c r="B413" s="39" t="inlineStr">
        <is>
          <t>MBWAY_LYO</t>
        </is>
      </c>
      <c r="C413" s="40" t="inlineStr">
        <is>
          <t>MAS_MGT</t>
        </is>
      </c>
      <c r="D413" s="40" t="inlineStr">
        <is>
          <t>M1</t>
        </is>
      </c>
      <c r="E413" s="40" t="inlineStr">
        <is>
          <t>ALT</t>
        </is>
      </c>
      <c r="F413" s="40" t="inlineStr">
        <is>
          <t>708500</t>
        </is>
      </c>
      <c r="G413" s="39" t="inlineStr">
        <is>
          <t>Frais de dossier / inscription</t>
        </is>
      </c>
      <c r="H413" s="40" t="inlineStr">
        <is>
          <t>COMPTABLE</t>
        </is>
      </c>
      <c r="I413" s="41" t="inlineStr">
        <is>
          <t>2023ACT_VDEF</t>
        </is>
      </c>
      <c r="J413" s="41" t="n">
        <v>2023</v>
      </c>
      <c r="K413" s="41" t="inlineStr">
        <is>
          <t>EUR</t>
        </is>
      </c>
      <c r="L413" s="42" t="n">
        <v>3240</v>
      </c>
    </row>
    <row r="414">
      <c r="B414" s="39" t="inlineStr">
        <is>
          <t>MBWAY_LYO</t>
        </is>
      </c>
      <c r="C414" s="40" t="inlineStr">
        <is>
          <t>MAS_MGT</t>
        </is>
      </c>
      <c r="D414" s="40" t="inlineStr">
        <is>
          <t>M1</t>
        </is>
      </c>
      <c r="E414" s="40" t="inlineStr">
        <is>
          <t>ALT</t>
        </is>
      </c>
      <c r="F414" s="40" t="inlineStr">
        <is>
          <t>708500</t>
        </is>
      </c>
      <c r="G414" s="39" t="inlineStr">
        <is>
          <t>Frais de dossier / inscription</t>
        </is>
      </c>
      <c r="H414" s="40" t="inlineStr">
        <is>
          <t>COMPTABLE</t>
        </is>
      </c>
      <c r="I414" s="41" t="inlineStr">
        <is>
          <t>2024ACT_VDEF</t>
        </is>
      </c>
      <c r="J414" s="41" t="n">
        <v>2024</v>
      </c>
      <c r="K414" s="41" t="inlineStr">
        <is>
          <t>EUR</t>
        </is>
      </c>
      <c r="L414" s="42" t="n">
        <v>3420</v>
      </c>
    </row>
    <row r="415">
      <c r="B415" s="39" t="inlineStr">
        <is>
          <t>MBWAY_LYO</t>
        </is>
      </c>
      <c r="C415" s="40" t="inlineStr">
        <is>
          <t>MAS_MGT</t>
        </is>
      </c>
      <c r="D415" s="40" t="inlineStr">
        <is>
          <t>M1</t>
        </is>
      </c>
      <c r="E415" s="40" t="inlineStr">
        <is>
          <t>ALT</t>
        </is>
      </c>
      <c r="F415" s="40" t="inlineStr">
        <is>
          <t>708500</t>
        </is>
      </c>
      <c r="G415" s="39" t="inlineStr">
        <is>
          <t>Frais de dossier / inscription</t>
        </is>
      </c>
      <c r="H415" s="40" t="inlineStr">
        <is>
          <t>COMPTABLE</t>
        </is>
      </c>
      <c r="I415" s="41" t="inlineStr">
        <is>
          <t>2025FCST_V4</t>
        </is>
      </c>
      <c r="J415" s="41" t="n">
        <v>2025</v>
      </c>
      <c r="K415" s="41" t="inlineStr">
        <is>
          <t>EUR</t>
        </is>
      </c>
      <c r="L415" s="42" t="n">
        <v>3600</v>
      </c>
    </row>
    <row r="416">
      <c r="B416" s="39" t="inlineStr">
        <is>
          <t>MBWAY_LYO</t>
        </is>
      </c>
      <c r="C416" s="40" t="inlineStr">
        <is>
          <t>MAS_MGT</t>
        </is>
      </c>
      <c r="D416" s="40" t="inlineStr">
        <is>
          <t>M1</t>
        </is>
      </c>
      <c r="E416" s="40" t="inlineStr">
        <is>
          <t>ALT</t>
        </is>
      </c>
      <c r="F416" s="40" t="inlineStr">
        <is>
          <t>604100</t>
        </is>
      </c>
      <c r="G416" s="39" t="inlineStr">
        <is>
          <t>Vacations &amp; sous-traitance pédagogique</t>
        </is>
      </c>
      <c r="H416" s="40" t="inlineStr">
        <is>
          <t>COMPTABLE</t>
        </is>
      </c>
      <c r="I416" s="41" t="inlineStr">
        <is>
          <t>2023ACT_VDEF</t>
        </is>
      </c>
      <c r="J416" s="41" t="n">
        <v>2023</v>
      </c>
      <c r="K416" s="41" t="inlineStr">
        <is>
          <t>EUR</t>
        </is>
      </c>
      <c r="L416" s="42" t="n">
        <v>60480</v>
      </c>
    </row>
    <row r="417">
      <c r="B417" s="39" t="inlineStr">
        <is>
          <t>MBWAY_LYO</t>
        </is>
      </c>
      <c r="C417" s="40" t="inlineStr">
        <is>
          <t>MAS_MGT</t>
        </is>
      </c>
      <c r="D417" s="40" t="inlineStr">
        <is>
          <t>M1</t>
        </is>
      </c>
      <c r="E417" s="40" t="inlineStr">
        <is>
          <t>ALT</t>
        </is>
      </c>
      <c r="F417" s="40" t="inlineStr">
        <is>
          <t>604100</t>
        </is>
      </c>
      <c r="G417" s="39" t="inlineStr">
        <is>
          <t>Vacations &amp; sous-traitance pédagogique</t>
        </is>
      </c>
      <c r="H417" s="40" t="inlineStr">
        <is>
          <t>COMPTABLE</t>
        </is>
      </c>
      <c r="I417" s="41" t="inlineStr">
        <is>
          <t>2024ACT_VDEF</t>
        </is>
      </c>
      <c r="J417" s="41" t="n">
        <v>2024</v>
      </c>
      <c r="K417" s="41" t="inlineStr">
        <is>
          <t>EUR</t>
        </is>
      </c>
      <c r="L417" s="42" t="n">
        <v>63840</v>
      </c>
    </row>
    <row r="418">
      <c r="B418" s="39" t="inlineStr">
        <is>
          <t>MBWAY_LYO</t>
        </is>
      </c>
      <c r="C418" s="40" t="inlineStr">
        <is>
          <t>MAS_MGT</t>
        </is>
      </c>
      <c r="D418" s="40" t="inlineStr">
        <is>
          <t>M1</t>
        </is>
      </c>
      <c r="E418" s="40" t="inlineStr">
        <is>
          <t>ALT</t>
        </is>
      </c>
      <c r="F418" s="40" t="inlineStr">
        <is>
          <t>604100</t>
        </is>
      </c>
      <c r="G418" s="39" t="inlineStr">
        <is>
          <t>Vacations &amp; sous-traitance pédagogique</t>
        </is>
      </c>
      <c r="H418" s="40" t="inlineStr">
        <is>
          <t>COMPTABLE</t>
        </is>
      </c>
      <c r="I418" s="41" t="inlineStr">
        <is>
          <t>2025FCST_V4</t>
        </is>
      </c>
      <c r="J418" s="41" t="n">
        <v>2025</v>
      </c>
      <c r="K418" s="41" t="inlineStr">
        <is>
          <t>EUR</t>
        </is>
      </c>
      <c r="L418" s="42" t="n">
        <v>67200</v>
      </c>
    </row>
    <row r="419">
      <c r="B419" s="39" t="inlineStr">
        <is>
          <t>MBWAY_LYO</t>
        </is>
      </c>
      <c r="C419" s="40" t="inlineStr">
        <is>
          <t>MAS_MGT</t>
        </is>
      </c>
      <c r="D419" s="40" t="inlineStr">
        <is>
          <t>M1</t>
        </is>
      </c>
      <c r="E419" s="40" t="inlineStr">
        <is>
          <t>ALT</t>
        </is>
      </c>
      <c r="F419" s="40" t="inlineStr">
        <is>
          <t>606300</t>
        </is>
      </c>
      <c r="G419" s="39" t="inlineStr">
        <is>
          <t>Fournitures &amp; ressources pédagogiques</t>
        </is>
      </c>
      <c r="H419" s="40" t="inlineStr">
        <is>
          <t>COMPTABLE</t>
        </is>
      </c>
      <c r="I419" s="41" t="inlineStr">
        <is>
          <t>2023ACT_VDEF</t>
        </is>
      </c>
      <c r="J419" s="41" t="n">
        <v>2023</v>
      </c>
      <c r="K419" s="41" t="inlineStr">
        <is>
          <t>EUR</t>
        </is>
      </c>
      <c r="L419" s="42" t="n">
        <v>18720</v>
      </c>
    </row>
    <row r="420">
      <c r="B420" s="39" t="inlineStr">
        <is>
          <t>MBWAY_LYO</t>
        </is>
      </c>
      <c r="C420" s="40" t="inlineStr">
        <is>
          <t>MAS_MGT</t>
        </is>
      </c>
      <c r="D420" s="40" t="inlineStr">
        <is>
          <t>M1</t>
        </is>
      </c>
      <c r="E420" s="40" t="inlineStr">
        <is>
          <t>ALT</t>
        </is>
      </c>
      <c r="F420" s="40" t="inlineStr">
        <is>
          <t>606300</t>
        </is>
      </c>
      <c r="G420" s="39" t="inlineStr">
        <is>
          <t>Fournitures &amp; ressources pédagogiques</t>
        </is>
      </c>
      <c r="H420" s="40" t="inlineStr">
        <is>
          <t>COMPTABLE</t>
        </is>
      </c>
      <c r="I420" s="41" t="inlineStr">
        <is>
          <t>2024ACT_VDEF</t>
        </is>
      </c>
      <c r="J420" s="41" t="n">
        <v>2024</v>
      </c>
      <c r="K420" s="41" t="inlineStr">
        <is>
          <t>EUR</t>
        </is>
      </c>
      <c r="L420" s="42" t="n">
        <v>19760</v>
      </c>
    </row>
    <row r="421">
      <c r="B421" s="39" t="inlineStr">
        <is>
          <t>MBWAY_LYO</t>
        </is>
      </c>
      <c r="C421" s="40" t="inlineStr">
        <is>
          <t>MAS_MGT</t>
        </is>
      </c>
      <c r="D421" s="40" t="inlineStr">
        <is>
          <t>M1</t>
        </is>
      </c>
      <c r="E421" s="40" t="inlineStr">
        <is>
          <t>ALT</t>
        </is>
      </c>
      <c r="F421" s="40" t="inlineStr">
        <is>
          <t>606300</t>
        </is>
      </c>
      <c r="G421" s="39" t="inlineStr">
        <is>
          <t>Fournitures &amp; ressources pédagogiques</t>
        </is>
      </c>
      <c r="H421" s="40" t="inlineStr">
        <is>
          <t>COMPTABLE</t>
        </is>
      </c>
      <c r="I421" s="41" t="inlineStr">
        <is>
          <t>2025FCST_V4</t>
        </is>
      </c>
      <c r="J421" s="41" t="n">
        <v>2025</v>
      </c>
      <c r="K421" s="41" t="inlineStr">
        <is>
          <t>EUR</t>
        </is>
      </c>
      <c r="L421" s="42" t="n">
        <v>20800</v>
      </c>
    </row>
    <row r="422">
      <c r="B422" s="39" t="inlineStr">
        <is>
          <t>MBWAY_LYO</t>
        </is>
      </c>
      <c r="C422" s="40" t="inlineStr">
        <is>
          <t>MAS_MGT</t>
        </is>
      </c>
      <c r="D422" s="40" t="inlineStr">
        <is>
          <t>M1</t>
        </is>
      </c>
      <c r="E422" s="40" t="inlineStr">
        <is>
          <t>ALT</t>
        </is>
      </c>
      <c r="F422" s="40" t="inlineStr">
        <is>
          <t>623000</t>
        </is>
      </c>
      <c r="G422" s="39" t="inlineStr">
        <is>
          <t>Publicité &amp; marketing (acquisition)</t>
        </is>
      </c>
      <c r="H422" s="40" t="inlineStr">
        <is>
          <t>COMPTABLE</t>
        </is>
      </c>
      <c r="I422" s="41" t="inlineStr">
        <is>
          <t>2023ACT_VDEF</t>
        </is>
      </c>
      <c r="J422" s="41" t="n">
        <v>2023</v>
      </c>
      <c r="K422" s="41" t="inlineStr">
        <is>
          <t>EUR</t>
        </is>
      </c>
      <c r="L422" s="42" t="n">
        <v>21600</v>
      </c>
    </row>
    <row r="423">
      <c r="B423" s="39" t="inlineStr">
        <is>
          <t>MBWAY_LYO</t>
        </is>
      </c>
      <c r="C423" s="40" t="inlineStr">
        <is>
          <t>MAS_MGT</t>
        </is>
      </c>
      <c r="D423" s="40" t="inlineStr">
        <is>
          <t>M1</t>
        </is>
      </c>
      <c r="E423" s="40" t="inlineStr">
        <is>
          <t>ALT</t>
        </is>
      </c>
      <c r="F423" s="40" t="inlineStr">
        <is>
          <t>623000</t>
        </is>
      </c>
      <c r="G423" s="39" t="inlineStr">
        <is>
          <t>Publicité &amp; marketing (acquisition)</t>
        </is>
      </c>
      <c r="H423" s="40" t="inlineStr">
        <is>
          <t>COMPTABLE</t>
        </is>
      </c>
      <c r="I423" s="41" t="inlineStr">
        <is>
          <t>2024ACT_VDEF</t>
        </is>
      </c>
      <c r="J423" s="41" t="n">
        <v>2024</v>
      </c>
      <c r="K423" s="41" t="inlineStr">
        <is>
          <t>EUR</t>
        </is>
      </c>
      <c r="L423" s="42" t="n">
        <v>22800</v>
      </c>
    </row>
    <row r="424">
      <c r="B424" s="39" t="inlineStr">
        <is>
          <t>MBWAY_LYO</t>
        </is>
      </c>
      <c r="C424" s="40" t="inlineStr">
        <is>
          <t>MAS_MGT</t>
        </is>
      </c>
      <c r="D424" s="40" t="inlineStr">
        <is>
          <t>M1</t>
        </is>
      </c>
      <c r="E424" s="40" t="inlineStr">
        <is>
          <t>ALT</t>
        </is>
      </c>
      <c r="F424" s="40" t="inlineStr">
        <is>
          <t>623000</t>
        </is>
      </c>
      <c r="G424" s="39" t="inlineStr">
        <is>
          <t>Publicité &amp; marketing (acquisition)</t>
        </is>
      </c>
      <c r="H424" s="40" t="inlineStr">
        <is>
          <t>COMPTABLE</t>
        </is>
      </c>
      <c r="I424" s="41" t="inlineStr">
        <is>
          <t>2025FCST_V4</t>
        </is>
      </c>
      <c r="J424" s="41" t="n">
        <v>2025</v>
      </c>
      <c r="K424" s="41" t="inlineStr">
        <is>
          <t>EUR</t>
        </is>
      </c>
      <c r="L424" s="42" t="n">
        <v>24000</v>
      </c>
    </row>
    <row r="425">
      <c r="B425" s="39" t="inlineStr">
        <is>
          <t>MBWAY_LYO</t>
        </is>
      </c>
      <c r="C425" s="40" t="inlineStr">
        <is>
          <t>MAS_MGT</t>
        </is>
      </c>
      <c r="D425" s="40" t="inlineStr">
        <is>
          <t>M1</t>
        </is>
      </c>
      <c r="E425" s="40" t="inlineStr">
        <is>
          <t>ALT</t>
        </is>
      </c>
      <c r="F425" s="40" t="inlineStr">
        <is>
          <t>613200</t>
        </is>
      </c>
      <c r="G425" s="39" t="inlineStr">
        <is>
          <t>Locations immobilières (loyers)</t>
        </is>
      </c>
      <c r="H425" s="40" t="inlineStr">
        <is>
          <t>COMPTABLE</t>
        </is>
      </c>
      <c r="I425" s="41" t="inlineStr">
        <is>
          <t>2023ACT_VDEF</t>
        </is>
      </c>
      <c r="J425" s="41" t="n">
        <v>2023</v>
      </c>
      <c r="K425" s="41" t="inlineStr">
        <is>
          <t>EUR</t>
        </is>
      </c>
      <c r="L425" s="42" t="n">
        <v>37800</v>
      </c>
    </row>
    <row r="426">
      <c r="B426" s="39" t="inlineStr">
        <is>
          <t>MBWAY_LYO</t>
        </is>
      </c>
      <c r="C426" s="40" t="inlineStr">
        <is>
          <t>MAS_MGT</t>
        </is>
      </c>
      <c r="D426" s="40" t="inlineStr">
        <is>
          <t>M1</t>
        </is>
      </c>
      <c r="E426" s="40" t="inlineStr">
        <is>
          <t>ALT</t>
        </is>
      </c>
      <c r="F426" s="40" t="inlineStr">
        <is>
          <t>613200</t>
        </is>
      </c>
      <c r="G426" s="39" t="inlineStr">
        <is>
          <t>Locations immobilières (loyers)</t>
        </is>
      </c>
      <c r="H426" s="40" t="inlineStr">
        <is>
          <t>COMPTABLE</t>
        </is>
      </c>
      <c r="I426" s="41" t="inlineStr">
        <is>
          <t>2024ACT_VDEF</t>
        </is>
      </c>
      <c r="J426" s="41" t="n">
        <v>2024</v>
      </c>
      <c r="K426" s="41" t="inlineStr">
        <is>
          <t>EUR</t>
        </is>
      </c>
      <c r="L426" s="42" t="n">
        <v>39900</v>
      </c>
    </row>
    <row r="427">
      <c r="B427" s="39" t="inlineStr">
        <is>
          <t>MBWAY_LYO</t>
        </is>
      </c>
      <c r="C427" s="40" t="inlineStr">
        <is>
          <t>MAS_MGT</t>
        </is>
      </c>
      <c r="D427" s="40" t="inlineStr">
        <is>
          <t>M1</t>
        </is>
      </c>
      <c r="E427" s="40" t="inlineStr">
        <is>
          <t>ALT</t>
        </is>
      </c>
      <c r="F427" s="40" t="inlineStr">
        <is>
          <t>613200</t>
        </is>
      </c>
      <c r="G427" s="39" t="inlineStr">
        <is>
          <t>Locations immobilières (loyers)</t>
        </is>
      </c>
      <c r="H427" s="40" t="inlineStr">
        <is>
          <t>COMPTABLE</t>
        </is>
      </c>
      <c r="I427" s="41" t="inlineStr">
        <is>
          <t>2025FCST_V4</t>
        </is>
      </c>
      <c r="J427" s="41" t="n">
        <v>2025</v>
      </c>
      <c r="K427" s="41" t="inlineStr">
        <is>
          <t>EUR</t>
        </is>
      </c>
      <c r="L427" s="42" t="n">
        <v>42000</v>
      </c>
    </row>
    <row r="428">
      <c r="B428" s="39" t="inlineStr">
        <is>
          <t>MBWAY_LYO</t>
        </is>
      </c>
      <c r="C428" s="40" t="inlineStr">
        <is>
          <t>MAS_MGT</t>
        </is>
      </c>
      <c r="D428" s="40" t="inlineStr">
        <is>
          <t>M1</t>
        </is>
      </c>
      <c r="E428" s="40" t="inlineStr">
        <is>
          <t>ALT</t>
        </is>
      </c>
      <c r="F428" s="40" t="inlineStr">
        <is>
          <t>641100</t>
        </is>
      </c>
      <c r="G428" s="39" t="inlineStr">
        <is>
          <t>Rémunérations du personnel permanent</t>
        </is>
      </c>
      <c r="H428" s="40" t="inlineStr">
        <is>
          <t>COMPTABLE</t>
        </is>
      </c>
      <c r="I428" s="41" t="inlineStr">
        <is>
          <t>2023ACT_VDEF</t>
        </is>
      </c>
      <c r="J428" s="41" t="n">
        <v>2023</v>
      </c>
      <c r="K428" s="41" t="inlineStr">
        <is>
          <t>EUR</t>
        </is>
      </c>
      <c r="L428" s="42" t="n">
        <v>85418</v>
      </c>
    </row>
    <row r="429">
      <c r="B429" s="39" t="inlineStr">
        <is>
          <t>MBWAY_LYO</t>
        </is>
      </c>
      <c r="C429" s="40" t="inlineStr">
        <is>
          <t>MAS_MGT</t>
        </is>
      </c>
      <c r="D429" s="40" t="inlineStr">
        <is>
          <t>M1</t>
        </is>
      </c>
      <c r="E429" s="40" t="inlineStr">
        <is>
          <t>ALT</t>
        </is>
      </c>
      <c r="F429" s="40" t="inlineStr">
        <is>
          <t>641100</t>
        </is>
      </c>
      <c r="G429" s="39" t="inlineStr">
        <is>
          <t>Rémunérations du personnel permanent</t>
        </is>
      </c>
      <c r="H429" s="40" t="inlineStr">
        <is>
          <t>COMPTABLE</t>
        </is>
      </c>
      <c r="I429" s="41" t="inlineStr">
        <is>
          <t>2024ACT_VDEF</t>
        </is>
      </c>
      <c r="J429" s="41" t="n">
        <v>2024</v>
      </c>
      <c r="K429" s="41" t="inlineStr">
        <is>
          <t>EUR</t>
        </is>
      </c>
      <c r="L429" s="42" t="n">
        <v>90164</v>
      </c>
    </row>
    <row r="430">
      <c r="B430" s="39" t="inlineStr">
        <is>
          <t>MBWAY_LYO</t>
        </is>
      </c>
      <c r="C430" s="40" t="inlineStr">
        <is>
          <t>MAS_MGT</t>
        </is>
      </c>
      <c r="D430" s="40" t="inlineStr">
        <is>
          <t>M1</t>
        </is>
      </c>
      <c r="E430" s="40" t="inlineStr">
        <is>
          <t>ALT</t>
        </is>
      </c>
      <c r="F430" s="40" t="inlineStr">
        <is>
          <t>641100</t>
        </is>
      </c>
      <c r="G430" s="39" t="inlineStr">
        <is>
          <t>Rémunérations du personnel permanent</t>
        </is>
      </c>
      <c r="H430" s="40" t="inlineStr">
        <is>
          <t>COMPTABLE</t>
        </is>
      </c>
      <c r="I430" s="41" t="inlineStr">
        <is>
          <t>2025FCST_V4</t>
        </is>
      </c>
      <c r="J430" s="41" t="n">
        <v>2025</v>
      </c>
      <c r="K430" s="41" t="inlineStr">
        <is>
          <t>EUR</t>
        </is>
      </c>
      <c r="L430" s="42" t="n">
        <v>94909</v>
      </c>
    </row>
    <row r="431">
      <c r="B431" s="39" t="inlineStr">
        <is>
          <t>MBWAY_LYO</t>
        </is>
      </c>
      <c r="C431" s="40" t="inlineStr">
        <is>
          <t>MAS_MGT</t>
        </is>
      </c>
      <c r="D431" s="40" t="inlineStr">
        <is>
          <t>M1</t>
        </is>
      </c>
      <c r="E431" s="40" t="inlineStr">
        <is>
          <t>ALT</t>
        </is>
      </c>
      <c r="F431" s="40" t="inlineStr">
        <is>
          <t>622600</t>
        </is>
      </c>
      <c r="G431" s="39" t="inlineStr">
        <is>
          <t>Honoraires &amp; frais de siège (structure groupe)</t>
        </is>
      </c>
      <c r="H431" s="40" t="inlineStr">
        <is>
          <t>COMPTABLE</t>
        </is>
      </c>
      <c r="I431" s="41" t="inlineStr">
        <is>
          <t>2023ACT_VDEF</t>
        </is>
      </c>
      <c r="J431" s="41" t="n">
        <v>2023</v>
      </c>
      <c r="K431" s="41" t="inlineStr">
        <is>
          <t>EUR</t>
        </is>
      </c>
      <c r="L431" s="42" t="n">
        <v>34429</v>
      </c>
    </row>
    <row r="432">
      <c r="B432" s="39" t="inlineStr">
        <is>
          <t>MBWAY_LYO</t>
        </is>
      </c>
      <c r="C432" s="40" t="inlineStr">
        <is>
          <t>MAS_MGT</t>
        </is>
      </c>
      <c r="D432" s="40" t="inlineStr">
        <is>
          <t>M1</t>
        </is>
      </c>
      <c r="E432" s="40" t="inlineStr">
        <is>
          <t>ALT</t>
        </is>
      </c>
      <c r="F432" s="40" t="inlineStr">
        <is>
          <t>622600</t>
        </is>
      </c>
      <c r="G432" s="39" t="inlineStr">
        <is>
          <t>Honoraires &amp; frais de siège (structure groupe)</t>
        </is>
      </c>
      <c r="H432" s="40" t="inlineStr">
        <is>
          <t>COMPTABLE</t>
        </is>
      </c>
      <c r="I432" s="41" t="inlineStr">
        <is>
          <t>2024ACT_VDEF</t>
        </is>
      </c>
      <c r="J432" s="41" t="n">
        <v>2024</v>
      </c>
      <c r="K432" s="41" t="inlineStr">
        <is>
          <t>EUR</t>
        </is>
      </c>
      <c r="L432" s="42" t="n">
        <v>36341</v>
      </c>
    </row>
    <row r="433">
      <c r="B433" s="39" t="inlineStr">
        <is>
          <t>MBWAY_LYO</t>
        </is>
      </c>
      <c r="C433" s="40" t="inlineStr">
        <is>
          <t>MAS_MGT</t>
        </is>
      </c>
      <c r="D433" s="40" t="inlineStr">
        <is>
          <t>M1</t>
        </is>
      </c>
      <c r="E433" s="40" t="inlineStr">
        <is>
          <t>ALT</t>
        </is>
      </c>
      <c r="F433" s="40" t="inlineStr">
        <is>
          <t>622600</t>
        </is>
      </c>
      <c r="G433" s="39" t="inlineStr">
        <is>
          <t>Honoraires &amp; frais de siège (structure groupe)</t>
        </is>
      </c>
      <c r="H433" s="40" t="inlineStr">
        <is>
          <t>COMPTABLE</t>
        </is>
      </c>
      <c r="I433" s="41" t="inlineStr">
        <is>
          <t>2025FCST_V4</t>
        </is>
      </c>
      <c r="J433" s="41" t="n">
        <v>2025</v>
      </c>
      <c r="K433" s="41" t="inlineStr">
        <is>
          <t>EUR</t>
        </is>
      </c>
      <c r="L433" s="42" t="n">
        <v>38254</v>
      </c>
    </row>
    <row r="434">
      <c r="B434" s="39" t="inlineStr">
        <is>
          <t>MBWAY_LYO</t>
        </is>
      </c>
      <c r="C434" s="40" t="inlineStr">
        <is>
          <t>MAS_MGT</t>
        </is>
      </c>
      <c r="D434" s="40" t="inlineStr">
        <is>
          <t>M1</t>
        </is>
      </c>
      <c r="E434" s="40" t="inlineStr">
        <is>
          <t>ALT</t>
        </is>
      </c>
      <c r="F434" s="40" t="inlineStr">
        <is>
          <t>606800</t>
        </is>
      </c>
      <c r="G434" s="39" t="inlineStr">
        <is>
          <t>Autres achats &amp; charges externes</t>
        </is>
      </c>
      <c r="H434" s="40" t="inlineStr">
        <is>
          <t>COMPTABLE</t>
        </is>
      </c>
      <c r="I434" s="41" t="inlineStr">
        <is>
          <t>2023ACT_VDEF</t>
        </is>
      </c>
      <c r="J434" s="41" t="n">
        <v>2023</v>
      </c>
      <c r="K434" s="41" t="inlineStr">
        <is>
          <t>EUR</t>
        </is>
      </c>
      <c r="L434" s="42" t="n">
        <v>33624</v>
      </c>
    </row>
    <row r="435">
      <c r="B435" s="39" t="inlineStr">
        <is>
          <t>MBWAY_LYO</t>
        </is>
      </c>
      <c r="C435" s="40" t="inlineStr">
        <is>
          <t>MAS_MGT</t>
        </is>
      </c>
      <c r="D435" s="40" t="inlineStr">
        <is>
          <t>M1</t>
        </is>
      </c>
      <c r="E435" s="40" t="inlineStr">
        <is>
          <t>ALT</t>
        </is>
      </c>
      <c r="F435" s="40" t="inlineStr">
        <is>
          <t>606800</t>
        </is>
      </c>
      <c r="G435" s="39" t="inlineStr">
        <is>
          <t>Autres achats &amp; charges externes</t>
        </is>
      </c>
      <c r="H435" s="40" t="inlineStr">
        <is>
          <t>COMPTABLE</t>
        </is>
      </c>
      <c r="I435" s="41" t="inlineStr">
        <is>
          <t>2024ACT_VDEF</t>
        </is>
      </c>
      <c r="J435" s="41" t="n">
        <v>2024</v>
      </c>
      <c r="K435" s="41" t="inlineStr">
        <is>
          <t>EUR</t>
        </is>
      </c>
      <c r="L435" s="42" t="n">
        <v>35492</v>
      </c>
    </row>
    <row r="436">
      <c r="B436" s="39" t="inlineStr">
        <is>
          <t>MBWAY_LYO</t>
        </is>
      </c>
      <c r="C436" s="40" t="inlineStr">
        <is>
          <t>MAS_MGT</t>
        </is>
      </c>
      <c r="D436" s="40" t="inlineStr">
        <is>
          <t>M1</t>
        </is>
      </c>
      <c r="E436" s="40" t="inlineStr">
        <is>
          <t>ALT</t>
        </is>
      </c>
      <c r="F436" s="40" t="inlineStr">
        <is>
          <t>606800</t>
        </is>
      </c>
      <c r="G436" s="39" t="inlineStr">
        <is>
          <t>Autres achats &amp; charges externes</t>
        </is>
      </c>
      <c r="H436" s="40" t="inlineStr">
        <is>
          <t>COMPTABLE</t>
        </is>
      </c>
      <c r="I436" s="41" t="inlineStr">
        <is>
          <t>2025FCST_V4</t>
        </is>
      </c>
      <c r="J436" s="41" t="n">
        <v>2025</v>
      </c>
      <c r="K436" s="41" t="inlineStr">
        <is>
          <t>EUR</t>
        </is>
      </c>
      <c r="L436" s="42" t="n">
        <v>37360</v>
      </c>
    </row>
    <row r="437">
      <c r="B437" s="39" t="inlineStr">
        <is>
          <t>MBWAY_LYO</t>
        </is>
      </c>
      <c r="C437" s="40" t="inlineStr">
        <is>
          <t>MAS_MGT</t>
        </is>
      </c>
      <c r="D437" s="40" t="inlineStr">
        <is>
          <t>M1</t>
        </is>
      </c>
      <c r="E437" s="40" t="inlineStr">
        <is>
          <t>ALT</t>
        </is>
      </c>
      <c r="F437" s="40" t="inlineStr">
        <is>
          <t>681100</t>
        </is>
      </c>
      <c r="G437" s="39" t="inlineStr">
        <is>
          <t>Dotations aux amortissements</t>
        </is>
      </c>
      <c r="H437" s="40" t="inlineStr">
        <is>
          <t>COMPTABLE</t>
        </is>
      </c>
      <c r="I437" s="41" t="inlineStr">
        <is>
          <t>2023ACT_VDEF</t>
        </is>
      </c>
      <c r="J437" s="41" t="n">
        <v>2023</v>
      </c>
      <c r="K437" s="41" t="inlineStr">
        <is>
          <t>EUR</t>
        </is>
      </c>
      <c r="L437" s="42" t="n">
        <v>20618</v>
      </c>
    </row>
    <row r="438">
      <c r="B438" s="39" t="inlineStr">
        <is>
          <t>MBWAY_LYO</t>
        </is>
      </c>
      <c r="C438" s="40" t="inlineStr">
        <is>
          <t>MAS_MGT</t>
        </is>
      </c>
      <c r="D438" s="40" t="inlineStr">
        <is>
          <t>M1</t>
        </is>
      </c>
      <c r="E438" s="40" t="inlineStr">
        <is>
          <t>ALT</t>
        </is>
      </c>
      <c r="F438" s="40" t="inlineStr">
        <is>
          <t>681100</t>
        </is>
      </c>
      <c r="G438" s="39" t="inlineStr">
        <is>
          <t>Dotations aux amortissements</t>
        </is>
      </c>
      <c r="H438" s="40" t="inlineStr">
        <is>
          <t>COMPTABLE</t>
        </is>
      </c>
      <c r="I438" s="41" t="inlineStr">
        <is>
          <t>2024ACT_VDEF</t>
        </is>
      </c>
      <c r="J438" s="41" t="n">
        <v>2024</v>
      </c>
      <c r="K438" s="41" t="inlineStr">
        <is>
          <t>EUR</t>
        </is>
      </c>
      <c r="L438" s="42" t="n">
        <v>21764</v>
      </c>
    </row>
    <row r="439">
      <c r="B439" s="39" t="inlineStr">
        <is>
          <t>MBWAY_LYO</t>
        </is>
      </c>
      <c r="C439" s="40" t="inlineStr">
        <is>
          <t>MAS_MGT</t>
        </is>
      </c>
      <c r="D439" s="40" t="inlineStr">
        <is>
          <t>M1</t>
        </is>
      </c>
      <c r="E439" s="40" t="inlineStr">
        <is>
          <t>ALT</t>
        </is>
      </c>
      <c r="F439" s="40" t="inlineStr">
        <is>
          <t>681100</t>
        </is>
      </c>
      <c r="G439" s="39" t="inlineStr">
        <is>
          <t>Dotations aux amortissements</t>
        </is>
      </c>
      <c r="H439" s="40" t="inlineStr">
        <is>
          <t>COMPTABLE</t>
        </is>
      </c>
      <c r="I439" s="41" t="inlineStr">
        <is>
          <t>2025FCST_V4</t>
        </is>
      </c>
      <c r="J439" s="41" t="n">
        <v>2025</v>
      </c>
      <c r="K439" s="41" t="inlineStr">
        <is>
          <t>EUR</t>
        </is>
      </c>
      <c r="L439" s="42" t="n">
        <v>22909</v>
      </c>
    </row>
    <row r="440">
      <c r="B440" s="39" t="inlineStr">
        <is>
          <t>MBWAY_LYO</t>
        </is>
      </c>
      <c r="C440" s="40" t="inlineStr">
        <is>
          <t>MAS_MGT</t>
        </is>
      </c>
      <c r="D440" s="40" t="inlineStr">
        <is>
          <t>M1</t>
        </is>
      </c>
      <c r="E440" s="40" t="inlineStr">
        <is>
          <t>ALT</t>
        </is>
      </c>
      <c r="F440" s="40" t="inlineStr">
        <is>
          <t>STA_EFF</t>
        </is>
      </c>
      <c r="G440" s="39" t="inlineStr">
        <is>
          <t>Effectif inscrit</t>
        </is>
      </c>
      <c r="H440" s="40" t="inlineStr">
        <is>
          <t>TECHNIQUE</t>
        </is>
      </c>
      <c r="I440" s="41" t="inlineStr">
        <is>
          <t>2023ACT_VDEF</t>
        </is>
      </c>
      <c r="J440" s="41" t="n">
        <v>2023</v>
      </c>
      <c r="K440" s="41" t="inlineStr">
        <is>
          <t>NB</t>
        </is>
      </c>
      <c r="L440" s="43" t="n">
        <v>36</v>
      </c>
    </row>
    <row r="441">
      <c r="B441" s="39" t="inlineStr">
        <is>
          <t>MBWAY_LYO</t>
        </is>
      </c>
      <c r="C441" s="40" t="inlineStr">
        <is>
          <t>MAS_MGT</t>
        </is>
      </c>
      <c r="D441" s="40" t="inlineStr">
        <is>
          <t>M1</t>
        </is>
      </c>
      <c r="E441" s="40" t="inlineStr">
        <is>
          <t>ALT</t>
        </is>
      </c>
      <c r="F441" s="40" t="inlineStr">
        <is>
          <t>STA_EFF</t>
        </is>
      </c>
      <c r="G441" s="39" t="inlineStr">
        <is>
          <t>Effectif inscrit</t>
        </is>
      </c>
      <c r="H441" s="40" t="inlineStr">
        <is>
          <t>TECHNIQUE</t>
        </is>
      </c>
      <c r="I441" s="41" t="inlineStr">
        <is>
          <t>2024ACT_VDEF</t>
        </is>
      </c>
      <c r="J441" s="41" t="n">
        <v>2024</v>
      </c>
      <c r="K441" s="41" t="inlineStr">
        <is>
          <t>NB</t>
        </is>
      </c>
      <c r="L441" s="43" t="n">
        <v>38</v>
      </c>
    </row>
    <row r="442">
      <c r="B442" s="39" t="inlineStr">
        <is>
          <t>MBWAY_LYO</t>
        </is>
      </c>
      <c r="C442" s="40" t="inlineStr">
        <is>
          <t>MAS_MGT</t>
        </is>
      </c>
      <c r="D442" s="40" t="inlineStr">
        <is>
          <t>M1</t>
        </is>
      </c>
      <c r="E442" s="40" t="inlineStr">
        <is>
          <t>ALT</t>
        </is>
      </c>
      <c r="F442" s="40" t="inlineStr">
        <is>
          <t>STA_EFF</t>
        </is>
      </c>
      <c r="G442" s="39" t="inlineStr">
        <is>
          <t>Effectif inscrit</t>
        </is>
      </c>
      <c r="H442" s="40" t="inlineStr">
        <is>
          <t>TECHNIQUE</t>
        </is>
      </c>
      <c r="I442" s="41" t="inlineStr">
        <is>
          <t>2025FCST_V4</t>
        </is>
      </c>
      <c r="J442" s="41" t="n">
        <v>2025</v>
      </c>
      <c r="K442" s="41" t="inlineStr">
        <is>
          <t>NB</t>
        </is>
      </c>
      <c r="L442" s="43" t="n">
        <v>40</v>
      </c>
    </row>
    <row r="443">
      <c r="B443" s="39" t="inlineStr">
        <is>
          <t>MBWAY_LYO</t>
        </is>
      </c>
      <c r="C443" s="40" t="inlineStr">
        <is>
          <t>MAS_MGT</t>
        </is>
      </c>
      <c r="D443" s="40" t="inlineStr">
        <is>
          <t>M1</t>
        </is>
      </c>
      <c r="E443" s="40" t="inlineStr">
        <is>
          <t>ALT</t>
        </is>
      </c>
      <c r="F443" s="40" t="inlineStr">
        <is>
          <t>STA_CAND</t>
        </is>
      </c>
      <c r="G443" s="39" t="inlineStr">
        <is>
          <t>Candidatures reçues</t>
        </is>
      </c>
      <c r="H443" s="40" t="inlineStr">
        <is>
          <t>TECHNIQUE</t>
        </is>
      </c>
      <c r="I443" s="41" t="inlineStr">
        <is>
          <t>2023ACT_VDEF</t>
        </is>
      </c>
      <c r="J443" s="41" t="n">
        <v>2023</v>
      </c>
      <c r="K443" s="41" t="inlineStr">
        <is>
          <t>NB</t>
        </is>
      </c>
      <c r="L443" s="43" t="n">
        <v>97</v>
      </c>
    </row>
    <row r="444">
      <c r="B444" s="39" t="inlineStr">
        <is>
          <t>MBWAY_LYO</t>
        </is>
      </c>
      <c r="C444" s="40" t="inlineStr">
        <is>
          <t>MAS_MGT</t>
        </is>
      </c>
      <c r="D444" s="40" t="inlineStr">
        <is>
          <t>M1</t>
        </is>
      </c>
      <c r="E444" s="40" t="inlineStr">
        <is>
          <t>ALT</t>
        </is>
      </c>
      <c r="F444" s="40" t="inlineStr">
        <is>
          <t>STA_CAND</t>
        </is>
      </c>
      <c r="G444" s="39" t="inlineStr">
        <is>
          <t>Candidatures reçues</t>
        </is>
      </c>
      <c r="H444" s="40" t="inlineStr">
        <is>
          <t>TECHNIQUE</t>
        </is>
      </c>
      <c r="I444" s="41" t="inlineStr">
        <is>
          <t>2024ACT_VDEF</t>
        </is>
      </c>
      <c r="J444" s="41" t="n">
        <v>2024</v>
      </c>
      <c r="K444" s="41" t="inlineStr">
        <is>
          <t>NB</t>
        </is>
      </c>
      <c r="L444" s="43" t="n">
        <v>103</v>
      </c>
    </row>
    <row r="445">
      <c r="B445" s="39" t="inlineStr">
        <is>
          <t>MBWAY_LYO</t>
        </is>
      </c>
      <c r="C445" s="40" t="inlineStr">
        <is>
          <t>MAS_MGT</t>
        </is>
      </c>
      <c r="D445" s="40" t="inlineStr">
        <is>
          <t>M1</t>
        </is>
      </c>
      <c r="E445" s="40" t="inlineStr">
        <is>
          <t>ALT</t>
        </is>
      </c>
      <c r="F445" s="40" t="inlineStr">
        <is>
          <t>STA_CAND</t>
        </is>
      </c>
      <c r="G445" s="39" t="inlineStr">
        <is>
          <t>Candidatures reçues</t>
        </is>
      </c>
      <c r="H445" s="40" t="inlineStr">
        <is>
          <t>TECHNIQUE</t>
        </is>
      </c>
      <c r="I445" s="41" t="inlineStr">
        <is>
          <t>2025FCST_V4</t>
        </is>
      </c>
      <c r="J445" s="41" t="n">
        <v>2025</v>
      </c>
      <c r="K445" s="41" t="inlineStr">
        <is>
          <t>NB</t>
        </is>
      </c>
      <c r="L445" s="43" t="n">
        <v>108</v>
      </c>
    </row>
    <row r="446">
      <c r="B446" s="39" t="inlineStr">
        <is>
          <t>MBWAY_LYO</t>
        </is>
      </c>
      <c r="C446" s="40" t="inlineStr">
        <is>
          <t>MAS_MGT</t>
        </is>
      </c>
      <c r="D446" s="40" t="inlineStr">
        <is>
          <t>M1</t>
        </is>
      </c>
      <c r="E446" s="40" t="inlineStr">
        <is>
          <t>ALT</t>
        </is>
      </c>
      <c r="F446" s="40" t="inlineStr">
        <is>
          <t>STA_ADMIS</t>
        </is>
      </c>
      <c r="G446" s="39" t="inlineStr">
        <is>
          <t>Candidats admis</t>
        </is>
      </c>
      <c r="H446" s="40" t="inlineStr">
        <is>
          <t>TECHNIQUE</t>
        </is>
      </c>
      <c r="I446" s="41" t="inlineStr">
        <is>
          <t>2023ACT_VDEF</t>
        </is>
      </c>
      <c r="J446" s="41" t="n">
        <v>2023</v>
      </c>
      <c r="K446" s="41" t="inlineStr">
        <is>
          <t>NB</t>
        </is>
      </c>
      <c r="L446" s="43" t="n">
        <v>60</v>
      </c>
    </row>
    <row r="447">
      <c r="B447" s="39" t="inlineStr">
        <is>
          <t>MBWAY_LYO</t>
        </is>
      </c>
      <c r="C447" s="40" t="inlineStr">
        <is>
          <t>MAS_MGT</t>
        </is>
      </c>
      <c r="D447" s="40" t="inlineStr">
        <is>
          <t>M1</t>
        </is>
      </c>
      <c r="E447" s="40" t="inlineStr">
        <is>
          <t>ALT</t>
        </is>
      </c>
      <c r="F447" s="40" t="inlineStr">
        <is>
          <t>STA_ADMIS</t>
        </is>
      </c>
      <c r="G447" s="39" t="inlineStr">
        <is>
          <t>Candidats admis</t>
        </is>
      </c>
      <c r="H447" s="40" t="inlineStr">
        <is>
          <t>TECHNIQUE</t>
        </is>
      </c>
      <c r="I447" s="41" t="inlineStr">
        <is>
          <t>2024ACT_VDEF</t>
        </is>
      </c>
      <c r="J447" s="41" t="n">
        <v>2024</v>
      </c>
      <c r="K447" s="41" t="inlineStr">
        <is>
          <t>NB</t>
        </is>
      </c>
      <c r="L447" s="43" t="n">
        <v>64</v>
      </c>
    </row>
    <row r="448">
      <c r="B448" s="39" t="inlineStr">
        <is>
          <t>MBWAY_LYO</t>
        </is>
      </c>
      <c r="C448" s="40" t="inlineStr">
        <is>
          <t>MAS_MGT</t>
        </is>
      </c>
      <c r="D448" s="40" t="inlineStr">
        <is>
          <t>M1</t>
        </is>
      </c>
      <c r="E448" s="40" t="inlineStr">
        <is>
          <t>ALT</t>
        </is>
      </c>
      <c r="F448" s="40" t="inlineStr">
        <is>
          <t>STA_ADMIS</t>
        </is>
      </c>
      <c r="G448" s="39" t="inlineStr">
        <is>
          <t>Candidats admis</t>
        </is>
      </c>
      <c r="H448" s="40" t="inlineStr">
        <is>
          <t>TECHNIQUE</t>
        </is>
      </c>
      <c r="I448" s="41" t="inlineStr">
        <is>
          <t>2025FCST_V4</t>
        </is>
      </c>
      <c r="J448" s="41" t="n">
        <v>2025</v>
      </c>
      <c r="K448" s="41" t="inlineStr">
        <is>
          <t>NB</t>
        </is>
      </c>
      <c r="L448" s="43" t="n">
        <v>67</v>
      </c>
    </row>
    <row r="449">
      <c r="B449" s="39" t="inlineStr">
        <is>
          <t>MBWAY_LYO</t>
        </is>
      </c>
      <c r="C449" s="40" t="inlineStr">
        <is>
          <t>MAS_MGT</t>
        </is>
      </c>
      <c r="D449" s="40" t="inlineStr">
        <is>
          <t>M1</t>
        </is>
      </c>
      <c r="E449" s="40" t="inlineStr">
        <is>
          <t>ALT</t>
        </is>
      </c>
      <c r="F449" s="40" t="inlineStr">
        <is>
          <t>STA_NOUV</t>
        </is>
      </c>
      <c r="G449" s="39" t="inlineStr">
        <is>
          <t>Nouveaux inscrits</t>
        </is>
      </c>
      <c r="H449" s="40" t="inlineStr">
        <is>
          <t>TECHNIQUE</t>
        </is>
      </c>
      <c r="I449" s="41" t="inlineStr">
        <is>
          <t>2023ACT_VDEF</t>
        </is>
      </c>
      <c r="J449" s="41" t="n">
        <v>2023</v>
      </c>
      <c r="K449" s="41" t="inlineStr">
        <is>
          <t>NB</t>
        </is>
      </c>
      <c r="L449" s="43" t="n">
        <v>36</v>
      </c>
    </row>
    <row r="450">
      <c r="B450" s="39" t="inlineStr">
        <is>
          <t>MBWAY_LYO</t>
        </is>
      </c>
      <c r="C450" s="40" t="inlineStr">
        <is>
          <t>MAS_MGT</t>
        </is>
      </c>
      <c r="D450" s="40" t="inlineStr">
        <is>
          <t>M1</t>
        </is>
      </c>
      <c r="E450" s="40" t="inlineStr">
        <is>
          <t>ALT</t>
        </is>
      </c>
      <c r="F450" s="40" t="inlineStr">
        <is>
          <t>STA_NOUV</t>
        </is>
      </c>
      <c r="G450" s="39" t="inlineStr">
        <is>
          <t>Nouveaux inscrits</t>
        </is>
      </c>
      <c r="H450" s="40" t="inlineStr">
        <is>
          <t>TECHNIQUE</t>
        </is>
      </c>
      <c r="I450" s="41" t="inlineStr">
        <is>
          <t>2024ACT_VDEF</t>
        </is>
      </c>
      <c r="J450" s="41" t="n">
        <v>2024</v>
      </c>
      <c r="K450" s="41" t="inlineStr">
        <is>
          <t>NB</t>
        </is>
      </c>
      <c r="L450" s="43" t="n">
        <v>38</v>
      </c>
    </row>
    <row r="451">
      <c r="B451" s="39" t="inlineStr">
        <is>
          <t>MBWAY_LYO</t>
        </is>
      </c>
      <c r="C451" s="40" t="inlineStr">
        <is>
          <t>MAS_MGT</t>
        </is>
      </c>
      <c r="D451" s="40" t="inlineStr">
        <is>
          <t>M1</t>
        </is>
      </c>
      <c r="E451" s="40" t="inlineStr">
        <is>
          <t>ALT</t>
        </is>
      </c>
      <c r="F451" s="40" t="inlineStr">
        <is>
          <t>STA_NOUV</t>
        </is>
      </c>
      <c r="G451" s="39" t="inlineStr">
        <is>
          <t>Nouveaux inscrits</t>
        </is>
      </c>
      <c r="H451" s="40" t="inlineStr">
        <is>
          <t>TECHNIQUE</t>
        </is>
      </c>
      <c r="I451" s="41" t="inlineStr">
        <is>
          <t>2025FCST_V4</t>
        </is>
      </c>
      <c r="J451" s="41" t="n">
        <v>2025</v>
      </c>
      <c r="K451" s="41" t="inlineStr">
        <is>
          <t>NB</t>
        </is>
      </c>
      <c r="L451" s="43" t="n">
        <v>40</v>
      </c>
    </row>
    <row r="452">
      <c r="B452" s="39" t="inlineStr">
        <is>
          <t>MBWAY_LYO</t>
        </is>
      </c>
      <c r="C452" s="40" t="inlineStr">
        <is>
          <t>MAS_MGT</t>
        </is>
      </c>
      <c r="D452" s="40" t="inlineStr">
        <is>
          <t>M1</t>
        </is>
      </c>
      <c r="E452" s="40" t="inlineStr">
        <is>
          <t>ALT</t>
        </is>
      </c>
      <c r="F452" s="40" t="inlineStr">
        <is>
          <t>STA_CLASS</t>
        </is>
      </c>
      <c r="G452" s="39" t="inlineStr">
        <is>
          <t>Nombre de classes</t>
        </is>
      </c>
      <c r="H452" s="40" t="inlineStr">
        <is>
          <t>TECHNIQUE</t>
        </is>
      </c>
      <c r="I452" s="41" t="inlineStr">
        <is>
          <t>2023ACT_VDEF</t>
        </is>
      </c>
      <c r="J452" s="41" t="n">
        <v>2023</v>
      </c>
      <c r="K452" s="41" t="inlineStr">
        <is>
          <t>NB</t>
        </is>
      </c>
      <c r="L452" s="43" t="n">
        <v>2</v>
      </c>
    </row>
    <row r="453">
      <c r="B453" s="39" t="inlineStr">
        <is>
          <t>MBWAY_LYO</t>
        </is>
      </c>
      <c r="C453" s="40" t="inlineStr">
        <is>
          <t>MAS_MGT</t>
        </is>
      </c>
      <c r="D453" s="40" t="inlineStr">
        <is>
          <t>M1</t>
        </is>
      </c>
      <c r="E453" s="40" t="inlineStr">
        <is>
          <t>ALT</t>
        </is>
      </c>
      <c r="F453" s="40" t="inlineStr">
        <is>
          <t>STA_CLASS</t>
        </is>
      </c>
      <c r="G453" s="39" t="inlineStr">
        <is>
          <t>Nombre de classes</t>
        </is>
      </c>
      <c r="H453" s="40" t="inlineStr">
        <is>
          <t>TECHNIQUE</t>
        </is>
      </c>
      <c r="I453" s="41" t="inlineStr">
        <is>
          <t>2024ACT_VDEF</t>
        </is>
      </c>
      <c r="J453" s="41" t="n">
        <v>2024</v>
      </c>
      <c r="K453" s="41" t="inlineStr">
        <is>
          <t>NB</t>
        </is>
      </c>
      <c r="L453" s="43" t="n">
        <v>2</v>
      </c>
    </row>
    <row r="454">
      <c r="B454" s="39" t="inlineStr">
        <is>
          <t>MBWAY_LYO</t>
        </is>
      </c>
      <c r="C454" s="40" t="inlineStr">
        <is>
          <t>MAS_MGT</t>
        </is>
      </c>
      <c r="D454" s="40" t="inlineStr">
        <is>
          <t>M1</t>
        </is>
      </c>
      <c r="E454" s="40" t="inlineStr">
        <is>
          <t>ALT</t>
        </is>
      </c>
      <c r="F454" s="40" t="inlineStr">
        <is>
          <t>STA_CLASS</t>
        </is>
      </c>
      <c r="G454" s="39" t="inlineStr">
        <is>
          <t>Nombre de classes</t>
        </is>
      </c>
      <c r="H454" s="40" t="inlineStr">
        <is>
          <t>TECHNIQUE</t>
        </is>
      </c>
      <c r="I454" s="41" t="inlineStr">
        <is>
          <t>2025FCST_V4</t>
        </is>
      </c>
      <c r="J454" s="41" t="n">
        <v>2025</v>
      </c>
      <c r="K454" s="41" t="inlineStr">
        <is>
          <t>NB</t>
        </is>
      </c>
      <c r="L454" s="43" t="n">
        <v>2</v>
      </c>
    </row>
    <row r="455">
      <c r="B455" s="39" t="inlineStr">
        <is>
          <t>MBWAY_LYO</t>
        </is>
      </c>
      <c r="C455" s="40" t="inlineStr">
        <is>
          <t>MAS_MGT</t>
        </is>
      </c>
      <c r="D455" s="40" t="inlineStr">
        <is>
          <t>M1</t>
        </is>
      </c>
      <c r="E455" s="40" t="inlineStr">
        <is>
          <t>ALT</t>
        </is>
      </c>
      <c r="F455" s="40" t="inlineStr">
        <is>
          <t>STA_HEURE</t>
        </is>
      </c>
      <c r="G455" s="39" t="inlineStr">
        <is>
          <t>Heures d'enseignement</t>
        </is>
      </c>
      <c r="H455" s="40" t="inlineStr">
        <is>
          <t>TECHNIQUE</t>
        </is>
      </c>
      <c r="I455" s="41" t="inlineStr">
        <is>
          <t>2023ACT_VDEF</t>
        </is>
      </c>
      <c r="J455" s="41" t="n">
        <v>2023</v>
      </c>
      <c r="K455" s="41" t="inlineStr">
        <is>
          <t>NB</t>
        </is>
      </c>
      <c r="L455" s="43" t="n">
        <v>864</v>
      </c>
    </row>
    <row r="456">
      <c r="B456" s="39" t="inlineStr">
        <is>
          <t>MBWAY_LYO</t>
        </is>
      </c>
      <c r="C456" s="40" t="inlineStr">
        <is>
          <t>MAS_MGT</t>
        </is>
      </c>
      <c r="D456" s="40" t="inlineStr">
        <is>
          <t>M1</t>
        </is>
      </c>
      <c r="E456" s="40" t="inlineStr">
        <is>
          <t>ALT</t>
        </is>
      </c>
      <c r="F456" s="40" t="inlineStr">
        <is>
          <t>STA_HEURE</t>
        </is>
      </c>
      <c r="G456" s="39" t="inlineStr">
        <is>
          <t>Heures d'enseignement</t>
        </is>
      </c>
      <c r="H456" s="40" t="inlineStr">
        <is>
          <t>TECHNIQUE</t>
        </is>
      </c>
      <c r="I456" s="41" t="inlineStr">
        <is>
          <t>2024ACT_VDEF</t>
        </is>
      </c>
      <c r="J456" s="41" t="n">
        <v>2024</v>
      </c>
      <c r="K456" s="41" t="inlineStr">
        <is>
          <t>NB</t>
        </is>
      </c>
      <c r="L456" s="43" t="n">
        <v>912</v>
      </c>
    </row>
    <row r="457">
      <c r="B457" s="39" t="inlineStr">
        <is>
          <t>MBWAY_LYO</t>
        </is>
      </c>
      <c r="C457" s="40" t="inlineStr">
        <is>
          <t>MAS_MGT</t>
        </is>
      </c>
      <c r="D457" s="40" t="inlineStr">
        <is>
          <t>M1</t>
        </is>
      </c>
      <c r="E457" s="40" t="inlineStr">
        <is>
          <t>ALT</t>
        </is>
      </c>
      <c r="F457" s="40" t="inlineStr">
        <is>
          <t>STA_HEURE</t>
        </is>
      </c>
      <c r="G457" s="39" t="inlineStr">
        <is>
          <t>Heures d'enseignement</t>
        </is>
      </c>
      <c r="H457" s="40" t="inlineStr">
        <is>
          <t>TECHNIQUE</t>
        </is>
      </c>
      <c r="I457" s="41" t="inlineStr">
        <is>
          <t>2025FCST_V4</t>
        </is>
      </c>
      <c r="J457" s="41" t="n">
        <v>2025</v>
      </c>
      <c r="K457" s="41" t="inlineStr">
        <is>
          <t>NB</t>
        </is>
      </c>
      <c r="L457" s="43" t="n">
        <v>960</v>
      </c>
    </row>
    <row r="458">
      <c r="B458" s="39" t="inlineStr">
        <is>
          <t>MBWAY_LYO</t>
        </is>
      </c>
      <c r="C458" s="40" t="inlineStr">
        <is>
          <t>MAS_MGT</t>
        </is>
      </c>
      <c r="D458" s="40" t="inlineStr">
        <is>
          <t>M1</t>
        </is>
      </c>
      <c r="E458" s="40" t="inlineStr">
        <is>
          <t>ALT</t>
        </is>
      </c>
      <c r="F458" s="40" t="inlineStr">
        <is>
          <t>STA_CAPA</t>
        </is>
      </c>
      <c r="G458" s="39" t="inlineStr">
        <is>
          <t>Capacité par classe</t>
        </is>
      </c>
      <c r="H458" s="40" t="inlineStr">
        <is>
          <t>TECHNIQUE</t>
        </is>
      </c>
      <c r="I458" s="41" t="inlineStr">
        <is>
          <t>2023ACT_VDEF</t>
        </is>
      </c>
      <c r="J458" s="41" t="n">
        <v>2023</v>
      </c>
      <c r="K458" s="41" t="inlineStr">
        <is>
          <t>NB</t>
        </is>
      </c>
      <c r="L458" s="43" t="n">
        <v>26</v>
      </c>
    </row>
    <row r="459">
      <c r="B459" s="39" t="inlineStr">
        <is>
          <t>MBWAY_LYO</t>
        </is>
      </c>
      <c r="C459" s="40" t="inlineStr">
        <is>
          <t>MAS_MGT</t>
        </is>
      </c>
      <c r="D459" s="40" t="inlineStr">
        <is>
          <t>M1</t>
        </is>
      </c>
      <c r="E459" s="40" t="inlineStr">
        <is>
          <t>ALT</t>
        </is>
      </c>
      <c r="F459" s="40" t="inlineStr">
        <is>
          <t>STA_CAPA</t>
        </is>
      </c>
      <c r="G459" s="39" t="inlineStr">
        <is>
          <t>Capacité par classe</t>
        </is>
      </c>
      <c r="H459" s="40" t="inlineStr">
        <is>
          <t>TECHNIQUE</t>
        </is>
      </c>
      <c r="I459" s="41" t="inlineStr">
        <is>
          <t>2024ACT_VDEF</t>
        </is>
      </c>
      <c r="J459" s="41" t="n">
        <v>2024</v>
      </c>
      <c r="K459" s="41" t="inlineStr">
        <is>
          <t>NB</t>
        </is>
      </c>
      <c r="L459" s="43" t="n">
        <v>26</v>
      </c>
    </row>
    <row r="460">
      <c r="B460" s="39" t="inlineStr">
        <is>
          <t>MBWAY_LYO</t>
        </is>
      </c>
      <c r="C460" s="40" t="inlineStr">
        <is>
          <t>MAS_MGT</t>
        </is>
      </c>
      <c r="D460" s="40" t="inlineStr">
        <is>
          <t>M1</t>
        </is>
      </c>
      <c r="E460" s="40" t="inlineStr">
        <is>
          <t>ALT</t>
        </is>
      </c>
      <c r="F460" s="40" t="inlineStr">
        <is>
          <t>STA_CAPA</t>
        </is>
      </c>
      <c r="G460" s="39" t="inlineStr">
        <is>
          <t>Capacité par classe</t>
        </is>
      </c>
      <c r="H460" s="40" t="inlineStr">
        <is>
          <t>TECHNIQUE</t>
        </is>
      </c>
      <c r="I460" s="41" t="inlineStr">
        <is>
          <t>2025FCST_V4</t>
        </is>
      </c>
      <c r="J460" s="41" t="n">
        <v>2025</v>
      </c>
      <c r="K460" s="41" t="inlineStr">
        <is>
          <t>NB</t>
        </is>
      </c>
      <c r="L460" s="43" t="n">
        <v>26</v>
      </c>
    </row>
    <row r="461">
      <c r="B461" s="39" t="inlineStr">
        <is>
          <t>MBWAY_LYO</t>
        </is>
      </c>
      <c r="C461" s="40" t="inlineStr">
        <is>
          <t>MAS_MGT</t>
        </is>
      </c>
      <c r="D461" s="40" t="inlineStr">
        <is>
          <t>M1</t>
        </is>
      </c>
      <c r="E461" s="40" t="inlineStr">
        <is>
          <t>ALT</t>
        </is>
      </c>
      <c r="F461" s="40" t="inlineStr">
        <is>
          <t>DRV_CONV</t>
        </is>
      </c>
      <c r="G461" s="39" t="inlineStr">
        <is>
          <t>Taux de conversion candidat→inscrit</t>
        </is>
      </c>
      <c r="H461" s="40" t="inlineStr">
        <is>
          <t>TECHNIQUE</t>
        </is>
      </c>
      <c r="I461" s="41" t="inlineStr">
        <is>
          <t>2023ACT_VDEF</t>
        </is>
      </c>
      <c r="J461" s="41" t="n">
        <v>2023</v>
      </c>
      <c r="K461" s="41" t="inlineStr">
        <is>
          <t>PCT</t>
        </is>
      </c>
      <c r="L461" s="44" t="n">
        <v>0.3704</v>
      </c>
    </row>
    <row r="462">
      <c r="B462" s="39" t="inlineStr">
        <is>
          <t>MBWAY_LYO</t>
        </is>
      </c>
      <c r="C462" s="40" t="inlineStr">
        <is>
          <t>MAS_MGT</t>
        </is>
      </c>
      <c r="D462" s="40" t="inlineStr">
        <is>
          <t>M1</t>
        </is>
      </c>
      <c r="E462" s="40" t="inlineStr">
        <is>
          <t>ALT</t>
        </is>
      </c>
      <c r="F462" s="40" t="inlineStr">
        <is>
          <t>DRV_CONV</t>
        </is>
      </c>
      <c r="G462" s="39" t="inlineStr">
        <is>
          <t>Taux de conversion candidat→inscrit</t>
        </is>
      </c>
      <c r="H462" s="40" t="inlineStr">
        <is>
          <t>TECHNIQUE</t>
        </is>
      </c>
      <c r="I462" s="41" t="inlineStr">
        <is>
          <t>2024ACT_VDEF</t>
        </is>
      </c>
      <c r="J462" s="41" t="n">
        <v>2024</v>
      </c>
      <c r="K462" s="41" t="inlineStr">
        <is>
          <t>PCT</t>
        </is>
      </c>
      <c r="L462" s="44" t="n">
        <v>0.3704</v>
      </c>
    </row>
    <row r="463">
      <c r="B463" s="39" t="inlineStr">
        <is>
          <t>MBWAY_LYO</t>
        </is>
      </c>
      <c r="C463" s="40" t="inlineStr">
        <is>
          <t>MAS_MGT</t>
        </is>
      </c>
      <c r="D463" s="40" t="inlineStr">
        <is>
          <t>M1</t>
        </is>
      </c>
      <c r="E463" s="40" t="inlineStr">
        <is>
          <t>ALT</t>
        </is>
      </c>
      <c r="F463" s="40" t="inlineStr">
        <is>
          <t>DRV_CONV</t>
        </is>
      </c>
      <c r="G463" s="39" t="inlineStr">
        <is>
          <t>Taux de conversion candidat→inscrit</t>
        </is>
      </c>
      <c r="H463" s="40" t="inlineStr">
        <is>
          <t>TECHNIQUE</t>
        </is>
      </c>
      <c r="I463" s="41" t="inlineStr">
        <is>
          <t>2025FCST_V4</t>
        </is>
      </c>
      <c r="J463" s="41" t="n">
        <v>2025</v>
      </c>
      <c r="K463" s="41" t="inlineStr">
        <is>
          <t>PCT</t>
        </is>
      </c>
      <c r="L463" s="44" t="n">
        <v>0.3704</v>
      </c>
    </row>
    <row r="464">
      <c r="B464" s="39" t="inlineStr">
        <is>
          <t>MBWAY_LYO</t>
        </is>
      </c>
      <c r="C464" s="40" t="inlineStr">
        <is>
          <t>MAS_MGT</t>
        </is>
      </c>
      <c r="D464" s="40" t="inlineStr">
        <is>
          <t>M1</t>
        </is>
      </c>
      <c r="E464" s="40" t="inlineStr">
        <is>
          <t>ALT</t>
        </is>
      </c>
      <c r="F464" s="40" t="inlineStr">
        <is>
          <t>PRX_TARIF</t>
        </is>
      </c>
      <c r="G464" s="39" t="inlineStr">
        <is>
          <t>Tarif moyen scolarité</t>
        </is>
      </c>
      <c r="H464" s="40" t="inlineStr">
        <is>
          <t>TECHNIQUE</t>
        </is>
      </c>
      <c r="I464" s="41" t="inlineStr">
        <is>
          <t>2023ACT_VDEF</t>
        </is>
      </c>
      <c r="J464" s="41" t="n">
        <v>2023</v>
      </c>
      <c r="K464" s="41" t="inlineStr">
        <is>
          <t>EUR</t>
        </is>
      </c>
      <c r="L464" s="42" t="n">
        <v>9000</v>
      </c>
    </row>
    <row r="465">
      <c r="B465" s="39" t="inlineStr">
        <is>
          <t>MBWAY_LYO</t>
        </is>
      </c>
      <c r="C465" s="40" t="inlineStr">
        <is>
          <t>MAS_MGT</t>
        </is>
      </c>
      <c r="D465" s="40" t="inlineStr">
        <is>
          <t>M1</t>
        </is>
      </c>
      <c r="E465" s="40" t="inlineStr">
        <is>
          <t>ALT</t>
        </is>
      </c>
      <c r="F465" s="40" t="inlineStr">
        <is>
          <t>PRX_TARIF</t>
        </is>
      </c>
      <c r="G465" s="39" t="inlineStr">
        <is>
          <t>Tarif moyen scolarité</t>
        </is>
      </c>
      <c r="H465" s="40" t="inlineStr">
        <is>
          <t>TECHNIQUE</t>
        </is>
      </c>
      <c r="I465" s="41" t="inlineStr">
        <is>
          <t>2024ACT_VDEF</t>
        </is>
      </c>
      <c r="J465" s="41" t="n">
        <v>2024</v>
      </c>
      <c r="K465" s="41" t="inlineStr">
        <is>
          <t>EUR</t>
        </is>
      </c>
      <c r="L465" s="42" t="n">
        <v>9000</v>
      </c>
    </row>
    <row r="466">
      <c r="B466" s="39" t="inlineStr">
        <is>
          <t>MBWAY_LYO</t>
        </is>
      </c>
      <c r="C466" s="40" t="inlineStr">
        <is>
          <t>MAS_MGT</t>
        </is>
      </c>
      <c r="D466" s="40" t="inlineStr">
        <is>
          <t>M1</t>
        </is>
      </c>
      <c r="E466" s="40" t="inlineStr">
        <is>
          <t>ALT</t>
        </is>
      </c>
      <c r="F466" s="40" t="inlineStr">
        <is>
          <t>PRX_TARIF</t>
        </is>
      </c>
      <c r="G466" s="39" t="inlineStr">
        <is>
          <t>Tarif moyen scolarité</t>
        </is>
      </c>
      <c r="H466" s="40" t="inlineStr">
        <is>
          <t>TECHNIQUE</t>
        </is>
      </c>
      <c r="I466" s="41" t="inlineStr">
        <is>
          <t>2025FCST_V4</t>
        </is>
      </c>
      <c r="J466" s="41" t="n">
        <v>2025</v>
      </c>
      <c r="K466" s="41" t="inlineStr">
        <is>
          <t>EUR</t>
        </is>
      </c>
      <c r="L466" s="42" t="n">
        <v>9000</v>
      </c>
    </row>
    <row r="467">
      <c r="B467" s="39" t="inlineStr">
        <is>
          <t>MBWAY_LYO</t>
        </is>
      </c>
      <c r="C467" s="40" t="inlineStr">
        <is>
          <t>MAS_MGT</t>
        </is>
      </c>
      <c r="D467" s="40" t="inlineStr">
        <is>
          <t>M1</t>
        </is>
      </c>
      <c r="E467" s="40" t="inlineStr">
        <is>
          <t>ALT</t>
        </is>
      </c>
      <c r="F467" s="40" t="inlineStr">
        <is>
          <t>CAC_LEAD</t>
        </is>
      </c>
      <c r="G467" s="39" t="inlineStr">
        <is>
          <t>Coût d'acquisition par lead</t>
        </is>
      </c>
      <c r="H467" s="40" t="inlineStr">
        <is>
          <t>TECHNIQUE</t>
        </is>
      </c>
      <c r="I467" s="41" t="inlineStr">
        <is>
          <t>2023ACT_VDEF</t>
        </is>
      </c>
      <c r="J467" s="41" t="n">
        <v>2023</v>
      </c>
      <c r="K467" s="41" t="inlineStr">
        <is>
          <t>EUR</t>
        </is>
      </c>
      <c r="L467" s="42" t="n">
        <v>600</v>
      </c>
    </row>
    <row r="468">
      <c r="B468" s="39" t="inlineStr">
        <is>
          <t>MBWAY_LYO</t>
        </is>
      </c>
      <c r="C468" s="40" t="inlineStr">
        <is>
          <t>MAS_MGT</t>
        </is>
      </c>
      <c r="D468" s="40" t="inlineStr">
        <is>
          <t>M1</t>
        </is>
      </c>
      <c r="E468" s="40" t="inlineStr">
        <is>
          <t>ALT</t>
        </is>
      </c>
      <c r="F468" s="40" t="inlineStr">
        <is>
          <t>CAC_LEAD</t>
        </is>
      </c>
      <c r="G468" s="39" t="inlineStr">
        <is>
          <t>Coût d'acquisition par lead</t>
        </is>
      </c>
      <c r="H468" s="40" t="inlineStr">
        <is>
          <t>TECHNIQUE</t>
        </is>
      </c>
      <c r="I468" s="41" t="inlineStr">
        <is>
          <t>2024ACT_VDEF</t>
        </is>
      </c>
      <c r="J468" s="41" t="n">
        <v>2024</v>
      </c>
      <c r="K468" s="41" t="inlineStr">
        <is>
          <t>EUR</t>
        </is>
      </c>
      <c r="L468" s="42" t="n">
        <v>600</v>
      </c>
    </row>
    <row r="469">
      <c r="B469" s="39" t="inlineStr">
        <is>
          <t>MBWAY_LYO</t>
        </is>
      </c>
      <c r="C469" s="40" t="inlineStr">
        <is>
          <t>MAS_MGT</t>
        </is>
      </c>
      <c r="D469" s="40" t="inlineStr">
        <is>
          <t>M1</t>
        </is>
      </c>
      <c r="E469" s="40" t="inlineStr">
        <is>
          <t>ALT</t>
        </is>
      </c>
      <c r="F469" s="40" t="inlineStr">
        <is>
          <t>CAC_LEAD</t>
        </is>
      </c>
      <c r="G469" s="39" t="inlineStr">
        <is>
          <t>Coût d'acquisition par lead</t>
        </is>
      </c>
      <c r="H469" s="40" t="inlineStr">
        <is>
          <t>TECHNIQUE</t>
        </is>
      </c>
      <c r="I469" s="41" t="inlineStr">
        <is>
          <t>2025FCST_V4</t>
        </is>
      </c>
      <c r="J469" s="41" t="n">
        <v>2025</v>
      </c>
      <c r="K469" s="41" t="inlineStr">
        <is>
          <t>EUR</t>
        </is>
      </c>
      <c r="L469" s="42" t="n">
        <v>600</v>
      </c>
    </row>
    <row r="470">
      <c r="B470" s="39" t="inlineStr">
        <is>
          <t>MBWAY_LYO</t>
        </is>
      </c>
      <c r="C470" s="40" t="inlineStr">
        <is>
          <t>MAS_MGT</t>
        </is>
      </c>
      <c r="D470" s="40" t="inlineStr">
        <is>
          <t>M2</t>
        </is>
      </c>
      <c r="E470" s="40" t="inlineStr">
        <is>
          <t>ALT</t>
        </is>
      </c>
      <c r="F470" s="40" t="inlineStr">
        <is>
          <t>706100</t>
        </is>
      </c>
      <c r="G470" s="39" t="inlineStr">
        <is>
          <t>Droits de scolarité</t>
        </is>
      </c>
      <c r="H470" s="40" t="inlineStr">
        <is>
          <t>COMPTABLE</t>
        </is>
      </c>
      <c r="I470" s="41" t="inlineStr">
        <is>
          <t>2023ACT_VDEF</t>
        </is>
      </c>
      <c r="J470" s="41" t="n">
        <v>2023</v>
      </c>
      <c r="K470" s="41" t="inlineStr">
        <is>
          <t>EUR</t>
        </is>
      </c>
      <c r="L470" s="42" t="n">
        <v>291600</v>
      </c>
    </row>
    <row r="471">
      <c r="B471" s="39" t="inlineStr">
        <is>
          <t>MBWAY_LYO</t>
        </is>
      </c>
      <c r="C471" s="40" t="inlineStr">
        <is>
          <t>MAS_MGT</t>
        </is>
      </c>
      <c r="D471" s="40" t="inlineStr">
        <is>
          <t>M2</t>
        </is>
      </c>
      <c r="E471" s="40" t="inlineStr">
        <is>
          <t>ALT</t>
        </is>
      </c>
      <c r="F471" s="40" t="inlineStr">
        <is>
          <t>706100</t>
        </is>
      </c>
      <c r="G471" s="39" t="inlineStr">
        <is>
          <t>Droits de scolarité</t>
        </is>
      </c>
      <c r="H471" s="40" t="inlineStr">
        <is>
          <t>COMPTABLE</t>
        </is>
      </c>
      <c r="I471" s="41" t="inlineStr">
        <is>
          <t>2024ACT_VDEF</t>
        </is>
      </c>
      <c r="J471" s="41" t="n">
        <v>2024</v>
      </c>
      <c r="K471" s="41" t="inlineStr">
        <is>
          <t>EUR</t>
        </is>
      </c>
      <c r="L471" s="42" t="n">
        <v>307800</v>
      </c>
    </row>
    <row r="472">
      <c r="B472" s="39" t="inlineStr">
        <is>
          <t>MBWAY_LYO</t>
        </is>
      </c>
      <c r="C472" s="40" t="inlineStr">
        <is>
          <t>MAS_MGT</t>
        </is>
      </c>
      <c r="D472" s="40" t="inlineStr">
        <is>
          <t>M2</t>
        </is>
      </c>
      <c r="E472" s="40" t="inlineStr">
        <is>
          <t>ALT</t>
        </is>
      </c>
      <c r="F472" s="40" t="inlineStr">
        <is>
          <t>706100</t>
        </is>
      </c>
      <c r="G472" s="39" t="inlineStr">
        <is>
          <t>Droits de scolarité</t>
        </is>
      </c>
      <c r="H472" s="40" t="inlineStr">
        <is>
          <t>COMPTABLE</t>
        </is>
      </c>
      <c r="I472" s="41" t="inlineStr">
        <is>
          <t>2025FCST_V4</t>
        </is>
      </c>
      <c r="J472" s="41" t="n">
        <v>2025</v>
      </c>
      <c r="K472" s="41" t="inlineStr">
        <is>
          <t>EUR</t>
        </is>
      </c>
      <c r="L472" s="42" t="n">
        <v>324000</v>
      </c>
    </row>
    <row r="473">
      <c r="B473" s="39" t="inlineStr">
        <is>
          <t>MBWAY_LYO</t>
        </is>
      </c>
      <c r="C473" s="40" t="inlineStr">
        <is>
          <t>MAS_MGT</t>
        </is>
      </c>
      <c r="D473" s="40" t="inlineStr">
        <is>
          <t>M2</t>
        </is>
      </c>
      <c r="E473" s="40" t="inlineStr">
        <is>
          <t>ALT</t>
        </is>
      </c>
      <c r="F473" s="40" t="inlineStr">
        <is>
          <t>604100</t>
        </is>
      </c>
      <c r="G473" s="39" t="inlineStr">
        <is>
          <t>Vacations &amp; sous-traitance pédagogique</t>
        </is>
      </c>
      <c r="H473" s="40" t="inlineStr">
        <is>
          <t>COMPTABLE</t>
        </is>
      </c>
      <c r="I473" s="41" t="inlineStr">
        <is>
          <t>2023ACT_VDEF</t>
        </is>
      </c>
      <c r="J473" s="41" t="n">
        <v>2023</v>
      </c>
      <c r="K473" s="41" t="inlineStr">
        <is>
          <t>EUR</t>
        </is>
      </c>
      <c r="L473" s="42" t="n">
        <v>55440</v>
      </c>
    </row>
    <row r="474">
      <c r="B474" s="39" t="inlineStr">
        <is>
          <t>MBWAY_LYO</t>
        </is>
      </c>
      <c r="C474" s="40" t="inlineStr">
        <is>
          <t>MAS_MGT</t>
        </is>
      </c>
      <c r="D474" s="40" t="inlineStr">
        <is>
          <t>M2</t>
        </is>
      </c>
      <c r="E474" s="40" t="inlineStr">
        <is>
          <t>ALT</t>
        </is>
      </c>
      <c r="F474" s="40" t="inlineStr">
        <is>
          <t>604100</t>
        </is>
      </c>
      <c r="G474" s="39" t="inlineStr">
        <is>
          <t>Vacations &amp; sous-traitance pédagogique</t>
        </is>
      </c>
      <c r="H474" s="40" t="inlineStr">
        <is>
          <t>COMPTABLE</t>
        </is>
      </c>
      <c r="I474" s="41" t="inlineStr">
        <is>
          <t>2024ACT_VDEF</t>
        </is>
      </c>
      <c r="J474" s="41" t="n">
        <v>2024</v>
      </c>
      <c r="K474" s="41" t="inlineStr">
        <is>
          <t>EUR</t>
        </is>
      </c>
      <c r="L474" s="42" t="n">
        <v>58520</v>
      </c>
    </row>
    <row r="475">
      <c r="B475" s="39" t="inlineStr">
        <is>
          <t>MBWAY_LYO</t>
        </is>
      </c>
      <c r="C475" s="40" t="inlineStr">
        <is>
          <t>MAS_MGT</t>
        </is>
      </c>
      <c r="D475" s="40" t="inlineStr">
        <is>
          <t>M2</t>
        </is>
      </c>
      <c r="E475" s="40" t="inlineStr">
        <is>
          <t>ALT</t>
        </is>
      </c>
      <c r="F475" s="40" t="inlineStr">
        <is>
          <t>604100</t>
        </is>
      </c>
      <c r="G475" s="39" t="inlineStr">
        <is>
          <t>Vacations &amp; sous-traitance pédagogique</t>
        </is>
      </c>
      <c r="H475" s="40" t="inlineStr">
        <is>
          <t>COMPTABLE</t>
        </is>
      </c>
      <c r="I475" s="41" t="inlineStr">
        <is>
          <t>2025FCST_V4</t>
        </is>
      </c>
      <c r="J475" s="41" t="n">
        <v>2025</v>
      </c>
      <c r="K475" s="41" t="inlineStr">
        <is>
          <t>EUR</t>
        </is>
      </c>
      <c r="L475" s="42" t="n">
        <v>61600</v>
      </c>
    </row>
    <row r="476">
      <c r="B476" s="39" t="inlineStr">
        <is>
          <t>MBWAY_LYO</t>
        </is>
      </c>
      <c r="C476" s="40" t="inlineStr">
        <is>
          <t>MAS_MGT</t>
        </is>
      </c>
      <c r="D476" s="40" t="inlineStr">
        <is>
          <t>M2</t>
        </is>
      </c>
      <c r="E476" s="40" t="inlineStr">
        <is>
          <t>ALT</t>
        </is>
      </c>
      <c r="F476" s="40" t="inlineStr">
        <is>
          <t>606300</t>
        </is>
      </c>
      <c r="G476" s="39" t="inlineStr">
        <is>
          <t>Fournitures &amp; ressources pédagogiques</t>
        </is>
      </c>
      <c r="H476" s="40" t="inlineStr">
        <is>
          <t>COMPTABLE</t>
        </is>
      </c>
      <c r="I476" s="41" t="inlineStr">
        <is>
          <t>2023ACT_VDEF</t>
        </is>
      </c>
      <c r="J476" s="41" t="n">
        <v>2023</v>
      </c>
      <c r="K476" s="41" t="inlineStr">
        <is>
          <t>EUR</t>
        </is>
      </c>
      <c r="L476" s="42" t="n">
        <v>16848</v>
      </c>
    </row>
    <row r="477">
      <c r="B477" s="39" t="inlineStr">
        <is>
          <t>MBWAY_LYO</t>
        </is>
      </c>
      <c r="C477" s="40" t="inlineStr">
        <is>
          <t>MAS_MGT</t>
        </is>
      </c>
      <c r="D477" s="40" t="inlineStr">
        <is>
          <t>M2</t>
        </is>
      </c>
      <c r="E477" s="40" t="inlineStr">
        <is>
          <t>ALT</t>
        </is>
      </c>
      <c r="F477" s="40" t="inlineStr">
        <is>
          <t>606300</t>
        </is>
      </c>
      <c r="G477" s="39" t="inlineStr">
        <is>
          <t>Fournitures &amp; ressources pédagogiques</t>
        </is>
      </c>
      <c r="H477" s="40" t="inlineStr">
        <is>
          <t>COMPTABLE</t>
        </is>
      </c>
      <c r="I477" s="41" t="inlineStr">
        <is>
          <t>2024ACT_VDEF</t>
        </is>
      </c>
      <c r="J477" s="41" t="n">
        <v>2024</v>
      </c>
      <c r="K477" s="41" t="inlineStr">
        <is>
          <t>EUR</t>
        </is>
      </c>
      <c r="L477" s="42" t="n">
        <v>17784</v>
      </c>
    </row>
    <row r="478">
      <c r="B478" s="39" t="inlineStr">
        <is>
          <t>MBWAY_LYO</t>
        </is>
      </c>
      <c r="C478" s="40" t="inlineStr">
        <is>
          <t>MAS_MGT</t>
        </is>
      </c>
      <c r="D478" s="40" t="inlineStr">
        <is>
          <t>M2</t>
        </is>
      </c>
      <c r="E478" s="40" t="inlineStr">
        <is>
          <t>ALT</t>
        </is>
      </c>
      <c r="F478" s="40" t="inlineStr">
        <is>
          <t>606300</t>
        </is>
      </c>
      <c r="G478" s="39" t="inlineStr">
        <is>
          <t>Fournitures &amp; ressources pédagogiques</t>
        </is>
      </c>
      <c r="H478" s="40" t="inlineStr">
        <is>
          <t>COMPTABLE</t>
        </is>
      </c>
      <c r="I478" s="41" t="inlineStr">
        <is>
          <t>2025FCST_V4</t>
        </is>
      </c>
      <c r="J478" s="41" t="n">
        <v>2025</v>
      </c>
      <c r="K478" s="41" t="inlineStr">
        <is>
          <t>EUR</t>
        </is>
      </c>
      <c r="L478" s="42" t="n">
        <v>18720</v>
      </c>
    </row>
    <row r="479">
      <c r="B479" s="39" t="inlineStr">
        <is>
          <t>MBWAY_LYO</t>
        </is>
      </c>
      <c r="C479" s="40" t="inlineStr">
        <is>
          <t>MAS_MGT</t>
        </is>
      </c>
      <c r="D479" s="40" t="inlineStr">
        <is>
          <t>M2</t>
        </is>
      </c>
      <c r="E479" s="40" t="inlineStr">
        <is>
          <t>ALT</t>
        </is>
      </c>
      <c r="F479" s="40" t="inlineStr">
        <is>
          <t>613200</t>
        </is>
      </c>
      <c r="G479" s="39" t="inlineStr">
        <is>
          <t>Locations immobilières (loyers)</t>
        </is>
      </c>
      <c r="H479" s="40" t="inlineStr">
        <is>
          <t>COMPTABLE</t>
        </is>
      </c>
      <c r="I479" s="41" t="inlineStr">
        <is>
          <t>2023ACT_VDEF</t>
        </is>
      </c>
      <c r="J479" s="41" t="n">
        <v>2023</v>
      </c>
      <c r="K479" s="41" t="inlineStr">
        <is>
          <t>EUR</t>
        </is>
      </c>
      <c r="L479" s="42" t="n">
        <v>37800</v>
      </c>
    </row>
    <row r="480">
      <c r="B480" s="39" t="inlineStr">
        <is>
          <t>MBWAY_LYO</t>
        </is>
      </c>
      <c r="C480" s="40" t="inlineStr">
        <is>
          <t>MAS_MGT</t>
        </is>
      </c>
      <c r="D480" s="40" t="inlineStr">
        <is>
          <t>M2</t>
        </is>
      </c>
      <c r="E480" s="40" t="inlineStr">
        <is>
          <t>ALT</t>
        </is>
      </c>
      <c r="F480" s="40" t="inlineStr">
        <is>
          <t>613200</t>
        </is>
      </c>
      <c r="G480" s="39" t="inlineStr">
        <is>
          <t>Locations immobilières (loyers)</t>
        </is>
      </c>
      <c r="H480" s="40" t="inlineStr">
        <is>
          <t>COMPTABLE</t>
        </is>
      </c>
      <c r="I480" s="41" t="inlineStr">
        <is>
          <t>2024ACT_VDEF</t>
        </is>
      </c>
      <c r="J480" s="41" t="n">
        <v>2024</v>
      </c>
      <c r="K480" s="41" t="inlineStr">
        <is>
          <t>EUR</t>
        </is>
      </c>
      <c r="L480" s="42" t="n">
        <v>39900</v>
      </c>
    </row>
    <row r="481">
      <c r="B481" s="39" t="inlineStr">
        <is>
          <t>MBWAY_LYO</t>
        </is>
      </c>
      <c r="C481" s="40" t="inlineStr">
        <is>
          <t>MAS_MGT</t>
        </is>
      </c>
      <c r="D481" s="40" t="inlineStr">
        <is>
          <t>M2</t>
        </is>
      </c>
      <c r="E481" s="40" t="inlineStr">
        <is>
          <t>ALT</t>
        </is>
      </c>
      <c r="F481" s="40" t="inlineStr">
        <is>
          <t>613200</t>
        </is>
      </c>
      <c r="G481" s="39" t="inlineStr">
        <is>
          <t>Locations immobilières (loyers)</t>
        </is>
      </c>
      <c r="H481" s="40" t="inlineStr">
        <is>
          <t>COMPTABLE</t>
        </is>
      </c>
      <c r="I481" s="41" t="inlineStr">
        <is>
          <t>2025FCST_V4</t>
        </is>
      </c>
      <c r="J481" s="41" t="n">
        <v>2025</v>
      </c>
      <c r="K481" s="41" t="inlineStr">
        <is>
          <t>EUR</t>
        </is>
      </c>
      <c r="L481" s="42" t="n">
        <v>42000</v>
      </c>
    </row>
    <row r="482">
      <c r="B482" s="39" t="inlineStr">
        <is>
          <t>MBWAY_LYO</t>
        </is>
      </c>
      <c r="C482" s="40" t="inlineStr">
        <is>
          <t>MAS_MGT</t>
        </is>
      </c>
      <c r="D482" s="40" t="inlineStr">
        <is>
          <t>M2</t>
        </is>
      </c>
      <c r="E482" s="40" t="inlineStr">
        <is>
          <t>ALT</t>
        </is>
      </c>
      <c r="F482" s="40" t="inlineStr">
        <is>
          <t>641100</t>
        </is>
      </c>
      <c r="G482" s="39" t="inlineStr">
        <is>
          <t>Rémunérations du personnel permanent</t>
        </is>
      </c>
      <c r="H482" s="40" t="inlineStr">
        <is>
          <t>COMPTABLE</t>
        </is>
      </c>
      <c r="I482" s="41" t="inlineStr">
        <is>
          <t>2023ACT_VDEF</t>
        </is>
      </c>
      <c r="J482" s="41" t="n">
        <v>2023</v>
      </c>
      <c r="K482" s="41" t="inlineStr">
        <is>
          <t>EUR</t>
        </is>
      </c>
      <c r="L482" s="42" t="n">
        <v>85418</v>
      </c>
    </row>
    <row r="483">
      <c r="B483" s="39" t="inlineStr">
        <is>
          <t>MBWAY_LYO</t>
        </is>
      </c>
      <c r="C483" s="40" t="inlineStr">
        <is>
          <t>MAS_MGT</t>
        </is>
      </c>
      <c r="D483" s="40" t="inlineStr">
        <is>
          <t>M2</t>
        </is>
      </c>
      <c r="E483" s="40" t="inlineStr">
        <is>
          <t>ALT</t>
        </is>
      </c>
      <c r="F483" s="40" t="inlineStr">
        <is>
          <t>641100</t>
        </is>
      </c>
      <c r="G483" s="39" t="inlineStr">
        <is>
          <t>Rémunérations du personnel permanent</t>
        </is>
      </c>
      <c r="H483" s="40" t="inlineStr">
        <is>
          <t>COMPTABLE</t>
        </is>
      </c>
      <c r="I483" s="41" t="inlineStr">
        <is>
          <t>2024ACT_VDEF</t>
        </is>
      </c>
      <c r="J483" s="41" t="n">
        <v>2024</v>
      </c>
      <c r="K483" s="41" t="inlineStr">
        <is>
          <t>EUR</t>
        </is>
      </c>
      <c r="L483" s="42" t="n">
        <v>90164</v>
      </c>
    </row>
    <row r="484">
      <c r="B484" s="39" t="inlineStr">
        <is>
          <t>MBWAY_LYO</t>
        </is>
      </c>
      <c r="C484" s="40" t="inlineStr">
        <is>
          <t>MAS_MGT</t>
        </is>
      </c>
      <c r="D484" s="40" t="inlineStr">
        <is>
          <t>M2</t>
        </is>
      </c>
      <c r="E484" s="40" t="inlineStr">
        <is>
          <t>ALT</t>
        </is>
      </c>
      <c r="F484" s="40" t="inlineStr">
        <is>
          <t>641100</t>
        </is>
      </c>
      <c r="G484" s="39" t="inlineStr">
        <is>
          <t>Rémunérations du personnel permanent</t>
        </is>
      </c>
      <c r="H484" s="40" t="inlineStr">
        <is>
          <t>COMPTABLE</t>
        </is>
      </c>
      <c r="I484" s="41" t="inlineStr">
        <is>
          <t>2025FCST_V4</t>
        </is>
      </c>
      <c r="J484" s="41" t="n">
        <v>2025</v>
      </c>
      <c r="K484" s="41" t="inlineStr">
        <is>
          <t>EUR</t>
        </is>
      </c>
      <c r="L484" s="42" t="n">
        <v>94909</v>
      </c>
    </row>
    <row r="485">
      <c r="B485" s="39" t="inlineStr">
        <is>
          <t>MBWAY_LYO</t>
        </is>
      </c>
      <c r="C485" s="40" t="inlineStr">
        <is>
          <t>MAS_MGT</t>
        </is>
      </c>
      <c r="D485" s="40" t="inlineStr">
        <is>
          <t>M2</t>
        </is>
      </c>
      <c r="E485" s="40" t="inlineStr">
        <is>
          <t>ALT</t>
        </is>
      </c>
      <c r="F485" s="40" t="inlineStr">
        <is>
          <t>622600</t>
        </is>
      </c>
      <c r="G485" s="39" t="inlineStr">
        <is>
          <t>Honoraires &amp; frais de siège (structure groupe)</t>
        </is>
      </c>
      <c r="H485" s="40" t="inlineStr">
        <is>
          <t>COMPTABLE</t>
        </is>
      </c>
      <c r="I485" s="41" t="inlineStr">
        <is>
          <t>2023ACT_VDEF</t>
        </is>
      </c>
      <c r="J485" s="41" t="n">
        <v>2023</v>
      </c>
      <c r="K485" s="41" t="inlineStr">
        <is>
          <t>EUR</t>
        </is>
      </c>
      <c r="L485" s="42" t="n">
        <v>34429</v>
      </c>
    </row>
    <row r="486">
      <c r="B486" s="39" t="inlineStr">
        <is>
          <t>MBWAY_LYO</t>
        </is>
      </c>
      <c r="C486" s="40" t="inlineStr">
        <is>
          <t>MAS_MGT</t>
        </is>
      </c>
      <c r="D486" s="40" t="inlineStr">
        <is>
          <t>M2</t>
        </is>
      </c>
      <c r="E486" s="40" t="inlineStr">
        <is>
          <t>ALT</t>
        </is>
      </c>
      <c r="F486" s="40" t="inlineStr">
        <is>
          <t>622600</t>
        </is>
      </c>
      <c r="G486" s="39" t="inlineStr">
        <is>
          <t>Honoraires &amp; frais de siège (structure groupe)</t>
        </is>
      </c>
      <c r="H486" s="40" t="inlineStr">
        <is>
          <t>COMPTABLE</t>
        </is>
      </c>
      <c r="I486" s="41" t="inlineStr">
        <is>
          <t>2024ACT_VDEF</t>
        </is>
      </c>
      <c r="J486" s="41" t="n">
        <v>2024</v>
      </c>
      <c r="K486" s="41" t="inlineStr">
        <is>
          <t>EUR</t>
        </is>
      </c>
      <c r="L486" s="42" t="n">
        <v>36341</v>
      </c>
    </row>
    <row r="487">
      <c r="B487" s="39" t="inlineStr">
        <is>
          <t>MBWAY_LYO</t>
        </is>
      </c>
      <c r="C487" s="40" t="inlineStr">
        <is>
          <t>MAS_MGT</t>
        </is>
      </c>
      <c r="D487" s="40" t="inlineStr">
        <is>
          <t>M2</t>
        </is>
      </c>
      <c r="E487" s="40" t="inlineStr">
        <is>
          <t>ALT</t>
        </is>
      </c>
      <c r="F487" s="40" t="inlineStr">
        <is>
          <t>622600</t>
        </is>
      </c>
      <c r="G487" s="39" t="inlineStr">
        <is>
          <t>Honoraires &amp; frais de siège (structure groupe)</t>
        </is>
      </c>
      <c r="H487" s="40" t="inlineStr">
        <is>
          <t>COMPTABLE</t>
        </is>
      </c>
      <c r="I487" s="41" t="inlineStr">
        <is>
          <t>2025FCST_V4</t>
        </is>
      </c>
      <c r="J487" s="41" t="n">
        <v>2025</v>
      </c>
      <c r="K487" s="41" t="inlineStr">
        <is>
          <t>EUR</t>
        </is>
      </c>
      <c r="L487" s="42" t="n">
        <v>38254</v>
      </c>
    </row>
    <row r="488">
      <c r="B488" s="39" t="inlineStr">
        <is>
          <t>MBWAY_LYO</t>
        </is>
      </c>
      <c r="C488" s="40" t="inlineStr">
        <is>
          <t>MAS_MGT</t>
        </is>
      </c>
      <c r="D488" s="40" t="inlineStr">
        <is>
          <t>M2</t>
        </is>
      </c>
      <c r="E488" s="40" t="inlineStr">
        <is>
          <t>ALT</t>
        </is>
      </c>
      <c r="F488" s="40" t="inlineStr">
        <is>
          <t>606800</t>
        </is>
      </c>
      <c r="G488" s="39" t="inlineStr">
        <is>
          <t>Autres achats &amp; charges externes</t>
        </is>
      </c>
      <c r="H488" s="40" t="inlineStr">
        <is>
          <t>COMPTABLE</t>
        </is>
      </c>
      <c r="I488" s="41" t="inlineStr">
        <is>
          <t>2023ACT_VDEF</t>
        </is>
      </c>
      <c r="J488" s="41" t="n">
        <v>2023</v>
      </c>
      <c r="K488" s="41" t="inlineStr">
        <is>
          <t>EUR</t>
        </is>
      </c>
      <c r="L488" s="42" t="n">
        <v>30262</v>
      </c>
    </row>
    <row r="489">
      <c r="B489" s="39" t="inlineStr">
        <is>
          <t>MBWAY_LYO</t>
        </is>
      </c>
      <c r="C489" s="40" t="inlineStr">
        <is>
          <t>MAS_MGT</t>
        </is>
      </c>
      <c r="D489" s="40" t="inlineStr">
        <is>
          <t>M2</t>
        </is>
      </c>
      <c r="E489" s="40" t="inlineStr">
        <is>
          <t>ALT</t>
        </is>
      </c>
      <c r="F489" s="40" t="inlineStr">
        <is>
          <t>606800</t>
        </is>
      </c>
      <c r="G489" s="39" t="inlineStr">
        <is>
          <t>Autres achats &amp; charges externes</t>
        </is>
      </c>
      <c r="H489" s="40" t="inlineStr">
        <is>
          <t>COMPTABLE</t>
        </is>
      </c>
      <c r="I489" s="41" t="inlineStr">
        <is>
          <t>2024ACT_VDEF</t>
        </is>
      </c>
      <c r="J489" s="41" t="n">
        <v>2024</v>
      </c>
      <c r="K489" s="41" t="inlineStr">
        <is>
          <t>EUR</t>
        </is>
      </c>
      <c r="L489" s="42" t="n">
        <v>31943</v>
      </c>
    </row>
    <row r="490">
      <c r="B490" s="39" t="inlineStr">
        <is>
          <t>MBWAY_LYO</t>
        </is>
      </c>
      <c r="C490" s="40" t="inlineStr">
        <is>
          <t>MAS_MGT</t>
        </is>
      </c>
      <c r="D490" s="40" t="inlineStr">
        <is>
          <t>M2</t>
        </is>
      </c>
      <c r="E490" s="40" t="inlineStr">
        <is>
          <t>ALT</t>
        </is>
      </c>
      <c r="F490" s="40" t="inlineStr">
        <is>
          <t>606800</t>
        </is>
      </c>
      <c r="G490" s="39" t="inlineStr">
        <is>
          <t>Autres achats &amp; charges externes</t>
        </is>
      </c>
      <c r="H490" s="40" t="inlineStr">
        <is>
          <t>COMPTABLE</t>
        </is>
      </c>
      <c r="I490" s="41" t="inlineStr">
        <is>
          <t>2025FCST_V4</t>
        </is>
      </c>
      <c r="J490" s="41" t="n">
        <v>2025</v>
      </c>
      <c r="K490" s="41" t="inlineStr">
        <is>
          <t>EUR</t>
        </is>
      </c>
      <c r="L490" s="42" t="n">
        <v>33624</v>
      </c>
    </row>
    <row r="491">
      <c r="B491" s="39" t="inlineStr">
        <is>
          <t>MBWAY_LYO</t>
        </is>
      </c>
      <c r="C491" s="40" t="inlineStr">
        <is>
          <t>MAS_MGT</t>
        </is>
      </c>
      <c r="D491" s="40" t="inlineStr">
        <is>
          <t>M2</t>
        </is>
      </c>
      <c r="E491" s="40" t="inlineStr">
        <is>
          <t>ALT</t>
        </is>
      </c>
      <c r="F491" s="40" t="inlineStr">
        <is>
          <t>681100</t>
        </is>
      </c>
      <c r="G491" s="39" t="inlineStr">
        <is>
          <t>Dotations aux amortissements</t>
        </is>
      </c>
      <c r="H491" s="40" t="inlineStr">
        <is>
          <t>COMPTABLE</t>
        </is>
      </c>
      <c r="I491" s="41" t="inlineStr">
        <is>
          <t>2023ACT_VDEF</t>
        </is>
      </c>
      <c r="J491" s="41" t="n">
        <v>2023</v>
      </c>
      <c r="K491" s="41" t="inlineStr">
        <is>
          <t>EUR</t>
        </is>
      </c>
      <c r="L491" s="42" t="n">
        <v>20618</v>
      </c>
    </row>
    <row r="492">
      <c r="B492" s="39" t="inlineStr">
        <is>
          <t>MBWAY_LYO</t>
        </is>
      </c>
      <c r="C492" s="40" t="inlineStr">
        <is>
          <t>MAS_MGT</t>
        </is>
      </c>
      <c r="D492" s="40" t="inlineStr">
        <is>
          <t>M2</t>
        </is>
      </c>
      <c r="E492" s="40" t="inlineStr">
        <is>
          <t>ALT</t>
        </is>
      </c>
      <c r="F492" s="40" t="inlineStr">
        <is>
          <t>681100</t>
        </is>
      </c>
      <c r="G492" s="39" t="inlineStr">
        <is>
          <t>Dotations aux amortissements</t>
        </is>
      </c>
      <c r="H492" s="40" t="inlineStr">
        <is>
          <t>COMPTABLE</t>
        </is>
      </c>
      <c r="I492" s="41" t="inlineStr">
        <is>
          <t>2024ACT_VDEF</t>
        </is>
      </c>
      <c r="J492" s="41" t="n">
        <v>2024</v>
      </c>
      <c r="K492" s="41" t="inlineStr">
        <is>
          <t>EUR</t>
        </is>
      </c>
      <c r="L492" s="42" t="n">
        <v>21764</v>
      </c>
    </row>
    <row r="493">
      <c r="B493" s="39" t="inlineStr">
        <is>
          <t>MBWAY_LYO</t>
        </is>
      </c>
      <c r="C493" s="40" t="inlineStr">
        <is>
          <t>MAS_MGT</t>
        </is>
      </c>
      <c r="D493" s="40" t="inlineStr">
        <is>
          <t>M2</t>
        </is>
      </c>
      <c r="E493" s="40" t="inlineStr">
        <is>
          <t>ALT</t>
        </is>
      </c>
      <c r="F493" s="40" t="inlineStr">
        <is>
          <t>681100</t>
        </is>
      </c>
      <c r="G493" s="39" t="inlineStr">
        <is>
          <t>Dotations aux amortissements</t>
        </is>
      </c>
      <c r="H493" s="40" t="inlineStr">
        <is>
          <t>COMPTABLE</t>
        </is>
      </c>
      <c r="I493" s="41" t="inlineStr">
        <is>
          <t>2025FCST_V4</t>
        </is>
      </c>
      <c r="J493" s="41" t="n">
        <v>2025</v>
      </c>
      <c r="K493" s="41" t="inlineStr">
        <is>
          <t>EUR</t>
        </is>
      </c>
      <c r="L493" s="42" t="n">
        <v>22909</v>
      </c>
    </row>
    <row r="494">
      <c r="B494" s="39" t="inlineStr">
        <is>
          <t>MBWAY_LYO</t>
        </is>
      </c>
      <c r="C494" s="40" t="inlineStr">
        <is>
          <t>MAS_MGT</t>
        </is>
      </c>
      <c r="D494" s="40" t="inlineStr">
        <is>
          <t>M2</t>
        </is>
      </c>
      <c r="E494" s="40" t="inlineStr">
        <is>
          <t>ALT</t>
        </is>
      </c>
      <c r="F494" s="40" t="inlineStr">
        <is>
          <t>STA_EFF</t>
        </is>
      </c>
      <c r="G494" s="39" t="inlineStr">
        <is>
          <t>Effectif inscrit</t>
        </is>
      </c>
      <c r="H494" s="40" t="inlineStr">
        <is>
          <t>TECHNIQUE</t>
        </is>
      </c>
      <c r="I494" s="41" t="inlineStr">
        <is>
          <t>2023ACT_VDEF</t>
        </is>
      </c>
      <c r="J494" s="41" t="n">
        <v>2023</v>
      </c>
      <c r="K494" s="41" t="inlineStr">
        <is>
          <t>NB</t>
        </is>
      </c>
      <c r="L494" s="43" t="n">
        <v>32</v>
      </c>
    </row>
    <row r="495">
      <c r="B495" s="39" t="inlineStr">
        <is>
          <t>MBWAY_LYO</t>
        </is>
      </c>
      <c r="C495" s="40" t="inlineStr">
        <is>
          <t>MAS_MGT</t>
        </is>
      </c>
      <c r="D495" s="40" t="inlineStr">
        <is>
          <t>M2</t>
        </is>
      </c>
      <c r="E495" s="40" t="inlineStr">
        <is>
          <t>ALT</t>
        </is>
      </c>
      <c r="F495" s="40" t="inlineStr">
        <is>
          <t>STA_EFF</t>
        </is>
      </c>
      <c r="G495" s="39" t="inlineStr">
        <is>
          <t>Effectif inscrit</t>
        </is>
      </c>
      <c r="H495" s="40" t="inlineStr">
        <is>
          <t>TECHNIQUE</t>
        </is>
      </c>
      <c r="I495" s="41" t="inlineStr">
        <is>
          <t>2024ACT_VDEF</t>
        </is>
      </c>
      <c r="J495" s="41" t="n">
        <v>2024</v>
      </c>
      <c r="K495" s="41" t="inlineStr">
        <is>
          <t>NB</t>
        </is>
      </c>
      <c r="L495" s="43" t="n">
        <v>34</v>
      </c>
    </row>
    <row r="496">
      <c r="B496" s="39" t="inlineStr">
        <is>
          <t>MBWAY_LYO</t>
        </is>
      </c>
      <c r="C496" s="40" t="inlineStr">
        <is>
          <t>MAS_MGT</t>
        </is>
      </c>
      <c r="D496" s="40" t="inlineStr">
        <is>
          <t>M2</t>
        </is>
      </c>
      <c r="E496" s="40" t="inlineStr">
        <is>
          <t>ALT</t>
        </is>
      </c>
      <c r="F496" s="40" t="inlineStr">
        <is>
          <t>STA_EFF</t>
        </is>
      </c>
      <c r="G496" s="39" t="inlineStr">
        <is>
          <t>Effectif inscrit</t>
        </is>
      </c>
      <c r="H496" s="40" t="inlineStr">
        <is>
          <t>TECHNIQUE</t>
        </is>
      </c>
      <c r="I496" s="41" t="inlineStr">
        <is>
          <t>2025FCST_V4</t>
        </is>
      </c>
      <c r="J496" s="41" t="n">
        <v>2025</v>
      </c>
      <c r="K496" s="41" t="inlineStr">
        <is>
          <t>NB</t>
        </is>
      </c>
      <c r="L496" s="43" t="n">
        <v>36</v>
      </c>
    </row>
    <row r="497">
      <c r="B497" s="39" t="inlineStr">
        <is>
          <t>MBWAY_LYO</t>
        </is>
      </c>
      <c r="C497" s="40" t="inlineStr">
        <is>
          <t>MAS_MGT</t>
        </is>
      </c>
      <c r="D497" s="40" t="inlineStr">
        <is>
          <t>M2</t>
        </is>
      </c>
      <c r="E497" s="40" t="inlineStr">
        <is>
          <t>ALT</t>
        </is>
      </c>
      <c r="F497" s="40" t="inlineStr">
        <is>
          <t>STA_REINS</t>
        </is>
      </c>
      <c r="G497" s="39" t="inlineStr">
        <is>
          <t>Réinscrits</t>
        </is>
      </c>
      <c r="H497" s="40" t="inlineStr">
        <is>
          <t>TECHNIQUE</t>
        </is>
      </c>
      <c r="I497" s="41" t="inlineStr">
        <is>
          <t>2023ACT_VDEF</t>
        </is>
      </c>
      <c r="J497" s="41" t="n">
        <v>2023</v>
      </c>
      <c r="K497" s="41" t="inlineStr">
        <is>
          <t>NB</t>
        </is>
      </c>
      <c r="L497" s="43" t="n">
        <v>32</v>
      </c>
    </row>
    <row r="498">
      <c r="B498" s="39" t="inlineStr">
        <is>
          <t>MBWAY_LYO</t>
        </is>
      </c>
      <c r="C498" s="40" t="inlineStr">
        <is>
          <t>MAS_MGT</t>
        </is>
      </c>
      <c r="D498" s="40" t="inlineStr">
        <is>
          <t>M2</t>
        </is>
      </c>
      <c r="E498" s="40" t="inlineStr">
        <is>
          <t>ALT</t>
        </is>
      </c>
      <c r="F498" s="40" t="inlineStr">
        <is>
          <t>STA_REINS</t>
        </is>
      </c>
      <c r="G498" s="39" t="inlineStr">
        <is>
          <t>Réinscrits</t>
        </is>
      </c>
      <c r="H498" s="40" t="inlineStr">
        <is>
          <t>TECHNIQUE</t>
        </is>
      </c>
      <c r="I498" s="41" t="inlineStr">
        <is>
          <t>2024ACT_VDEF</t>
        </is>
      </c>
      <c r="J498" s="41" t="n">
        <v>2024</v>
      </c>
      <c r="K498" s="41" t="inlineStr">
        <is>
          <t>NB</t>
        </is>
      </c>
      <c r="L498" s="43" t="n">
        <v>34</v>
      </c>
    </row>
    <row r="499">
      <c r="B499" s="39" t="inlineStr">
        <is>
          <t>MBWAY_LYO</t>
        </is>
      </c>
      <c r="C499" s="40" t="inlineStr">
        <is>
          <t>MAS_MGT</t>
        </is>
      </c>
      <c r="D499" s="40" t="inlineStr">
        <is>
          <t>M2</t>
        </is>
      </c>
      <c r="E499" s="40" t="inlineStr">
        <is>
          <t>ALT</t>
        </is>
      </c>
      <c r="F499" s="40" t="inlineStr">
        <is>
          <t>STA_REINS</t>
        </is>
      </c>
      <c r="G499" s="39" t="inlineStr">
        <is>
          <t>Réinscrits</t>
        </is>
      </c>
      <c r="H499" s="40" t="inlineStr">
        <is>
          <t>TECHNIQUE</t>
        </is>
      </c>
      <c r="I499" s="41" t="inlineStr">
        <is>
          <t>2025FCST_V4</t>
        </is>
      </c>
      <c r="J499" s="41" t="n">
        <v>2025</v>
      </c>
      <c r="K499" s="41" t="inlineStr">
        <is>
          <t>NB</t>
        </is>
      </c>
      <c r="L499" s="43" t="n">
        <v>36</v>
      </c>
    </row>
    <row r="500">
      <c r="B500" s="39" t="inlineStr">
        <is>
          <t>MBWAY_LYO</t>
        </is>
      </c>
      <c r="C500" s="40" t="inlineStr">
        <is>
          <t>MAS_MGT</t>
        </is>
      </c>
      <c r="D500" s="40" t="inlineStr">
        <is>
          <t>M2</t>
        </is>
      </c>
      <c r="E500" s="40" t="inlineStr">
        <is>
          <t>ALT</t>
        </is>
      </c>
      <c r="F500" s="40" t="inlineStr">
        <is>
          <t>STA_CLASS</t>
        </is>
      </c>
      <c r="G500" s="39" t="inlineStr">
        <is>
          <t>Nombre de classes</t>
        </is>
      </c>
      <c r="H500" s="40" t="inlineStr">
        <is>
          <t>TECHNIQUE</t>
        </is>
      </c>
      <c r="I500" s="41" t="inlineStr">
        <is>
          <t>2023ACT_VDEF</t>
        </is>
      </c>
      <c r="J500" s="41" t="n">
        <v>2023</v>
      </c>
      <c r="K500" s="41" t="inlineStr">
        <is>
          <t>NB</t>
        </is>
      </c>
      <c r="L500" s="43" t="n">
        <v>2</v>
      </c>
    </row>
    <row r="501">
      <c r="B501" s="39" t="inlineStr">
        <is>
          <t>MBWAY_LYO</t>
        </is>
      </c>
      <c r="C501" s="40" t="inlineStr">
        <is>
          <t>MAS_MGT</t>
        </is>
      </c>
      <c r="D501" s="40" t="inlineStr">
        <is>
          <t>M2</t>
        </is>
      </c>
      <c r="E501" s="40" t="inlineStr">
        <is>
          <t>ALT</t>
        </is>
      </c>
      <c r="F501" s="40" t="inlineStr">
        <is>
          <t>STA_CLASS</t>
        </is>
      </c>
      <c r="G501" s="39" t="inlineStr">
        <is>
          <t>Nombre de classes</t>
        </is>
      </c>
      <c r="H501" s="40" t="inlineStr">
        <is>
          <t>TECHNIQUE</t>
        </is>
      </c>
      <c r="I501" s="41" t="inlineStr">
        <is>
          <t>2024ACT_VDEF</t>
        </is>
      </c>
      <c r="J501" s="41" t="n">
        <v>2024</v>
      </c>
      <c r="K501" s="41" t="inlineStr">
        <is>
          <t>NB</t>
        </is>
      </c>
      <c r="L501" s="43" t="n">
        <v>2</v>
      </c>
    </row>
    <row r="502">
      <c r="B502" s="39" t="inlineStr">
        <is>
          <t>MBWAY_LYO</t>
        </is>
      </c>
      <c r="C502" s="40" t="inlineStr">
        <is>
          <t>MAS_MGT</t>
        </is>
      </c>
      <c r="D502" s="40" t="inlineStr">
        <is>
          <t>M2</t>
        </is>
      </c>
      <c r="E502" s="40" t="inlineStr">
        <is>
          <t>ALT</t>
        </is>
      </c>
      <c r="F502" s="40" t="inlineStr">
        <is>
          <t>STA_CLASS</t>
        </is>
      </c>
      <c r="G502" s="39" t="inlineStr">
        <is>
          <t>Nombre de classes</t>
        </is>
      </c>
      <c r="H502" s="40" t="inlineStr">
        <is>
          <t>TECHNIQUE</t>
        </is>
      </c>
      <c r="I502" s="41" t="inlineStr">
        <is>
          <t>2025FCST_V4</t>
        </is>
      </c>
      <c r="J502" s="41" t="n">
        <v>2025</v>
      </c>
      <c r="K502" s="41" t="inlineStr">
        <is>
          <t>NB</t>
        </is>
      </c>
      <c r="L502" s="43" t="n">
        <v>2</v>
      </c>
    </row>
    <row r="503">
      <c r="B503" s="39" t="inlineStr">
        <is>
          <t>MBWAY_LYO</t>
        </is>
      </c>
      <c r="C503" s="40" t="inlineStr">
        <is>
          <t>MAS_MGT</t>
        </is>
      </c>
      <c r="D503" s="40" t="inlineStr">
        <is>
          <t>M2</t>
        </is>
      </c>
      <c r="E503" s="40" t="inlineStr">
        <is>
          <t>ALT</t>
        </is>
      </c>
      <c r="F503" s="40" t="inlineStr">
        <is>
          <t>STA_HEURE</t>
        </is>
      </c>
      <c r="G503" s="39" t="inlineStr">
        <is>
          <t>Heures d'enseignement</t>
        </is>
      </c>
      <c r="H503" s="40" t="inlineStr">
        <is>
          <t>TECHNIQUE</t>
        </is>
      </c>
      <c r="I503" s="41" t="inlineStr">
        <is>
          <t>2023ACT_VDEF</t>
        </is>
      </c>
      <c r="J503" s="41" t="n">
        <v>2023</v>
      </c>
      <c r="K503" s="41" t="inlineStr">
        <is>
          <t>NB</t>
        </is>
      </c>
      <c r="L503" s="43" t="n">
        <v>792</v>
      </c>
    </row>
    <row r="504">
      <c r="B504" s="39" t="inlineStr">
        <is>
          <t>MBWAY_LYO</t>
        </is>
      </c>
      <c r="C504" s="40" t="inlineStr">
        <is>
          <t>MAS_MGT</t>
        </is>
      </c>
      <c r="D504" s="40" t="inlineStr">
        <is>
          <t>M2</t>
        </is>
      </c>
      <c r="E504" s="40" t="inlineStr">
        <is>
          <t>ALT</t>
        </is>
      </c>
      <c r="F504" s="40" t="inlineStr">
        <is>
          <t>STA_HEURE</t>
        </is>
      </c>
      <c r="G504" s="39" t="inlineStr">
        <is>
          <t>Heures d'enseignement</t>
        </is>
      </c>
      <c r="H504" s="40" t="inlineStr">
        <is>
          <t>TECHNIQUE</t>
        </is>
      </c>
      <c r="I504" s="41" t="inlineStr">
        <is>
          <t>2024ACT_VDEF</t>
        </is>
      </c>
      <c r="J504" s="41" t="n">
        <v>2024</v>
      </c>
      <c r="K504" s="41" t="inlineStr">
        <is>
          <t>NB</t>
        </is>
      </c>
      <c r="L504" s="43" t="n">
        <v>836</v>
      </c>
    </row>
    <row r="505">
      <c r="B505" s="39" t="inlineStr">
        <is>
          <t>MBWAY_LYO</t>
        </is>
      </c>
      <c r="C505" s="40" t="inlineStr">
        <is>
          <t>MAS_MGT</t>
        </is>
      </c>
      <c r="D505" s="40" t="inlineStr">
        <is>
          <t>M2</t>
        </is>
      </c>
      <c r="E505" s="40" t="inlineStr">
        <is>
          <t>ALT</t>
        </is>
      </c>
      <c r="F505" s="40" t="inlineStr">
        <is>
          <t>STA_HEURE</t>
        </is>
      </c>
      <c r="G505" s="39" t="inlineStr">
        <is>
          <t>Heures d'enseignement</t>
        </is>
      </c>
      <c r="H505" s="40" t="inlineStr">
        <is>
          <t>TECHNIQUE</t>
        </is>
      </c>
      <c r="I505" s="41" t="inlineStr">
        <is>
          <t>2025FCST_V4</t>
        </is>
      </c>
      <c r="J505" s="41" t="n">
        <v>2025</v>
      </c>
      <c r="K505" s="41" t="inlineStr">
        <is>
          <t>NB</t>
        </is>
      </c>
      <c r="L505" s="43" t="n">
        <v>880</v>
      </c>
    </row>
    <row r="506">
      <c r="B506" s="39" t="inlineStr">
        <is>
          <t>MBWAY_LYO</t>
        </is>
      </c>
      <c r="C506" s="40" t="inlineStr">
        <is>
          <t>MAS_MGT</t>
        </is>
      </c>
      <c r="D506" s="40" t="inlineStr">
        <is>
          <t>M2</t>
        </is>
      </c>
      <c r="E506" s="40" t="inlineStr">
        <is>
          <t>ALT</t>
        </is>
      </c>
      <c r="F506" s="40" t="inlineStr">
        <is>
          <t>STA_CAPA</t>
        </is>
      </c>
      <c r="G506" s="39" t="inlineStr">
        <is>
          <t>Capacité par classe</t>
        </is>
      </c>
      <c r="H506" s="40" t="inlineStr">
        <is>
          <t>TECHNIQUE</t>
        </is>
      </c>
      <c r="I506" s="41" t="inlineStr">
        <is>
          <t>2023ACT_VDEF</t>
        </is>
      </c>
      <c r="J506" s="41" t="n">
        <v>2023</v>
      </c>
      <c r="K506" s="41" t="inlineStr">
        <is>
          <t>NB</t>
        </is>
      </c>
      <c r="L506" s="43" t="n">
        <v>26</v>
      </c>
    </row>
    <row r="507">
      <c r="B507" s="39" t="inlineStr">
        <is>
          <t>MBWAY_LYO</t>
        </is>
      </c>
      <c r="C507" s="40" t="inlineStr">
        <is>
          <t>MAS_MGT</t>
        </is>
      </c>
      <c r="D507" s="40" t="inlineStr">
        <is>
          <t>M2</t>
        </is>
      </c>
      <c r="E507" s="40" t="inlineStr">
        <is>
          <t>ALT</t>
        </is>
      </c>
      <c r="F507" s="40" t="inlineStr">
        <is>
          <t>STA_CAPA</t>
        </is>
      </c>
      <c r="G507" s="39" t="inlineStr">
        <is>
          <t>Capacité par classe</t>
        </is>
      </c>
      <c r="H507" s="40" t="inlineStr">
        <is>
          <t>TECHNIQUE</t>
        </is>
      </c>
      <c r="I507" s="41" t="inlineStr">
        <is>
          <t>2024ACT_VDEF</t>
        </is>
      </c>
      <c r="J507" s="41" t="n">
        <v>2024</v>
      </c>
      <c r="K507" s="41" t="inlineStr">
        <is>
          <t>NB</t>
        </is>
      </c>
      <c r="L507" s="43" t="n">
        <v>26</v>
      </c>
    </row>
    <row r="508">
      <c r="B508" s="39" t="inlineStr">
        <is>
          <t>MBWAY_LYO</t>
        </is>
      </c>
      <c r="C508" s="40" t="inlineStr">
        <is>
          <t>MAS_MGT</t>
        </is>
      </c>
      <c r="D508" s="40" t="inlineStr">
        <is>
          <t>M2</t>
        </is>
      </c>
      <c r="E508" s="40" t="inlineStr">
        <is>
          <t>ALT</t>
        </is>
      </c>
      <c r="F508" s="40" t="inlineStr">
        <is>
          <t>STA_CAPA</t>
        </is>
      </c>
      <c r="G508" s="39" t="inlineStr">
        <is>
          <t>Capacité par classe</t>
        </is>
      </c>
      <c r="H508" s="40" t="inlineStr">
        <is>
          <t>TECHNIQUE</t>
        </is>
      </c>
      <c r="I508" s="41" t="inlineStr">
        <is>
          <t>2025FCST_V4</t>
        </is>
      </c>
      <c r="J508" s="41" t="n">
        <v>2025</v>
      </c>
      <c r="K508" s="41" t="inlineStr">
        <is>
          <t>NB</t>
        </is>
      </c>
      <c r="L508" s="43" t="n">
        <v>26</v>
      </c>
    </row>
    <row r="509">
      <c r="B509" s="39" t="inlineStr">
        <is>
          <t>MBWAY_LYO</t>
        </is>
      </c>
      <c r="C509" s="40" t="inlineStr">
        <is>
          <t>MAS_MGT</t>
        </is>
      </c>
      <c r="D509" s="40" t="inlineStr">
        <is>
          <t>M2</t>
        </is>
      </c>
      <c r="E509" s="40" t="inlineStr">
        <is>
          <t>ALT</t>
        </is>
      </c>
      <c r="F509" s="40" t="inlineStr">
        <is>
          <t>DRV_PASS</t>
        </is>
      </c>
      <c r="G509" s="39" t="inlineStr">
        <is>
          <t>Taux de passage (réinscription)</t>
        </is>
      </c>
      <c r="H509" s="40" t="inlineStr">
        <is>
          <t>TECHNIQUE</t>
        </is>
      </c>
      <c r="I509" s="41" t="inlineStr">
        <is>
          <t>2023ACT_VDEF</t>
        </is>
      </c>
      <c r="J509" s="41" t="n">
        <v>2023</v>
      </c>
      <c r="K509" s="41" t="inlineStr">
        <is>
          <t>PCT</t>
        </is>
      </c>
      <c r="L509" s="44" t="n">
        <v>0.96</v>
      </c>
    </row>
    <row r="510">
      <c r="B510" s="39" t="inlineStr">
        <is>
          <t>MBWAY_LYO</t>
        </is>
      </c>
      <c r="C510" s="40" t="inlineStr">
        <is>
          <t>MAS_MGT</t>
        </is>
      </c>
      <c r="D510" s="40" t="inlineStr">
        <is>
          <t>M2</t>
        </is>
      </c>
      <c r="E510" s="40" t="inlineStr">
        <is>
          <t>ALT</t>
        </is>
      </c>
      <c r="F510" s="40" t="inlineStr">
        <is>
          <t>DRV_PASS</t>
        </is>
      </c>
      <c r="G510" s="39" t="inlineStr">
        <is>
          <t>Taux de passage (réinscription)</t>
        </is>
      </c>
      <c r="H510" s="40" t="inlineStr">
        <is>
          <t>TECHNIQUE</t>
        </is>
      </c>
      <c r="I510" s="41" t="inlineStr">
        <is>
          <t>2024ACT_VDEF</t>
        </is>
      </c>
      <c r="J510" s="41" t="n">
        <v>2024</v>
      </c>
      <c r="K510" s="41" t="inlineStr">
        <is>
          <t>PCT</t>
        </is>
      </c>
      <c r="L510" s="44" t="n">
        <v>0.96</v>
      </c>
    </row>
    <row r="511">
      <c r="B511" s="39" t="inlineStr">
        <is>
          <t>MBWAY_LYO</t>
        </is>
      </c>
      <c r="C511" s="40" t="inlineStr">
        <is>
          <t>MAS_MGT</t>
        </is>
      </c>
      <c r="D511" s="40" t="inlineStr">
        <is>
          <t>M2</t>
        </is>
      </c>
      <c r="E511" s="40" t="inlineStr">
        <is>
          <t>ALT</t>
        </is>
      </c>
      <c r="F511" s="40" t="inlineStr">
        <is>
          <t>DRV_PASS</t>
        </is>
      </c>
      <c r="G511" s="39" t="inlineStr">
        <is>
          <t>Taux de passage (réinscription)</t>
        </is>
      </c>
      <c r="H511" s="40" t="inlineStr">
        <is>
          <t>TECHNIQUE</t>
        </is>
      </c>
      <c r="I511" s="41" t="inlineStr">
        <is>
          <t>2025FCST_V4</t>
        </is>
      </c>
      <c r="J511" s="41" t="n">
        <v>2025</v>
      </c>
      <c r="K511" s="41" t="inlineStr">
        <is>
          <t>PCT</t>
        </is>
      </c>
      <c r="L511" s="44" t="n">
        <v>0.96</v>
      </c>
    </row>
    <row r="512">
      <c r="B512" s="39" t="inlineStr">
        <is>
          <t>MBWAY_LYO</t>
        </is>
      </c>
      <c r="C512" s="40" t="inlineStr">
        <is>
          <t>MAS_MGT</t>
        </is>
      </c>
      <c r="D512" s="40" t="inlineStr">
        <is>
          <t>M2</t>
        </is>
      </c>
      <c r="E512" s="40" t="inlineStr">
        <is>
          <t>ALT</t>
        </is>
      </c>
      <c r="F512" s="40" t="inlineStr">
        <is>
          <t>PRX_TARIF</t>
        </is>
      </c>
      <c r="G512" s="39" t="inlineStr">
        <is>
          <t>Tarif moyen scolarité</t>
        </is>
      </c>
      <c r="H512" s="40" t="inlineStr">
        <is>
          <t>TECHNIQUE</t>
        </is>
      </c>
      <c r="I512" s="41" t="inlineStr">
        <is>
          <t>2023ACT_VDEF</t>
        </is>
      </c>
      <c r="J512" s="41" t="n">
        <v>2023</v>
      </c>
      <c r="K512" s="41" t="inlineStr">
        <is>
          <t>EUR</t>
        </is>
      </c>
      <c r="L512" s="42" t="n">
        <v>9000</v>
      </c>
    </row>
    <row r="513">
      <c r="B513" s="39" t="inlineStr">
        <is>
          <t>MBWAY_LYO</t>
        </is>
      </c>
      <c r="C513" s="40" t="inlineStr">
        <is>
          <t>MAS_MGT</t>
        </is>
      </c>
      <c r="D513" s="40" t="inlineStr">
        <is>
          <t>M2</t>
        </is>
      </c>
      <c r="E513" s="40" t="inlineStr">
        <is>
          <t>ALT</t>
        </is>
      </c>
      <c r="F513" s="40" t="inlineStr">
        <is>
          <t>PRX_TARIF</t>
        </is>
      </c>
      <c r="G513" s="39" t="inlineStr">
        <is>
          <t>Tarif moyen scolarité</t>
        </is>
      </c>
      <c r="H513" s="40" t="inlineStr">
        <is>
          <t>TECHNIQUE</t>
        </is>
      </c>
      <c r="I513" s="41" t="inlineStr">
        <is>
          <t>2024ACT_VDEF</t>
        </is>
      </c>
      <c r="J513" s="41" t="n">
        <v>2024</v>
      </c>
      <c r="K513" s="41" t="inlineStr">
        <is>
          <t>EUR</t>
        </is>
      </c>
      <c r="L513" s="42" t="n">
        <v>9000</v>
      </c>
    </row>
    <row r="514">
      <c r="B514" s="39" t="inlineStr">
        <is>
          <t>MBWAY_LYO</t>
        </is>
      </c>
      <c r="C514" s="40" t="inlineStr">
        <is>
          <t>MAS_MGT</t>
        </is>
      </c>
      <c r="D514" s="40" t="inlineStr">
        <is>
          <t>M2</t>
        </is>
      </c>
      <c r="E514" s="40" t="inlineStr">
        <is>
          <t>ALT</t>
        </is>
      </c>
      <c r="F514" s="40" t="inlineStr">
        <is>
          <t>PRX_TARIF</t>
        </is>
      </c>
      <c r="G514" s="39" t="inlineStr">
        <is>
          <t>Tarif moyen scolarité</t>
        </is>
      </c>
      <c r="H514" s="40" t="inlineStr">
        <is>
          <t>TECHNIQUE</t>
        </is>
      </c>
      <c r="I514" s="41" t="inlineStr">
        <is>
          <t>2025FCST_V4</t>
        </is>
      </c>
      <c r="J514" s="41" t="n">
        <v>2025</v>
      </c>
      <c r="K514" s="41" t="inlineStr">
        <is>
          <t>EUR</t>
        </is>
      </c>
      <c r="L514" s="42" t="n">
        <v>9000</v>
      </c>
    </row>
    <row r="515">
      <c r="B515" s="39" t="inlineStr">
        <is>
          <t>MBWAY_NAN</t>
        </is>
      </c>
      <c r="C515" s="40" t="inlineStr">
        <is>
          <t>BAC_MGT</t>
        </is>
      </c>
      <c r="D515" s="40" t="inlineStr">
        <is>
          <t>B1</t>
        </is>
      </c>
      <c r="E515" s="40" t="inlineStr">
        <is>
          <t>INIT</t>
        </is>
      </c>
      <c r="F515" s="40" t="inlineStr">
        <is>
          <t>706100</t>
        </is>
      </c>
      <c r="G515" s="39" t="inlineStr">
        <is>
          <t>Droits de scolarité</t>
        </is>
      </c>
      <c r="H515" s="40" t="inlineStr">
        <is>
          <t>COMPTABLE</t>
        </is>
      </c>
      <c r="I515" s="41" t="inlineStr">
        <is>
          <t>2023ACT_VDEF</t>
        </is>
      </c>
      <c r="J515" s="41" t="n">
        <v>2023</v>
      </c>
      <c r="K515" s="41" t="inlineStr">
        <is>
          <t>EUR</t>
        </is>
      </c>
      <c r="L515" s="42" t="n">
        <v>459000</v>
      </c>
    </row>
    <row r="516">
      <c r="B516" s="39" t="inlineStr">
        <is>
          <t>MBWAY_NAN</t>
        </is>
      </c>
      <c r="C516" s="40" t="inlineStr">
        <is>
          <t>BAC_MGT</t>
        </is>
      </c>
      <c r="D516" s="40" t="inlineStr">
        <is>
          <t>B1</t>
        </is>
      </c>
      <c r="E516" s="40" t="inlineStr">
        <is>
          <t>INIT</t>
        </is>
      </c>
      <c r="F516" s="40" t="inlineStr">
        <is>
          <t>706100</t>
        </is>
      </c>
      <c r="G516" s="39" t="inlineStr">
        <is>
          <t>Droits de scolarité</t>
        </is>
      </c>
      <c r="H516" s="40" t="inlineStr">
        <is>
          <t>COMPTABLE</t>
        </is>
      </c>
      <c r="I516" s="41" t="inlineStr">
        <is>
          <t>2024ACT_VDEF</t>
        </is>
      </c>
      <c r="J516" s="41" t="n">
        <v>2024</v>
      </c>
      <c r="K516" s="41" t="inlineStr">
        <is>
          <t>EUR</t>
        </is>
      </c>
      <c r="L516" s="42" t="n">
        <v>484500</v>
      </c>
    </row>
    <row r="517">
      <c r="B517" s="39" t="inlineStr">
        <is>
          <t>MBWAY_NAN</t>
        </is>
      </c>
      <c r="C517" s="40" t="inlineStr">
        <is>
          <t>BAC_MGT</t>
        </is>
      </c>
      <c r="D517" s="40" t="inlineStr">
        <is>
          <t>B1</t>
        </is>
      </c>
      <c r="E517" s="40" t="inlineStr">
        <is>
          <t>INIT</t>
        </is>
      </c>
      <c r="F517" s="40" t="inlineStr">
        <is>
          <t>706100</t>
        </is>
      </c>
      <c r="G517" s="39" t="inlineStr">
        <is>
          <t>Droits de scolarité</t>
        </is>
      </c>
      <c r="H517" s="40" t="inlineStr">
        <is>
          <t>COMPTABLE</t>
        </is>
      </c>
      <c r="I517" s="41" t="inlineStr">
        <is>
          <t>2025FCST_V4</t>
        </is>
      </c>
      <c r="J517" s="41" t="n">
        <v>2025</v>
      </c>
      <c r="K517" s="41" t="inlineStr">
        <is>
          <t>EUR</t>
        </is>
      </c>
      <c r="L517" s="42" t="n">
        <v>510000</v>
      </c>
    </row>
    <row r="518">
      <c r="B518" s="39" t="inlineStr">
        <is>
          <t>MBWAY_NAN</t>
        </is>
      </c>
      <c r="C518" s="40" t="inlineStr">
        <is>
          <t>BAC_MGT</t>
        </is>
      </c>
      <c r="D518" s="40" t="inlineStr">
        <is>
          <t>B1</t>
        </is>
      </c>
      <c r="E518" s="40" t="inlineStr">
        <is>
          <t>INIT</t>
        </is>
      </c>
      <c r="F518" s="40" t="inlineStr">
        <is>
          <t>708500</t>
        </is>
      </c>
      <c r="G518" s="39" t="inlineStr">
        <is>
          <t>Frais de dossier / inscription</t>
        </is>
      </c>
      <c r="H518" s="40" t="inlineStr">
        <is>
          <t>COMPTABLE</t>
        </is>
      </c>
      <c r="I518" s="41" t="inlineStr">
        <is>
          <t>2023ACT_VDEF</t>
        </is>
      </c>
      <c r="J518" s="41" t="n">
        <v>2023</v>
      </c>
      <c r="K518" s="41" t="inlineStr">
        <is>
          <t>EUR</t>
        </is>
      </c>
      <c r="L518" s="42" t="n">
        <v>4860</v>
      </c>
    </row>
    <row r="519">
      <c r="B519" s="39" t="inlineStr">
        <is>
          <t>MBWAY_NAN</t>
        </is>
      </c>
      <c r="C519" s="40" t="inlineStr">
        <is>
          <t>BAC_MGT</t>
        </is>
      </c>
      <c r="D519" s="40" t="inlineStr">
        <is>
          <t>B1</t>
        </is>
      </c>
      <c r="E519" s="40" t="inlineStr">
        <is>
          <t>INIT</t>
        </is>
      </c>
      <c r="F519" s="40" t="inlineStr">
        <is>
          <t>708500</t>
        </is>
      </c>
      <c r="G519" s="39" t="inlineStr">
        <is>
          <t>Frais de dossier / inscription</t>
        </is>
      </c>
      <c r="H519" s="40" t="inlineStr">
        <is>
          <t>COMPTABLE</t>
        </is>
      </c>
      <c r="I519" s="41" t="inlineStr">
        <is>
          <t>2024ACT_VDEF</t>
        </is>
      </c>
      <c r="J519" s="41" t="n">
        <v>2024</v>
      </c>
      <c r="K519" s="41" t="inlineStr">
        <is>
          <t>EUR</t>
        </is>
      </c>
      <c r="L519" s="42" t="n">
        <v>5130</v>
      </c>
    </row>
    <row r="520">
      <c r="B520" s="39" t="inlineStr">
        <is>
          <t>MBWAY_NAN</t>
        </is>
      </c>
      <c r="C520" s="40" t="inlineStr">
        <is>
          <t>BAC_MGT</t>
        </is>
      </c>
      <c r="D520" s="40" t="inlineStr">
        <is>
          <t>B1</t>
        </is>
      </c>
      <c r="E520" s="40" t="inlineStr">
        <is>
          <t>INIT</t>
        </is>
      </c>
      <c r="F520" s="40" t="inlineStr">
        <is>
          <t>708500</t>
        </is>
      </c>
      <c r="G520" s="39" t="inlineStr">
        <is>
          <t>Frais de dossier / inscription</t>
        </is>
      </c>
      <c r="H520" s="40" t="inlineStr">
        <is>
          <t>COMPTABLE</t>
        </is>
      </c>
      <c r="I520" s="41" t="inlineStr">
        <is>
          <t>2025FCST_V4</t>
        </is>
      </c>
      <c r="J520" s="41" t="n">
        <v>2025</v>
      </c>
      <c r="K520" s="41" t="inlineStr">
        <is>
          <t>EUR</t>
        </is>
      </c>
      <c r="L520" s="42" t="n">
        <v>5400</v>
      </c>
    </row>
    <row r="521">
      <c r="B521" s="39" t="inlineStr">
        <is>
          <t>MBWAY_NAN</t>
        </is>
      </c>
      <c r="C521" s="40" t="inlineStr">
        <is>
          <t>BAC_MGT</t>
        </is>
      </c>
      <c r="D521" s="40" t="inlineStr">
        <is>
          <t>B1</t>
        </is>
      </c>
      <c r="E521" s="40" t="inlineStr">
        <is>
          <t>INIT</t>
        </is>
      </c>
      <c r="F521" s="40" t="inlineStr">
        <is>
          <t>604100</t>
        </is>
      </c>
      <c r="G521" s="39" t="inlineStr">
        <is>
          <t>Vacations &amp; sous-traitance pédagogique</t>
        </is>
      </c>
      <c r="H521" s="40" t="inlineStr">
        <is>
          <t>COMPTABLE</t>
        </is>
      </c>
      <c r="I521" s="41" t="inlineStr">
        <is>
          <t>2023ACT_VDEF</t>
        </is>
      </c>
      <c r="J521" s="41" t="n">
        <v>2023</v>
      </c>
      <c r="K521" s="41" t="inlineStr">
        <is>
          <t>EUR</t>
        </is>
      </c>
      <c r="L521" s="42" t="n">
        <v>62640</v>
      </c>
    </row>
    <row r="522">
      <c r="B522" s="39" t="inlineStr">
        <is>
          <t>MBWAY_NAN</t>
        </is>
      </c>
      <c r="C522" s="40" t="inlineStr">
        <is>
          <t>BAC_MGT</t>
        </is>
      </c>
      <c r="D522" s="40" t="inlineStr">
        <is>
          <t>B1</t>
        </is>
      </c>
      <c r="E522" s="40" t="inlineStr">
        <is>
          <t>INIT</t>
        </is>
      </c>
      <c r="F522" s="40" t="inlineStr">
        <is>
          <t>604100</t>
        </is>
      </c>
      <c r="G522" s="39" t="inlineStr">
        <is>
          <t>Vacations &amp; sous-traitance pédagogique</t>
        </is>
      </c>
      <c r="H522" s="40" t="inlineStr">
        <is>
          <t>COMPTABLE</t>
        </is>
      </c>
      <c r="I522" s="41" t="inlineStr">
        <is>
          <t>2024ACT_VDEF</t>
        </is>
      </c>
      <c r="J522" s="41" t="n">
        <v>2024</v>
      </c>
      <c r="K522" s="41" t="inlineStr">
        <is>
          <t>EUR</t>
        </is>
      </c>
      <c r="L522" s="42" t="n">
        <v>66120</v>
      </c>
    </row>
    <row r="523">
      <c r="B523" s="39" t="inlineStr">
        <is>
          <t>MBWAY_NAN</t>
        </is>
      </c>
      <c r="C523" s="40" t="inlineStr">
        <is>
          <t>BAC_MGT</t>
        </is>
      </c>
      <c r="D523" s="40" t="inlineStr">
        <is>
          <t>B1</t>
        </is>
      </c>
      <c r="E523" s="40" t="inlineStr">
        <is>
          <t>INIT</t>
        </is>
      </c>
      <c r="F523" s="40" t="inlineStr">
        <is>
          <t>604100</t>
        </is>
      </c>
      <c r="G523" s="39" t="inlineStr">
        <is>
          <t>Vacations &amp; sous-traitance pédagogique</t>
        </is>
      </c>
      <c r="H523" s="40" t="inlineStr">
        <is>
          <t>COMPTABLE</t>
        </is>
      </c>
      <c r="I523" s="41" t="inlineStr">
        <is>
          <t>2025FCST_V4</t>
        </is>
      </c>
      <c r="J523" s="41" t="n">
        <v>2025</v>
      </c>
      <c r="K523" s="41" t="inlineStr">
        <is>
          <t>EUR</t>
        </is>
      </c>
      <c r="L523" s="42" t="n">
        <v>69600</v>
      </c>
    </row>
    <row r="524">
      <c r="B524" s="39" t="inlineStr">
        <is>
          <t>MBWAY_NAN</t>
        </is>
      </c>
      <c r="C524" s="40" t="inlineStr">
        <is>
          <t>BAC_MGT</t>
        </is>
      </c>
      <c r="D524" s="40" t="inlineStr">
        <is>
          <t>B1</t>
        </is>
      </c>
      <c r="E524" s="40" t="inlineStr">
        <is>
          <t>INIT</t>
        </is>
      </c>
      <c r="F524" s="40" t="inlineStr">
        <is>
          <t>606300</t>
        </is>
      </c>
      <c r="G524" s="39" t="inlineStr">
        <is>
          <t>Fournitures &amp; ressources pédagogiques</t>
        </is>
      </c>
      <c r="H524" s="40" t="inlineStr">
        <is>
          <t>COMPTABLE</t>
        </is>
      </c>
      <c r="I524" s="41" t="inlineStr">
        <is>
          <t>2023ACT_VDEF</t>
        </is>
      </c>
      <c r="J524" s="41" t="n">
        <v>2023</v>
      </c>
      <c r="K524" s="41" t="inlineStr">
        <is>
          <t>EUR</t>
        </is>
      </c>
      <c r="L524" s="42" t="n">
        <v>21600</v>
      </c>
    </row>
    <row r="525">
      <c r="B525" s="39" t="inlineStr">
        <is>
          <t>MBWAY_NAN</t>
        </is>
      </c>
      <c r="C525" s="40" t="inlineStr">
        <is>
          <t>BAC_MGT</t>
        </is>
      </c>
      <c r="D525" s="40" t="inlineStr">
        <is>
          <t>B1</t>
        </is>
      </c>
      <c r="E525" s="40" t="inlineStr">
        <is>
          <t>INIT</t>
        </is>
      </c>
      <c r="F525" s="40" t="inlineStr">
        <is>
          <t>606300</t>
        </is>
      </c>
      <c r="G525" s="39" t="inlineStr">
        <is>
          <t>Fournitures &amp; ressources pédagogiques</t>
        </is>
      </c>
      <c r="H525" s="40" t="inlineStr">
        <is>
          <t>COMPTABLE</t>
        </is>
      </c>
      <c r="I525" s="41" t="inlineStr">
        <is>
          <t>2024ACT_VDEF</t>
        </is>
      </c>
      <c r="J525" s="41" t="n">
        <v>2024</v>
      </c>
      <c r="K525" s="41" t="inlineStr">
        <is>
          <t>EUR</t>
        </is>
      </c>
      <c r="L525" s="42" t="n">
        <v>22800</v>
      </c>
    </row>
    <row r="526">
      <c r="B526" s="39" t="inlineStr">
        <is>
          <t>MBWAY_NAN</t>
        </is>
      </c>
      <c r="C526" s="40" t="inlineStr">
        <is>
          <t>BAC_MGT</t>
        </is>
      </c>
      <c r="D526" s="40" t="inlineStr">
        <is>
          <t>B1</t>
        </is>
      </c>
      <c r="E526" s="40" t="inlineStr">
        <is>
          <t>INIT</t>
        </is>
      </c>
      <c r="F526" s="40" t="inlineStr">
        <is>
          <t>606300</t>
        </is>
      </c>
      <c r="G526" s="39" t="inlineStr">
        <is>
          <t>Fournitures &amp; ressources pédagogiques</t>
        </is>
      </c>
      <c r="H526" s="40" t="inlineStr">
        <is>
          <t>COMPTABLE</t>
        </is>
      </c>
      <c r="I526" s="41" t="inlineStr">
        <is>
          <t>2025FCST_V4</t>
        </is>
      </c>
      <c r="J526" s="41" t="n">
        <v>2025</v>
      </c>
      <c r="K526" s="41" t="inlineStr">
        <is>
          <t>EUR</t>
        </is>
      </c>
      <c r="L526" s="42" t="n">
        <v>24000</v>
      </c>
    </row>
    <row r="527">
      <c r="B527" s="39" t="inlineStr">
        <is>
          <t>MBWAY_NAN</t>
        </is>
      </c>
      <c r="C527" s="40" t="inlineStr">
        <is>
          <t>BAC_MGT</t>
        </is>
      </c>
      <c r="D527" s="40" t="inlineStr">
        <is>
          <t>B1</t>
        </is>
      </c>
      <c r="E527" s="40" t="inlineStr">
        <is>
          <t>INIT</t>
        </is>
      </c>
      <c r="F527" s="40" t="inlineStr">
        <is>
          <t>623000</t>
        </is>
      </c>
      <c r="G527" s="39" t="inlineStr">
        <is>
          <t>Publicité &amp; marketing (acquisition)</t>
        </is>
      </c>
      <c r="H527" s="40" t="inlineStr">
        <is>
          <t>COMPTABLE</t>
        </is>
      </c>
      <c r="I527" s="41" t="inlineStr">
        <is>
          <t>2023ACT_VDEF</t>
        </is>
      </c>
      <c r="J527" s="41" t="n">
        <v>2023</v>
      </c>
      <c r="K527" s="41" t="inlineStr">
        <is>
          <t>EUR</t>
        </is>
      </c>
      <c r="L527" s="42" t="n">
        <v>17280</v>
      </c>
    </row>
    <row r="528">
      <c r="B528" s="39" t="inlineStr">
        <is>
          <t>MBWAY_NAN</t>
        </is>
      </c>
      <c r="C528" s="40" t="inlineStr">
        <is>
          <t>BAC_MGT</t>
        </is>
      </c>
      <c r="D528" s="40" t="inlineStr">
        <is>
          <t>B1</t>
        </is>
      </c>
      <c r="E528" s="40" t="inlineStr">
        <is>
          <t>INIT</t>
        </is>
      </c>
      <c r="F528" s="40" t="inlineStr">
        <is>
          <t>623000</t>
        </is>
      </c>
      <c r="G528" s="39" t="inlineStr">
        <is>
          <t>Publicité &amp; marketing (acquisition)</t>
        </is>
      </c>
      <c r="H528" s="40" t="inlineStr">
        <is>
          <t>COMPTABLE</t>
        </is>
      </c>
      <c r="I528" s="41" t="inlineStr">
        <is>
          <t>2024ACT_VDEF</t>
        </is>
      </c>
      <c r="J528" s="41" t="n">
        <v>2024</v>
      </c>
      <c r="K528" s="41" t="inlineStr">
        <is>
          <t>EUR</t>
        </is>
      </c>
      <c r="L528" s="42" t="n">
        <v>18240</v>
      </c>
    </row>
    <row r="529">
      <c r="B529" s="39" t="inlineStr">
        <is>
          <t>MBWAY_NAN</t>
        </is>
      </c>
      <c r="C529" s="40" t="inlineStr">
        <is>
          <t>BAC_MGT</t>
        </is>
      </c>
      <c r="D529" s="40" t="inlineStr">
        <is>
          <t>B1</t>
        </is>
      </c>
      <c r="E529" s="40" t="inlineStr">
        <is>
          <t>INIT</t>
        </is>
      </c>
      <c r="F529" s="40" t="inlineStr">
        <is>
          <t>623000</t>
        </is>
      </c>
      <c r="G529" s="39" t="inlineStr">
        <is>
          <t>Publicité &amp; marketing (acquisition)</t>
        </is>
      </c>
      <c r="H529" s="40" t="inlineStr">
        <is>
          <t>COMPTABLE</t>
        </is>
      </c>
      <c r="I529" s="41" t="inlineStr">
        <is>
          <t>2025FCST_V4</t>
        </is>
      </c>
      <c r="J529" s="41" t="n">
        <v>2025</v>
      </c>
      <c r="K529" s="41" t="inlineStr">
        <is>
          <t>EUR</t>
        </is>
      </c>
      <c r="L529" s="42" t="n">
        <v>19200</v>
      </c>
    </row>
    <row r="530">
      <c r="B530" s="39" t="inlineStr">
        <is>
          <t>MBWAY_NAN</t>
        </is>
      </c>
      <c r="C530" s="40" t="inlineStr">
        <is>
          <t>BAC_MGT</t>
        </is>
      </c>
      <c r="D530" s="40" t="inlineStr">
        <is>
          <t>B1</t>
        </is>
      </c>
      <c r="E530" s="40" t="inlineStr">
        <is>
          <t>INIT</t>
        </is>
      </c>
      <c r="F530" s="40" t="inlineStr">
        <is>
          <t>613200</t>
        </is>
      </c>
      <c r="G530" s="39" t="inlineStr">
        <is>
          <t>Locations immobilières (loyers)</t>
        </is>
      </c>
      <c r="H530" s="40" t="inlineStr">
        <is>
          <t>COMPTABLE</t>
        </is>
      </c>
      <c r="I530" s="41" t="inlineStr">
        <is>
          <t>2023ACT_VDEF</t>
        </is>
      </c>
      <c r="J530" s="41" t="n">
        <v>2023</v>
      </c>
      <c r="K530" s="41" t="inlineStr">
        <is>
          <t>EUR</t>
        </is>
      </c>
      <c r="L530" s="42" t="n">
        <v>37620</v>
      </c>
    </row>
    <row r="531">
      <c r="B531" s="39" t="inlineStr">
        <is>
          <t>MBWAY_NAN</t>
        </is>
      </c>
      <c r="C531" s="40" t="inlineStr">
        <is>
          <t>BAC_MGT</t>
        </is>
      </c>
      <c r="D531" s="40" t="inlineStr">
        <is>
          <t>B1</t>
        </is>
      </c>
      <c r="E531" s="40" t="inlineStr">
        <is>
          <t>INIT</t>
        </is>
      </c>
      <c r="F531" s="40" t="inlineStr">
        <is>
          <t>613200</t>
        </is>
      </c>
      <c r="G531" s="39" t="inlineStr">
        <is>
          <t>Locations immobilières (loyers)</t>
        </is>
      </c>
      <c r="H531" s="40" t="inlineStr">
        <is>
          <t>COMPTABLE</t>
        </is>
      </c>
      <c r="I531" s="41" t="inlineStr">
        <is>
          <t>2024ACT_VDEF</t>
        </is>
      </c>
      <c r="J531" s="41" t="n">
        <v>2024</v>
      </c>
      <c r="K531" s="41" t="inlineStr">
        <is>
          <t>EUR</t>
        </is>
      </c>
      <c r="L531" s="42" t="n">
        <v>39710</v>
      </c>
    </row>
    <row r="532">
      <c r="B532" s="39" t="inlineStr">
        <is>
          <t>MBWAY_NAN</t>
        </is>
      </c>
      <c r="C532" s="40" t="inlineStr">
        <is>
          <t>BAC_MGT</t>
        </is>
      </c>
      <c r="D532" s="40" t="inlineStr">
        <is>
          <t>B1</t>
        </is>
      </c>
      <c r="E532" s="40" t="inlineStr">
        <is>
          <t>INIT</t>
        </is>
      </c>
      <c r="F532" s="40" t="inlineStr">
        <is>
          <t>613200</t>
        </is>
      </c>
      <c r="G532" s="39" t="inlineStr">
        <is>
          <t>Locations immobilières (loyers)</t>
        </is>
      </c>
      <c r="H532" s="40" t="inlineStr">
        <is>
          <t>COMPTABLE</t>
        </is>
      </c>
      <c r="I532" s="41" t="inlineStr">
        <is>
          <t>2025FCST_V4</t>
        </is>
      </c>
      <c r="J532" s="41" t="n">
        <v>2025</v>
      </c>
      <c r="K532" s="41" t="inlineStr">
        <is>
          <t>EUR</t>
        </is>
      </c>
      <c r="L532" s="42" t="n">
        <v>41800</v>
      </c>
    </row>
    <row r="533">
      <c r="B533" s="39" t="inlineStr">
        <is>
          <t>MBWAY_NAN</t>
        </is>
      </c>
      <c r="C533" s="40" t="inlineStr">
        <is>
          <t>BAC_MGT</t>
        </is>
      </c>
      <c r="D533" s="40" t="inlineStr">
        <is>
          <t>B1</t>
        </is>
      </c>
      <c r="E533" s="40" t="inlineStr">
        <is>
          <t>INIT</t>
        </is>
      </c>
      <c r="F533" s="40" t="inlineStr">
        <is>
          <t>641100</t>
        </is>
      </c>
      <c r="G533" s="39" t="inlineStr">
        <is>
          <t>Rémunérations du personnel permanent</t>
        </is>
      </c>
      <c r="H533" s="40" t="inlineStr">
        <is>
          <t>COMPTABLE</t>
        </is>
      </c>
      <c r="I533" s="41" t="inlineStr">
        <is>
          <t>2023ACT_VDEF</t>
        </is>
      </c>
      <c r="J533" s="41" t="n">
        <v>2023</v>
      </c>
      <c r="K533" s="41" t="inlineStr">
        <is>
          <t>EUR</t>
        </is>
      </c>
      <c r="L533" s="42" t="n">
        <v>83520</v>
      </c>
    </row>
    <row r="534">
      <c r="B534" s="39" t="inlineStr">
        <is>
          <t>MBWAY_NAN</t>
        </is>
      </c>
      <c r="C534" s="40" t="inlineStr">
        <is>
          <t>BAC_MGT</t>
        </is>
      </c>
      <c r="D534" s="40" t="inlineStr">
        <is>
          <t>B1</t>
        </is>
      </c>
      <c r="E534" s="40" t="inlineStr">
        <is>
          <t>INIT</t>
        </is>
      </c>
      <c r="F534" s="40" t="inlineStr">
        <is>
          <t>641100</t>
        </is>
      </c>
      <c r="G534" s="39" t="inlineStr">
        <is>
          <t>Rémunérations du personnel permanent</t>
        </is>
      </c>
      <c r="H534" s="40" t="inlineStr">
        <is>
          <t>COMPTABLE</t>
        </is>
      </c>
      <c r="I534" s="41" t="inlineStr">
        <is>
          <t>2024ACT_VDEF</t>
        </is>
      </c>
      <c r="J534" s="41" t="n">
        <v>2024</v>
      </c>
      <c r="K534" s="41" t="inlineStr">
        <is>
          <t>EUR</t>
        </is>
      </c>
      <c r="L534" s="42" t="n">
        <v>88160</v>
      </c>
    </row>
    <row r="535">
      <c r="B535" s="39" t="inlineStr">
        <is>
          <t>MBWAY_NAN</t>
        </is>
      </c>
      <c r="C535" s="40" t="inlineStr">
        <is>
          <t>BAC_MGT</t>
        </is>
      </c>
      <c r="D535" s="40" t="inlineStr">
        <is>
          <t>B1</t>
        </is>
      </c>
      <c r="E535" s="40" t="inlineStr">
        <is>
          <t>INIT</t>
        </is>
      </c>
      <c r="F535" s="40" t="inlineStr">
        <is>
          <t>641100</t>
        </is>
      </c>
      <c r="G535" s="39" t="inlineStr">
        <is>
          <t>Rémunérations du personnel permanent</t>
        </is>
      </c>
      <c r="H535" s="40" t="inlineStr">
        <is>
          <t>COMPTABLE</t>
        </is>
      </c>
      <c r="I535" s="41" t="inlineStr">
        <is>
          <t>2025FCST_V4</t>
        </is>
      </c>
      <c r="J535" s="41" t="n">
        <v>2025</v>
      </c>
      <c r="K535" s="41" t="inlineStr">
        <is>
          <t>EUR</t>
        </is>
      </c>
      <c r="L535" s="42" t="n">
        <v>92800</v>
      </c>
    </row>
    <row r="536">
      <c r="B536" s="39" t="inlineStr">
        <is>
          <t>MBWAY_NAN</t>
        </is>
      </c>
      <c r="C536" s="40" t="inlineStr">
        <is>
          <t>BAC_MGT</t>
        </is>
      </c>
      <c r="D536" s="40" t="inlineStr">
        <is>
          <t>B1</t>
        </is>
      </c>
      <c r="E536" s="40" t="inlineStr">
        <is>
          <t>INIT</t>
        </is>
      </c>
      <c r="F536" s="40" t="inlineStr">
        <is>
          <t>622600</t>
        </is>
      </c>
      <c r="G536" s="39" t="inlineStr">
        <is>
          <t>Honoraires &amp; frais de siège (structure groupe)</t>
        </is>
      </c>
      <c r="H536" s="40" t="inlineStr">
        <is>
          <t>COMPTABLE</t>
        </is>
      </c>
      <c r="I536" s="41" t="inlineStr">
        <is>
          <t>2023ACT_VDEF</t>
        </is>
      </c>
      <c r="J536" s="41" t="n">
        <v>2023</v>
      </c>
      <c r="K536" s="41" t="inlineStr">
        <is>
          <t>EUR</t>
        </is>
      </c>
      <c r="L536" s="42" t="n">
        <v>34207</v>
      </c>
    </row>
    <row r="537">
      <c r="B537" s="39" t="inlineStr">
        <is>
          <t>MBWAY_NAN</t>
        </is>
      </c>
      <c r="C537" s="40" t="inlineStr">
        <is>
          <t>BAC_MGT</t>
        </is>
      </c>
      <c r="D537" s="40" t="inlineStr">
        <is>
          <t>B1</t>
        </is>
      </c>
      <c r="E537" s="40" t="inlineStr">
        <is>
          <t>INIT</t>
        </is>
      </c>
      <c r="F537" s="40" t="inlineStr">
        <is>
          <t>622600</t>
        </is>
      </c>
      <c r="G537" s="39" t="inlineStr">
        <is>
          <t>Honoraires &amp; frais de siège (structure groupe)</t>
        </is>
      </c>
      <c r="H537" s="40" t="inlineStr">
        <is>
          <t>COMPTABLE</t>
        </is>
      </c>
      <c r="I537" s="41" t="inlineStr">
        <is>
          <t>2024ACT_VDEF</t>
        </is>
      </c>
      <c r="J537" s="41" t="n">
        <v>2024</v>
      </c>
      <c r="K537" s="41" t="inlineStr">
        <is>
          <t>EUR</t>
        </is>
      </c>
      <c r="L537" s="42" t="n">
        <v>36108</v>
      </c>
    </row>
    <row r="538">
      <c r="B538" s="39" t="inlineStr">
        <is>
          <t>MBWAY_NAN</t>
        </is>
      </c>
      <c r="C538" s="40" t="inlineStr">
        <is>
          <t>BAC_MGT</t>
        </is>
      </c>
      <c r="D538" s="40" t="inlineStr">
        <is>
          <t>B1</t>
        </is>
      </c>
      <c r="E538" s="40" t="inlineStr">
        <is>
          <t>INIT</t>
        </is>
      </c>
      <c r="F538" s="40" t="inlineStr">
        <is>
          <t>622600</t>
        </is>
      </c>
      <c r="G538" s="39" t="inlineStr">
        <is>
          <t>Honoraires &amp; frais de siège (structure groupe)</t>
        </is>
      </c>
      <c r="H538" s="40" t="inlineStr">
        <is>
          <t>COMPTABLE</t>
        </is>
      </c>
      <c r="I538" s="41" t="inlineStr">
        <is>
          <t>2025FCST_V4</t>
        </is>
      </c>
      <c r="J538" s="41" t="n">
        <v>2025</v>
      </c>
      <c r="K538" s="41" t="inlineStr">
        <is>
          <t>EUR</t>
        </is>
      </c>
      <c r="L538" s="42" t="n">
        <v>38008</v>
      </c>
    </row>
    <row r="539">
      <c r="B539" s="39" t="inlineStr">
        <is>
          <t>MBWAY_NAN</t>
        </is>
      </c>
      <c r="C539" s="40" t="inlineStr">
        <is>
          <t>BAC_MGT</t>
        </is>
      </c>
      <c r="D539" s="40" t="inlineStr">
        <is>
          <t>B1</t>
        </is>
      </c>
      <c r="E539" s="40" t="inlineStr">
        <is>
          <t>INIT</t>
        </is>
      </c>
      <c r="F539" s="40" t="inlineStr">
        <is>
          <t>606800</t>
        </is>
      </c>
      <c r="G539" s="39" t="inlineStr">
        <is>
          <t>Autres achats &amp; charges externes</t>
        </is>
      </c>
      <c r="H539" s="40" t="inlineStr">
        <is>
          <t>COMPTABLE</t>
        </is>
      </c>
      <c r="I539" s="41" t="inlineStr">
        <is>
          <t>2023ACT_VDEF</t>
        </is>
      </c>
      <c r="J539" s="41" t="n">
        <v>2023</v>
      </c>
      <c r="K539" s="41" t="inlineStr">
        <is>
          <t>EUR</t>
        </is>
      </c>
      <c r="L539" s="42" t="n">
        <v>50436</v>
      </c>
    </row>
    <row r="540">
      <c r="B540" s="39" t="inlineStr">
        <is>
          <t>MBWAY_NAN</t>
        </is>
      </c>
      <c r="C540" s="40" t="inlineStr">
        <is>
          <t>BAC_MGT</t>
        </is>
      </c>
      <c r="D540" s="40" t="inlineStr">
        <is>
          <t>B1</t>
        </is>
      </c>
      <c r="E540" s="40" t="inlineStr">
        <is>
          <t>INIT</t>
        </is>
      </c>
      <c r="F540" s="40" t="inlineStr">
        <is>
          <t>606800</t>
        </is>
      </c>
      <c r="G540" s="39" t="inlineStr">
        <is>
          <t>Autres achats &amp; charges externes</t>
        </is>
      </c>
      <c r="H540" s="40" t="inlineStr">
        <is>
          <t>COMPTABLE</t>
        </is>
      </c>
      <c r="I540" s="41" t="inlineStr">
        <is>
          <t>2024ACT_VDEF</t>
        </is>
      </c>
      <c r="J540" s="41" t="n">
        <v>2024</v>
      </c>
      <c r="K540" s="41" t="inlineStr">
        <is>
          <t>EUR</t>
        </is>
      </c>
      <c r="L540" s="42" t="n">
        <v>53238</v>
      </c>
    </row>
    <row r="541">
      <c r="B541" s="39" t="inlineStr">
        <is>
          <t>MBWAY_NAN</t>
        </is>
      </c>
      <c r="C541" s="40" t="inlineStr">
        <is>
          <t>BAC_MGT</t>
        </is>
      </c>
      <c r="D541" s="40" t="inlineStr">
        <is>
          <t>B1</t>
        </is>
      </c>
      <c r="E541" s="40" t="inlineStr">
        <is>
          <t>INIT</t>
        </is>
      </c>
      <c r="F541" s="40" t="inlineStr">
        <is>
          <t>606800</t>
        </is>
      </c>
      <c r="G541" s="39" t="inlineStr">
        <is>
          <t>Autres achats &amp; charges externes</t>
        </is>
      </c>
      <c r="H541" s="40" t="inlineStr">
        <is>
          <t>COMPTABLE</t>
        </is>
      </c>
      <c r="I541" s="41" t="inlineStr">
        <is>
          <t>2025FCST_V4</t>
        </is>
      </c>
      <c r="J541" s="41" t="n">
        <v>2025</v>
      </c>
      <c r="K541" s="41" t="inlineStr">
        <is>
          <t>EUR</t>
        </is>
      </c>
      <c r="L541" s="42" t="n">
        <v>56040</v>
      </c>
    </row>
    <row r="542">
      <c r="B542" s="39" t="inlineStr">
        <is>
          <t>MBWAY_NAN</t>
        </is>
      </c>
      <c r="C542" s="40" t="inlineStr">
        <is>
          <t>BAC_MGT</t>
        </is>
      </c>
      <c r="D542" s="40" t="inlineStr">
        <is>
          <t>B1</t>
        </is>
      </c>
      <c r="E542" s="40" t="inlineStr">
        <is>
          <t>INIT</t>
        </is>
      </c>
      <c r="F542" s="40" t="inlineStr">
        <is>
          <t>681100</t>
        </is>
      </c>
      <c r="G542" s="39" t="inlineStr">
        <is>
          <t>Dotations aux amortissements</t>
        </is>
      </c>
      <c r="H542" s="40" t="inlineStr">
        <is>
          <t>COMPTABLE</t>
        </is>
      </c>
      <c r="I542" s="41" t="inlineStr">
        <is>
          <t>2023ACT_VDEF</t>
        </is>
      </c>
      <c r="J542" s="41" t="n">
        <v>2023</v>
      </c>
      <c r="K542" s="41" t="inlineStr">
        <is>
          <t>EUR</t>
        </is>
      </c>
      <c r="L542" s="42" t="n">
        <v>20520</v>
      </c>
    </row>
    <row r="543">
      <c r="B543" s="39" t="inlineStr">
        <is>
          <t>MBWAY_NAN</t>
        </is>
      </c>
      <c r="C543" s="40" t="inlineStr">
        <is>
          <t>BAC_MGT</t>
        </is>
      </c>
      <c r="D543" s="40" t="inlineStr">
        <is>
          <t>B1</t>
        </is>
      </c>
      <c r="E543" s="40" t="inlineStr">
        <is>
          <t>INIT</t>
        </is>
      </c>
      <c r="F543" s="40" t="inlineStr">
        <is>
          <t>681100</t>
        </is>
      </c>
      <c r="G543" s="39" t="inlineStr">
        <is>
          <t>Dotations aux amortissements</t>
        </is>
      </c>
      <c r="H543" s="40" t="inlineStr">
        <is>
          <t>COMPTABLE</t>
        </is>
      </c>
      <c r="I543" s="41" t="inlineStr">
        <is>
          <t>2024ACT_VDEF</t>
        </is>
      </c>
      <c r="J543" s="41" t="n">
        <v>2024</v>
      </c>
      <c r="K543" s="41" t="inlineStr">
        <is>
          <t>EUR</t>
        </is>
      </c>
      <c r="L543" s="42" t="n">
        <v>21660</v>
      </c>
    </row>
    <row r="544">
      <c r="B544" s="39" t="inlineStr">
        <is>
          <t>MBWAY_NAN</t>
        </is>
      </c>
      <c r="C544" s="40" t="inlineStr">
        <is>
          <t>BAC_MGT</t>
        </is>
      </c>
      <c r="D544" s="40" t="inlineStr">
        <is>
          <t>B1</t>
        </is>
      </c>
      <c r="E544" s="40" t="inlineStr">
        <is>
          <t>INIT</t>
        </is>
      </c>
      <c r="F544" s="40" t="inlineStr">
        <is>
          <t>681100</t>
        </is>
      </c>
      <c r="G544" s="39" t="inlineStr">
        <is>
          <t>Dotations aux amortissements</t>
        </is>
      </c>
      <c r="H544" s="40" t="inlineStr">
        <is>
          <t>COMPTABLE</t>
        </is>
      </c>
      <c r="I544" s="41" t="inlineStr">
        <is>
          <t>2025FCST_V4</t>
        </is>
      </c>
      <c r="J544" s="41" t="n">
        <v>2025</v>
      </c>
      <c r="K544" s="41" t="inlineStr">
        <is>
          <t>EUR</t>
        </is>
      </c>
      <c r="L544" s="42" t="n">
        <v>22800</v>
      </c>
    </row>
    <row r="545">
      <c r="B545" s="39" t="inlineStr">
        <is>
          <t>MBWAY_NAN</t>
        </is>
      </c>
      <c r="C545" s="40" t="inlineStr">
        <is>
          <t>BAC_MGT</t>
        </is>
      </c>
      <c r="D545" s="40" t="inlineStr">
        <is>
          <t>B1</t>
        </is>
      </c>
      <c r="E545" s="40" t="inlineStr">
        <is>
          <t>INIT</t>
        </is>
      </c>
      <c r="F545" s="40" t="inlineStr">
        <is>
          <t>STA_EFF</t>
        </is>
      </c>
      <c r="G545" s="39" t="inlineStr">
        <is>
          <t>Effectif inscrit</t>
        </is>
      </c>
      <c r="H545" s="40" t="inlineStr">
        <is>
          <t>TECHNIQUE</t>
        </is>
      </c>
      <c r="I545" s="41" t="inlineStr">
        <is>
          <t>2023ACT_VDEF</t>
        </is>
      </c>
      <c r="J545" s="41" t="n">
        <v>2023</v>
      </c>
      <c r="K545" s="41" t="inlineStr">
        <is>
          <t>NB</t>
        </is>
      </c>
      <c r="L545" s="43" t="n">
        <v>54</v>
      </c>
    </row>
    <row r="546">
      <c r="B546" s="39" t="inlineStr">
        <is>
          <t>MBWAY_NAN</t>
        </is>
      </c>
      <c r="C546" s="40" t="inlineStr">
        <is>
          <t>BAC_MGT</t>
        </is>
      </c>
      <c r="D546" s="40" t="inlineStr">
        <is>
          <t>B1</t>
        </is>
      </c>
      <c r="E546" s="40" t="inlineStr">
        <is>
          <t>INIT</t>
        </is>
      </c>
      <c r="F546" s="40" t="inlineStr">
        <is>
          <t>STA_EFF</t>
        </is>
      </c>
      <c r="G546" s="39" t="inlineStr">
        <is>
          <t>Effectif inscrit</t>
        </is>
      </c>
      <c r="H546" s="40" t="inlineStr">
        <is>
          <t>TECHNIQUE</t>
        </is>
      </c>
      <c r="I546" s="41" t="inlineStr">
        <is>
          <t>2024ACT_VDEF</t>
        </is>
      </c>
      <c r="J546" s="41" t="n">
        <v>2024</v>
      </c>
      <c r="K546" s="41" t="inlineStr">
        <is>
          <t>NB</t>
        </is>
      </c>
      <c r="L546" s="43" t="n">
        <v>57</v>
      </c>
    </row>
    <row r="547">
      <c r="B547" s="39" t="inlineStr">
        <is>
          <t>MBWAY_NAN</t>
        </is>
      </c>
      <c r="C547" s="40" t="inlineStr">
        <is>
          <t>BAC_MGT</t>
        </is>
      </c>
      <c r="D547" s="40" t="inlineStr">
        <is>
          <t>B1</t>
        </is>
      </c>
      <c r="E547" s="40" t="inlineStr">
        <is>
          <t>INIT</t>
        </is>
      </c>
      <c r="F547" s="40" t="inlineStr">
        <is>
          <t>STA_EFF</t>
        </is>
      </c>
      <c r="G547" s="39" t="inlineStr">
        <is>
          <t>Effectif inscrit</t>
        </is>
      </c>
      <c r="H547" s="40" t="inlineStr">
        <is>
          <t>TECHNIQUE</t>
        </is>
      </c>
      <c r="I547" s="41" t="inlineStr">
        <is>
          <t>2025FCST_V4</t>
        </is>
      </c>
      <c r="J547" s="41" t="n">
        <v>2025</v>
      </c>
      <c r="K547" s="41" t="inlineStr">
        <is>
          <t>NB</t>
        </is>
      </c>
      <c r="L547" s="43" t="n">
        <v>60</v>
      </c>
    </row>
    <row r="548">
      <c r="B548" s="39" t="inlineStr">
        <is>
          <t>MBWAY_NAN</t>
        </is>
      </c>
      <c r="C548" s="40" t="inlineStr">
        <is>
          <t>BAC_MGT</t>
        </is>
      </c>
      <c r="D548" s="40" t="inlineStr">
        <is>
          <t>B1</t>
        </is>
      </c>
      <c r="E548" s="40" t="inlineStr">
        <is>
          <t>INIT</t>
        </is>
      </c>
      <c r="F548" s="40" t="inlineStr">
        <is>
          <t>STA_CAND</t>
        </is>
      </c>
      <c r="G548" s="39" t="inlineStr">
        <is>
          <t>Candidatures reçues</t>
        </is>
      </c>
      <c r="H548" s="40" t="inlineStr">
        <is>
          <t>TECHNIQUE</t>
        </is>
      </c>
      <c r="I548" s="41" t="inlineStr">
        <is>
          <t>2023ACT_VDEF</t>
        </is>
      </c>
      <c r="J548" s="41" t="n">
        <v>2023</v>
      </c>
      <c r="K548" s="41" t="inlineStr">
        <is>
          <t>NB</t>
        </is>
      </c>
      <c r="L548" s="43" t="n">
        <v>145</v>
      </c>
    </row>
    <row r="549">
      <c r="B549" s="39" t="inlineStr">
        <is>
          <t>MBWAY_NAN</t>
        </is>
      </c>
      <c r="C549" s="40" t="inlineStr">
        <is>
          <t>BAC_MGT</t>
        </is>
      </c>
      <c r="D549" s="40" t="inlineStr">
        <is>
          <t>B1</t>
        </is>
      </c>
      <c r="E549" s="40" t="inlineStr">
        <is>
          <t>INIT</t>
        </is>
      </c>
      <c r="F549" s="40" t="inlineStr">
        <is>
          <t>STA_CAND</t>
        </is>
      </c>
      <c r="G549" s="39" t="inlineStr">
        <is>
          <t>Candidatures reçues</t>
        </is>
      </c>
      <c r="H549" s="40" t="inlineStr">
        <is>
          <t>TECHNIQUE</t>
        </is>
      </c>
      <c r="I549" s="41" t="inlineStr">
        <is>
          <t>2024ACT_VDEF</t>
        </is>
      </c>
      <c r="J549" s="41" t="n">
        <v>2024</v>
      </c>
      <c r="K549" s="41" t="inlineStr">
        <is>
          <t>NB</t>
        </is>
      </c>
      <c r="L549" s="43" t="n">
        <v>153</v>
      </c>
    </row>
    <row r="550">
      <c r="B550" s="39" t="inlineStr">
        <is>
          <t>MBWAY_NAN</t>
        </is>
      </c>
      <c r="C550" s="40" t="inlineStr">
        <is>
          <t>BAC_MGT</t>
        </is>
      </c>
      <c r="D550" s="40" t="inlineStr">
        <is>
          <t>B1</t>
        </is>
      </c>
      <c r="E550" s="40" t="inlineStr">
        <is>
          <t>INIT</t>
        </is>
      </c>
      <c r="F550" s="40" t="inlineStr">
        <is>
          <t>STA_CAND</t>
        </is>
      </c>
      <c r="G550" s="39" t="inlineStr">
        <is>
          <t>Candidatures reçues</t>
        </is>
      </c>
      <c r="H550" s="40" t="inlineStr">
        <is>
          <t>TECHNIQUE</t>
        </is>
      </c>
      <c r="I550" s="41" t="inlineStr">
        <is>
          <t>2025FCST_V4</t>
        </is>
      </c>
      <c r="J550" s="41" t="n">
        <v>2025</v>
      </c>
      <c r="K550" s="41" t="inlineStr">
        <is>
          <t>NB</t>
        </is>
      </c>
      <c r="L550" s="43" t="n">
        <v>161</v>
      </c>
    </row>
    <row r="551">
      <c r="B551" s="39" t="inlineStr">
        <is>
          <t>MBWAY_NAN</t>
        </is>
      </c>
      <c r="C551" s="40" t="inlineStr">
        <is>
          <t>BAC_MGT</t>
        </is>
      </c>
      <c r="D551" s="40" t="inlineStr">
        <is>
          <t>B1</t>
        </is>
      </c>
      <c r="E551" s="40" t="inlineStr">
        <is>
          <t>INIT</t>
        </is>
      </c>
      <c r="F551" s="40" t="inlineStr">
        <is>
          <t>STA_ADMIS</t>
        </is>
      </c>
      <c r="G551" s="39" t="inlineStr">
        <is>
          <t>Candidats admis</t>
        </is>
      </c>
      <c r="H551" s="40" t="inlineStr">
        <is>
          <t>TECHNIQUE</t>
        </is>
      </c>
      <c r="I551" s="41" t="inlineStr">
        <is>
          <t>2023ACT_VDEF</t>
        </is>
      </c>
      <c r="J551" s="41" t="n">
        <v>2023</v>
      </c>
      <c r="K551" s="41" t="inlineStr">
        <is>
          <t>NB</t>
        </is>
      </c>
      <c r="L551" s="43" t="n">
        <v>90</v>
      </c>
    </row>
    <row r="552">
      <c r="B552" s="39" t="inlineStr">
        <is>
          <t>MBWAY_NAN</t>
        </is>
      </c>
      <c r="C552" s="40" t="inlineStr">
        <is>
          <t>BAC_MGT</t>
        </is>
      </c>
      <c r="D552" s="40" t="inlineStr">
        <is>
          <t>B1</t>
        </is>
      </c>
      <c r="E552" s="40" t="inlineStr">
        <is>
          <t>INIT</t>
        </is>
      </c>
      <c r="F552" s="40" t="inlineStr">
        <is>
          <t>STA_ADMIS</t>
        </is>
      </c>
      <c r="G552" s="39" t="inlineStr">
        <is>
          <t>Candidats admis</t>
        </is>
      </c>
      <c r="H552" s="40" t="inlineStr">
        <is>
          <t>TECHNIQUE</t>
        </is>
      </c>
      <c r="I552" s="41" t="inlineStr">
        <is>
          <t>2024ACT_VDEF</t>
        </is>
      </c>
      <c r="J552" s="41" t="n">
        <v>2024</v>
      </c>
      <c r="K552" s="41" t="inlineStr">
        <is>
          <t>NB</t>
        </is>
      </c>
      <c r="L552" s="43" t="n">
        <v>95</v>
      </c>
    </row>
    <row r="553">
      <c r="B553" s="39" t="inlineStr">
        <is>
          <t>MBWAY_NAN</t>
        </is>
      </c>
      <c r="C553" s="40" t="inlineStr">
        <is>
          <t>BAC_MGT</t>
        </is>
      </c>
      <c r="D553" s="40" t="inlineStr">
        <is>
          <t>B1</t>
        </is>
      </c>
      <c r="E553" s="40" t="inlineStr">
        <is>
          <t>INIT</t>
        </is>
      </c>
      <c r="F553" s="40" t="inlineStr">
        <is>
          <t>STA_ADMIS</t>
        </is>
      </c>
      <c r="G553" s="39" t="inlineStr">
        <is>
          <t>Candidats admis</t>
        </is>
      </c>
      <c r="H553" s="40" t="inlineStr">
        <is>
          <t>TECHNIQUE</t>
        </is>
      </c>
      <c r="I553" s="41" t="inlineStr">
        <is>
          <t>2025FCST_V4</t>
        </is>
      </c>
      <c r="J553" s="41" t="n">
        <v>2025</v>
      </c>
      <c r="K553" s="41" t="inlineStr">
        <is>
          <t>NB</t>
        </is>
      </c>
      <c r="L553" s="43" t="n">
        <v>100</v>
      </c>
    </row>
    <row r="554">
      <c r="B554" s="39" t="inlineStr">
        <is>
          <t>MBWAY_NAN</t>
        </is>
      </c>
      <c r="C554" s="40" t="inlineStr">
        <is>
          <t>BAC_MGT</t>
        </is>
      </c>
      <c r="D554" s="40" t="inlineStr">
        <is>
          <t>B1</t>
        </is>
      </c>
      <c r="E554" s="40" t="inlineStr">
        <is>
          <t>INIT</t>
        </is>
      </c>
      <c r="F554" s="40" t="inlineStr">
        <is>
          <t>STA_NOUV</t>
        </is>
      </c>
      <c r="G554" s="39" t="inlineStr">
        <is>
          <t>Nouveaux inscrits</t>
        </is>
      </c>
      <c r="H554" s="40" t="inlineStr">
        <is>
          <t>TECHNIQUE</t>
        </is>
      </c>
      <c r="I554" s="41" t="inlineStr">
        <is>
          <t>2023ACT_VDEF</t>
        </is>
      </c>
      <c r="J554" s="41" t="n">
        <v>2023</v>
      </c>
      <c r="K554" s="41" t="inlineStr">
        <is>
          <t>NB</t>
        </is>
      </c>
      <c r="L554" s="43" t="n">
        <v>54</v>
      </c>
    </row>
    <row r="555">
      <c r="B555" s="39" t="inlineStr">
        <is>
          <t>MBWAY_NAN</t>
        </is>
      </c>
      <c r="C555" s="40" t="inlineStr">
        <is>
          <t>BAC_MGT</t>
        </is>
      </c>
      <c r="D555" s="40" t="inlineStr">
        <is>
          <t>B1</t>
        </is>
      </c>
      <c r="E555" s="40" t="inlineStr">
        <is>
          <t>INIT</t>
        </is>
      </c>
      <c r="F555" s="40" t="inlineStr">
        <is>
          <t>STA_NOUV</t>
        </is>
      </c>
      <c r="G555" s="39" t="inlineStr">
        <is>
          <t>Nouveaux inscrits</t>
        </is>
      </c>
      <c r="H555" s="40" t="inlineStr">
        <is>
          <t>TECHNIQUE</t>
        </is>
      </c>
      <c r="I555" s="41" t="inlineStr">
        <is>
          <t>2024ACT_VDEF</t>
        </is>
      </c>
      <c r="J555" s="41" t="n">
        <v>2024</v>
      </c>
      <c r="K555" s="41" t="inlineStr">
        <is>
          <t>NB</t>
        </is>
      </c>
      <c r="L555" s="43" t="n">
        <v>57</v>
      </c>
    </row>
    <row r="556">
      <c r="B556" s="39" t="inlineStr">
        <is>
          <t>MBWAY_NAN</t>
        </is>
      </c>
      <c r="C556" s="40" t="inlineStr">
        <is>
          <t>BAC_MGT</t>
        </is>
      </c>
      <c r="D556" s="40" t="inlineStr">
        <is>
          <t>B1</t>
        </is>
      </c>
      <c r="E556" s="40" t="inlineStr">
        <is>
          <t>INIT</t>
        </is>
      </c>
      <c r="F556" s="40" t="inlineStr">
        <is>
          <t>STA_NOUV</t>
        </is>
      </c>
      <c r="G556" s="39" t="inlineStr">
        <is>
          <t>Nouveaux inscrits</t>
        </is>
      </c>
      <c r="H556" s="40" t="inlineStr">
        <is>
          <t>TECHNIQUE</t>
        </is>
      </c>
      <c r="I556" s="41" t="inlineStr">
        <is>
          <t>2025FCST_V4</t>
        </is>
      </c>
      <c r="J556" s="41" t="n">
        <v>2025</v>
      </c>
      <c r="K556" s="41" t="inlineStr">
        <is>
          <t>NB</t>
        </is>
      </c>
      <c r="L556" s="43" t="n">
        <v>60</v>
      </c>
    </row>
    <row r="557">
      <c r="B557" s="39" t="inlineStr">
        <is>
          <t>MBWAY_NAN</t>
        </is>
      </c>
      <c r="C557" s="40" t="inlineStr">
        <is>
          <t>BAC_MGT</t>
        </is>
      </c>
      <c r="D557" s="40" t="inlineStr">
        <is>
          <t>B1</t>
        </is>
      </c>
      <c r="E557" s="40" t="inlineStr">
        <is>
          <t>INIT</t>
        </is>
      </c>
      <c r="F557" s="40" t="inlineStr">
        <is>
          <t>STA_CLASS</t>
        </is>
      </c>
      <c r="G557" s="39" t="inlineStr">
        <is>
          <t>Nombre de classes</t>
        </is>
      </c>
      <c r="H557" s="40" t="inlineStr">
        <is>
          <t>TECHNIQUE</t>
        </is>
      </c>
      <c r="I557" s="41" t="inlineStr">
        <is>
          <t>2023ACT_VDEF</t>
        </is>
      </c>
      <c r="J557" s="41" t="n">
        <v>2023</v>
      </c>
      <c r="K557" s="41" t="inlineStr">
        <is>
          <t>NB</t>
        </is>
      </c>
      <c r="L557" s="43" t="n">
        <v>2</v>
      </c>
    </row>
    <row r="558">
      <c r="B558" s="39" t="inlineStr">
        <is>
          <t>MBWAY_NAN</t>
        </is>
      </c>
      <c r="C558" s="40" t="inlineStr">
        <is>
          <t>BAC_MGT</t>
        </is>
      </c>
      <c r="D558" s="40" t="inlineStr">
        <is>
          <t>B1</t>
        </is>
      </c>
      <c r="E558" s="40" t="inlineStr">
        <is>
          <t>INIT</t>
        </is>
      </c>
      <c r="F558" s="40" t="inlineStr">
        <is>
          <t>STA_CLASS</t>
        </is>
      </c>
      <c r="G558" s="39" t="inlineStr">
        <is>
          <t>Nombre de classes</t>
        </is>
      </c>
      <c r="H558" s="40" t="inlineStr">
        <is>
          <t>TECHNIQUE</t>
        </is>
      </c>
      <c r="I558" s="41" t="inlineStr">
        <is>
          <t>2024ACT_VDEF</t>
        </is>
      </c>
      <c r="J558" s="41" t="n">
        <v>2024</v>
      </c>
      <c r="K558" s="41" t="inlineStr">
        <is>
          <t>NB</t>
        </is>
      </c>
      <c r="L558" s="43" t="n">
        <v>2</v>
      </c>
    </row>
    <row r="559">
      <c r="B559" s="39" t="inlineStr">
        <is>
          <t>MBWAY_NAN</t>
        </is>
      </c>
      <c r="C559" s="40" t="inlineStr">
        <is>
          <t>BAC_MGT</t>
        </is>
      </c>
      <c r="D559" s="40" t="inlineStr">
        <is>
          <t>B1</t>
        </is>
      </c>
      <c r="E559" s="40" t="inlineStr">
        <is>
          <t>INIT</t>
        </is>
      </c>
      <c r="F559" s="40" t="inlineStr">
        <is>
          <t>STA_CLASS</t>
        </is>
      </c>
      <c r="G559" s="39" t="inlineStr">
        <is>
          <t>Nombre de classes</t>
        </is>
      </c>
      <c r="H559" s="40" t="inlineStr">
        <is>
          <t>TECHNIQUE</t>
        </is>
      </c>
      <c r="I559" s="41" t="inlineStr">
        <is>
          <t>2025FCST_V4</t>
        </is>
      </c>
      <c r="J559" s="41" t="n">
        <v>2025</v>
      </c>
      <c r="K559" s="41" t="inlineStr">
        <is>
          <t>NB</t>
        </is>
      </c>
      <c r="L559" s="43" t="n">
        <v>2</v>
      </c>
    </row>
    <row r="560">
      <c r="B560" s="39" t="inlineStr">
        <is>
          <t>MBWAY_NAN</t>
        </is>
      </c>
      <c r="C560" s="40" t="inlineStr">
        <is>
          <t>BAC_MGT</t>
        </is>
      </c>
      <c r="D560" s="40" t="inlineStr">
        <is>
          <t>B1</t>
        </is>
      </c>
      <c r="E560" s="40" t="inlineStr">
        <is>
          <t>INIT</t>
        </is>
      </c>
      <c r="F560" s="40" t="inlineStr">
        <is>
          <t>STA_HEURE</t>
        </is>
      </c>
      <c r="G560" s="39" t="inlineStr">
        <is>
          <t>Heures d'enseignement</t>
        </is>
      </c>
      <c r="H560" s="40" t="inlineStr">
        <is>
          <t>TECHNIQUE</t>
        </is>
      </c>
      <c r="I560" s="41" t="inlineStr">
        <is>
          <t>2023ACT_VDEF</t>
        </is>
      </c>
      <c r="J560" s="41" t="n">
        <v>2023</v>
      </c>
      <c r="K560" s="41" t="inlineStr">
        <is>
          <t>NB</t>
        </is>
      </c>
      <c r="L560" s="43" t="n">
        <v>1080</v>
      </c>
    </row>
    <row r="561">
      <c r="B561" s="39" t="inlineStr">
        <is>
          <t>MBWAY_NAN</t>
        </is>
      </c>
      <c r="C561" s="40" t="inlineStr">
        <is>
          <t>BAC_MGT</t>
        </is>
      </c>
      <c r="D561" s="40" t="inlineStr">
        <is>
          <t>B1</t>
        </is>
      </c>
      <c r="E561" s="40" t="inlineStr">
        <is>
          <t>INIT</t>
        </is>
      </c>
      <c r="F561" s="40" t="inlineStr">
        <is>
          <t>STA_HEURE</t>
        </is>
      </c>
      <c r="G561" s="39" t="inlineStr">
        <is>
          <t>Heures d'enseignement</t>
        </is>
      </c>
      <c r="H561" s="40" t="inlineStr">
        <is>
          <t>TECHNIQUE</t>
        </is>
      </c>
      <c r="I561" s="41" t="inlineStr">
        <is>
          <t>2024ACT_VDEF</t>
        </is>
      </c>
      <c r="J561" s="41" t="n">
        <v>2024</v>
      </c>
      <c r="K561" s="41" t="inlineStr">
        <is>
          <t>NB</t>
        </is>
      </c>
      <c r="L561" s="43" t="n">
        <v>1140</v>
      </c>
    </row>
    <row r="562">
      <c r="B562" s="39" t="inlineStr">
        <is>
          <t>MBWAY_NAN</t>
        </is>
      </c>
      <c r="C562" s="40" t="inlineStr">
        <is>
          <t>BAC_MGT</t>
        </is>
      </c>
      <c r="D562" s="40" t="inlineStr">
        <is>
          <t>B1</t>
        </is>
      </c>
      <c r="E562" s="40" t="inlineStr">
        <is>
          <t>INIT</t>
        </is>
      </c>
      <c r="F562" s="40" t="inlineStr">
        <is>
          <t>STA_HEURE</t>
        </is>
      </c>
      <c r="G562" s="39" t="inlineStr">
        <is>
          <t>Heures d'enseignement</t>
        </is>
      </c>
      <c r="H562" s="40" t="inlineStr">
        <is>
          <t>TECHNIQUE</t>
        </is>
      </c>
      <c r="I562" s="41" t="inlineStr">
        <is>
          <t>2025FCST_V4</t>
        </is>
      </c>
      <c r="J562" s="41" t="n">
        <v>2025</v>
      </c>
      <c r="K562" s="41" t="inlineStr">
        <is>
          <t>NB</t>
        </is>
      </c>
      <c r="L562" s="43" t="n">
        <v>1200</v>
      </c>
    </row>
    <row r="563">
      <c r="B563" s="39" t="inlineStr">
        <is>
          <t>MBWAY_NAN</t>
        </is>
      </c>
      <c r="C563" s="40" t="inlineStr">
        <is>
          <t>BAC_MGT</t>
        </is>
      </c>
      <c r="D563" s="40" t="inlineStr">
        <is>
          <t>B1</t>
        </is>
      </c>
      <c r="E563" s="40" t="inlineStr">
        <is>
          <t>INIT</t>
        </is>
      </c>
      <c r="F563" s="40" t="inlineStr">
        <is>
          <t>STA_CAPA</t>
        </is>
      </c>
      <c r="G563" s="39" t="inlineStr">
        <is>
          <t>Capacité par classe</t>
        </is>
      </c>
      <c r="H563" s="40" t="inlineStr">
        <is>
          <t>TECHNIQUE</t>
        </is>
      </c>
      <c r="I563" s="41" t="inlineStr">
        <is>
          <t>2023ACT_VDEF</t>
        </is>
      </c>
      <c r="J563" s="41" t="n">
        <v>2023</v>
      </c>
      <c r="K563" s="41" t="inlineStr">
        <is>
          <t>NB</t>
        </is>
      </c>
      <c r="L563" s="43" t="n">
        <v>32</v>
      </c>
    </row>
    <row r="564">
      <c r="B564" s="39" t="inlineStr">
        <is>
          <t>MBWAY_NAN</t>
        </is>
      </c>
      <c r="C564" s="40" t="inlineStr">
        <is>
          <t>BAC_MGT</t>
        </is>
      </c>
      <c r="D564" s="40" t="inlineStr">
        <is>
          <t>B1</t>
        </is>
      </c>
      <c r="E564" s="40" t="inlineStr">
        <is>
          <t>INIT</t>
        </is>
      </c>
      <c r="F564" s="40" t="inlineStr">
        <is>
          <t>STA_CAPA</t>
        </is>
      </c>
      <c r="G564" s="39" t="inlineStr">
        <is>
          <t>Capacité par classe</t>
        </is>
      </c>
      <c r="H564" s="40" t="inlineStr">
        <is>
          <t>TECHNIQUE</t>
        </is>
      </c>
      <c r="I564" s="41" t="inlineStr">
        <is>
          <t>2024ACT_VDEF</t>
        </is>
      </c>
      <c r="J564" s="41" t="n">
        <v>2024</v>
      </c>
      <c r="K564" s="41" t="inlineStr">
        <is>
          <t>NB</t>
        </is>
      </c>
      <c r="L564" s="43" t="n">
        <v>32</v>
      </c>
    </row>
    <row r="565">
      <c r="B565" s="39" t="inlineStr">
        <is>
          <t>MBWAY_NAN</t>
        </is>
      </c>
      <c r="C565" s="40" t="inlineStr">
        <is>
          <t>BAC_MGT</t>
        </is>
      </c>
      <c r="D565" s="40" t="inlineStr">
        <is>
          <t>B1</t>
        </is>
      </c>
      <c r="E565" s="40" t="inlineStr">
        <is>
          <t>INIT</t>
        </is>
      </c>
      <c r="F565" s="40" t="inlineStr">
        <is>
          <t>STA_CAPA</t>
        </is>
      </c>
      <c r="G565" s="39" t="inlineStr">
        <is>
          <t>Capacité par classe</t>
        </is>
      </c>
      <c r="H565" s="40" t="inlineStr">
        <is>
          <t>TECHNIQUE</t>
        </is>
      </c>
      <c r="I565" s="41" t="inlineStr">
        <is>
          <t>2025FCST_V4</t>
        </is>
      </c>
      <c r="J565" s="41" t="n">
        <v>2025</v>
      </c>
      <c r="K565" s="41" t="inlineStr">
        <is>
          <t>NB</t>
        </is>
      </c>
      <c r="L565" s="43" t="n">
        <v>32</v>
      </c>
    </row>
    <row r="566">
      <c r="B566" s="39" t="inlineStr">
        <is>
          <t>MBWAY_NAN</t>
        </is>
      </c>
      <c r="C566" s="40" t="inlineStr">
        <is>
          <t>BAC_MGT</t>
        </is>
      </c>
      <c r="D566" s="40" t="inlineStr">
        <is>
          <t>B1</t>
        </is>
      </c>
      <c r="E566" s="40" t="inlineStr">
        <is>
          <t>INIT</t>
        </is>
      </c>
      <c r="F566" s="40" t="inlineStr">
        <is>
          <t>DRV_CONV</t>
        </is>
      </c>
      <c r="G566" s="39" t="inlineStr">
        <is>
          <t>Taux de conversion candidat→inscrit</t>
        </is>
      </c>
      <c r="H566" s="40" t="inlineStr">
        <is>
          <t>TECHNIQUE</t>
        </is>
      </c>
      <c r="I566" s="41" t="inlineStr">
        <is>
          <t>2023ACT_VDEF</t>
        </is>
      </c>
      <c r="J566" s="41" t="n">
        <v>2023</v>
      </c>
      <c r="K566" s="41" t="inlineStr">
        <is>
          <t>PCT</t>
        </is>
      </c>
      <c r="L566" s="44" t="n">
        <v>0.3727</v>
      </c>
    </row>
    <row r="567">
      <c r="B567" s="39" t="inlineStr">
        <is>
          <t>MBWAY_NAN</t>
        </is>
      </c>
      <c r="C567" s="40" t="inlineStr">
        <is>
          <t>BAC_MGT</t>
        </is>
      </c>
      <c r="D567" s="40" t="inlineStr">
        <is>
          <t>B1</t>
        </is>
      </c>
      <c r="E567" s="40" t="inlineStr">
        <is>
          <t>INIT</t>
        </is>
      </c>
      <c r="F567" s="40" t="inlineStr">
        <is>
          <t>DRV_CONV</t>
        </is>
      </c>
      <c r="G567" s="39" t="inlineStr">
        <is>
          <t>Taux de conversion candidat→inscrit</t>
        </is>
      </c>
      <c r="H567" s="40" t="inlineStr">
        <is>
          <t>TECHNIQUE</t>
        </is>
      </c>
      <c r="I567" s="41" t="inlineStr">
        <is>
          <t>2024ACT_VDEF</t>
        </is>
      </c>
      <c r="J567" s="41" t="n">
        <v>2024</v>
      </c>
      <c r="K567" s="41" t="inlineStr">
        <is>
          <t>PCT</t>
        </is>
      </c>
      <c r="L567" s="44" t="n">
        <v>0.3727</v>
      </c>
    </row>
    <row r="568">
      <c r="B568" s="39" t="inlineStr">
        <is>
          <t>MBWAY_NAN</t>
        </is>
      </c>
      <c r="C568" s="40" t="inlineStr">
        <is>
          <t>BAC_MGT</t>
        </is>
      </c>
      <c r="D568" s="40" t="inlineStr">
        <is>
          <t>B1</t>
        </is>
      </c>
      <c r="E568" s="40" t="inlineStr">
        <is>
          <t>INIT</t>
        </is>
      </c>
      <c r="F568" s="40" t="inlineStr">
        <is>
          <t>DRV_CONV</t>
        </is>
      </c>
      <c r="G568" s="39" t="inlineStr">
        <is>
          <t>Taux de conversion candidat→inscrit</t>
        </is>
      </c>
      <c r="H568" s="40" t="inlineStr">
        <is>
          <t>TECHNIQUE</t>
        </is>
      </c>
      <c r="I568" s="41" t="inlineStr">
        <is>
          <t>2025FCST_V4</t>
        </is>
      </c>
      <c r="J568" s="41" t="n">
        <v>2025</v>
      </c>
      <c r="K568" s="41" t="inlineStr">
        <is>
          <t>PCT</t>
        </is>
      </c>
      <c r="L568" s="44" t="n">
        <v>0.3727</v>
      </c>
    </row>
    <row r="569">
      <c r="B569" s="39" t="inlineStr">
        <is>
          <t>MBWAY_NAN</t>
        </is>
      </c>
      <c r="C569" s="40" t="inlineStr">
        <is>
          <t>BAC_MGT</t>
        </is>
      </c>
      <c r="D569" s="40" t="inlineStr">
        <is>
          <t>B1</t>
        </is>
      </c>
      <c r="E569" s="40" t="inlineStr">
        <is>
          <t>INIT</t>
        </is>
      </c>
      <c r="F569" s="40" t="inlineStr">
        <is>
          <t>PRX_TARIF</t>
        </is>
      </c>
      <c r="G569" s="39" t="inlineStr">
        <is>
          <t>Tarif moyen scolarité</t>
        </is>
      </c>
      <c r="H569" s="40" t="inlineStr">
        <is>
          <t>TECHNIQUE</t>
        </is>
      </c>
      <c r="I569" s="41" t="inlineStr">
        <is>
          <t>2023ACT_VDEF</t>
        </is>
      </c>
      <c r="J569" s="41" t="n">
        <v>2023</v>
      </c>
      <c r="K569" s="41" t="inlineStr">
        <is>
          <t>EUR</t>
        </is>
      </c>
      <c r="L569" s="42" t="n">
        <v>8500</v>
      </c>
    </row>
    <row r="570">
      <c r="B570" s="39" t="inlineStr">
        <is>
          <t>MBWAY_NAN</t>
        </is>
      </c>
      <c r="C570" s="40" t="inlineStr">
        <is>
          <t>BAC_MGT</t>
        </is>
      </c>
      <c r="D570" s="40" t="inlineStr">
        <is>
          <t>B1</t>
        </is>
      </c>
      <c r="E570" s="40" t="inlineStr">
        <is>
          <t>INIT</t>
        </is>
      </c>
      <c r="F570" s="40" t="inlineStr">
        <is>
          <t>PRX_TARIF</t>
        </is>
      </c>
      <c r="G570" s="39" t="inlineStr">
        <is>
          <t>Tarif moyen scolarité</t>
        </is>
      </c>
      <c r="H570" s="40" t="inlineStr">
        <is>
          <t>TECHNIQUE</t>
        </is>
      </c>
      <c r="I570" s="41" t="inlineStr">
        <is>
          <t>2024ACT_VDEF</t>
        </is>
      </c>
      <c r="J570" s="41" t="n">
        <v>2024</v>
      </c>
      <c r="K570" s="41" t="inlineStr">
        <is>
          <t>EUR</t>
        </is>
      </c>
      <c r="L570" s="42" t="n">
        <v>8500</v>
      </c>
    </row>
    <row r="571">
      <c r="B571" s="39" t="inlineStr">
        <is>
          <t>MBWAY_NAN</t>
        </is>
      </c>
      <c r="C571" s="40" t="inlineStr">
        <is>
          <t>BAC_MGT</t>
        </is>
      </c>
      <c r="D571" s="40" t="inlineStr">
        <is>
          <t>B1</t>
        </is>
      </c>
      <c r="E571" s="40" t="inlineStr">
        <is>
          <t>INIT</t>
        </is>
      </c>
      <c r="F571" s="40" t="inlineStr">
        <is>
          <t>PRX_TARIF</t>
        </is>
      </c>
      <c r="G571" s="39" t="inlineStr">
        <is>
          <t>Tarif moyen scolarité</t>
        </is>
      </c>
      <c r="H571" s="40" t="inlineStr">
        <is>
          <t>TECHNIQUE</t>
        </is>
      </c>
      <c r="I571" s="41" t="inlineStr">
        <is>
          <t>2025FCST_V4</t>
        </is>
      </c>
      <c r="J571" s="41" t="n">
        <v>2025</v>
      </c>
      <c r="K571" s="41" t="inlineStr">
        <is>
          <t>EUR</t>
        </is>
      </c>
      <c r="L571" s="42" t="n">
        <v>8500</v>
      </c>
    </row>
    <row r="572">
      <c r="B572" s="39" t="inlineStr">
        <is>
          <t>MBWAY_NAN</t>
        </is>
      </c>
      <c r="C572" s="40" t="inlineStr">
        <is>
          <t>BAC_MGT</t>
        </is>
      </c>
      <c r="D572" s="40" t="inlineStr">
        <is>
          <t>B1</t>
        </is>
      </c>
      <c r="E572" s="40" t="inlineStr">
        <is>
          <t>INIT</t>
        </is>
      </c>
      <c r="F572" s="40" t="inlineStr">
        <is>
          <t>CAC_LEAD</t>
        </is>
      </c>
      <c r="G572" s="39" t="inlineStr">
        <is>
          <t>Coût d'acquisition par lead</t>
        </is>
      </c>
      <c r="H572" s="40" t="inlineStr">
        <is>
          <t>TECHNIQUE</t>
        </is>
      </c>
      <c r="I572" s="41" t="inlineStr">
        <is>
          <t>2023ACT_VDEF</t>
        </is>
      </c>
      <c r="J572" s="41" t="n">
        <v>2023</v>
      </c>
      <c r="K572" s="41" t="inlineStr">
        <is>
          <t>EUR</t>
        </is>
      </c>
      <c r="L572" s="42" t="n">
        <v>320</v>
      </c>
    </row>
    <row r="573">
      <c r="B573" s="39" t="inlineStr">
        <is>
          <t>MBWAY_NAN</t>
        </is>
      </c>
      <c r="C573" s="40" t="inlineStr">
        <is>
          <t>BAC_MGT</t>
        </is>
      </c>
      <c r="D573" s="40" t="inlineStr">
        <is>
          <t>B1</t>
        </is>
      </c>
      <c r="E573" s="40" t="inlineStr">
        <is>
          <t>INIT</t>
        </is>
      </c>
      <c r="F573" s="40" t="inlineStr">
        <is>
          <t>CAC_LEAD</t>
        </is>
      </c>
      <c r="G573" s="39" t="inlineStr">
        <is>
          <t>Coût d'acquisition par lead</t>
        </is>
      </c>
      <c r="H573" s="40" t="inlineStr">
        <is>
          <t>TECHNIQUE</t>
        </is>
      </c>
      <c r="I573" s="41" t="inlineStr">
        <is>
          <t>2024ACT_VDEF</t>
        </is>
      </c>
      <c r="J573" s="41" t="n">
        <v>2024</v>
      </c>
      <c r="K573" s="41" t="inlineStr">
        <is>
          <t>EUR</t>
        </is>
      </c>
      <c r="L573" s="42" t="n">
        <v>320</v>
      </c>
    </row>
    <row r="574">
      <c r="B574" s="39" t="inlineStr">
        <is>
          <t>MBWAY_NAN</t>
        </is>
      </c>
      <c r="C574" s="40" t="inlineStr">
        <is>
          <t>BAC_MGT</t>
        </is>
      </c>
      <c r="D574" s="40" t="inlineStr">
        <is>
          <t>B1</t>
        </is>
      </c>
      <c r="E574" s="40" t="inlineStr">
        <is>
          <t>INIT</t>
        </is>
      </c>
      <c r="F574" s="40" t="inlineStr">
        <is>
          <t>CAC_LEAD</t>
        </is>
      </c>
      <c r="G574" s="39" t="inlineStr">
        <is>
          <t>Coût d'acquisition par lead</t>
        </is>
      </c>
      <c r="H574" s="40" t="inlineStr">
        <is>
          <t>TECHNIQUE</t>
        </is>
      </c>
      <c r="I574" s="41" t="inlineStr">
        <is>
          <t>2025FCST_V4</t>
        </is>
      </c>
      <c r="J574" s="41" t="n">
        <v>2025</v>
      </c>
      <c r="K574" s="41" t="inlineStr">
        <is>
          <t>EUR</t>
        </is>
      </c>
      <c r="L574" s="42" t="n">
        <v>320</v>
      </c>
    </row>
    <row r="575">
      <c r="B575" s="39" t="inlineStr">
        <is>
          <t>MBWAY_NAN</t>
        </is>
      </c>
      <c r="C575" s="40" t="inlineStr">
        <is>
          <t>BAC_MGT</t>
        </is>
      </c>
      <c r="D575" s="40" t="inlineStr">
        <is>
          <t>B2</t>
        </is>
      </c>
      <c r="E575" s="40" t="inlineStr">
        <is>
          <t>ALT</t>
        </is>
      </c>
      <c r="F575" s="40" t="inlineStr">
        <is>
          <t>706100</t>
        </is>
      </c>
      <c r="G575" s="39" t="inlineStr">
        <is>
          <t>Droits de scolarité</t>
        </is>
      </c>
      <c r="H575" s="40" t="inlineStr">
        <is>
          <t>COMPTABLE</t>
        </is>
      </c>
      <c r="I575" s="41" t="inlineStr">
        <is>
          <t>2023ACT_VDEF</t>
        </is>
      </c>
      <c r="J575" s="41" t="n">
        <v>2023</v>
      </c>
      <c r="K575" s="41" t="inlineStr">
        <is>
          <t>EUR</t>
        </is>
      </c>
      <c r="L575" s="42" t="n">
        <v>367200</v>
      </c>
    </row>
    <row r="576">
      <c r="B576" s="39" t="inlineStr">
        <is>
          <t>MBWAY_NAN</t>
        </is>
      </c>
      <c r="C576" s="40" t="inlineStr">
        <is>
          <t>BAC_MGT</t>
        </is>
      </c>
      <c r="D576" s="40" t="inlineStr">
        <is>
          <t>B2</t>
        </is>
      </c>
      <c r="E576" s="40" t="inlineStr">
        <is>
          <t>ALT</t>
        </is>
      </c>
      <c r="F576" s="40" t="inlineStr">
        <is>
          <t>706100</t>
        </is>
      </c>
      <c r="G576" s="39" t="inlineStr">
        <is>
          <t>Droits de scolarité</t>
        </is>
      </c>
      <c r="H576" s="40" t="inlineStr">
        <is>
          <t>COMPTABLE</t>
        </is>
      </c>
      <c r="I576" s="41" t="inlineStr">
        <is>
          <t>2024ACT_VDEF</t>
        </is>
      </c>
      <c r="J576" s="41" t="n">
        <v>2024</v>
      </c>
      <c r="K576" s="41" t="inlineStr">
        <is>
          <t>EUR</t>
        </is>
      </c>
      <c r="L576" s="42" t="n">
        <v>387600</v>
      </c>
    </row>
    <row r="577">
      <c r="B577" s="39" t="inlineStr">
        <is>
          <t>MBWAY_NAN</t>
        </is>
      </c>
      <c r="C577" s="40" t="inlineStr">
        <is>
          <t>BAC_MGT</t>
        </is>
      </c>
      <c r="D577" s="40" t="inlineStr">
        <is>
          <t>B2</t>
        </is>
      </c>
      <c r="E577" s="40" t="inlineStr">
        <is>
          <t>ALT</t>
        </is>
      </c>
      <c r="F577" s="40" t="inlineStr">
        <is>
          <t>706100</t>
        </is>
      </c>
      <c r="G577" s="39" t="inlineStr">
        <is>
          <t>Droits de scolarité</t>
        </is>
      </c>
      <c r="H577" s="40" t="inlineStr">
        <is>
          <t>COMPTABLE</t>
        </is>
      </c>
      <c r="I577" s="41" t="inlineStr">
        <is>
          <t>2025FCST_V4</t>
        </is>
      </c>
      <c r="J577" s="41" t="n">
        <v>2025</v>
      </c>
      <c r="K577" s="41" t="inlineStr">
        <is>
          <t>EUR</t>
        </is>
      </c>
      <c r="L577" s="42" t="n">
        <v>408000</v>
      </c>
    </row>
    <row r="578">
      <c r="B578" s="39" t="inlineStr">
        <is>
          <t>MBWAY_NAN</t>
        </is>
      </c>
      <c r="C578" s="40" t="inlineStr">
        <is>
          <t>BAC_MGT</t>
        </is>
      </c>
      <c r="D578" s="40" t="inlineStr">
        <is>
          <t>B2</t>
        </is>
      </c>
      <c r="E578" s="40" t="inlineStr">
        <is>
          <t>ALT</t>
        </is>
      </c>
      <c r="F578" s="40" t="inlineStr">
        <is>
          <t>604100</t>
        </is>
      </c>
      <c r="G578" s="39" t="inlineStr">
        <is>
          <t>Vacations &amp; sous-traitance pédagogique</t>
        </is>
      </c>
      <c r="H578" s="40" t="inlineStr">
        <is>
          <t>COMPTABLE</t>
        </is>
      </c>
      <c r="I578" s="41" t="inlineStr">
        <is>
          <t>2023ACT_VDEF</t>
        </is>
      </c>
      <c r="J578" s="41" t="n">
        <v>2023</v>
      </c>
      <c r="K578" s="41" t="inlineStr">
        <is>
          <t>EUR</t>
        </is>
      </c>
      <c r="L578" s="42" t="n">
        <v>58464</v>
      </c>
    </row>
    <row r="579">
      <c r="B579" s="39" t="inlineStr">
        <is>
          <t>MBWAY_NAN</t>
        </is>
      </c>
      <c r="C579" s="40" t="inlineStr">
        <is>
          <t>BAC_MGT</t>
        </is>
      </c>
      <c r="D579" s="40" t="inlineStr">
        <is>
          <t>B2</t>
        </is>
      </c>
      <c r="E579" s="40" t="inlineStr">
        <is>
          <t>ALT</t>
        </is>
      </c>
      <c r="F579" s="40" t="inlineStr">
        <is>
          <t>604100</t>
        </is>
      </c>
      <c r="G579" s="39" t="inlineStr">
        <is>
          <t>Vacations &amp; sous-traitance pédagogique</t>
        </is>
      </c>
      <c r="H579" s="40" t="inlineStr">
        <is>
          <t>COMPTABLE</t>
        </is>
      </c>
      <c r="I579" s="41" t="inlineStr">
        <is>
          <t>2024ACT_VDEF</t>
        </is>
      </c>
      <c r="J579" s="41" t="n">
        <v>2024</v>
      </c>
      <c r="K579" s="41" t="inlineStr">
        <is>
          <t>EUR</t>
        </is>
      </c>
      <c r="L579" s="42" t="n">
        <v>61712</v>
      </c>
    </row>
    <row r="580">
      <c r="B580" s="39" t="inlineStr">
        <is>
          <t>MBWAY_NAN</t>
        </is>
      </c>
      <c r="C580" s="40" t="inlineStr">
        <is>
          <t>BAC_MGT</t>
        </is>
      </c>
      <c r="D580" s="40" t="inlineStr">
        <is>
          <t>B2</t>
        </is>
      </c>
      <c r="E580" s="40" t="inlineStr">
        <is>
          <t>ALT</t>
        </is>
      </c>
      <c r="F580" s="40" t="inlineStr">
        <is>
          <t>604100</t>
        </is>
      </c>
      <c r="G580" s="39" t="inlineStr">
        <is>
          <t>Vacations &amp; sous-traitance pédagogique</t>
        </is>
      </c>
      <c r="H580" s="40" t="inlineStr">
        <is>
          <t>COMPTABLE</t>
        </is>
      </c>
      <c r="I580" s="41" t="inlineStr">
        <is>
          <t>2025FCST_V4</t>
        </is>
      </c>
      <c r="J580" s="41" t="n">
        <v>2025</v>
      </c>
      <c r="K580" s="41" t="inlineStr">
        <is>
          <t>EUR</t>
        </is>
      </c>
      <c r="L580" s="42" t="n">
        <v>64960</v>
      </c>
    </row>
    <row r="581">
      <c r="B581" s="39" t="inlineStr">
        <is>
          <t>MBWAY_NAN</t>
        </is>
      </c>
      <c r="C581" s="40" t="inlineStr">
        <is>
          <t>BAC_MGT</t>
        </is>
      </c>
      <c r="D581" s="40" t="inlineStr">
        <is>
          <t>B2</t>
        </is>
      </c>
      <c r="E581" s="40" t="inlineStr">
        <is>
          <t>ALT</t>
        </is>
      </c>
      <c r="F581" s="40" t="inlineStr">
        <is>
          <t>606300</t>
        </is>
      </c>
      <c r="G581" s="39" t="inlineStr">
        <is>
          <t>Fournitures &amp; ressources pédagogiques</t>
        </is>
      </c>
      <c r="H581" s="40" t="inlineStr">
        <is>
          <t>COMPTABLE</t>
        </is>
      </c>
      <c r="I581" s="41" t="inlineStr">
        <is>
          <t>2023ACT_VDEF</t>
        </is>
      </c>
      <c r="J581" s="41" t="n">
        <v>2023</v>
      </c>
      <c r="K581" s="41" t="inlineStr">
        <is>
          <t>EUR</t>
        </is>
      </c>
      <c r="L581" s="42" t="n">
        <v>18360</v>
      </c>
    </row>
    <row r="582">
      <c r="B582" s="39" t="inlineStr">
        <is>
          <t>MBWAY_NAN</t>
        </is>
      </c>
      <c r="C582" s="40" t="inlineStr">
        <is>
          <t>BAC_MGT</t>
        </is>
      </c>
      <c r="D582" s="40" t="inlineStr">
        <is>
          <t>B2</t>
        </is>
      </c>
      <c r="E582" s="40" t="inlineStr">
        <is>
          <t>ALT</t>
        </is>
      </c>
      <c r="F582" s="40" t="inlineStr">
        <is>
          <t>606300</t>
        </is>
      </c>
      <c r="G582" s="39" t="inlineStr">
        <is>
          <t>Fournitures &amp; ressources pédagogiques</t>
        </is>
      </c>
      <c r="H582" s="40" t="inlineStr">
        <is>
          <t>COMPTABLE</t>
        </is>
      </c>
      <c r="I582" s="41" t="inlineStr">
        <is>
          <t>2024ACT_VDEF</t>
        </is>
      </c>
      <c r="J582" s="41" t="n">
        <v>2024</v>
      </c>
      <c r="K582" s="41" t="inlineStr">
        <is>
          <t>EUR</t>
        </is>
      </c>
      <c r="L582" s="42" t="n">
        <v>19380</v>
      </c>
    </row>
    <row r="583">
      <c r="B583" s="39" t="inlineStr">
        <is>
          <t>MBWAY_NAN</t>
        </is>
      </c>
      <c r="C583" s="40" t="inlineStr">
        <is>
          <t>BAC_MGT</t>
        </is>
      </c>
      <c r="D583" s="40" t="inlineStr">
        <is>
          <t>B2</t>
        </is>
      </c>
      <c r="E583" s="40" t="inlineStr">
        <is>
          <t>ALT</t>
        </is>
      </c>
      <c r="F583" s="40" t="inlineStr">
        <is>
          <t>606300</t>
        </is>
      </c>
      <c r="G583" s="39" t="inlineStr">
        <is>
          <t>Fournitures &amp; ressources pédagogiques</t>
        </is>
      </c>
      <c r="H583" s="40" t="inlineStr">
        <is>
          <t>COMPTABLE</t>
        </is>
      </c>
      <c r="I583" s="41" t="inlineStr">
        <is>
          <t>2025FCST_V4</t>
        </is>
      </c>
      <c r="J583" s="41" t="n">
        <v>2025</v>
      </c>
      <c r="K583" s="41" t="inlineStr">
        <is>
          <t>EUR</t>
        </is>
      </c>
      <c r="L583" s="42" t="n">
        <v>20400</v>
      </c>
    </row>
    <row r="584">
      <c r="B584" s="39" t="inlineStr">
        <is>
          <t>MBWAY_NAN</t>
        </is>
      </c>
      <c r="C584" s="40" t="inlineStr">
        <is>
          <t>BAC_MGT</t>
        </is>
      </c>
      <c r="D584" s="40" t="inlineStr">
        <is>
          <t>B2</t>
        </is>
      </c>
      <c r="E584" s="40" t="inlineStr">
        <is>
          <t>ALT</t>
        </is>
      </c>
      <c r="F584" s="40" t="inlineStr">
        <is>
          <t>613200</t>
        </is>
      </c>
      <c r="G584" s="39" t="inlineStr">
        <is>
          <t>Locations immobilières (loyers)</t>
        </is>
      </c>
      <c r="H584" s="40" t="inlineStr">
        <is>
          <t>COMPTABLE</t>
        </is>
      </c>
      <c r="I584" s="41" t="inlineStr">
        <is>
          <t>2023ACT_VDEF</t>
        </is>
      </c>
      <c r="J584" s="41" t="n">
        <v>2023</v>
      </c>
      <c r="K584" s="41" t="inlineStr">
        <is>
          <t>EUR</t>
        </is>
      </c>
      <c r="L584" s="42" t="n">
        <v>37620</v>
      </c>
    </row>
    <row r="585">
      <c r="B585" s="39" t="inlineStr">
        <is>
          <t>MBWAY_NAN</t>
        </is>
      </c>
      <c r="C585" s="40" t="inlineStr">
        <is>
          <t>BAC_MGT</t>
        </is>
      </c>
      <c r="D585" s="40" t="inlineStr">
        <is>
          <t>B2</t>
        </is>
      </c>
      <c r="E585" s="40" t="inlineStr">
        <is>
          <t>ALT</t>
        </is>
      </c>
      <c r="F585" s="40" t="inlineStr">
        <is>
          <t>613200</t>
        </is>
      </c>
      <c r="G585" s="39" t="inlineStr">
        <is>
          <t>Locations immobilières (loyers)</t>
        </is>
      </c>
      <c r="H585" s="40" t="inlineStr">
        <is>
          <t>COMPTABLE</t>
        </is>
      </c>
      <c r="I585" s="41" t="inlineStr">
        <is>
          <t>2024ACT_VDEF</t>
        </is>
      </c>
      <c r="J585" s="41" t="n">
        <v>2024</v>
      </c>
      <c r="K585" s="41" t="inlineStr">
        <is>
          <t>EUR</t>
        </is>
      </c>
      <c r="L585" s="42" t="n">
        <v>39710</v>
      </c>
    </row>
    <row r="586">
      <c r="B586" s="39" t="inlineStr">
        <is>
          <t>MBWAY_NAN</t>
        </is>
      </c>
      <c r="C586" s="40" t="inlineStr">
        <is>
          <t>BAC_MGT</t>
        </is>
      </c>
      <c r="D586" s="40" t="inlineStr">
        <is>
          <t>B2</t>
        </is>
      </c>
      <c r="E586" s="40" t="inlineStr">
        <is>
          <t>ALT</t>
        </is>
      </c>
      <c r="F586" s="40" t="inlineStr">
        <is>
          <t>613200</t>
        </is>
      </c>
      <c r="G586" s="39" t="inlineStr">
        <is>
          <t>Locations immobilières (loyers)</t>
        </is>
      </c>
      <c r="H586" s="40" t="inlineStr">
        <is>
          <t>COMPTABLE</t>
        </is>
      </c>
      <c r="I586" s="41" t="inlineStr">
        <is>
          <t>2025FCST_V4</t>
        </is>
      </c>
      <c r="J586" s="41" t="n">
        <v>2025</v>
      </c>
      <c r="K586" s="41" t="inlineStr">
        <is>
          <t>EUR</t>
        </is>
      </c>
      <c r="L586" s="42" t="n">
        <v>41800</v>
      </c>
    </row>
    <row r="587">
      <c r="B587" s="39" t="inlineStr">
        <is>
          <t>MBWAY_NAN</t>
        </is>
      </c>
      <c r="C587" s="40" t="inlineStr">
        <is>
          <t>BAC_MGT</t>
        </is>
      </c>
      <c r="D587" s="40" t="inlineStr">
        <is>
          <t>B2</t>
        </is>
      </c>
      <c r="E587" s="40" t="inlineStr">
        <is>
          <t>ALT</t>
        </is>
      </c>
      <c r="F587" s="40" t="inlineStr">
        <is>
          <t>641100</t>
        </is>
      </c>
      <c r="G587" s="39" t="inlineStr">
        <is>
          <t>Rémunérations du personnel permanent</t>
        </is>
      </c>
      <c r="H587" s="40" t="inlineStr">
        <is>
          <t>COMPTABLE</t>
        </is>
      </c>
      <c r="I587" s="41" t="inlineStr">
        <is>
          <t>2023ACT_VDEF</t>
        </is>
      </c>
      <c r="J587" s="41" t="n">
        <v>2023</v>
      </c>
      <c r="K587" s="41" t="inlineStr">
        <is>
          <t>EUR</t>
        </is>
      </c>
      <c r="L587" s="42" t="n">
        <v>83520</v>
      </c>
    </row>
    <row r="588">
      <c r="B588" s="39" t="inlineStr">
        <is>
          <t>MBWAY_NAN</t>
        </is>
      </c>
      <c r="C588" s="40" t="inlineStr">
        <is>
          <t>BAC_MGT</t>
        </is>
      </c>
      <c r="D588" s="40" t="inlineStr">
        <is>
          <t>B2</t>
        </is>
      </c>
      <c r="E588" s="40" t="inlineStr">
        <is>
          <t>ALT</t>
        </is>
      </c>
      <c r="F588" s="40" t="inlineStr">
        <is>
          <t>641100</t>
        </is>
      </c>
      <c r="G588" s="39" t="inlineStr">
        <is>
          <t>Rémunérations du personnel permanent</t>
        </is>
      </c>
      <c r="H588" s="40" t="inlineStr">
        <is>
          <t>COMPTABLE</t>
        </is>
      </c>
      <c r="I588" s="41" t="inlineStr">
        <is>
          <t>2024ACT_VDEF</t>
        </is>
      </c>
      <c r="J588" s="41" t="n">
        <v>2024</v>
      </c>
      <c r="K588" s="41" t="inlineStr">
        <is>
          <t>EUR</t>
        </is>
      </c>
      <c r="L588" s="42" t="n">
        <v>88160</v>
      </c>
    </row>
    <row r="589">
      <c r="B589" s="39" t="inlineStr">
        <is>
          <t>MBWAY_NAN</t>
        </is>
      </c>
      <c r="C589" s="40" t="inlineStr">
        <is>
          <t>BAC_MGT</t>
        </is>
      </c>
      <c r="D589" s="40" t="inlineStr">
        <is>
          <t>B2</t>
        </is>
      </c>
      <c r="E589" s="40" t="inlineStr">
        <is>
          <t>ALT</t>
        </is>
      </c>
      <c r="F589" s="40" t="inlineStr">
        <is>
          <t>641100</t>
        </is>
      </c>
      <c r="G589" s="39" t="inlineStr">
        <is>
          <t>Rémunérations du personnel permanent</t>
        </is>
      </c>
      <c r="H589" s="40" t="inlineStr">
        <is>
          <t>COMPTABLE</t>
        </is>
      </c>
      <c r="I589" s="41" t="inlineStr">
        <is>
          <t>2025FCST_V4</t>
        </is>
      </c>
      <c r="J589" s="41" t="n">
        <v>2025</v>
      </c>
      <c r="K589" s="41" t="inlineStr">
        <is>
          <t>EUR</t>
        </is>
      </c>
      <c r="L589" s="42" t="n">
        <v>92800</v>
      </c>
    </row>
    <row r="590">
      <c r="B590" s="39" t="inlineStr">
        <is>
          <t>MBWAY_NAN</t>
        </is>
      </c>
      <c r="C590" s="40" t="inlineStr">
        <is>
          <t>BAC_MGT</t>
        </is>
      </c>
      <c r="D590" s="40" t="inlineStr">
        <is>
          <t>B2</t>
        </is>
      </c>
      <c r="E590" s="40" t="inlineStr">
        <is>
          <t>ALT</t>
        </is>
      </c>
      <c r="F590" s="40" t="inlineStr">
        <is>
          <t>622600</t>
        </is>
      </c>
      <c r="G590" s="39" t="inlineStr">
        <is>
          <t>Honoraires &amp; frais de siège (structure groupe)</t>
        </is>
      </c>
      <c r="H590" s="40" t="inlineStr">
        <is>
          <t>COMPTABLE</t>
        </is>
      </c>
      <c r="I590" s="41" t="inlineStr">
        <is>
          <t>2023ACT_VDEF</t>
        </is>
      </c>
      <c r="J590" s="41" t="n">
        <v>2023</v>
      </c>
      <c r="K590" s="41" t="inlineStr">
        <is>
          <t>EUR</t>
        </is>
      </c>
      <c r="L590" s="42" t="n">
        <v>34207</v>
      </c>
    </row>
    <row r="591">
      <c r="B591" s="39" t="inlineStr">
        <is>
          <t>MBWAY_NAN</t>
        </is>
      </c>
      <c r="C591" s="40" t="inlineStr">
        <is>
          <t>BAC_MGT</t>
        </is>
      </c>
      <c r="D591" s="40" t="inlineStr">
        <is>
          <t>B2</t>
        </is>
      </c>
      <c r="E591" s="40" t="inlineStr">
        <is>
          <t>ALT</t>
        </is>
      </c>
      <c r="F591" s="40" t="inlineStr">
        <is>
          <t>622600</t>
        </is>
      </c>
      <c r="G591" s="39" t="inlineStr">
        <is>
          <t>Honoraires &amp; frais de siège (structure groupe)</t>
        </is>
      </c>
      <c r="H591" s="40" t="inlineStr">
        <is>
          <t>COMPTABLE</t>
        </is>
      </c>
      <c r="I591" s="41" t="inlineStr">
        <is>
          <t>2024ACT_VDEF</t>
        </is>
      </c>
      <c r="J591" s="41" t="n">
        <v>2024</v>
      </c>
      <c r="K591" s="41" t="inlineStr">
        <is>
          <t>EUR</t>
        </is>
      </c>
      <c r="L591" s="42" t="n">
        <v>36108</v>
      </c>
    </row>
    <row r="592">
      <c r="B592" s="39" t="inlineStr">
        <is>
          <t>MBWAY_NAN</t>
        </is>
      </c>
      <c r="C592" s="40" t="inlineStr">
        <is>
          <t>BAC_MGT</t>
        </is>
      </c>
      <c r="D592" s="40" t="inlineStr">
        <is>
          <t>B2</t>
        </is>
      </c>
      <c r="E592" s="40" t="inlineStr">
        <is>
          <t>ALT</t>
        </is>
      </c>
      <c r="F592" s="40" t="inlineStr">
        <is>
          <t>622600</t>
        </is>
      </c>
      <c r="G592" s="39" t="inlineStr">
        <is>
          <t>Honoraires &amp; frais de siège (structure groupe)</t>
        </is>
      </c>
      <c r="H592" s="40" t="inlineStr">
        <is>
          <t>COMPTABLE</t>
        </is>
      </c>
      <c r="I592" s="41" t="inlineStr">
        <is>
          <t>2025FCST_V4</t>
        </is>
      </c>
      <c r="J592" s="41" t="n">
        <v>2025</v>
      </c>
      <c r="K592" s="41" t="inlineStr">
        <is>
          <t>EUR</t>
        </is>
      </c>
      <c r="L592" s="42" t="n">
        <v>38008</v>
      </c>
    </row>
    <row r="593">
      <c r="B593" s="39" t="inlineStr">
        <is>
          <t>MBWAY_NAN</t>
        </is>
      </c>
      <c r="C593" s="40" t="inlineStr">
        <is>
          <t>BAC_MGT</t>
        </is>
      </c>
      <c r="D593" s="40" t="inlineStr">
        <is>
          <t>B2</t>
        </is>
      </c>
      <c r="E593" s="40" t="inlineStr">
        <is>
          <t>ALT</t>
        </is>
      </c>
      <c r="F593" s="40" t="inlineStr">
        <is>
          <t>606800</t>
        </is>
      </c>
      <c r="G593" s="39" t="inlineStr">
        <is>
          <t>Autres achats &amp; charges externes</t>
        </is>
      </c>
      <c r="H593" s="40" t="inlineStr">
        <is>
          <t>COMPTABLE</t>
        </is>
      </c>
      <c r="I593" s="41" t="inlineStr">
        <is>
          <t>2023ACT_VDEF</t>
        </is>
      </c>
      <c r="J593" s="41" t="n">
        <v>2023</v>
      </c>
      <c r="K593" s="41" t="inlineStr">
        <is>
          <t>EUR</t>
        </is>
      </c>
      <c r="L593" s="42" t="n">
        <v>42871</v>
      </c>
    </row>
    <row r="594">
      <c r="B594" s="39" t="inlineStr">
        <is>
          <t>MBWAY_NAN</t>
        </is>
      </c>
      <c r="C594" s="40" t="inlineStr">
        <is>
          <t>BAC_MGT</t>
        </is>
      </c>
      <c r="D594" s="40" t="inlineStr">
        <is>
          <t>B2</t>
        </is>
      </c>
      <c r="E594" s="40" t="inlineStr">
        <is>
          <t>ALT</t>
        </is>
      </c>
      <c r="F594" s="40" t="inlineStr">
        <is>
          <t>606800</t>
        </is>
      </c>
      <c r="G594" s="39" t="inlineStr">
        <is>
          <t>Autres achats &amp; charges externes</t>
        </is>
      </c>
      <c r="H594" s="40" t="inlineStr">
        <is>
          <t>COMPTABLE</t>
        </is>
      </c>
      <c r="I594" s="41" t="inlineStr">
        <is>
          <t>2024ACT_VDEF</t>
        </is>
      </c>
      <c r="J594" s="41" t="n">
        <v>2024</v>
      </c>
      <c r="K594" s="41" t="inlineStr">
        <is>
          <t>EUR</t>
        </is>
      </c>
      <c r="L594" s="42" t="n">
        <v>45252</v>
      </c>
    </row>
    <row r="595">
      <c r="B595" s="39" t="inlineStr">
        <is>
          <t>MBWAY_NAN</t>
        </is>
      </c>
      <c r="C595" s="40" t="inlineStr">
        <is>
          <t>BAC_MGT</t>
        </is>
      </c>
      <c r="D595" s="40" t="inlineStr">
        <is>
          <t>B2</t>
        </is>
      </c>
      <c r="E595" s="40" t="inlineStr">
        <is>
          <t>ALT</t>
        </is>
      </c>
      <c r="F595" s="40" t="inlineStr">
        <is>
          <t>606800</t>
        </is>
      </c>
      <c r="G595" s="39" t="inlineStr">
        <is>
          <t>Autres achats &amp; charges externes</t>
        </is>
      </c>
      <c r="H595" s="40" t="inlineStr">
        <is>
          <t>COMPTABLE</t>
        </is>
      </c>
      <c r="I595" s="41" t="inlineStr">
        <is>
          <t>2025FCST_V4</t>
        </is>
      </c>
      <c r="J595" s="41" t="n">
        <v>2025</v>
      </c>
      <c r="K595" s="41" t="inlineStr">
        <is>
          <t>EUR</t>
        </is>
      </c>
      <c r="L595" s="42" t="n">
        <v>47634</v>
      </c>
    </row>
    <row r="596">
      <c r="B596" s="39" t="inlineStr">
        <is>
          <t>MBWAY_NAN</t>
        </is>
      </c>
      <c r="C596" s="40" t="inlineStr">
        <is>
          <t>BAC_MGT</t>
        </is>
      </c>
      <c r="D596" s="40" t="inlineStr">
        <is>
          <t>B2</t>
        </is>
      </c>
      <c r="E596" s="40" t="inlineStr">
        <is>
          <t>ALT</t>
        </is>
      </c>
      <c r="F596" s="40" t="inlineStr">
        <is>
          <t>681100</t>
        </is>
      </c>
      <c r="G596" s="39" t="inlineStr">
        <is>
          <t>Dotations aux amortissements</t>
        </is>
      </c>
      <c r="H596" s="40" t="inlineStr">
        <is>
          <t>COMPTABLE</t>
        </is>
      </c>
      <c r="I596" s="41" t="inlineStr">
        <is>
          <t>2023ACT_VDEF</t>
        </is>
      </c>
      <c r="J596" s="41" t="n">
        <v>2023</v>
      </c>
      <c r="K596" s="41" t="inlineStr">
        <is>
          <t>EUR</t>
        </is>
      </c>
      <c r="L596" s="42" t="n">
        <v>20520</v>
      </c>
    </row>
    <row r="597">
      <c r="B597" s="39" t="inlineStr">
        <is>
          <t>MBWAY_NAN</t>
        </is>
      </c>
      <c r="C597" s="40" t="inlineStr">
        <is>
          <t>BAC_MGT</t>
        </is>
      </c>
      <c r="D597" s="40" t="inlineStr">
        <is>
          <t>B2</t>
        </is>
      </c>
      <c r="E597" s="40" t="inlineStr">
        <is>
          <t>ALT</t>
        </is>
      </c>
      <c r="F597" s="40" t="inlineStr">
        <is>
          <t>681100</t>
        </is>
      </c>
      <c r="G597" s="39" t="inlineStr">
        <is>
          <t>Dotations aux amortissements</t>
        </is>
      </c>
      <c r="H597" s="40" t="inlineStr">
        <is>
          <t>COMPTABLE</t>
        </is>
      </c>
      <c r="I597" s="41" t="inlineStr">
        <is>
          <t>2024ACT_VDEF</t>
        </is>
      </c>
      <c r="J597" s="41" t="n">
        <v>2024</v>
      </c>
      <c r="K597" s="41" t="inlineStr">
        <is>
          <t>EUR</t>
        </is>
      </c>
      <c r="L597" s="42" t="n">
        <v>21660</v>
      </c>
    </row>
    <row r="598">
      <c r="B598" s="39" t="inlineStr">
        <is>
          <t>MBWAY_NAN</t>
        </is>
      </c>
      <c r="C598" s="40" t="inlineStr">
        <is>
          <t>BAC_MGT</t>
        </is>
      </c>
      <c r="D598" s="40" t="inlineStr">
        <is>
          <t>B2</t>
        </is>
      </c>
      <c r="E598" s="40" t="inlineStr">
        <is>
          <t>ALT</t>
        </is>
      </c>
      <c r="F598" s="40" t="inlineStr">
        <is>
          <t>681100</t>
        </is>
      </c>
      <c r="G598" s="39" t="inlineStr">
        <is>
          <t>Dotations aux amortissements</t>
        </is>
      </c>
      <c r="H598" s="40" t="inlineStr">
        <is>
          <t>COMPTABLE</t>
        </is>
      </c>
      <c r="I598" s="41" t="inlineStr">
        <is>
          <t>2025FCST_V4</t>
        </is>
      </c>
      <c r="J598" s="41" t="n">
        <v>2025</v>
      </c>
      <c r="K598" s="41" t="inlineStr">
        <is>
          <t>EUR</t>
        </is>
      </c>
      <c r="L598" s="42" t="n">
        <v>22800</v>
      </c>
    </row>
    <row r="599">
      <c r="B599" s="39" t="inlineStr">
        <is>
          <t>MBWAY_NAN</t>
        </is>
      </c>
      <c r="C599" s="40" t="inlineStr">
        <is>
          <t>BAC_MGT</t>
        </is>
      </c>
      <c r="D599" s="40" t="inlineStr">
        <is>
          <t>B2</t>
        </is>
      </c>
      <c r="E599" s="40" t="inlineStr">
        <is>
          <t>ALT</t>
        </is>
      </c>
      <c r="F599" s="40" t="inlineStr">
        <is>
          <t>STA_EFF</t>
        </is>
      </c>
      <c r="G599" s="39" t="inlineStr">
        <is>
          <t>Effectif inscrit</t>
        </is>
      </c>
      <c r="H599" s="40" t="inlineStr">
        <is>
          <t>TECHNIQUE</t>
        </is>
      </c>
      <c r="I599" s="41" t="inlineStr">
        <is>
          <t>2023ACT_VDEF</t>
        </is>
      </c>
      <c r="J599" s="41" t="n">
        <v>2023</v>
      </c>
      <c r="K599" s="41" t="inlineStr">
        <is>
          <t>NB</t>
        </is>
      </c>
      <c r="L599" s="43" t="n">
        <v>46</v>
      </c>
    </row>
    <row r="600">
      <c r="B600" s="39" t="inlineStr">
        <is>
          <t>MBWAY_NAN</t>
        </is>
      </c>
      <c r="C600" s="40" t="inlineStr">
        <is>
          <t>BAC_MGT</t>
        </is>
      </c>
      <c r="D600" s="40" t="inlineStr">
        <is>
          <t>B2</t>
        </is>
      </c>
      <c r="E600" s="40" t="inlineStr">
        <is>
          <t>ALT</t>
        </is>
      </c>
      <c r="F600" s="40" t="inlineStr">
        <is>
          <t>STA_EFF</t>
        </is>
      </c>
      <c r="G600" s="39" t="inlineStr">
        <is>
          <t>Effectif inscrit</t>
        </is>
      </c>
      <c r="H600" s="40" t="inlineStr">
        <is>
          <t>TECHNIQUE</t>
        </is>
      </c>
      <c r="I600" s="41" t="inlineStr">
        <is>
          <t>2024ACT_VDEF</t>
        </is>
      </c>
      <c r="J600" s="41" t="n">
        <v>2024</v>
      </c>
      <c r="K600" s="41" t="inlineStr">
        <is>
          <t>NB</t>
        </is>
      </c>
      <c r="L600" s="43" t="n">
        <v>48</v>
      </c>
    </row>
    <row r="601">
      <c r="B601" s="39" t="inlineStr">
        <is>
          <t>MBWAY_NAN</t>
        </is>
      </c>
      <c r="C601" s="40" t="inlineStr">
        <is>
          <t>BAC_MGT</t>
        </is>
      </c>
      <c r="D601" s="40" t="inlineStr">
        <is>
          <t>B2</t>
        </is>
      </c>
      <c r="E601" s="40" t="inlineStr">
        <is>
          <t>ALT</t>
        </is>
      </c>
      <c r="F601" s="40" t="inlineStr">
        <is>
          <t>STA_EFF</t>
        </is>
      </c>
      <c r="G601" s="39" t="inlineStr">
        <is>
          <t>Effectif inscrit</t>
        </is>
      </c>
      <c r="H601" s="40" t="inlineStr">
        <is>
          <t>TECHNIQUE</t>
        </is>
      </c>
      <c r="I601" s="41" t="inlineStr">
        <is>
          <t>2025FCST_V4</t>
        </is>
      </c>
      <c r="J601" s="41" t="n">
        <v>2025</v>
      </c>
      <c r="K601" s="41" t="inlineStr">
        <is>
          <t>NB</t>
        </is>
      </c>
      <c r="L601" s="43" t="n">
        <v>51</v>
      </c>
    </row>
    <row r="602">
      <c r="B602" s="39" t="inlineStr">
        <is>
          <t>MBWAY_NAN</t>
        </is>
      </c>
      <c r="C602" s="40" t="inlineStr">
        <is>
          <t>BAC_MGT</t>
        </is>
      </c>
      <c r="D602" s="40" t="inlineStr">
        <is>
          <t>B2</t>
        </is>
      </c>
      <c r="E602" s="40" t="inlineStr">
        <is>
          <t>ALT</t>
        </is>
      </c>
      <c r="F602" s="40" t="inlineStr">
        <is>
          <t>STA_REINS</t>
        </is>
      </c>
      <c r="G602" s="39" t="inlineStr">
        <is>
          <t>Réinscrits</t>
        </is>
      </c>
      <c r="H602" s="40" t="inlineStr">
        <is>
          <t>TECHNIQUE</t>
        </is>
      </c>
      <c r="I602" s="41" t="inlineStr">
        <is>
          <t>2023ACT_VDEF</t>
        </is>
      </c>
      <c r="J602" s="41" t="n">
        <v>2023</v>
      </c>
      <c r="K602" s="41" t="inlineStr">
        <is>
          <t>NB</t>
        </is>
      </c>
      <c r="L602" s="43" t="n">
        <v>46</v>
      </c>
    </row>
    <row r="603">
      <c r="B603" s="39" t="inlineStr">
        <is>
          <t>MBWAY_NAN</t>
        </is>
      </c>
      <c r="C603" s="40" t="inlineStr">
        <is>
          <t>BAC_MGT</t>
        </is>
      </c>
      <c r="D603" s="40" t="inlineStr">
        <is>
          <t>B2</t>
        </is>
      </c>
      <c r="E603" s="40" t="inlineStr">
        <is>
          <t>ALT</t>
        </is>
      </c>
      <c r="F603" s="40" t="inlineStr">
        <is>
          <t>STA_REINS</t>
        </is>
      </c>
      <c r="G603" s="39" t="inlineStr">
        <is>
          <t>Réinscrits</t>
        </is>
      </c>
      <c r="H603" s="40" t="inlineStr">
        <is>
          <t>TECHNIQUE</t>
        </is>
      </c>
      <c r="I603" s="41" t="inlineStr">
        <is>
          <t>2024ACT_VDEF</t>
        </is>
      </c>
      <c r="J603" s="41" t="n">
        <v>2024</v>
      </c>
      <c r="K603" s="41" t="inlineStr">
        <is>
          <t>NB</t>
        </is>
      </c>
      <c r="L603" s="43" t="n">
        <v>48</v>
      </c>
    </row>
    <row r="604">
      <c r="B604" s="39" t="inlineStr">
        <is>
          <t>MBWAY_NAN</t>
        </is>
      </c>
      <c r="C604" s="40" t="inlineStr">
        <is>
          <t>BAC_MGT</t>
        </is>
      </c>
      <c r="D604" s="40" t="inlineStr">
        <is>
          <t>B2</t>
        </is>
      </c>
      <c r="E604" s="40" t="inlineStr">
        <is>
          <t>ALT</t>
        </is>
      </c>
      <c r="F604" s="40" t="inlineStr">
        <is>
          <t>STA_REINS</t>
        </is>
      </c>
      <c r="G604" s="39" t="inlineStr">
        <is>
          <t>Réinscrits</t>
        </is>
      </c>
      <c r="H604" s="40" t="inlineStr">
        <is>
          <t>TECHNIQUE</t>
        </is>
      </c>
      <c r="I604" s="41" t="inlineStr">
        <is>
          <t>2025FCST_V4</t>
        </is>
      </c>
      <c r="J604" s="41" t="n">
        <v>2025</v>
      </c>
      <c r="K604" s="41" t="inlineStr">
        <is>
          <t>NB</t>
        </is>
      </c>
      <c r="L604" s="43" t="n">
        <v>51</v>
      </c>
    </row>
    <row r="605">
      <c r="B605" s="39" t="inlineStr">
        <is>
          <t>MBWAY_NAN</t>
        </is>
      </c>
      <c r="C605" s="40" t="inlineStr">
        <is>
          <t>BAC_MGT</t>
        </is>
      </c>
      <c r="D605" s="40" t="inlineStr">
        <is>
          <t>B2</t>
        </is>
      </c>
      <c r="E605" s="40" t="inlineStr">
        <is>
          <t>ALT</t>
        </is>
      </c>
      <c r="F605" s="40" t="inlineStr">
        <is>
          <t>STA_CLASS</t>
        </is>
      </c>
      <c r="G605" s="39" t="inlineStr">
        <is>
          <t>Nombre de classes</t>
        </is>
      </c>
      <c r="H605" s="40" t="inlineStr">
        <is>
          <t>TECHNIQUE</t>
        </is>
      </c>
      <c r="I605" s="41" t="inlineStr">
        <is>
          <t>2023ACT_VDEF</t>
        </is>
      </c>
      <c r="J605" s="41" t="n">
        <v>2023</v>
      </c>
      <c r="K605" s="41" t="inlineStr">
        <is>
          <t>NB</t>
        </is>
      </c>
      <c r="L605" s="43" t="n">
        <v>2</v>
      </c>
    </row>
    <row r="606">
      <c r="B606" s="39" t="inlineStr">
        <is>
          <t>MBWAY_NAN</t>
        </is>
      </c>
      <c r="C606" s="40" t="inlineStr">
        <is>
          <t>BAC_MGT</t>
        </is>
      </c>
      <c r="D606" s="40" t="inlineStr">
        <is>
          <t>B2</t>
        </is>
      </c>
      <c r="E606" s="40" t="inlineStr">
        <is>
          <t>ALT</t>
        </is>
      </c>
      <c r="F606" s="40" t="inlineStr">
        <is>
          <t>STA_CLASS</t>
        </is>
      </c>
      <c r="G606" s="39" t="inlineStr">
        <is>
          <t>Nombre de classes</t>
        </is>
      </c>
      <c r="H606" s="40" t="inlineStr">
        <is>
          <t>TECHNIQUE</t>
        </is>
      </c>
      <c r="I606" s="41" t="inlineStr">
        <is>
          <t>2024ACT_VDEF</t>
        </is>
      </c>
      <c r="J606" s="41" t="n">
        <v>2024</v>
      </c>
      <c r="K606" s="41" t="inlineStr">
        <is>
          <t>NB</t>
        </is>
      </c>
      <c r="L606" s="43" t="n">
        <v>2</v>
      </c>
    </row>
    <row r="607">
      <c r="B607" s="39" t="inlineStr">
        <is>
          <t>MBWAY_NAN</t>
        </is>
      </c>
      <c r="C607" s="40" t="inlineStr">
        <is>
          <t>BAC_MGT</t>
        </is>
      </c>
      <c r="D607" s="40" t="inlineStr">
        <is>
          <t>B2</t>
        </is>
      </c>
      <c r="E607" s="40" t="inlineStr">
        <is>
          <t>ALT</t>
        </is>
      </c>
      <c r="F607" s="40" t="inlineStr">
        <is>
          <t>STA_CLASS</t>
        </is>
      </c>
      <c r="G607" s="39" t="inlineStr">
        <is>
          <t>Nombre de classes</t>
        </is>
      </c>
      <c r="H607" s="40" t="inlineStr">
        <is>
          <t>TECHNIQUE</t>
        </is>
      </c>
      <c r="I607" s="41" t="inlineStr">
        <is>
          <t>2025FCST_V4</t>
        </is>
      </c>
      <c r="J607" s="41" t="n">
        <v>2025</v>
      </c>
      <c r="K607" s="41" t="inlineStr">
        <is>
          <t>NB</t>
        </is>
      </c>
      <c r="L607" s="43" t="n">
        <v>2</v>
      </c>
    </row>
    <row r="608">
      <c r="B608" s="39" t="inlineStr">
        <is>
          <t>MBWAY_NAN</t>
        </is>
      </c>
      <c r="C608" s="40" t="inlineStr">
        <is>
          <t>BAC_MGT</t>
        </is>
      </c>
      <c r="D608" s="40" t="inlineStr">
        <is>
          <t>B2</t>
        </is>
      </c>
      <c r="E608" s="40" t="inlineStr">
        <is>
          <t>ALT</t>
        </is>
      </c>
      <c r="F608" s="40" t="inlineStr">
        <is>
          <t>STA_HEURE</t>
        </is>
      </c>
      <c r="G608" s="39" t="inlineStr">
        <is>
          <t>Heures d'enseignement</t>
        </is>
      </c>
      <c r="H608" s="40" t="inlineStr">
        <is>
          <t>TECHNIQUE</t>
        </is>
      </c>
      <c r="I608" s="41" t="inlineStr">
        <is>
          <t>2023ACT_VDEF</t>
        </is>
      </c>
      <c r="J608" s="41" t="n">
        <v>2023</v>
      </c>
      <c r="K608" s="41" t="inlineStr">
        <is>
          <t>NB</t>
        </is>
      </c>
      <c r="L608" s="43" t="n">
        <v>1008</v>
      </c>
    </row>
    <row r="609">
      <c r="B609" s="39" t="inlineStr">
        <is>
          <t>MBWAY_NAN</t>
        </is>
      </c>
      <c r="C609" s="40" t="inlineStr">
        <is>
          <t>BAC_MGT</t>
        </is>
      </c>
      <c r="D609" s="40" t="inlineStr">
        <is>
          <t>B2</t>
        </is>
      </c>
      <c r="E609" s="40" t="inlineStr">
        <is>
          <t>ALT</t>
        </is>
      </c>
      <c r="F609" s="40" t="inlineStr">
        <is>
          <t>STA_HEURE</t>
        </is>
      </c>
      <c r="G609" s="39" t="inlineStr">
        <is>
          <t>Heures d'enseignement</t>
        </is>
      </c>
      <c r="H609" s="40" t="inlineStr">
        <is>
          <t>TECHNIQUE</t>
        </is>
      </c>
      <c r="I609" s="41" t="inlineStr">
        <is>
          <t>2024ACT_VDEF</t>
        </is>
      </c>
      <c r="J609" s="41" t="n">
        <v>2024</v>
      </c>
      <c r="K609" s="41" t="inlineStr">
        <is>
          <t>NB</t>
        </is>
      </c>
      <c r="L609" s="43" t="n">
        <v>1064</v>
      </c>
    </row>
    <row r="610">
      <c r="B610" s="39" t="inlineStr">
        <is>
          <t>MBWAY_NAN</t>
        </is>
      </c>
      <c r="C610" s="40" t="inlineStr">
        <is>
          <t>BAC_MGT</t>
        </is>
      </c>
      <c r="D610" s="40" t="inlineStr">
        <is>
          <t>B2</t>
        </is>
      </c>
      <c r="E610" s="40" t="inlineStr">
        <is>
          <t>ALT</t>
        </is>
      </c>
      <c r="F610" s="40" t="inlineStr">
        <is>
          <t>STA_HEURE</t>
        </is>
      </c>
      <c r="G610" s="39" t="inlineStr">
        <is>
          <t>Heures d'enseignement</t>
        </is>
      </c>
      <c r="H610" s="40" t="inlineStr">
        <is>
          <t>TECHNIQUE</t>
        </is>
      </c>
      <c r="I610" s="41" t="inlineStr">
        <is>
          <t>2025FCST_V4</t>
        </is>
      </c>
      <c r="J610" s="41" t="n">
        <v>2025</v>
      </c>
      <c r="K610" s="41" t="inlineStr">
        <is>
          <t>NB</t>
        </is>
      </c>
      <c r="L610" s="43" t="n">
        <v>1120</v>
      </c>
    </row>
    <row r="611">
      <c r="B611" s="39" t="inlineStr">
        <is>
          <t>MBWAY_NAN</t>
        </is>
      </c>
      <c r="C611" s="40" t="inlineStr">
        <is>
          <t>BAC_MGT</t>
        </is>
      </c>
      <c r="D611" s="40" t="inlineStr">
        <is>
          <t>B2</t>
        </is>
      </c>
      <c r="E611" s="40" t="inlineStr">
        <is>
          <t>ALT</t>
        </is>
      </c>
      <c r="F611" s="40" t="inlineStr">
        <is>
          <t>STA_CAPA</t>
        </is>
      </c>
      <c r="G611" s="39" t="inlineStr">
        <is>
          <t>Capacité par classe</t>
        </is>
      </c>
      <c r="H611" s="40" t="inlineStr">
        <is>
          <t>TECHNIQUE</t>
        </is>
      </c>
      <c r="I611" s="41" t="inlineStr">
        <is>
          <t>2023ACT_VDEF</t>
        </is>
      </c>
      <c r="J611" s="41" t="n">
        <v>2023</v>
      </c>
      <c r="K611" s="41" t="inlineStr">
        <is>
          <t>NB</t>
        </is>
      </c>
      <c r="L611" s="43" t="n">
        <v>32</v>
      </c>
    </row>
    <row r="612">
      <c r="B612" s="39" t="inlineStr">
        <is>
          <t>MBWAY_NAN</t>
        </is>
      </c>
      <c r="C612" s="40" t="inlineStr">
        <is>
          <t>BAC_MGT</t>
        </is>
      </c>
      <c r="D612" s="40" t="inlineStr">
        <is>
          <t>B2</t>
        </is>
      </c>
      <c r="E612" s="40" t="inlineStr">
        <is>
          <t>ALT</t>
        </is>
      </c>
      <c r="F612" s="40" t="inlineStr">
        <is>
          <t>STA_CAPA</t>
        </is>
      </c>
      <c r="G612" s="39" t="inlineStr">
        <is>
          <t>Capacité par classe</t>
        </is>
      </c>
      <c r="H612" s="40" t="inlineStr">
        <is>
          <t>TECHNIQUE</t>
        </is>
      </c>
      <c r="I612" s="41" t="inlineStr">
        <is>
          <t>2024ACT_VDEF</t>
        </is>
      </c>
      <c r="J612" s="41" t="n">
        <v>2024</v>
      </c>
      <c r="K612" s="41" t="inlineStr">
        <is>
          <t>NB</t>
        </is>
      </c>
      <c r="L612" s="43" t="n">
        <v>32</v>
      </c>
    </row>
    <row r="613">
      <c r="B613" s="39" t="inlineStr">
        <is>
          <t>MBWAY_NAN</t>
        </is>
      </c>
      <c r="C613" s="40" t="inlineStr">
        <is>
          <t>BAC_MGT</t>
        </is>
      </c>
      <c r="D613" s="40" t="inlineStr">
        <is>
          <t>B2</t>
        </is>
      </c>
      <c r="E613" s="40" t="inlineStr">
        <is>
          <t>ALT</t>
        </is>
      </c>
      <c r="F613" s="40" t="inlineStr">
        <is>
          <t>STA_CAPA</t>
        </is>
      </c>
      <c r="G613" s="39" t="inlineStr">
        <is>
          <t>Capacité par classe</t>
        </is>
      </c>
      <c r="H613" s="40" t="inlineStr">
        <is>
          <t>TECHNIQUE</t>
        </is>
      </c>
      <c r="I613" s="41" t="inlineStr">
        <is>
          <t>2025FCST_V4</t>
        </is>
      </c>
      <c r="J613" s="41" t="n">
        <v>2025</v>
      </c>
      <c r="K613" s="41" t="inlineStr">
        <is>
          <t>NB</t>
        </is>
      </c>
      <c r="L613" s="43" t="n">
        <v>32</v>
      </c>
    </row>
    <row r="614">
      <c r="B614" s="39" t="inlineStr">
        <is>
          <t>MBWAY_NAN</t>
        </is>
      </c>
      <c r="C614" s="40" t="inlineStr">
        <is>
          <t>BAC_MGT</t>
        </is>
      </c>
      <c r="D614" s="40" t="inlineStr">
        <is>
          <t>B2</t>
        </is>
      </c>
      <c r="E614" s="40" t="inlineStr">
        <is>
          <t>ALT</t>
        </is>
      </c>
      <c r="F614" s="40" t="inlineStr">
        <is>
          <t>DRV_PASS</t>
        </is>
      </c>
      <c r="G614" s="39" t="inlineStr">
        <is>
          <t>Taux de passage (réinscription)</t>
        </is>
      </c>
      <c r="H614" s="40" t="inlineStr">
        <is>
          <t>TECHNIQUE</t>
        </is>
      </c>
      <c r="I614" s="41" t="inlineStr">
        <is>
          <t>2023ACT_VDEF</t>
        </is>
      </c>
      <c r="J614" s="41" t="n">
        <v>2023</v>
      </c>
      <c r="K614" s="41" t="inlineStr">
        <is>
          <t>PCT</t>
        </is>
      </c>
      <c r="L614" s="44" t="n">
        <v>0.93</v>
      </c>
    </row>
    <row r="615">
      <c r="B615" s="39" t="inlineStr">
        <is>
          <t>MBWAY_NAN</t>
        </is>
      </c>
      <c r="C615" s="40" t="inlineStr">
        <is>
          <t>BAC_MGT</t>
        </is>
      </c>
      <c r="D615" s="40" t="inlineStr">
        <is>
          <t>B2</t>
        </is>
      </c>
      <c r="E615" s="40" t="inlineStr">
        <is>
          <t>ALT</t>
        </is>
      </c>
      <c r="F615" s="40" t="inlineStr">
        <is>
          <t>DRV_PASS</t>
        </is>
      </c>
      <c r="G615" s="39" t="inlineStr">
        <is>
          <t>Taux de passage (réinscription)</t>
        </is>
      </c>
      <c r="H615" s="40" t="inlineStr">
        <is>
          <t>TECHNIQUE</t>
        </is>
      </c>
      <c r="I615" s="41" t="inlineStr">
        <is>
          <t>2024ACT_VDEF</t>
        </is>
      </c>
      <c r="J615" s="41" t="n">
        <v>2024</v>
      </c>
      <c r="K615" s="41" t="inlineStr">
        <is>
          <t>PCT</t>
        </is>
      </c>
      <c r="L615" s="44" t="n">
        <v>0.93</v>
      </c>
    </row>
    <row r="616">
      <c r="B616" s="39" t="inlineStr">
        <is>
          <t>MBWAY_NAN</t>
        </is>
      </c>
      <c r="C616" s="40" t="inlineStr">
        <is>
          <t>BAC_MGT</t>
        </is>
      </c>
      <c r="D616" s="40" t="inlineStr">
        <is>
          <t>B2</t>
        </is>
      </c>
      <c r="E616" s="40" t="inlineStr">
        <is>
          <t>ALT</t>
        </is>
      </c>
      <c r="F616" s="40" t="inlineStr">
        <is>
          <t>DRV_PASS</t>
        </is>
      </c>
      <c r="G616" s="39" t="inlineStr">
        <is>
          <t>Taux de passage (réinscription)</t>
        </is>
      </c>
      <c r="H616" s="40" t="inlineStr">
        <is>
          <t>TECHNIQUE</t>
        </is>
      </c>
      <c r="I616" s="41" t="inlineStr">
        <is>
          <t>2025FCST_V4</t>
        </is>
      </c>
      <c r="J616" s="41" t="n">
        <v>2025</v>
      </c>
      <c r="K616" s="41" t="inlineStr">
        <is>
          <t>PCT</t>
        </is>
      </c>
      <c r="L616" s="44" t="n">
        <v>0.93</v>
      </c>
    </row>
    <row r="617">
      <c r="B617" s="39" t="inlineStr">
        <is>
          <t>MBWAY_NAN</t>
        </is>
      </c>
      <c r="C617" s="40" t="inlineStr">
        <is>
          <t>BAC_MGT</t>
        </is>
      </c>
      <c r="D617" s="40" t="inlineStr">
        <is>
          <t>B2</t>
        </is>
      </c>
      <c r="E617" s="40" t="inlineStr">
        <is>
          <t>ALT</t>
        </is>
      </c>
      <c r="F617" s="40" t="inlineStr">
        <is>
          <t>PRX_TARIF</t>
        </is>
      </c>
      <c r="G617" s="39" t="inlineStr">
        <is>
          <t>Tarif moyen scolarité</t>
        </is>
      </c>
      <c r="H617" s="40" t="inlineStr">
        <is>
          <t>TECHNIQUE</t>
        </is>
      </c>
      <c r="I617" s="41" t="inlineStr">
        <is>
          <t>2023ACT_VDEF</t>
        </is>
      </c>
      <c r="J617" s="41" t="n">
        <v>2023</v>
      </c>
      <c r="K617" s="41" t="inlineStr">
        <is>
          <t>EUR</t>
        </is>
      </c>
      <c r="L617" s="42" t="n">
        <v>8000</v>
      </c>
    </row>
    <row r="618">
      <c r="B618" s="39" t="inlineStr">
        <is>
          <t>MBWAY_NAN</t>
        </is>
      </c>
      <c r="C618" s="40" t="inlineStr">
        <is>
          <t>BAC_MGT</t>
        </is>
      </c>
      <c r="D618" s="40" t="inlineStr">
        <is>
          <t>B2</t>
        </is>
      </c>
      <c r="E618" s="40" t="inlineStr">
        <is>
          <t>ALT</t>
        </is>
      </c>
      <c r="F618" s="40" t="inlineStr">
        <is>
          <t>PRX_TARIF</t>
        </is>
      </c>
      <c r="G618" s="39" t="inlineStr">
        <is>
          <t>Tarif moyen scolarité</t>
        </is>
      </c>
      <c r="H618" s="40" t="inlineStr">
        <is>
          <t>TECHNIQUE</t>
        </is>
      </c>
      <c r="I618" s="41" t="inlineStr">
        <is>
          <t>2024ACT_VDEF</t>
        </is>
      </c>
      <c r="J618" s="41" t="n">
        <v>2024</v>
      </c>
      <c r="K618" s="41" t="inlineStr">
        <is>
          <t>EUR</t>
        </is>
      </c>
      <c r="L618" s="42" t="n">
        <v>8000</v>
      </c>
    </row>
    <row r="619">
      <c r="B619" s="39" t="inlineStr">
        <is>
          <t>MBWAY_NAN</t>
        </is>
      </c>
      <c r="C619" s="40" t="inlineStr">
        <is>
          <t>BAC_MGT</t>
        </is>
      </c>
      <c r="D619" s="40" t="inlineStr">
        <is>
          <t>B2</t>
        </is>
      </c>
      <c r="E619" s="40" t="inlineStr">
        <is>
          <t>ALT</t>
        </is>
      </c>
      <c r="F619" s="40" t="inlineStr">
        <is>
          <t>PRX_TARIF</t>
        </is>
      </c>
      <c r="G619" s="39" t="inlineStr">
        <is>
          <t>Tarif moyen scolarité</t>
        </is>
      </c>
      <c r="H619" s="40" t="inlineStr">
        <is>
          <t>TECHNIQUE</t>
        </is>
      </c>
      <c r="I619" s="41" t="inlineStr">
        <is>
          <t>2025FCST_V4</t>
        </is>
      </c>
      <c r="J619" s="41" t="n">
        <v>2025</v>
      </c>
      <c r="K619" s="41" t="inlineStr">
        <is>
          <t>EUR</t>
        </is>
      </c>
      <c r="L619" s="42" t="n">
        <v>8000</v>
      </c>
    </row>
    <row r="620">
      <c r="B620" s="39" t="inlineStr">
        <is>
          <t>MBWAY_NAN</t>
        </is>
      </c>
      <c r="C620" s="40" t="inlineStr">
        <is>
          <t>BAC_MGT</t>
        </is>
      </c>
      <c r="D620" s="40" t="inlineStr">
        <is>
          <t>B3</t>
        </is>
      </c>
      <c r="E620" s="40" t="inlineStr">
        <is>
          <t>ALT</t>
        </is>
      </c>
      <c r="F620" s="40" t="inlineStr">
        <is>
          <t>706100</t>
        </is>
      </c>
      <c r="G620" s="39" t="inlineStr">
        <is>
          <t>Droits de scolarité</t>
        </is>
      </c>
      <c r="H620" s="40" t="inlineStr">
        <is>
          <t>COMPTABLE</t>
        </is>
      </c>
      <c r="I620" s="41" t="inlineStr">
        <is>
          <t>2023ACT_VDEF</t>
        </is>
      </c>
      <c r="J620" s="41" t="n">
        <v>2023</v>
      </c>
      <c r="K620" s="41" t="inlineStr">
        <is>
          <t>EUR</t>
        </is>
      </c>
      <c r="L620" s="42" t="n">
        <v>324000</v>
      </c>
    </row>
    <row r="621">
      <c r="B621" s="39" t="inlineStr">
        <is>
          <t>MBWAY_NAN</t>
        </is>
      </c>
      <c r="C621" s="40" t="inlineStr">
        <is>
          <t>BAC_MGT</t>
        </is>
      </c>
      <c r="D621" s="40" t="inlineStr">
        <is>
          <t>B3</t>
        </is>
      </c>
      <c r="E621" s="40" t="inlineStr">
        <is>
          <t>ALT</t>
        </is>
      </c>
      <c r="F621" s="40" t="inlineStr">
        <is>
          <t>706100</t>
        </is>
      </c>
      <c r="G621" s="39" t="inlineStr">
        <is>
          <t>Droits de scolarité</t>
        </is>
      </c>
      <c r="H621" s="40" t="inlineStr">
        <is>
          <t>COMPTABLE</t>
        </is>
      </c>
      <c r="I621" s="41" t="inlineStr">
        <is>
          <t>2024ACT_VDEF</t>
        </is>
      </c>
      <c r="J621" s="41" t="n">
        <v>2024</v>
      </c>
      <c r="K621" s="41" t="inlineStr">
        <is>
          <t>EUR</t>
        </is>
      </c>
      <c r="L621" s="42" t="n">
        <v>342000</v>
      </c>
    </row>
    <row r="622">
      <c r="B622" s="39" t="inlineStr">
        <is>
          <t>MBWAY_NAN</t>
        </is>
      </c>
      <c r="C622" s="40" t="inlineStr">
        <is>
          <t>BAC_MGT</t>
        </is>
      </c>
      <c r="D622" s="40" t="inlineStr">
        <is>
          <t>B3</t>
        </is>
      </c>
      <c r="E622" s="40" t="inlineStr">
        <is>
          <t>ALT</t>
        </is>
      </c>
      <c r="F622" s="40" t="inlineStr">
        <is>
          <t>706100</t>
        </is>
      </c>
      <c r="G622" s="39" t="inlineStr">
        <is>
          <t>Droits de scolarité</t>
        </is>
      </c>
      <c r="H622" s="40" t="inlineStr">
        <is>
          <t>COMPTABLE</t>
        </is>
      </c>
      <c r="I622" s="41" t="inlineStr">
        <is>
          <t>2025FCST_V4</t>
        </is>
      </c>
      <c r="J622" s="41" t="n">
        <v>2025</v>
      </c>
      <c r="K622" s="41" t="inlineStr">
        <is>
          <t>EUR</t>
        </is>
      </c>
      <c r="L622" s="42" t="n">
        <v>360000</v>
      </c>
    </row>
    <row r="623">
      <c r="B623" s="39" t="inlineStr">
        <is>
          <t>MBWAY_NAN</t>
        </is>
      </c>
      <c r="C623" s="40" t="inlineStr">
        <is>
          <t>BAC_MGT</t>
        </is>
      </c>
      <c r="D623" s="40" t="inlineStr">
        <is>
          <t>B3</t>
        </is>
      </c>
      <c r="E623" s="40" t="inlineStr">
        <is>
          <t>ALT</t>
        </is>
      </c>
      <c r="F623" s="40" t="inlineStr">
        <is>
          <t>604100</t>
        </is>
      </c>
      <c r="G623" s="39" t="inlineStr">
        <is>
          <t>Vacations &amp; sous-traitance pédagogique</t>
        </is>
      </c>
      <c r="H623" s="40" t="inlineStr">
        <is>
          <t>COMPTABLE</t>
        </is>
      </c>
      <c r="I623" s="41" t="inlineStr">
        <is>
          <t>2023ACT_VDEF</t>
        </is>
      </c>
      <c r="J623" s="41" t="n">
        <v>2023</v>
      </c>
      <c r="K623" s="41" t="inlineStr">
        <is>
          <t>EUR</t>
        </is>
      </c>
      <c r="L623" s="42" t="n">
        <v>54288</v>
      </c>
    </row>
    <row r="624">
      <c r="B624" s="39" t="inlineStr">
        <is>
          <t>MBWAY_NAN</t>
        </is>
      </c>
      <c r="C624" s="40" t="inlineStr">
        <is>
          <t>BAC_MGT</t>
        </is>
      </c>
      <c r="D624" s="40" t="inlineStr">
        <is>
          <t>B3</t>
        </is>
      </c>
      <c r="E624" s="40" t="inlineStr">
        <is>
          <t>ALT</t>
        </is>
      </c>
      <c r="F624" s="40" t="inlineStr">
        <is>
          <t>604100</t>
        </is>
      </c>
      <c r="G624" s="39" t="inlineStr">
        <is>
          <t>Vacations &amp; sous-traitance pédagogique</t>
        </is>
      </c>
      <c r="H624" s="40" t="inlineStr">
        <is>
          <t>COMPTABLE</t>
        </is>
      </c>
      <c r="I624" s="41" t="inlineStr">
        <is>
          <t>2024ACT_VDEF</t>
        </is>
      </c>
      <c r="J624" s="41" t="n">
        <v>2024</v>
      </c>
      <c r="K624" s="41" t="inlineStr">
        <is>
          <t>EUR</t>
        </is>
      </c>
      <c r="L624" s="42" t="n">
        <v>57304</v>
      </c>
    </row>
    <row r="625">
      <c r="B625" s="39" t="inlineStr">
        <is>
          <t>MBWAY_NAN</t>
        </is>
      </c>
      <c r="C625" s="40" t="inlineStr">
        <is>
          <t>BAC_MGT</t>
        </is>
      </c>
      <c r="D625" s="40" t="inlineStr">
        <is>
          <t>B3</t>
        </is>
      </c>
      <c r="E625" s="40" t="inlineStr">
        <is>
          <t>ALT</t>
        </is>
      </c>
      <c r="F625" s="40" t="inlineStr">
        <is>
          <t>604100</t>
        </is>
      </c>
      <c r="G625" s="39" t="inlineStr">
        <is>
          <t>Vacations &amp; sous-traitance pédagogique</t>
        </is>
      </c>
      <c r="H625" s="40" t="inlineStr">
        <is>
          <t>COMPTABLE</t>
        </is>
      </c>
      <c r="I625" s="41" t="inlineStr">
        <is>
          <t>2025FCST_V4</t>
        </is>
      </c>
      <c r="J625" s="41" t="n">
        <v>2025</v>
      </c>
      <c r="K625" s="41" t="inlineStr">
        <is>
          <t>EUR</t>
        </is>
      </c>
      <c r="L625" s="42" t="n">
        <v>60320</v>
      </c>
    </row>
    <row r="626">
      <c r="B626" s="39" t="inlineStr">
        <is>
          <t>MBWAY_NAN</t>
        </is>
      </c>
      <c r="C626" s="40" t="inlineStr">
        <is>
          <t>BAC_MGT</t>
        </is>
      </c>
      <c r="D626" s="40" t="inlineStr">
        <is>
          <t>B3</t>
        </is>
      </c>
      <c r="E626" s="40" t="inlineStr">
        <is>
          <t>ALT</t>
        </is>
      </c>
      <c r="F626" s="40" t="inlineStr">
        <is>
          <t>606300</t>
        </is>
      </c>
      <c r="G626" s="39" t="inlineStr">
        <is>
          <t>Fournitures &amp; ressources pédagogiques</t>
        </is>
      </c>
      <c r="H626" s="40" t="inlineStr">
        <is>
          <t>COMPTABLE</t>
        </is>
      </c>
      <c r="I626" s="41" t="inlineStr">
        <is>
          <t>2023ACT_VDEF</t>
        </is>
      </c>
      <c r="J626" s="41" t="n">
        <v>2023</v>
      </c>
      <c r="K626" s="41" t="inlineStr">
        <is>
          <t>EUR</t>
        </is>
      </c>
      <c r="L626" s="42" t="n">
        <v>16200</v>
      </c>
    </row>
    <row r="627">
      <c r="B627" s="39" t="inlineStr">
        <is>
          <t>MBWAY_NAN</t>
        </is>
      </c>
      <c r="C627" s="40" t="inlineStr">
        <is>
          <t>BAC_MGT</t>
        </is>
      </c>
      <c r="D627" s="40" t="inlineStr">
        <is>
          <t>B3</t>
        </is>
      </c>
      <c r="E627" s="40" t="inlineStr">
        <is>
          <t>ALT</t>
        </is>
      </c>
      <c r="F627" s="40" t="inlineStr">
        <is>
          <t>606300</t>
        </is>
      </c>
      <c r="G627" s="39" t="inlineStr">
        <is>
          <t>Fournitures &amp; ressources pédagogiques</t>
        </is>
      </c>
      <c r="H627" s="40" t="inlineStr">
        <is>
          <t>COMPTABLE</t>
        </is>
      </c>
      <c r="I627" s="41" t="inlineStr">
        <is>
          <t>2024ACT_VDEF</t>
        </is>
      </c>
      <c r="J627" s="41" t="n">
        <v>2024</v>
      </c>
      <c r="K627" s="41" t="inlineStr">
        <is>
          <t>EUR</t>
        </is>
      </c>
      <c r="L627" s="42" t="n">
        <v>17100</v>
      </c>
    </row>
    <row r="628">
      <c r="B628" s="39" t="inlineStr">
        <is>
          <t>MBWAY_NAN</t>
        </is>
      </c>
      <c r="C628" s="40" t="inlineStr">
        <is>
          <t>BAC_MGT</t>
        </is>
      </c>
      <c r="D628" s="40" t="inlineStr">
        <is>
          <t>B3</t>
        </is>
      </c>
      <c r="E628" s="40" t="inlineStr">
        <is>
          <t>ALT</t>
        </is>
      </c>
      <c r="F628" s="40" t="inlineStr">
        <is>
          <t>606300</t>
        </is>
      </c>
      <c r="G628" s="39" t="inlineStr">
        <is>
          <t>Fournitures &amp; ressources pédagogiques</t>
        </is>
      </c>
      <c r="H628" s="40" t="inlineStr">
        <is>
          <t>COMPTABLE</t>
        </is>
      </c>
      <c r="I628" s="41" t="inlineStr">
        <is>
          <t>2025FCST_V4</t>
        </is>
      </c>
      <c r="J628" s="41" t="n">
        <v>2025</v>
      </c>
      <c r="K628" s="41" t="inlineStr">
        <is>
          <t>EUR</t>
        </is>
      </c>
      <c r="L628" s="42" t="n">
        <v>18000</v>
      </c>
    </row>
    <row r="629">
      <c r="B629" s="39" t="inlineStr">
        <is>
          <t>MBWAY_NAN</t>
        </is>
      </c>
      <c r="C629" s="40" t="inlineStr">
        <is>
          <t>BAC_MGT</t>
        </is>
      </c>
      <c r="D629" s="40" t="inlineStr">
        <is>
          <t>B3</t>
        </is>
      </c>
      <c r="E629" s="40" t="inlineStr">
        <is>
          <t>ALT</t>
        </is>
      </c>
      <c r="F629" s="40" t="inlineStr">
        <is>
          <t>613200</t>
        </is>
      </c>
      <c r="G629" s="39" t="inlineStr">
        <is>
          <t>Locations immobilières (loyers)</t>
        </is>
      </c>
      <c r="H629" s="40" t="inlineStr">
        <is>
          <t>COMPTABLE</t>
        </is>
      </c>
      <c r="I629" s="41" t="inlineStr">
        <is>
          <t>2023ACT_VDEF</t>
        </is>
      </c>
      <c r="J629" s="41" t="n">
        <v>2023</v>
      </c>
      <c r="K629" s="41" t="inlineStr">
        <is>
          <t>EUR</t>
        </is>
      </c>
      <c r="L629" s="42" t="n">
        <v>37620</v>
      </c>
    </row>
    <row r="630">
      <c r="B630" s="39" t="inlineStr">
        <is>
          <t>MBWAY_NAN</t>
        </is>
      </c>
      <c r="C630" s="40" t="inlineStr">
        <is>
          <t>BAC_MGT</t>
        </is>
      </c>
      <c r="D630" s="40" t="inlineStr">
        <is>
          <t>B3</t>
        </is>
      </c>
      <c r="E630" s="40" t="inlineStr">
        <is>
          <t>ALT</t>
        </is>
      </c>
      <c r="F630" s="40" t="inlineStr">
        <is>
          <t>613200</t>
        </is>
      </c>
      <c r="G630" s="39" t="inlineStr">
        <is>
          <t>Locations immobilières (loyers)</t>
        </is>
      </c>
      <c r="H630" s="40" t="inlineStr">
        <is>
          <t>COMPTABLE</t>
        </is>
      </c>
      <c r="I630" s="41" t="inlineStr">
        <is>
          <t>2024ACT_VDEF</t>
        </is>
      </c>
      <c r="J630" s="41" t="n">
        <v>2024</v>
      </c>
      <c r="K630" s="41" t="inlineStr">
        <is>
          <t>EUR</t>
        </is>
      </c>
      <c r="L630" s="42" t="n">
        <v>39710</v>
      </c>
    </row>
    <row r="631">
      <c r="B631" s="39" t="inlineStr">
        <is>
          <t>MBWAY_NAN</t>
        </is>
      </c>
      <c r="C631" s="40" t="inlineStr">
        <is>
          <t>BAC_MGT</t>
        </is>
      </c>
      <c r="D631" s="40" t="inlineStr">
        <is>
          <t>B3</t>
        </is>
      </c>
      <c r="E631" s="40" t="inlineStr">
        <is>
          <t>ALT</t>
        </is>
      </c>
      <c r="F631" s="40" t="inlineStr">
        <is>
          <t>613200</t>
        </is>
      </c>
      <c r="G631" s="39" t="inlineStr">
        <is>
          <t>Locations immobilières (loyers)</t>
        </is>
      </c>
      <c r="H631" s="40" t="inlineStr">
        <is>
          <t>COMPTABLE</t>
        </is>
      </c>
      <c r="I631" s="41" t="inlineStr">
        <is>
          <t>2025FCST_V4</t>
        </is>
      </c>
      <c r="J631" s="41" t="n">
        <v>2025</v>
      </c>
      <c r="K631" s="41" t="inlineStr">
        <is>
          <t>EUR</t>
        </is>
      </c>
      <c r="L631" s="42" t="n">
        <v>41800</v>
      </c>
    </row>
    <row r="632">
      <c r="B632" s="39" t="inlineStr">
        <is>
          <t>MBWAY_NAN</t>
        </is>
      </c>
      <c r="C632" s="40" t="inlineStr">
        <is>
          <t>BAC_MGT</t>
        </is>
      </c>
      <c r="D632" s="40" t="inlineStr">
        <is>
          <t>B3</t>
        </is>
      </c>
      <c r="E632" s="40" t="inlineStr">
        <is>
          <t>ALT</t>
        </is>
      </c>
      <c r="F632" s="40" t="inlineStr">
        <is>
          <t>641100</t>
        </is>
      </c>
      <c r="G632" s="39" t="inlineStr">
        <is>
          <t>Rémunérations du personnel permanent</t>
        </is>
      </c>
      <c r="H632" s="40" t="inlineStr">
        <is>
          <t>COMPTABLE</t>
        </is>
      </c>
      <c r="I632" s="41" t="inlineStr">
        <is>
          <t>2023ACT_VDEF</t>
        </is>
      </c>
      <c r="J632" s="41" t="n">
        <v>2023</v>
      </c>
      <c r="K632" s="41" t="inlineStr">
        <is>
          <t>EUR</t>
        </is>
      </c>
      <c r="L632" s="42" t="n">
        <v>83520</v>
      </c>
    </row>
    <row r="633">
      <c r="B633" s="39" t="inlineStr">
        <is>
          <t>MBWAY_NAN</t>
        </is>
      </c>
      <c r="C633" s="40" t="inlineStr">
        <is>
          <t>BAC_MGT</t>
        </is>
      </c>
      <c r="D633" s="40" t="inlineStr">
        <is>
          <t>B3</t>
        </is>
      </c>
      <c r="E633" s="40" t="inlineStr">
        <is>
          <t>ALT</t>
        </is>
      </c>
      <c r="F633" s="40" t="inlineStr">
        <is>
          <t>641100</t>
        </is>
      </c>
      <c r="G633" s="39" t="inlineStr">
        <is>
          <t>Rémunérations du personnel permanent</t>
        </is>
      </c>
      <c r="H633" s="40" t="inlineStr">
        <is>
          <t>COMPTABLE</t>
        </is>
      </c>
      <c r="I633" s="41" t="inlineStr">
        <is>
          <t>2024ACT_VDEF</t>
        </is>
      </c>
      <c r="J633" s="41" t="n">
        <v>2024</v>
      </c>
      <c r="K633" s="41" t="inlineStr">
        <is>
          <t>EUR</t>
        </is>
      </c>
      <c r="L633" s="42" t="n">
        <v>88160</v>
      </c>
    </row>
    <row r="634">
      <c r="B634" s="39" t="inlineStr">
        <is>
          <t>MBWAY_NAN</t>
        </is>
      </c>
      <c r="C634" s="40" t="inlineStr">
        <is>
          <t>BAC_MGT</t>
        </is>
      </c>
      <c r="D634" s="40" t="inlineStr">
        <is>
          <t>B3</t>
        </is>
      </c>
      <c r="E634" s="40" t="inlineStr">
        <is>
          <t>ALT</t>
        </is>
      </c>
      <c r="F634" s="40" t="inlineStr">
        <is>
          <t>641100</t>
        </is>
      </c>
      <c r="G634" s="39" t="inlineStr">
        <is>
          <t>Rémunérations du personnel permanent</t>
        </is>
      </c>
      <c r="H634" s="40" t="inlineStr">
        <is>
          <t>COMPTABLE</t>
        </is>
      </c>
      <c r="I634" s="41" t="inlineStr">
        <is>
          <t>2025FCST_V4</t>
        </is>
      </c>
      <c r="J634" s="41" t="n">
        <v>2025</v>
      </c>
      <c r="K634" s="41" t="inlineStr">
        <is>
          <t>EUR</t>
        </is>
      </c>
      <c r="L634" s="42" t="n">
        <v>92800</v>
      </c>
    </row>
    <row r="635">
      <c r="B635" s="39" t="inlineStr">
        <is>
          <t>MBWAY_NAN</t>
        </is>
      </c>
      <c r="C635" s="40" t="inlineStr">
        <is>
          <t>BAC_MGT</t>
        </is>
      </c>
      <c r="D635" s="40" t="inlineStr">
        <is>
          <t>B3</t>
        </is>
      </c>
      <c r="E635" s="40" t="inlineStr">
        <is>
          <t>ALT</t>
        </is>
      </c>
      <c r="F635" s="40" t="inlineStr">
        <is>
          <t>622600</t>
        </is>
      </c>
      <c r="G635" s="39" t="inlineStr">
        <is>
          <t>Honoraires &amp; frais de siège (structure groupe)</t>
        </is>
      </c>
      <c r="H635" s="40" t="inlineStr">
        <is>
          <t>COMPTABLE</t>
        </is>
      </c>
      <c r="I635" s="41" t="inlineStr">
        <is>
          <t>2023ACT_VDEF</t>
        </is>
      </c>
      <c r="J635" s="41" t="n">
        <v>2023</v>
      </c>
      <c r="K635" s="41" t="inlineStr">
        <is>
          <t>EUR</t>
        </is>
      </c>
      <c r="L635" s="42" t="n">
        <v>34207</v>
      </c>
    </row>
    <row r="636">
      <c r="B636" s="39" t="inlineStr">
        <is>
          <t>MBWAY_NAN</t>
        </is>
      </c>
      <c r="C636" s="40" t="inlineStr">
        <is>
          <t>BAC_MGT</t>
        </is>
      </c>
      <c r="D636" s="40" t="inlineStr">
        <is>
          <t>B3</t>
        </is>
      </c>
      <c r="E636" s="40" t="inlineStr">
        <is>
          <t>ALT</t>
        </is>
      </c>
      <c r="F636" s="40" t="inlineStr">
        <is>
          <t>622600</t>
        </is>
      </c>
      <c r="G636" s="39" t="inlineStr">
        <is>
          <t>Honoraires &amp; frais de siège (structure groupe)</t>
        </is>
      </c>
      <c r="H636" s="40" t="inlineStr">
        <is>
          <t>COMPTABLE</t>
        </is>
      </c>
      <c r="I636" s="41" t="inlineStr">
        <is>
          <t>2024ACT_VDEF</t>
        </is>
      </c>
      <c r="J636" s="41" t="n">
        <v>2024</v>
      </c>
      <c r="K636" s="41" t="inlineStr">
        <is>
          <t>EUR</t>
        </is>
      </c>
      <c r="L636" s="42" t="n">
        <v>36108</v>
      </c>
    </row>
    <row r="637">
      <c r="B637" s="39" t="inlineStr">
        <is>
          <t>MBWAY_NAN</t>
        </is>
      </c>
      <c r="C637" s="40" t="inlineStr">
        <is>
          <t>BAC_MGT</t>
        </is>
      </c>
      <c r="D637" s="40" t="inlineStr">
        <is>
          <t>B3</t>
        </is>
      </c>
      <c r="E637" s="40" t="inlineStr">
        <is>
          <t>ALT</t>
        </is>
      </c>
      <c r="F637" s="40" t="inlineStr">
        <is>
          <t>622600</t>
        </is>
      </c>
      <c r="G637" s="39" t="inlineStr">
        <is>
          <t>Honoraires &amp; frais de siège (structure groupe)</t>
        </is>
      </c>
      <c r="H637" s="40" t="inlineStr">
        <is>
          <t>COMPTABLE</t>
        </is>
      </c>
      <c r="I637" s="41" t="inlineStr">
        <is>
          <t>2025FCST_V4</t>
        </is>
      </c>
      <c r="J637" s="41" t="n">
        <v>2025</v>
      </c>
      <c r="K637" s="41" t="inlineStr">
        <is>
          <t>EUR</t>
        </is>
      </c>
      <c r="L637" s="42" t="n">
        <v>38008</v>
      </c>
    </row>
    <row r="638">
      <c r="B638" s="39" t="inlineStr">
        <is>
          <t>MBWAY_NAN</t>
        </is>
      </c>
      <c r="C638" s="40" t="inlineStr">
        <is>
          <t>BAC_MGT</t>
        </is>
      </c>
      <c r="D638" s="40" t="inlineStr">
        <is>
          <t>B3</t>
        </is>
      </c>
      <c r="E638" s="40" t="inlineStr">
        <is>
          <t>ALT</t>
        </is>
      </c>
      <c r="F638" s="40" t="inlineStr">
        <is>
          <t>606800</t>
        </is>
      </c>
      <c r="G638" s="39" t="inlineStr">
        <is>
          <t>Autres achats &amp; charges externes</t>
        </is>
      </c>
      <c r="H638" s="40" t="inlineStr">
        <is>
          <t>COMPTABLE</t>
        </is>
      </c>
      <c r="I638" s="41" t="inlineStr">
        <is>
          <t>2023ACT_VDEF</t>
        </is>
      </c>
      <c r="J638" s="41" t="n">
        <v>2023</v>
      </c>
      <c r="K638" s="41" t="inlineStr">
        <is>
          <t>EUR</t>
        </is>
      </c>
      <c r="L638" s="42" t="n">
        <v>37827</v>
      </c>
    </row>
    <row r="639">
      <c r="B639" s="39" t="inlineStr">
        <is>
          <t>MBWAY_NAN</t>
        </is>
      </c>
      <c r="C639" s="40" t="inlineStr">
        <is>
          <t>BAC_MGT</t>
        </is>
      </c>
      <c r="D639" s="40" t="inlineStr">
        <is>
          <t>B3</t>
        </is>
      </c>
      <c r="E639" s="40" t="inlineStr">
        <is>
          <t>ALT</t>
        </is>
      </c>
      <c r="F639" s="40" t="inlineStr">
        <is>
          <t>606800</t>
        </is>
      </c>
      <c r="G639" s="39" t="inlineStr">
        <is>
          <t>Autres achats &amp; charges externes</t>
        </is>
      </c>
      <c r="H639" s="40" t="inlineStr">
        <is>
          <t>COMPTABLE</t>
        </is>
      </c>
      <c r="I639" s="41" t="inlineStr">
        <is>
          <t>2024ACT_VDEF</t>
        </is>
      </c>
      <c r="J639" s="41" t="n">
        <v>2024</v>
      </c>
      <c r="K639" s="41" t="inlineStr">
        <is>
          <t>EUR</t>
        </is>
      </c>
      <c r="L639" s="42" t="n">
        <v>39928</v>
      </c>
    </row>
    <row r="640">
      <c r="B640" s="39" t="inlineStr">
        <is>
          <t>MBWAY_NAN</t>
        </is>
      </c>
      <c r="C640" s="40" t="inlineStr">
        <is>
          <t>BAC_MGT</t>
        </is>
      </c>
      <c r="D640" s="40" t="inlineStr">
        <is>
          <t>B3</t>
        </is>
      </c>
      <c r="E640" s="40" t="inlineStr">
        <is>
          <t>ALT</t>
        </is>
      </c>
      <c r="F640" s="40" t="inlineStr">
        <is>
          <t>606800</t>
        </is>
      </c>
      <c r="G640" s="39" t="inlineStr">
        <is>
          <t>Autres achats &amp; charges externes</t>
        </is>
      </c>
      <c r="H640" s="40" t="inlineStr">
        <is>
          <t>COMPTABLE</t>
        </is>
      </c>
      <c r="I640" s="41" t="inlineStr">
        <is>
          <t>2025FCST_V4</t>
        </is>
      </c>
      <c r="J640" s="41" t="n">
        <v>2025</v>
      </c>
      <c r="K640" s="41" t="inlineStr">
        <is>
          <t>EUR</t>
        </is>
      </c>
      <c r="L640" s="42" t="n">
        <v>42030</v>
      </c>
    </row>
    <row r="641">
      <c r="B641" s="39" t="inlineStr">
        <is>
          <t>MBWAY_NAN</t>
        </is>
      </c>
      <c r="C641" s="40" t="inlineStr">
        <is>
          <t>BAC_MGT</t>
        </is>
      </c>
      <c r="D641" s="40" t="inlineStr">
        <is>
          <t>B3</t>
        </is>
      </c>
      <c r="E641" s="40" t="inlineStr">
        <is>
          <t>ALT</t>
        </is>
      </c>
      <c r="F641" s="40" t="inlineStr">
        <is>
          <t>681100</t>
        </is>
      </c>
      <c r="G641" s="39" t="inlineStr">
        <is>
          <t>Dotations aux amortissements</t>
        </is>
      </c>
      <c r="H641" s="40" t="inlineStr">
        <is>
          <t>COMPTABLE</t>
        </is>
      </c>
      <c r="I641" s="41" t="inlineStr">
        <is>
          <t>2023ACT_VDEF</t>
        </is>
      </c>
      <c r="J641" s="41" t="n">
        <v>2023</v>
      </c>
      <c r="K641" s="41" t="inlineStr">
        <is>
          <t>EUR</t>
        </is>
      </c>
      <c r="L641" s="42" t="n">
        <v>20520</v>
      </c>
    </row>
    <row r="642">
      <c r="B642" s="39" t="inlineStr">
        <is>
          <t>MBWAY_NAN</t>
        </is>
      </c>
      <c r="C642" s="40" t="inlineStr">
        <is>
          <t>BAC_MGT</t>
        </is>
      </c>
      <c r="D642" s="40" t="inlineStr">
        <is>
          <t>B3</t>
        </is>
      </c>
      <c r="E642" s="40" t="inlineStr">
        <is>
          <t>ALT</t>
        </is>
      </c>
      <c r="F642" s="40" t="inlineStr">
        <is>
          <t>681100</t>
        </is>
      </c>
      <c r="G642" s="39" t="inlineStr">
        <is>
          <t>Dotations aux amortissements</t>
        </is>
      </c>
      <c r="H642" s="40" t="inlineStr">
        <is>
          <t>COMPTABLE</t>
        </is>
      </c>
      <c r="I642" s="41" t="inlineStr">
        <is>
          <t>2024ACT_VDEF</t>
        </is>
      </c>
      <c r="J642" s="41" t="n">
        <v>2024</v>
      </c>
      <c r="K642" s="41" t="inlineStr">
        <is>
          <t>EUR</t>
        </is>
      </c>
      <c r="L642" s="42" t="n">
        <v>21660</v>
      </c>
    </row>
    <row r="643">
      <c r="B643" s="39" t="inlineStr">
        <is>
          <t>MBWAY_NAN</t>
        </is>
      </c>
      <c r="C643" s="40" t="inlineStr">
        <is>
          <t>BAC_MGT</t>
        </is>
      </c>
      <c r="D643" s="40" t="inlineStr">
        <is>
          <t>B3</t>
        </is>
      </c>
      <c r="E643" s="40" t="inlineStr">
        <is>
          <t>ALT</t>
        </is>
      </c>
      <c r="F643" s="40" t="inlineStr">
        <is>
          <t>681100</t>
        </is>
      </c>
      <c r="G643" s="39" t="inlineStr">
        <is>
          <t>Dotations aux amortissements</t>
        </is>
      </c>
      <c r="H643" s="40" t="inlineStr">
        <is>
          <t>COMPTABLE</t>
        </is>
      </c>
      <c r="I643" s="41" t="inlineStr">
        <is>
          <t>2025FCST_V4</t>
        </is>
      </c>
      <c r="J643" s="41" t="n">
        <v>2025</v>
      </c>
      <c r="K643" s="41" t="inlineStr">
        <is>
          <t>EUR</t>
        </is>
      </c>
      <c r="L643" s="42" t="n">
        <v>22800</v>
      </c>
    </row>
    <row r="644">
      <c r="B644" s="39" t="inlineStr">
        <is>
          <t>MBWAY_NAN</t>
        </is>
      </c>
      <c r="C644" s="40" t="inlineStr">
        <is>
          <t>BAC_MGT</t>
        </is>
      </c>
      <c r="D644" s="40" t="inlineStr">
        <is>
          <t>B3</t>
        </is>
      </c>
      <c r="E644" s="40" t="inlineStr">
        <is>
          <t>ALT</t>
        </is>
      </c>
      <c r="F644" s="40" t="inlineStr">
        <is>
          <t>STA_EFF</t>
        </is>
      </c>
      <c r="G644" s="39" t="inlineStr">
        <is>
          <t>Effectif inscrit</t>
        </is>
      </c>
      <c r="H644" s="40" t="inlineStr">
        <is>
          <t>TECHNIQUE</t>
        </is>
      </c>
      <c r="I644" s="41" t="inlineStr">
        <is>
          <t>2023ACT_VDEF</t>
        </is>
      </c>
      <c r="J644" s="41" t="n">
        <v>2023</v>
      </c>
      <c r="K644" s="41" t="inlineStr">
        <is>
          <t>NB</t>
        </is>
      </c>
      <c r="L644" s="43" t="n">
        <v>40</v>
      </c>
    </row>
    <row r="645">
      <c r="B645" s="39" t="inlineStr">
        <is>
          <t>MBWAY_NAN</t>
        </is>
      </c>
      <c r="C645" s="40" t="inlineStr">
        <is>
          <t>BAC_MGT</t>
        </is>
      </c>
      <c r="D645" s="40" t="inlineStr">
        <is>
          <t>B3</t>
        </is>
      </c>
      <c r="E645" s="40" t="inlineStr">
        <is>
          <t>ALT</t>
        </is>
      </c>
      <c r="F645" s="40" t="inlineStr">
        <is>
          <t>STA_EFF</t>
        </is>
      </c>
      <c r="G645" s="39" t="inlineStr">
        <is>
          <t>Effectif inscrit</t>
        </is>
      </c>
      <c r="H645" s="40" t="inlineStr">
        <is>
          <t>TECHNIQUE</t>
        </is>
      </c>
      <c r="I645" s="41" t="inlineStr">
        <is>
          <t>2024ACT_VDEF</t>
        </is>
      </c>
      <c r="J645" s="41" t="n">
        <v>2024</v>
      </c>
      <c r="K645" s="41" t="inlineStr">
        <is>
          <t>NB</t>
        </is>
      </c>
      <c r="L645" s="43" t="n">
        <v>43</v>
      </c>
    </row>
    <row r="646">
      <c r="B646" s="39" t="inlineStr">
        <is>
          <t>MBWAY_NAN</t>
        </is>
      </c>
      <c r="C646" s="40" t="inlineStr">
        <is>
          <t>BAC_MGT</t>
        </is>
      </c>
      <c r="D646" s="40" t="inlineStr">
        <is>
          <t>B3</t>
        </is>
      </c>
      <c r="E646" s="40" t="inlineStr">
        <is>
          <t>ALT</t>
        </is>
      </c>
      <c r="F646" s="40" t="inlineStr">
        <is>
          <t>STA_EFF</t>
        </is>
      </c>
      <c r="G646" s="39" t="inlineStr">
        <is>
          <t>Effectif inscrit</t>
        </is>
      </c>
      <c r="H646" s="40" t="inlineStr">
        <is>
          <t>TECHNIQUE</t>
        </is>
      </c>
      <c r="I646" s="41" t="inlineStr">
        <is>
          <t>2025FCST_V4</t>
        </is>
      </c>
      <c r="J646" s="41" t="n">
        <v>2025</v>
      </c>
      <c r="K646" s="41" t="inlineStr">
        <is>
          <t>NB</t>
        </is>
      </c>
      <c r="L646" s="43" t="n">
        <v>45</v>
      </c>
    </row>
    <row r="647">
      <c r="B647" s="39" t="inlineStr">
        <is>
          <t>MBWAY_NAN</t>
        </is>
      </c>
      <c r="C647" s="40" t="inlineStr">
        <is>
          <t>BAC_MGT</t>
        </is>
      </c>
      <c r="D647" s="40" t="inlineStr">
        <is>
          <t>B3</t>
        </is>
      </c>
      <c r="E647" s="40" t="inlineStr">
        <is>
          <t>ALT</t>
        </is>
      </c>
      <c r="F647" s="40" t="inlineStr">
        <is>
          <t>STA_REINS</t>
        </is>
      </c>
      <c r="G647" s="39" t="inlineStr">
        <is>
          <t>Réinscrits</t>
        </is>
      </c>
      <c r="H647" s="40" t="inlineStr">
        <is>
          <t>TECHNIQUE</t>
        </is>
      </c>
      <c r="I647" s="41" t="inlineStr">
        <is>
          <t>2023ACT_VDEF</t>
        </is>
      </c>
      <c r="J647" s="41" t="n">
        <v>2023</v>
      </c>
      <c r="K647" s="41" t="inlineStr">
        <is>
          <t>NB</t>
        </is>
      </c>
      <c r="L647" s="43" t="n">
        <v>40</v>
      </c>
    </row>
    <row r="648">
      <c r="B648" s="39" t="inlineStr">
        <is>
          <t>MBWAY_NAN</t>
        </is>
      </c>
      <c r="C648" s="40" t="inlineStr">
        <is>
          <t>BAC_MGT</t>
        </is>
      </c>
      <c r="D648" s="40" t="inlineStr">
        <is>
          <t>B3</t>
        </is>
      </c>
      <c r="E648" s="40" t="inlineStr">
        <is>
          <t>ALT</t>
        </is>
      </c>
      <c r="F648" s="40" t="inlineStr">
        <is>
          <t>STA_REINS</t>
        </is>
      </c>
      <c r="G648" s="39" t="inlineStr">
        <is>
          <t>Réinscrits</t>
        </is>
      </c>
      <c r="H648" s="40" t="inlineStr">
        <is>
          <t>TECHNIQUE</t>
        </is>
      </c>
      <c r="I648" s="41" t="inlineStr">
        <is>
          <t>2024ACT_VDEF</t>
        </is>
      </c>
      <c r="J648" s="41" t="n">
        <v>2024</v>
      </c>
      <c r="K648" s="41" t="inlineStr">
        <is>
          <t>NB</t>
        </is>
      </c>
      <c r="L648" s="43" t="n">
        <v>43</v>
      </c>
    </row>
    <row r="649">
      <c r="B649" s="39" t="inlineStr">
        <is>
          <t>MBWAY_NAN</t>
        </is>
      </c>
      <c r="C649" s="40" t="inlineStr">
        <is>
          <t>BAC_MGT</t>
        </is>
      </c>
      <c r="D649" s="40" t="inlineStr">
        <is>
          <t>B3</t>
        </is>
      </c>
      <c r="E649" s="40" t="inlineStr">
        <is>
          <t>ALT</t>
        </is>
      </c>
      <c r="F649" s="40" t="inlineStr">
        <is>
          <t>STA_REINS</t>
        </is>
      </c>
      <c r="G649" s="39" t="inlineStr">
        <is>
          <t>Réinscrits</t>
        </is>
      </c>
      <c r="H649" s="40" t="inlineStr">
        <is>
          <t>TECHNIQUE</t>
        </is>
      </c>
      <c r="I649" s="41" t="inlineStr">
        <is>
          <t>2025FCST_V4</t>
        </is>
      </c>
      <c r="J649" s="41" t="n">
        <v>2025</v>
      </c>
      <c r="K649" s="41" t="inlineStr">
        <is>
          <t>NB</t>
        </is>
      </c>
      <c r="L649" s="43" t="n">
        <v>45</v>
      </c>
    </row>
    <row r="650">
      <c r="B650" s="39" t="inlineStr">
        <is>
          <t>MBWAY_NAN</t>
        </is>
      </c>
      <c r="C650" s="40" t="inlineStr">
        <is>
          <t>BAC_MGT</t>
        </is>
      </c>
      <c r="D650" s="40" t="inlineStr">
        <is>
          <t>B3</t>
        </is>
      </c>
      <c r="E650" s="40" t="inlineStr">
        <is>
          <t>ALT</t>
        </is>
      </c>
      <c r="F650" s="40" t="inlineStr">
        <is>
          <t>STA_CLASS</t>
        </is>
      </c>
      <c r="G650" s="39" t="inlineStr">
        <is>
          <t>Nombre de classes</t>
        </is>
      </c>
      <c r="H650" s="40" t="inlineStr">
        <is>
          <t>TECHNIQUE</t>
        </is>
      </c>
      <c r="I650" s="41" t="inlineStr">
        <is>
          <t>2023ACT_VDEF</t>
        </is>
      </c>
      <c r="J650" s="41" t="n">
        <v>2023</v>
      </c>
      <c r="K650" s="41" t="inlineStr">
        <is>
          <t>NB</t>
        </is>
      </c>
      <c r="L650" s="43" t="n">
        <v>2</v>
      </c>
    </row>
    <row r="651">
      <c r="B651" s="39" t="inlineStr">
        <is>
          <t>MBWAY_NAN</t>
        </is>
      </c>
      <c r="C651" s="40" t="inlineStr">
        <is>
          <t>BAC_MGT</t>
        </is>
      </c>
      <c r="D651" s="40" t="inlineStr">
        <is>
          <t>B3</t>
        </is>
      </c>
      <c r="E651" s="40" t="inlineStr">
        <is>
          <t>ALT</t>
        </is>
      </c>
      <c r="F651" s="40" t="inlineStr">
        <is>
          <t>STA_CLASS</t>
        </is>
      </c>
      <c r="G651" s="39" t="inlineStr">
        <is>
          <t>Nombre de classes</t>
        </is>
      </c>
      <c r="H651" s="40" t="inlineStr">
        <is>
          <t>TECHNIQUE</t>
        </is>
      </c>
      <c r="I651" s="41" t="inlineStr">
        <is>
          <t>2024ACT_VDEF</t>
        </is>
      </c>
      <c r="J651" s="41" t="n">
        <v>2024</v>
      </c>
      <c r="K651" s="41" t="inlineStr">
        <is>
          <t>NB</t>
        </is>
      </c>
      <c r="L651" s="43" t="n">
        <v>2</v>
      </c>
    </row>
    <row r="652">
      <c r="B652" s="39" t="inlineStr">
        <is>
          <t>MBWAY_NAN</t>
        </is>
      </c>
      <c r="C652" s="40" t="inlineStr">
        <is>
          <t>BAC_MGT</t>
        </is>
      </c>
      <c r="D652" s="40" t="inlineStr">
        <is>
          <t>B3</t>
        </is>
      </c>
      <c r="E652" s="40" t="inlineStr">
        <is>
          <t>ALT</t>
        </is>
      </c>
      <c r="F652" s="40" t="inlineStr">
        <is>
          <t>STA_CLASS</t>
        </is>
      </c>
      <c r="G652" s="39" t="inlineStr">
        <is>
          <t>Nombre de classes</t>
        </is>
      </c>
      <c r="H652" s="40" t="inlineStr">
        <is>
          <t>TECHNIQUE</t>
        </is>
      </c>
      <c r="I652" s="41" t="inlineStr">
        <is>
          <t>2025FCST_V4</t>
        </is>
      </c>
      <c r="J652" s="41" t="n">
        <v>2025</v>
      </c>
      <c r="K652" s="41" t="inlineStr">
        <is>
          <t>NB</t>
        </is>
      </c>
      <c r="L652" s="43" t="n">
        <v>2</v>
      </c>
    </row>
    <row r="653">
      <c r="B653" s="39" t="inlineStr">
        <is>
          <t>MBWAY_NAN</t>
        </is>
      </c>
      <c r="C653" s="40" t="inlineStr">
        <is>
          <t>BAC_MGT</t>
        </is>
      </c>
      <c r="D653" s="40" t="inlineStr">
        <is>
          <t>B3</t>
        </is>
      </c>
      <c r="E653" s="40" t="inlineStr">
        <is>
          <t>ALT</t>
        </is>
      </c>
      <c r="F653" s="40" t="inlineStr">
        <is>
          <t>STA_HEURE</t>
        </is>
      </c>
      <c r="G653" s="39" t="inlineStr">
        <is>
          <t>Heures d'enseignement</t>
        </is>
      </c>
      <c r="H653" s="40" t="inlineStr">
        <is>
          <t>TECHNIQUE</t>
        </is>
      </c>
      <c r="I653" s="41" t="inlineStr">
        <is>
          <t>2023ACT_VDEF</t>
        </is>
      </c>
      <c r="J653" s="41" t="n">
        <v>2023</v>
      </c>
      <c r="K653" s="41" t="inlineStr">
        <is>
          <t>NB</t>
        </is>
      </c>
      <c r="L653" s="43" t="n">
        <v>936</v>
      </c>
    </row>
    <row r="654">
      <c r="B654" s="39" t="inlineStr">
        <is>
          <t>MBWAY_NAN</t>
        </is>
      </c>
      <c r="C654" s="40" t="inlineStr">
        <is>
          <t>BAC_MGT</t>
        </is>
      </c>
      <c r="D654" s="40" t="inlineStr">
        <is>
          <t>B3</t>
        </is>
      </c>
      <c r="E654" s="40" t="inlineStr">
        <is>
          <t>ALT</t>
        </is>
      </c>
      <c r="F654" s="40" t="inlineStr">
        <is>
          <t>STA_HEURE</t>
        </is>
      </c>
      <c r="G654" s="39" t="inlineStr">
        <is>
          <t>Heures d'enseignement</t>
        </is>
      </c>
      <c r="H654" s="40" t="inlineStr">
        <is>
          <t>TECHNIQUE</t>
        </is>
      </c>
      <c r="I654" s="41" t="inlineStr">
        <is>
          <t>2024ACT_VDEF</t>
        </is>
      </c>
      <c r="J654" s="41" t="n">
        <v>2024</v>
      </c>
      <c r="K654" s="41" t="inlineStr">
        <is>
          <t>NB</t>
        </is>
      </c>
      <c r="L654" s="43" t="n">
        <v>988</v>
      </c>
    </row>
    <row r="655">
      <c r="B655" s="39" t="inlineStr">
        <is>
          <t>MBWAY_NAN</t>
        </is>
      </c>
      <c r="C655" s="40" t="inlineStr">
        <is>
          <t>BAC_MGT</t>
        </is>
      </c>
      <c r="D655" s="40" t="inlineStr">
        <is>
          <t>B3</t>
        </is>
      </c>
      <c r="E655" s="40" t="inlineStr">
        <is>
          <t>ALT</t>
        </is>
      </c>
      <c r="F655" s="40" t="inlineStr">
        <is>
          <t>STA_HEURE</t>
        </is>
      </c>
      <c r="G655" s="39" t="inlineStr">
        <is>
          <t>Heures d'enseignement</t>
        </is>
      </c>
      <c r="H655" s="40" t="inlineStr">
        <is>
          <t>TECHNIQUE</t>
        </is>
      </c>
      <c r="I655" s="41" t="inlineStr">
        <is>
          <t>2025FCST_V4</t>
        </is>
      </c>
      <c r="J655" s="41" t="n">
        <v>2025</v>
      </c>
      <c r="K655" s="41" t="inlineStr">
        <is>
          <t>NB</t>
        </is>
      </c>
      <c r="L655" s="43" t="n">
        <v>1040</v>
      </c>
    </row>
    <row r="656">
      <c r="B656" s="39" t="inlineStr">
        <is>
          <t>MBWAY_NAN</t>
        </is>
      </c>
      <c r="C656" s="40" t="inlineStr">
        <is>
          <t>BAC_MGT</t>
        </is>
      </c>
      <c r="D656" s="40" t="inlineStr">
        <is>
          <t>B3</t>
        </is>
      </c>
      <c r="E656" s="40" t="inlineStr">
        <is>
          <t>ALT</t>
        </is>
      </c>
      <c r="F656" s="40" t="inlineStr">
        <is>
          <t>STA_CAPA</t>
        </is>
      </c>
      <c r="G656" s="39" t="inlineStr">
        <is>
          <t>Capacité par classe</t>
        </is>
      </c>
      <c r="H656" s="40" t="inlineStr">
        <is>
          <t>TECHNIQUE</t>
        </is>
      </c>
      <c r="I656" s="41" t="inlineStr">
        <is>
          <t>2023ACT_VDEF</t>
        </is>
      </c>
      <c r="J656" s="41" t="n">
        <v>2023</v>
      </c>
      <c r="K656" s="41" t="inlineStr">
        <is>
          <t>NB</t>
        </is>
      </c>
      <c r="L656" s="43" t="n">
        <v>32</v>
      </c>
    </row>
    <row r="657">
      <c r="B657" s="39" t="inlineStr">
        <is>
          <t>MBWAY_NAN</t>
        </is>
      </c>
      <c r="C657" s="40" t="inlineStr">
        <is>
          <t>BAC_MGT</t>
        </is>
      </c>
      <c r="D657" s="40" t="inlineStr">
        <is>
          <t>B3</t>
        </is>
      </c>
      <c r="E657" s="40" t="inlineStr">
        <is>
          <t>ALT</t>
        </is>
      </c>
      <c r="F657" s="40" t="inlineStr">
        <is>
          <t>STA_CAPA</t>
        </is>
      </c>
      <c r="G657" s="39" t="inlineStr">
        <is>
          <t>Capacité par classe</t>
        </is>
      </c>
      <c r="H657" s="40" t="inlineStr">
        <is>
          <t>TECHNIQUE</t>
        </is>
      </c>
      <c r="I657" s="41" t="inlineStr">
        <is>
          <t>2024ACT_VDEF</t>
        </is>
      </c>
      <c r="J657" s="41" t="n">
        <v>2024</v>
      </c>
      <c r="K657" s="41" t="inlineStr">
        <is>
          <t>NB</t>
        </is>
      </c>
      <c r="L657" s="43" t="n">
        <v>32</v>
      </c>
    </row>
    <row r="658">
      <c r="B658" s="39" t="inlineStr">
        <is>
          <t>MBWAY_NAN</t>
        </is>
      </c>
      <c r="C658" s="40" t="inlineStr">
        <is>
          <t>BAC_MGT</t>
        </is>
      </c>
      <c r="D658" s="40" t="inlineStr">
        <is>
          <t>B3</t>
        </is>
      </c>
      <c r="E658" s="40" t="inlineStr">
        <is>
          <t>ALT</t>
        </is>
      </c>
      <c r="F658" s="40" t="inlineStr">
        <is>
          <t>STA_CAPA</t>
        </is>
      </c>
      <c r="G658" s="39" t="inlineStr">
        <is>
          <t>Capacité par classe</t>
        </is>
      </c>
      <c r="H658" s="40" t="inlineStr">
        <is>
          <t>TECHNIQUE</t>
        </is>
      </c>
      <c r="I658" s="41" t="inlineStr">
        <is>
          <t>2025FCST_V4</t>
        </is>
      </c>
      <c r="J658" s="41" t="n">
        <v>2025</v>
      </c>
      <c r="K658" s="41" t="inlineStr">
        <is>
          <t>NB</t>
        </is>
      </c>
      <c r="L658" s="43" t="n">
        <v>32</v>
      </c>
    </row>
    <row r="659">
      <c r="B659" s="39" t="inlineStr">
        <is>
          <t>MBWAY_NAN</t>
        </is>
      </c>
      <c r="C659" s="40" t="inlineStr">
        <is>
          <t>BAC_MGT</t>
        </is>
      </c>
      <c r="D659" s="40" t="inlineStr">
        <is>
          <t>B3</t>
        </is>
      </c>
      <c r="E659" s="40" t="inlineStr">
        <is>
          <t>ALT</t>
        </is>
      </c>
      <c r="F659" s="40" t="inlineStr">
        <is>
          <t>DRV_PASS</t>
        </is>
      </c>
      <c r="G659" s="39" t="inlineStr">
        <is>
          <t>Taux de passage (réinscription)</t>
        </is>
      </c>
      <c r="H659" s="40" t="inlineStr">
        <is>
          <t>TECHNIQUE</t>
        </is>
      </c>
      <c r="I659" s="41" t="inlineStr">
        <is>
          <t>2023ACT_VDEF</t>
        </is>
      </c>
      <c r="J659" s="41" t="n">
        <v>2023</v>
      </c>
      <c r="K659" s="41" t="inlineStr">
        <is>
          <t>PCT</t>
        </is>
      </c>
      <c r="L659" s="44" t="n">
        <v>0.95</v>
      </c>
    </row>
    <row r="660">
      <c r="B660" s="39" t="inlineStr">
        <is>
          <t>MBWAY_NAN</t>
        </is>
      </c>
      <c r="C660" s="40" t="inlineStr">
        <is>
          <t>BAC_MGT</t>
        </is>
      </c>
      <c r="D660" s="40" t="inlineStr">
        <is>
          <t>B3</t>
        </is>
      </c>
      <c r="E660" s="40" t="inlineStr">
        <is>
          <t>ALT</t>
        </is>
      </c>
      <c r="F660" s="40" t="inlineStr">
        <is>
          <t>DRV_PASS</t>
        </is>
      </c>
      <c r="G660" s="39" t="inlineStr">
        <is>
          <t>Taux de passage (réinscription)</t>
        </is>
      </c>
      <c r="H660" s="40" t="inlineStr">
        <is>
          <t>TECHNIQUE</t>
        </is>
      </c>
      <c r="I660" s="41" t="inlineStr">
        <is>
          <t>2024ACT_VDEF</t>
        </is>
      </c>
      <c r="J660" s="41" t="n">
        <v>2024</v>
      </c>
      <c r="K660" s="41" t="inlineStr">
        <is>
          <t>PCT</t>
        </is>
      </c>
      <c r="L660" s="44" t="n">
        <v>0.95</v>
      </c>
    </row>
    <row r="661">
      <c r="B661" s="39" t="inlineStr">
        <is>
          <t>MBWAY_NAN</t>
        </is>
      </c>
      <c r="C661" s="40" t="inlineStr">
        <is>
          <t>BAC_MGT</t>
        </is>
      </c>
      <c r="D661" s="40" t="inlineStr">
        <is>
          <t>B3</t>
        </is>
      </c>
      <c r="E661" s="40" t="inlineStr">
        <is>
          <t>ALT</t>
        </is>
      </c>
      <c r="F661" s="40" t="inlineStr">
        <is>
          <t>DRV_PASS</t>
        </is>
      </c>
      <c r="G661" s="39" t="inlineStr">
        <is>
          <t>Taux de passage (réinscription)</t>
        </is>
      </c>
      <c r="H661" s="40" t="inlineStr">
        <is>
          <t>TECHNIQUE</t>
        </is>
      </c>
      <c r="I661" s="41" t="inlineStr">
        <is>
          <t>2025FCST_V4</t>
        </is>
      </c>
      <c r="J661" s="41" t="n">
        <v>2025</v>
      </c>
      <c r="K661" s="41" t="inlineStr">
        <is>
          <t>PCT</t>
        </is>
      </c>
      <c r="L661" s="44" t="n">
        <v>0.95</v>
      </c>
    </row>
    <row r="662">
      <c r="B662" s="39" t="inlineStr">
        <is>
          <t>MBWAY_NAN</t>
        </is>
      </c>
      <c r="C662" s="40" t="inlineStr">
        <is>
          <t>BAC_MGT</t>
        </is>
      </c>
      <c r="D662" s="40" t="inlineStr">
        <is>
          <t>B3</t>
        </is>
      </c>
      <c r="E662" s="40" t="inlineStr">
        <is>
          <t>ALT</t>
        </is>
      </c>
      <c r="F662" s="40" t="inlineStr">
        <is>
          <t>PRX_TARIF</t>
        </is>
      </c>
      <c r="G662" s="39" t="inlineStr">
        <is>
          <t>Tarif moyen scolarité</t>
        </is>
      </c>
      <c r="H662" s="40" t="inlineStr">
        <is>
          <t>TECHNIQUE</t>
        </is>
      </c>
      <c r="I662" s="41" t="inlineStr">
        <is>
          <t>2023ACT_VDEF</t>
        </is>
      </c>
      <c r="J662" s="41" t="n">
        <v>2023</v>
      </c>
      <c r="K662" s="41" t="inlineStr">
        <is>
          <t>EUR</t>
        </is>
      </c>
      <c r="L662" s="42" t="n">
        <v>8000</v>
      </c>
    </row>
    <row r="663">
      <c r="B663" s="39" t="inlineStr">
        <is>
          <t>MBWAY_NAN</t>
        </is>
      </c>
      <c r="C663" s="40" t="inlineStr">
        <is>
          <t>BAC_MGT</t>
        </is>
      </c>
      <c r="D663" s="40" t="inlineStr">
        <is>
          <t>B3</t>
        </is>
      </c>
      <c r="E663" s="40" t="inlineStr">
        <is>
          <t>ALT</t>
        </is>
      </c>
      <c r="F663" s="40" t="inlineStr">
        <is>
          <t>PRX_TARIF</t>
        </is>
      </c>
      <c r="G663" s="39" t="inlineStr">
        <is>
          <t>Tarif moyen scolarité</t>
        </is>
      </c>
      <c r="H663" s="40" t="inlineStr">
        <is>
          <t>TECHNIQUE</t>
        </is>
      </c>
      <c r="I663" s="41" t="inlineStr">
        <is>
          <t>2024ACT_VDEF</t>
        </is>
      </c>
      <c r="J663" s="41" t="n">
        <v>2024</v>
      </c>
      <c r="K663" s="41" t="inlineStr">
        <is>
          <t>EUR</t>
        </is>
      </c>
      <c r="L663" s="42" t="n">
        <v>8000</v>
      </c>
    </row>
    <row r="664">
      <c r="B664" s="39" t="inlineStr">
        <is>
          <t>MBWAY_NAN</t>
        </is>
      </c>
      <c r="C664" s="40" t="inlineStr">
        <is>
          <t>BAC_MGT</t>
        </is>
      </c>
      <c r="D664" s="40" t="inlineStr">
        <is>
          <t>B3</t>
        </is>
      </c>
      <c r="E664" s="40" t="inlineStr">
        <is>
          <t>ALT</t>
        </is>
      </c>
      <c r="F664" s="40" t="inlineStr">
        <is>
          <t>PRX_TARIF</t>
        </is>
      </c>
      <c r="G664" s="39" t="inlineStr">
        <is>
          <t>Tarif moyen scolarité</t>
        </is>
      </c>
      <c r="H664" s="40" t="inlineStr">
        <is>
          <t>TECHNIQUE</t>
        </is>
      </c>
      <c r="I664" s="41" t="inlineStr">
        <is>
          <t>2025FCST_V4</t>
        </is>
      </c>
      <c r="J664" s="41" t="n">
        <v>2025</v>
      </c>
      <c r="K664" s="41" t="inlineStr">
        <is>
          <t>EUR</t>
        </is>
      </c>
      <c r="L664" s="42" t="n">
        <v>8000</v>
      </c>
    </row>
    <row r="665">
      <c r="B665" s="39" t="inlineStr">
        <is>
          <t>MBWAY_NAN</t>
        </is>
      </c>
      <c r="C665" s="40" t="inlineStr">
        <is>
          <t>MAS_MGT</t>
        </is>
      </c>
      <c r="D665" s="40" t="inlineStr">
        <is>
          <t>M1</t>
        </is>
      </c>
      <c r="E665" s="40" t="inlineStr">
        <is>
          <t>ALT</t>
        </is>
      </c>
      <c r="F665" s="40" t="inlineStr">
        <is>
          <t>706100</t>
        </is>
      </c>
      <c r="G665" s="39" t="inlineStr">
        <is>
          <t>Droits de scolarité</t>
        </is>
      </c>
      <c r="H665" s="40" t="inlineStr">
        <is>
          <t>COMPTABLE</t>
        </is>
      </c>
      <c r="I665" s="41" t="inlineStr">
        <is>
          <t>2023ACT_VDEF</t>
        </is>
      </c>
      <c r="J665" s="41" t="n">
        <v>2023</v>
      </c>
      <c r="K665" s="41" t="inlineStr">
        <is>
          <t>EUR</t>
        </is>
      </c>
      <c r="L665" s="42" t="n">
        <v>291600</v>
      </c>
    </row>
    <row r="666">
      <c r="B666" s="39" t="inlineStr">
        <is>
          <t>MBWAY_NAN</t>
        </is>
      </c>
      <c r="C666" s="40" t="inlineStr">
        <is>
          <t>MAS_MGT</t>
        </is>
      </c>
      <c r="D666" s="40" t="inlineStr">
        <is>
          <t>M1</t>
        </is>
      </c>
      <c r="E666" s="40" t="inlineStr">
        <is>
          <t>ALT</t>
        </is>
      </c>
      <c r="F666" s="40" t="inlineStr">
        <is>
          <t>706100</t>
        </is>
      </c>
      <c r="G666" s="39" t="inlineStr">
        <is>
          <t>Droits de scolarité</t>
        </is>
      </c>
      <c r="H666" s="40" t="inlineStr">
        <is>
          <t>COMPTABLE</t>
        </is>
      </c>
      <c r="I666" s="41" t="inlineStr">
        <is>
          <t>2024ACT_VDEF</t>
        </is>
      </c>
      <c r="J666" s="41" t="n">
        <v>2024</v>
      </c>
      <c r="K666" s="41" t="inlineStr">
        <is>
          <t>EUR</t>
        </is>
      </c>
      <c r="L666" s="42" t="n">
        <v>307800</v>
      </c>
    </row>
    <row r="667">
      <c r="B667" s="39" t="inlineStr">
        <is>
          <t>MBWAY_NAN</t>
        </is>
      </c>
      <c r="C667" s="40" t="inlineStr">
        <is>
          <t>MAS_MGT</t>
        </is>
      </c>
      <c r="D667" s="40" t="inlineStr">
        <is>
          <t>M1</t>
        </is>
      </c>
      <c r="E667" s="40" t="inlineStr">
        <is>
          <t>ALT</t>
        </is>
      </c>
      <c r="F667" s="40" t="inlineStr">
        <is>
          <t>706100</t>
        </is>
      </c>
      <c r="G667" s="39" t="inlineStr">
        <is>
          <t>Droits de scolarité</t>
        </is>
      </c>
      <c r="H667" s="40" t="inlineStr">
        <is>
          <t>COMPTABLE</t>
        </is>
      </c>
      <c r="I667" s="41" t="inlineStr">
        <is>
          <t>2025FCST_V4</t>
        </is>
      </c>
      <c r="J667" s="41" t="n">
        <v>2025</v>
      </c>
      <c r="K667" s="41" t="inlineStr">
        <is>
          <t>EUR</t>
        </is>
      </c>
      <c r="L667" s="42" t="n">
        <v>324000</v>
      </c>
    </row>
    <row r="668">
      <c r="B668" s="39" t="inlineStr">
        <is>
          <t>MBWAY_NAN</t>
        </is>
      </c>
      <c r="C668" s="40" t="inlineStr">
        <is>
          <t>MAS_MGT</t>
        </is>
      </c>
      <c r="D668" s="40" t="inlineStr">
        <is>
          <t>M1</t>
        </is>
      </c>
      <c r="E668" s="40" t="inlineStr">
        <is>
          <t>ALT</t>
        </is>
      </c>
      <c r="F668" s="40" t="inlineStr">
        <is>
          <t>708500</t>
        </is>
      </c>
      <c r="G668" s="39" t="inlineStr">
        <is>
          <t>Frais de dossier / inscription</t>
        </is>
      </c>
      <c r="H668" s="40" t="inlineStr">
        <is>
          <t>COMPTABLE</t>
        </is>
      </c>
      <c r="I668" s="41" t="inlineStr">
        <is>
          <t>2023ACT_VDEF</t>
        </is>
      </c>
      <c r="J668" s="41" t="n">
        <v>2023</v>
      </c>
      <c r="K668" s="41" t="inlineStr">
        <is>
          <t>EUR</t>
        </is>
      </c>
      <c r="L668" s="42" t="n">
        <v>2916</v>
      </c>
    </row>
    <row r="669">
      <c r="B669" s="39" t="inlineStr">
        <is>
          <t>MBWAY_NAN</t>
        </is>
      </c>
      <c r="C669" s="40" t="inlineStr">
        <is>
          <t>MAS_MGT</t>
        </is>
      </c>
      <c r="D669" s="40" t="inlineStr">
        <is>
          <t>M1</t>
        </is>
      </c>
      <c r="E669" s="40" t="inlineStr">
        <is>
          <t>ALT</t>
        </is>
      </c>
      <c r="F669" s="40" t="inlineStr">
        <is>
          <t>708500</t>
        </is>
      </c>
      <c r="G669" s="39" t="inlineStr">
        <is>
          <t>Frais de dossier / inscription</t>
        </is>
      </c>
      <c r="H669" s="40" t="inlineStr">
        <is>
          <t>COMPTABLE</t>
        </is>
      </c>
      <c r="I669" s="41" t="inlineStr">
        <is>
          <t>2024ACT_VDEF</t>
        </is>
      </c>
      <c r="J669" s="41" t="n">
        <v>2024</v>
      </c>
      <c r="K669" s="41" t="inlineStr">
        <is>
          <t>EUR</t>
        </is>
      </c>
      <c r="L669" s="42" t="n">
        <v>3078</v>
      </c>
    </row>
    <row r="670">
      <c r="B670" s="39" t="inlineStr">
        <is>
          <t>MBWAY_NAN</t>
        </is>
      </c>
      <c r="C670" s="40" t="inlineStr">
        <is>
          <t>MAS_MGT</t>
        </is>
      </c>
      <c r="D670" s="40" t="inlineStr">
        <is>
          <t>M1</t>
        </is>
      </c>
      <c r="E670" s="40" t="inlineStr">
        <is>
          <t>ALT</t>
        </is>
      </c>
      <c r="F670" s="40" t="inlineStr">
        <is>
          <t>708500</t>
        </is>
      </c>
      <c r="G670" s="39" t="inlineStr">
        <is>
          <t>Frais de dossier / inscription</t>
        </is>
      </c>
      <c r="H670" s="40" t="inlineStr">
        <is>
          <t>COMPTABLE</t>
        </is>
      </c>
      <c r="I670" s="41" t="inlineStr">
        <is>
          <t>2025FCST_V4</t>
        </is>
      </c>
      <c r="J670" s="41" t="n">
        <v>2025</v>
      </c>
      <c r="K670" s="41" t="inlineStr">
        <is>
          <t>EUR</t>
        </is>
      </c>
      <c r="L670" s="42" t="n">
        <v>3240</v>
      </c>
    </row>
    <row r="671">
      <c r="B671" s="39" t="inlineStr">
        <is>
          <t>MBWAY_NAN</t>
        </is>
      </c>
      <c r="C671" s="40" t="inlineStr">
        <is>
          <t>MAS_MGT</t>
        </is>
      </c>
      <c r="D671" s="40" t="inlineStr">
        <is>
          <t>M1</t>
        </is>
      </c>
      <c r="E671" s="40" t="inlineStr">
        <is>
          <t>ALT</t>
        </is>
      </c>
      <c r="F671" s="40" t="inlineStr">
        <is>
          <t>604100</t>
        </is>
      </c>
      <c r="G671" s="39" t="inlineStr">
        <is>
          <t>Vacations &amp; sous-traitance pédagogique</t>
        </is>
      </c>
      <c r="H671" s="40" t="inlineStr">
        <is>
          <t>COMPTABLE</t>
        </is>
      </c>
      <c r="I671" s="41" t="inlineStr">
        <is>
          <t>2023ACT_VDEF</t>
        </is>
      </c>
      <c r="J671" s="41" t="n">
        <v>2023</v>
      </c>
      <c r="K671" s="41" t="inlineStr">
        <is>
          <t>EUR</t>
        </is>
      </c>
      <c r="L671" s="42" t="n">
        <v>60480</v>
      </c>
    </row>
    <row r="672">
      <c r="B672" s="39" t="inlineStr">
        <is>
          <t>MBWAY_NAN</t>
        </is>
      </c>
      <c r="C672" s="40" t="inlineStr">
        <is>
          <t>MAS_MGT</t>
        </is>
      </c>
      <c r="D672" s="40" t="inlineStr">
        <is>
          <t>M1</t>
        </is>
      </c>
      <c r="E672" s="40" t="inlineStr">
        <is>
          <t>ALT</t>
        </is>
      </c>
      <c r="F672" s="40" t="inlineStr">
        <is>
          <t>604100</t>
        </is>
      </c>
      <c r="G672" s="39" t="inlineStr">
        <is>
          <t>Vacations &amp; sous-traitance pédagogique</t>
        </is>
      </c>
      <c r="H672" s="40" t="inlineStr">
        <is>
          <t>COMPTABLE</t>
        </is>
      </c>
      <c r="I672" s="41" t="inlineStr">
        <is>
          <t>2024ACT_VDEF</t>
        </is>
      </c>
      <c r="J672" s="41" t="n">
        <v>2024</v>
      </c>
      <c r="K672" s="41" t="inlineStr">
        <is>
          <t>EUR</t>
        </is>
      </c>
      <c r="L672" s="42" t="n">
        <v>63840</v>
      </c>
    </row>
    <row r="673">
      <c r="B673" s="39" t="inlineStr">
        <is>
          <t>MBWAY_NAN</t>
        </is>
      </c>
      <c r="C673" s="40" t="inlineStr">
        <is>
          <t>MAS_MGT</t>
        </is>
      </c>
      <c r="D673" s="40" t="inlineStr">
        <is>
          <t>M1</t>
        </is>
      </c>
      <c r="E673" s="40" t="inlineStr">
        <is>
          <t>ALT</t>
        </is>
      </c>
      <c r="F673" s="40" t="inlineStr">
        <is>
          <t>604100</t>
        </is>
      </c>
      <c r="G673" s="39" t="inlineStr">
        <is>
          <t>Vacations &amp; sous-traitance pédagogique</t>
        </is>
      </c>
      <c r="H673" s="40" t="inlineStr">
        <is>
          <t>COMPTABLE</t>
        </is>
      </c>
      <c r="I673" s="41" t="inlineStr">
        <is>
          <t>2025FCST_V4</t>
        </is>
      </c>
      <c r="J673" s="41" t="n">
        <v>2025</v>
      </c>
      <c r="K673" s="41" t="inlineStr">
        <is>
          <t>EUR</t>
        </is>
      </c>
      <c r="L673" s="42" t="n">
        <v>67200</v>
      </c>
    </row>
    <row r="674">
      <c r="B674" s="39" t="inlineStr">
        <is>
          <t>MBWAY_NAN</t>
        </is>
      </c>
      <c r="C674" s="40" t="inlineStr">
        <is>
          <t>MAS_MGT</t>
        </is>
      </c>
      <c r="D674" s="40" t="inlineStr">
        <is>
          <t>M1</t>
        </is>
      </c>
      <c r="E674" s="40" t="inlineStr">
        <is>
          <t>ALT</t>
        </is>
      </c>
      <c r="F674" s="40" t="inlineStr">
        <is>
          <t>606300</t>
        </is>
      </c>
      <c r="G674" s="39" t="inlineStr">
        <is>
          <t>Fournitures &amp; ressources pédagogiques</t>
        </is>
      </c>
      <c r="H674" s="40" t="inlineStr">
        <is>
          <t>COMPTABLE</t>
        </is>
      </c>
      <c r="I674" s="41" t="inlineStr">
        <is>
          <t>2023ACT_VDEF</t>
        </is>
      </c>
      <c r="J674" s="41" t="n">
        <v>2023</v>
      </c>
      <c r="K674" s="41" t="inlineStr">
        <is>
          <t>EUR</t>
        </is>
      </c>
      <c r="L674" s="42" t="n">
        <v>16848</v>
      </c>
    </row>
    <row r="675">
      <c r="B675" s="39" t="inlineStr">
        <is>
          <t>MBWAY_NAN</t>
        </is>
      </c>
      <c r="C675" s="40" t="inlineStr">
        <is>
          <t>MAS_MGT</t>
        </is>
      </c>
      <c r="D675" s="40" t="inlineStr">
        <is>
          <t>M1</t>
        </is>
      </c>
      <c r="E675" s="40" t="inlineStr">
        <is>
          <t>ALT</t>
        </is>
      </c>
      <c r="F675" s="40" t="inlineStr">
        <is>
          <t>606300</t>
        </is>
      </c>
      <c r="G675" s="39" t="inlineStr">
        <is>
          <t>Fournitures &amp; ressources pédagogiques</t>
        </is>
      </c>
      <c r="H675" s="40" t="inlineStr">
        <is>
          <t>COMPTABLE</t>
        </is>
      </c>
      <c r="I675" s="41" t="inlineStr">
        <is>
          <t>2024ACT_VDEF</t>
        </is>
      </c>
      <c r="J675" s="41" t="n">
        <v>2024</v>
      </c>
      <c r="K675" s="41" t="inlineStr">
        <is>
          <t>EUR</t>
        </is>
      </c>
      <c r="L675" s="42" t="n">
        <v>17784</v>
      </c>
    </row>
    <row r="676">
      <c r="B676" s="39" t="inlineStr">
        <is>
          <t>MBWAY_NAN</t>
        </is>
      </c>
      <c r="C676" s="40" t="inlineStr">
        <is>
          <t>MAS_MGT</t>
        </is>
      </c>
      <c r="D676" s="40" t="inlineStr">
        <is>
          <t>M1</t>
        </is>
      </c>
      <c r="E676" s="40" t="inlineStr">
        <is>
          <t>ALT</t>
        </is>
      </c>
      <c r="F676" s="40" t="inlineStr">
        <is>
          <t>606300</t>
        </is>
      </c>
      <c r="G676" s="39" t="inlineStr">
        <is>
          <t>Fournitures &amp; ressources pédagogiques</t>
        </is>
      </c>
      <c r="H676" s="40" t="inlineStr">
        <is>
          <t>COMPTABLE</t>
        </is>
      </c>
      <c r="I676" s="41" t="inlineStr">
        <is>
          <t>2025FCST_V4</t>
        </is>
      </c>
      <c r="J676" s="41" t="n">
        <v>2025</v>
      </c>
      <c r="K676" s="41" t="inlineStr">
        <is>
          <t>EUR</t>
        </is>
      </c>
      <c r="L676" s="42" t="n">
        <v>18720</v>
      </c>
    </row>
    <row r="677">
      <c r="B677" s="39" t="inlineStr">
        <is>
          <t>MBWAY_NAN</t>
        </is>
      </c>
      <c r="C677" s="40" t="inlineStr">
        <is>
          <t>MAS_MGT</t>
        </is>
      </c>
      <c r="D677" s="40" t="inlineStr">
        <is>
          <t>M1</t>
        </is>
      </c>
      <c r="E677" s="40" t="inlineStr">
        <is>
          <t>ALT</t>
        </is>
      </c>
      <c r="F677" s="40" t="inlineStr">
        <is>
          <t>623000</t>
        </is>
      </c>
      <c r="G677" s="39" t="inlineStr">
        <is>
          <t>Publicité &amp; marketing (acquisition)</t>
        </is>
      </c>
      <c r="H677" s="40" t="inlineStr">
        <is>
          <t>COMPTABLE</t>
        </is>
      </c>
      <c r="I677" s="41" t="inlineStr">
        <is>
          <t>2023ACT_VDEF</t>
        </is>
      </c>
      <c r="J677" s="41" t="n">
        <v>2023</v>
      </c>
      <c r="K677" s="41" t="inlineStr">
        <is>
          <t>EUR</t>
        </is>
      </c>
      <c r="L677" s="42" t="n">
        <v>19440</v>
      </c>
    </row>
    <row r="678">
      <c r="B678" s="39" t="inlineStr">
        <is>
          <t>MBWAY_NAN</t>
        </is>
      </c>
      <c r="C678" s="40" t="inlineStr">
        <is>
          <t>MAS_MGT</t>
        </is>
      </c>
      <c r="D678" s="40" t="inlineStr">
        <is>
          <t>M1</t>
        </is>
      </c>
      <c r="E678" s="40" t="inlineStr">
        <is>
          <t>ALT</t>
        </is>
      </c>
      <c r="F678" s="40" t="inlineStr">
        <is>
          <t>623000</t>
        </is>
      </c>
      <c r="G678" s="39" t="inlineStr">
        <is>
          <t>Publicité &amp; marketing (acquisition)</t>
        </is>
      </c>
      <c r="H678" s="40" t="inlineStr">
        <is>
          <t>COMPTABLE</t>
        </is>
      </c>
      <c r="I678" s="41" t="inlineStr">
        <is>
          <t>2024ACT_VDEF</t>
        </is>
      </c>
      <c r="J678" s="41" t="n">
        <v>2024</v>
      </c>
      <c r="K678" s="41" t="inlineStr">
        <is>
          <t>EUR</t>
        </is>
      </c>
      <c r="L678" s="42" t="n">
        <v>20520</v>
      </c>
    </row>
    <row r="679">
      <c r="B679" s="39" t="inlineStr">
        <is>
          <t>MBWAY_NAN</t>
        </is>
      </c>
      <c r="C679" s="40" t="inlineStr">
        <is>
          <t>MAS_MGT</t>
        </is>
      </c>
      <c r="D679" s="40" t="inlineStr">
        <is>
          <t>M1</t>
        </is>
      </c>
      <c r="E679" s="40" t="inlineStr">
        <is>
          <t>ALT</t>
        </is>
      </c>
      <c r="F679" s="40" t="inlineStr">
        <is>
          <t>623000</t>
        </is>
      </c>
      <c r="G679" s="39" t="inlineStr">
        <is>
          <t>Publicité &amp; marketing (acquisition)</t>
        </is>
      </c>
      <c r="H679" s="40" t="inlineStr">
        <is>
          <t>COMPTABLE</t>
        </is>
      </c>
      <c r="I679" s="41" t="inlineStr">
        <is>
          <t>2025FCST_V4</t>
        </is>
      </c>
      <c r="J679" s="41" t="n">
        <v>2025</v>
      </c>
      <c r="K679" s="41" t="inlineStr">
        <is>
          <t>EUR</t>
        </is>
      </c>
      <c r="L679" s="42" t="n">
        <v>21600</v>
      </c>
    </row>
    <row r="680">
      <c r="B680" s="39" t="inlineStr">
        <is>
          <t>MBWAY_NAN</t>
        </is>
      </c>
      <c r="C680" s="40" t="inlineStr">
        <is>
          <t>MAS_MGT</t>
        </is>
      </c>
      <c r="D680" s="40" t="inlineStr">
        <is>
          <t>M1</t>
        </is>
      </c>
      <c r="E680" s="40" t="inlineStr">
        <is>
          <t>ALT</t>
        </is>
      </c>
      <c r="F680" s="40" t="inlineStr">
        <is>
          <t>613200</t>
        </is>
      </c>
      <c r="G680" s="39" t="inlineStr">
        <is>
          <t>Locations immobilières (loyers)</t>
        </is>
      </c>
      <c r="H680" s="40" t="inlineStr">
        <is>
          <t>COMPTABLE</t>
        </is>
      </c>
      <c r="I680" s="41" t="inlineStr">
        <is>
          <t>2023ACT_VDEF</t>
        </is>
      </c>
      <c r="J680" s="41" t="n">
        <v>2023</v>
      </c>
      <c r="K680" s="41" t="inlineStr">
        <is>
          <t>EUR</t>
        </is>
      </c>
      <c r="L680" s="42" t="n">
        <v>37620</v>
      </c>
    </row>
    <row r="681">
      <c r="B681" s="39" t="inlineStr">
        <is>
          <t>MBWAY_NAN</t>
        </is>
      </c>
      <c r="C681" s="40" t="inlineStr">
        <is>
          <t>MAS_MGT</t>
        </is>
      </c>
      <c r="D681" s="40" t="inlineStr">
        <is>
          <t>M1</t>
        </is>
      </c>
      <c r="E681" s="40" t="inlineStr">
        <is>
          <t>ALT</t>
        </is>
      </c>
      <c r="F681" s="40" t="inlineStr">
        <is>
          <t>613200</t>
        </is>
      </c>
      <c r="G681" s="39" t="inlineStr">
        <is>
          <t>Locations immobilières (loyers)</t>
        </is>
      </c>
      <c r="H681" s="40" t="inlineStr">
        <is>
          <t>COMPTABLE</t>
        </is>
      </c>
      <c r="I681" s="41" t="inlineStr">
        <is>
          <t>2024ACT_VDEF</t>
        </is>
      </c>
      <c r="J681" s="41" t="n">
        <v>2024</v>
      </c>
      <c r="K681" s="41" t="inlineStr">
        <is>
          <t>EUR</t>
        </is>
      </c>
      <c r="L681" s="42" t="n">
        <v>39710</v>
      </c>
    </row>
    <row r="682">
      <c r="B682" s="39" t="inlineStr">
        <is>
          <t>MBWAY_NAN</t>
        </is>
      </c>
      <c r="C682" s="40" t="inlineStr">
        <is>
          <t>MAS_MGT</t>
        </is>
      </c>
      <c r="D682" s="40" t="inlineStr">
        <is>
          <t>M1</t>
        </is>
      </c>
      <c r="E682" s="40" t="inlineStr">
        <is>
          <t>ALT</t>
        </is>
      </c>
      <c r="F682" s="40" t="inlineStr">
        <is>
          <t>613200</t>
        </is>
      </c>
      <c r="G682" s="39" t="inlineStr">
        <is>
          <t>Locations immobilières (loyers)</t>
        </is>
      </c>
      <c r="H682" s="40" t="inlineStr">
        <is>
          <t>COMPTABLE</t>
        </is>
      </c>
      <c r="I682" s="41" t="inlineStr">
        <is>
          <t>2025FCST_V4</t>
        </is>
      </c>
      <c r="J682" s="41" t="n">
        <v>2025</v>
      </c>
      <c r="K682" s="41" t="inlineStr">
        <is>
          <t>EUR</t>
        </is>
      </c>
      <c r="L682" s="42" t="n">
        <v>41800</v>
      </c>
    </row>
    <row r="683">
      <c r="B683" s="39" t="inlineStr">
        <is>
          <t>MBWAY_NAN</t>
        </is>
      </c>
      <c r="C683" s="40" t="inlineStr">
        <is>
          <t>MAS_MGT</t>
        </is>
      </c>
      <c r="D683" s="40" t="inlineStr">
        <is>
          <t>M1</t>
        </is>
      </c>
      <c r="E683" s="40" t="inlineStr">
        <is>
          <t>ALT</t>
        </is>
      </c>
      <c r="F683" s="40" t="inlineStr">
        <is>
          <t>641100</t>
        </is>
      </c>
      <c r="G683" s="39" t="inlineStr">
        <is>
          <t>Rémunérations du personnel permanent</t>
        </is>
      </c>
      <c r="H683" s="40" t="inlineStr">
        <is>
          <t>COMPTABLE</t>
        </is>
      </c>
      <c r="I683" s="41" t="inlineStr">
        <is>
          <t>2023ACT_VDEF</t>
        </is>
      </c>
      <c r="J683" s="41" t="n">
        <v>2023</v>
      </c>
      <c r="K683" s="41" t="inlineStr">
        <is>
          <t>EUR</t>
        </is>
      </c>
      <c r="L683" s="42" t="n">
        <v>83520</v>
      </c>
    </row>
    <row r="684">
      <c r="B684" s="39" t="inlineStr">
        <is>
          <t>MBWAY_NAN</t>
        </is>
      </c>
      <c r="C684" s="40" t="inlineStr">
        <is>
          <t>MAS_MGT</t>
        </is>
      </c>
      <c r="D684" s="40" t="inlineStr">
        <is>
          <t>M1</t>
        </is>
      </c>
      <c r="E684" s="40" t="inlineStr">
        <is>
          <t>ALT</t>
        </is>
      </c>
      <c r="F684" s="40" t="inlineStr">
        <is>
          <t>641100</t>
        </is>
      </c>
      <c r="G684" s="39" t="inlineStr">
        <is>
          <t>Rémunérations du personnel permanent</t>
        </is>
      </c>
      <c r="H684" s="40" t="inlineStr">
        <is>
          <t>COMPTABLE</t>
        </is>
      </c>
      <c r="I684" s="41" t="inlineStr">
        <is>
          <t>2024ACT_VDEF</t>
        </is>
      </c>
      <c r="J684" s="41" t="n">
        <v>2024</v>
      </c>
      <c r="K684" s="41" t="inlineStr">
        <is>
          <t>EUR</t>
        </is>
      </c>
      <c r="L684" s="42" t="n">
        <v>88160</v>
      </c>
    </row>
    <row r="685">
      <c r="B685" s="39" t="inlineStr">
        <is>
          <t>MBWAY_NAN</t>
        </is>
      </c>
      <c r="C685" s="40" t="inlineStr">
        <is>
          <t>MAS_MGT</t>
        </is>
      </c>
      <c r="D685" s="40" t="inlineStr">
        <is>
          <t>M1</t>
        </is>
      </c>
      <c r="E685" s="40" t="inlineStr">
        <is>
          <t>ALT</t>
        </is>
      </c>
      <c r="F685" s="40" t="inlineStr">
        <is>
          <t>641100</t>
        </is>
      </c>
      <c r="G685" s="39" t="inlineStr">
        <is>
          <t>Rémunérations du personnel permanent</t>
        </is>
      </c>
      <c r="H685" s="40" t="inlineStr">
        <is>
          <t>COMPTABLE</t>
        </is>
      </c>
      <c r="I685" s="41" t="inlineStr">
        <is>
          <t>2025FCST_V4</t>
        </is>
      </c>
      <c r="J685" s="41" t="n">
        <v>2025</v>
      </c>
      <c r="K685" s="41" t="inlineStr">
        <is>
          <t>EUR</t>
        </is>
      </c>
      <c r="L685" s="42" t="n">
        <v>92800</v>
      </c>
    </row>
    <row r="686">
      <c r="B686" s="39" t="inlineStr">
        <is>
          <t>MBWAY_NAN</t>
        </is>
      </c>
      <c r="C686" s="40" t="inlineStr">
        <is>
          <t>MAS_MGT</t>
        </is>
      </c>
      <c r="D686" s="40" t="inlineStr">
        <is>
          <t>M1</t>
        </is>
      </c>
      <c r="E686" s="40" t="inlineStr">
        <is>
          <t>ALT</t>
        </is>
      </c>
      <c r="F686" s="40" t="inlineStr">
        <is>
          <t>622600</t>
        </is>
      </c>
      <c r="G686" s="39" t="inlineStr">
        <is>
          <t>Honoraires &amp; frais de siège (structure groupe)</t>
        </is>
      </c>
      <c r="H686" s="40" t="inlineStr">
        <is>
          <t>COMPTABLE</t>
        </is>
      </c>
      <c r="I686" s="41" t="inlineStr">
        <is>
          <t>2023ACT_VDEF</t>
        </is>
      </c>
      <c r="J686" s="41" t="n">
        <v>2023</v>
      </c>
      <c r="K686" s="41" t="inlineStr">
        <is>
          <t>EUR</t>
        </is>
      </c>
      <c r="L686" s="42" t="n">
        <v>34207</v>
      </c>
    </row>
    <row r="687">
      <c r="B687" s="39" t="inlineStr">
        <is>
          <t>MBWAY_NAN</t>
        </is>
      </c>
      <c r="C687" s="40" t="inlineStr">
        <is>
          <t>MAS_MGT</t>
        </is>
      </c>
      <c r="D687" s="40" t="inlineStr">
        <is>
          <t>M1</t>
        </is>
      </c>
      <c r="E687" s="40" t="inlineStr">
        <is>
          <t>ALT</t>
        </is>
      </c>
      <c r="F687" s="40" t="inlineStr">
        <is>
          <t>622600</t>
        </is>
      </c>
      <c r="G687" s="39" t="inlineStr">
        <is>
          <t>Honoraires &amp; frais de siège (structure groupe)</t>
        </is>
      </c>
      <c r="H687" s="40" t="inlineStr">
        <is>
          <t>COMPTABLE</t>
        </is>
      </c>
      <c r="I687" s="41" t="inlineStr">
        <is>
          <t>2024ACT_VDEF</t>
        </is>
      </c>
      <c r="J687" s="41" t="n">
        <v>2024</v>
      </c>
      <c r="K687" s="41" t="inlineStr">
        <is>
          <t>EUR</t>
        </is>
      </c>
      <c r="L687" s="42" t="n">
        <v>36108</v>
      </c>
    </row>
    <row r="688">
      <c r="B688" s="39" t="inlineStr">
        <is>
          <t>MBWAY_NAN</t>
        </is>
      </c>
      <c r="C688" s="40" t="inlineStr">
        <is>
          <t>MAS_MGT</t>
        </is>
      </c>
      <c r="D688" s="40" t="inlineStr">
        <is>
          <t>M1</t>
        </is>
      </c>
      <c r="E688" s="40" t="inlineStr">
        <is>
          <t>ALT</t>
        </is>
      </c>
      <c r="F688" s="40" t="inlineStr">
        <is>
          <t>622600</t>
        </is>
      </c>
      <c r="G688" s="39" t="inlineStr">
        <is>
          <t>Honoraires &amp; frais de siège (structure groupe)</t>
        </is>
      </c>
      <c r="H688" s="40" t="inlineStr">
        <is>
          <t>COMPTABLE</t>
        </is>
      </c>
      <c r="I688" s="41" t="inlineStr">
        <is>
          <t>2025FCST_V4</t>
        </is>
      </c>
      <c r="J688" s="41" t="n">
        <v>2025</v>
      </c>
      <c r="K688" s="41" t="inlineStr">
        <is>
          <t>EUR</t>
        </is>
      </c>
      <c r="L688" s="42" t="n">
        <v>38008</v>
      </c>
    </row>
    <row r="689">
      <c r="B689" s="39" t="inlineStr">
        <is>
          <t>MBWAY_NAN</t>
        </is>
      </c>
      <c r="C689" s="40" t="inlineStr">
        <is>
          <t>MAS_MGT</t>
        </is>
      </c>
      <c r="D689" s="40" t="inlineStr">
        <is>
          <t>M1</t>
        </is>
      </c>
      <c r="E689" s="40" t="inlineStr">
        <is>
          <t>ALT</t>
        </is>
      </c>
      <c r="F689" s="40" t="inlineStr">
        <is>
          <t>606800</t>
        </is>
      </c>
      <c r="G689" s="39" t="inlineStr">
        <is>
          <t>Autres achats &amp; charges externes</t>
        </is>
      </c>
      <c r="H689" s="40" t="inlineStr">
        <is>
          <t>COMPTABLE</t>
        </is>
      </c>
      <c r="I689" s="41" t="inlineStr">
        <is>
          <t>2023ACT_VDEF</t>
        </is>
      </c>
      <c r="J689" s="41" t="n">
        <v>2023</v>
      </c>
      <c r="K689" s="41" t="inlineStr">
        <is>
          <t>EUR</t>
        </is>
      </c>
      <c r="L689" s="42" t="n">
        <v>30262</v>
      </c>
    </row>
    <row r="690">
      <c r="B690" s="39" t="inlineStr">
        <is>
          <t>MBWAY_NAN</t>
        </is>
      </c>
      <c r="C690" s="40" t="inlineStr">
        <is>
          <t>MAS_MGT</t>
        </is>
      </c>
      <c r="D690" s="40" t="inlineStr">
        <is>
          <t>M1</t>
        </is>
      </c>
      <c r="E690" s="40" t="inlineStr">
        <is>
          <t>ALT</t>
        </is>
      </c>
      <c r="F690" s="40" t="inlineStr">
        <is>
          <t>606800</t>
        </is>
      </c>
      <c r="G690" s="39" t="inlineStr">
        <is>
          <t>Autres achats &amp; charges externes</t>
        </is>
      </c>
      <c r="H690" s="40" t="inlineStr">
        <is>
          <t>COMPTABLE</t>
        </is>
      </c>
      <c r="I690" s="41" t="inlineStr">
        <is>
          <t>2024ACT_VDEF</t>
        </is>
      </c>
      <c r="J690" s="41" t="n">
        <v>2024</v>
      </c>
      <c r="K690" s="41" t="inlineStr">
        <is>
          <t>EUR</t>
        </is>
      </c>
      <c r="L690" s="42" t="n">
        <v>31943</v>
      </c>
    </row>
    <row r="691">
      <c r="B691" s="39" t="inlineStr">
        <is>
          <t>MBWAY_NAN</t>
        </is>
      </c>
      <c r="C691" s="40" t="inlineStr">
        <is>
          <t>MAS_MGT</t>
        </is>
      </c>
      <c r="D691" s="40" t="inlineStr">
        <is>
          <t>M1</t>
        </is>
      </c>
      <c r="E691" s="40" t="inlineStr">
        <is>
          <t>ALT</t>
        </is>
      </c>
      <c r="F691" s="40" t="inlineStr">
        <is>
          <t>606800</t>
        </is>
      </c>
      <c r="G691" s="39" t="inlineStr">
        <is>
          <t>Autres achats &amp; charges externes</t>
        </is>
      </c>
      <c r="H691" s="40" t="inlineStr">
        <is>
          <t>COMPTABLE</t>
        </is>
      </c>
      <c r="I691" s="41" t="inlineStr">
        <is>
          <t>2025FCST_V4</t>
        </is>
      </c>
      <c r="J691" s="41" t="n">
        <v>2025</v>
      </c>
      <c r="K691" s="41" t="inlineStr">
        <is>
          <t>EUR</t>
        </is>
      </c>
      <c r="L691" s="42" t="n">
        <v>33624</v>
      </c>
    </row>
    <row r="692">
      <c r="B692" s="39" t="inlineStr">
        <is>
          <t>MBWAY_NAN</t>
        </is>
      </c>
      <c r="C692" s="40" t="inlineStr">
        <is>
          <t>MAS_MGT</t>
        </is>
      </c>
      <c r="D692" s="40" t="inlineStr">
        <is>
          <t>M1</t>
        </is>
      </c>
      <c r="E692" s="40" t="inlineStr">
        <is>
          <t>ALT</t>
        </is>
      </c>
      <c r="F692" s="40" t="inlineStr">
        <is>
          <t>681100</t>
        </is>
      </c>
      <c r="G692" s="39" t="inlineStr">
        <is>
          <t>Dotations aux amortissements</t>
        </is>
      </c>
      <c r="H692" s="40" t="inlineStr">
        <is>
          <t>COMPTABLE</t>
        </is>
      </c>
      <c r="I692" s="41" t="inlineStr">
        <is>
          <t>2023ACT_VDEF</t>
        </is>
      </c>
      <c r="J692" s="41" t="n">
        <v>2023</v>
      </c>
      <c r="K692" s="41" t="inlineStr">
        <is>
          <t>EUR</t>
        </is>
      </c>
      <c r="L692" s="42" t="n">
        <v>20520</v>
      </c>
    </row>
    <row r="693">
      <c r="B693" s="39" t="inlineStr">
        <is>
          <t>MBWAY_NAN</t>
        </is>
      </c>
      <c r="C693" s="40" t="inlineStr">
        <is>
          <t>MAS_MGT</t>
        </is>
      </c>
      <c r="D693" s="40" t="inlineStr">
        <is>
          <t>M1</t>
        </is>
      </c>
      <c r="E693" s="40" t="inlineStr">
        <is>
          <t>ALT</t>
        </is>
      </c>
      <c r="F693" s="40" t="inlineStr">
        <is>
          <t>681100</t>
        </is>
      </c>
      <c r="G693" s="39" t="inlineStr">
        <is>
          <t>Dotations aux amortissements</t>
        </is>
      </c>
      <c r="H693" s="40" t="inlineStr">
        <is>
          <t>COMPTABLE</t>
        </is>
      </c>
      <c r="I693" s="41" t="inlineStr">
        <is>
          <t>2024ACT_VDEF</t>
        </is>
      </c>
      <c r="J693" s="41" t="n">
        <v>2024</v>
      </c>
      <c r="K693" s="41" t="inlineStr">
        <is>
          <t>EUR</t>
        </is>
      </c>
      <c r="L693" s="42" t="n">
        <v>21660</v>
      </c>
    </row>
    <row r="694">
      <c r="B694" s="39" t="inlineStr">
        <is>
          <t>MBWAY_NAN</t>
        </is>
      </c>
      <c r="C694" s="40" t="inlineStr">
        <is>
          <t>MAS_MGT</t>
        </is>
      </c>
      <c r="D694" s="40" t="inlineStr">
        <is>
          <t>M1</t>
        </is>
      </c>
      <c r="E694" s="40" t="inlineStr">
        <is>
          <t>ALT</t>
        </is>
      </c>
      <c r="F694" s="40" t="inlineStr">
        <is>
          <t>681100</t>
        </is>
      </c>
      <c r="G694" s="39" t="inlineStr">
        <is>
          <t>Dotations aux amortissements</t>
        </is>
      </c>
      <c r="H694" s="40" t="inlineStr">
        <is>
          <t>COMPTABLE</t>
        </is>
      </c>
      <c r="I694" s="41" t="inlineStr">
        <is>
          <t>2025FCST_V4</t>
        </is>
      </c>
      <c r="J694" s="41" t="n">
        <v>2025</v>
      </c>
      <c r="K694" s="41" t="inlineStr">
        <is>
          <t>EUR</t>
        </is>
      </c>
      <c r="L694" s="42" t="n">
        <v>22800</v>
      </c>
    </row>
    <row r="695">
      <c r="B695" s="39" t="inlineStr">
        <is>
          <t>MBWAY_NAN</t>
        </is>
      </c>
      <c r="C695" s="40" t="inlineStr">
        <is>
          <t>MAS_MGT</t>
        </is>
      </c>
      <c r="D695" s="40" t="inlineStr">
        <is>
          <t>M1</t>
        </is>
      </c>
      <c r="E695" s="40" t="inlineStr">
        <is>
          <t>ALT</t>
        </is>
      </c>
      <c r="F695" s="40" t="inlineStr">
        <is>
          <t>STA_EFF</t>
        </is>
      </c>
      <c r="G695" s="39" t="inlineStr">
        <is>
          <t>Effectif inscrit</t>
        </is>
      </c>
      <c r="H695" s="40" t="inlineStr">
        <is>
          <t>TECHNIQUE</t>
        </is>
      </c>
      <c r="I695" s="41" t="inlineStr">
        <is>
          <t>2023ACT_VDEF</t>
        </is>
      </c>
      <c r="J695" s="41" t="n">
        <v>2023</v>
      </c>
      <c r="K695" s="41" t="inlineStr">
        <is>
          <t>NB</t>
        </is>
      </c>
      <c r="L695" s="43" t="n">
        <v>32</v>
      </c>
    </row>
    <row r="696">
      <c r="B696" s="39" t="inlineStr">
        <is>
          <t>MBWAY_NAN</t>
        </is>
      </c>
      <c r="C696" s="40" t="inlineStr">
        <is>
          <t>MAS_MGT</t>
        </is>
      </c>
      <c r="D696" s="40" t="inlineStr">
        <is>
          <t>M1</t>
        </is>
      </c>
      <c r="E696" s="40" t="inlineStr">
        <is>
          <t>ALT</t>
        </is>
      </c>
      <c r="F696" s="40" t="inlineStr">
        <is>
          <t>STA_EFF</t>
        </is>
      </c>
      <c r="G696" s="39" t="inlineStr">
        <is>
          <t>Effectif inscrit</t>
        </is>
      </c>
      <c r="H696" s="40" t="inlineStr">
        <is>
          <t>TECHNIQUE</t>
        </is>
      </c>
      <c r="I696" s="41" t="inlineStr">
        <is>
          <t>2024ACT_VDEF</t>
        </is>
      </c>
      <c r="J696" s="41" t="n">
        <v>2024</v>
      </c>
      <c r="K696" s="41" t="inlineStr">
        <is>
          <t>NB</t>
        </is>
      </c>
      <c r="L696" s="43" t="n">
        <v>34</v>
      </c>
    </row>
    <row r="697">
      <c r="B697" s="39" t="inlineStr">
        <is>
          <t>MBWAY_NAN</t>
        </is>
      </c>
      <c r="C697" s="40" t="inlineStr">
        <is>
          <t>MAS_MGT</t>
        </is>
      </c>
      <c r="D697" s="40" t="inlineStr">
        <is>
          <t>M1</t>
        </is>
      </c>
      <c r="E697" s="40" t="inlineStr">
        <is>
          <t>ALT</t>
        </is>
      </c>
      <c r="F697" s="40" t="inlineStr">
        <is>
          <t>STA_EFF</t>
        </is>
      </c>
      <c r="G697" s="39" t="inlineStr">
        <is>
          <t>Effectif inscrit</t>
        </is>
      </c>
      <c r="H697" s="40" t="inlineStr">
        <is>
          <t>TECHNIQUE</t>
        </is>
      </c>
      <c r="I697" s="41" t="inlineStr">
        <is>
          <t>2025FCST_V4</t>
        </is>
      </c>
      <c r="J697" s="41" t="n">
        <v>2025</v>
      </c>
      <c r="K697" s="41" t="inlineStr">
        <is>
          <t>NB</t>
        </is>
      </c>
      <c r="L697" s="43" t="n">
        <v>36</v>
      </c>
    </row>
    <row r="698">
      <c r="B698" s="39" t="inlineStr">
        <is>
          <t>MBWAY_NAN</t>
        </is>
      </c>
      <c r="C698" s="40" t="inlineStr">
        <is>
          <t>MAS_MGT</t>
        </is>
      </c>
      <c r="D698" s="40" t="inlineStr">
        <is>
          <t>M1</t>
        </is>
      </c>
      <c r="E698" s="40" t="inlineStr">
        <is>
          <t>ALT</t>
        </is>
      </c>
      <c r="F698" s="40" t="inlineStr">
        <is>
          <t>STA_CAND</t>
        </is>
      </c>
      <c r="G698" s="39" t="inlineStr">
        <is>
          <t>Candidatures reçues</t>
        </is>
      </c>
      <c r="H698" s="40" t="inlineStr">
        <is>
          <t>TECHNIQUE</t>
        </is>
      </c>
      <c r="I698" s="41" t="inlineStr">
        <is>
          <t>2023ACT_VDEF</t>
        </is>
      </c>
      <c r="J698" s="41" t="n">
        <v>2023</v>
      </c>
      <c r="K698" s="41" t="inlineStr">
        <is>
          <t>NB</t>
        </is>
      </c>
      <c r="L698" s="43" t="n">
        <v>87</v>
      </c>
    </row>
    <row r="699">
      <c r="B699" s="39" t="inlineStr">
        <is>
          <t>MBWAY_NAN</t>
        </is>
      </c>
      <c r="C699" s="40" t="inlineStr">
        <is>
          <t>MAS_MGT</t>
        </is>
      </c>
      <c r="D699" s="40" t="inlineStr">
        <is>
          <t>M1</t>
        </is>
      </c>
      <c r="E699" s="40" t="inlineStr">
        <is>
          <t>ALT</t>
        </is>
      </c>
      <c r="F699" s="40" t="inlineStr">
        <is>
          <t>STA_CAND</t>
        </is>
      </c>
      <c r="G699" s="39" t="inlineStr">
        <is>
          <t>Candidatures reçues</t>
        </is>
      </c>
      <c r="H699" s="40" t="inlineStr">
        <is>
          <t>TECHNIQUE</t>
        </is>
      </c>
      <c r="I699" s="41" t="inlineStr">
        <is>
          <t>2024ACT_VDEF</t>
        </is>
      </c>
      <c r="J699" s="41" t="n">
        <v>2024</v>
      </c>
      <c r="K699" s="41" t="inlineStr">
        <is>
          <t>NB</t>
        </is>
      </c>
      <c r="L699" s="43" t="n">
        <v>92</v>
      </c>
    </row>
    <row r="700">
      <c r="B700" s="39" t="inlineStr">
        <is>
          <t>MBWAY_NAN</t>
        </is>
      </c>
      <c r="C700" s="40" t="inlineStr">
        <is>
          <t>MAS_MGT</t>
        </is>
      </c>
      <c r="D700" s="40" t="inlineStr">
        <is>
          <t>M1</t>
        </is>
      </c>
      <c r="E700" s="40" t="inlineStr">
        <is>
          <t>ALT</t>
        </is>
      </c>
      <c r="F700" s="40" t="inlineStr">
        <is>
          <t>STA_CAND</t>
        </is>
      </c>
      <c r="G700" s="39" t="inlineStr">
        <is>
          <t>Candidatures reçues</t>
        </is>
      </c>
      <c r="H700" s="40" t="inlineStr">
        <is>
          <t>TECHNIQUE</t>
        </is>
      </c>
      <c r="I700" s="41" t="inlineStr">
        <is>
          <t>2025FCST_V4</t>
        </is>
      </c>
      <c r="J700" s="41" t="n">
        <v>2025</v>
      </c>
      <c r="K700" s="41" t="inlineStr">
        <is>
          <t>NB</t>
        </is>
      </c>
      <c r="L700" s="43" t="n">
        <v>97</v>
      </c>
    </row>
    <row r="701">
      <c r="B701" s="39" t="inlineStr">
        <is>
          <t>MBWAY_NAN</t>
        </is>
      </c>
      <c r="C701" s="40" t="inlineStr">
        <is>
          <t>MAS_MGT</t>
        </is>
      </c>
      <c r="D701" s="40" t="inlineStr">
        <is>
          <t>M1</t>
        </is>
      </c>
      <c r="E701" s="40" t="inlineStr">
        <is>
          <t>ALT</t>
        </is>
      </c>
      <c r="F701" s="40" t="inlineStr">
        <is>
          <t>STA_ADMIS</t>
        </is>
      </c>
      <c r="G701" s="39" t="inlineStr">
        <is>
          <t>Candidats admis</t>
        </is>
      </c>
      <c r="H701" s="40" t="inlineStr">
        <is>
          <t>TECHNIQUE</t>
        </is>
      </c>
      <c r="I701" s="41" t="inlineStr">
        <is>
          <t>2023ACT_VDEF</t>
        </is>
      </c>
      <c r="J701" s="41" t="n">
        <v>2023</v>
      </c>
      <c r="K701" s="41" t="inlineStr">
        <is>
          <t>NB</t>
        </is>
      </c>
      <c r="L701" s="43" t="n">
        <v>54</v>
      </c>
    </row>
    <row r="702">
      <c r="B702" s="39" t="inlineStr">
        <is>
          <t>MBWAY_NAN</t>
        </is>
      </c>
      <c r="C702" s="40" t="inlineStr">
        <is>
          <t>MAS_MGT</t>
        </is>
      </c>
      <c r="D702" s="40" t="inlineStr">
        <is>
          <t>M1</t>
        </is>
      </c>
      <c r="E702" s="40" t="inlineStr">
        <is>
          <t>ALT</t>
        </is>
      </c>
      <c r="F702" s="40" t="inlineStr">
        <is>
          <t>STA_ADMIS</t>
        </is>
      </c>
      <c r="G702" s="39" t="inlineStr">
        <is>
          <t>Candidats admis</t>
        </is>
      </c>
      <c r="H702" s="40" t="inlineStr">
        <is>
          <t>TECHNIQUE</t>
        </is>
      </c>
      <c r="I702" s="41" t="inlineStr">
        <is>
          <t>2024ACT_VDEF</t>
        </is>
      </c>
      <c r="J702" s="41" t="n">
        <v>2024</v>
      </c>
      <c r="K702" s="41" t="inlineStr">
        <is>
          <t>NB</t>
        </is>
      </c>
      <c r="L702" s="43" t="n">
        <v>57</v>
      </c>
    </row>
    <row r="703">
      <c r="B703" s="39" t="inlineStr">
        <is>
          <t>MBWAY_NAN</t>
        </is>
      </c>
      <c r="C703" s="40" t="inlineStr">
        <is>
          <t>MAS_MGT</t>
        </is>
      </c>
      <c r="D703" s="40" t="inlineStr">
        <is>
          <t>M1</t>
        </is>
      </c>
      <c r="E703" s="40" t="inlineStr">
        <is>
          <t>ALT</t>
        </is>
      </c>
      <c r="F703" s="40" t="inlineStr">
        <is>
          <t>STA_ADMIS</t>
        </is>
      </c>
      <c r="G703" s="39" t="inlineStr">
        <is>
          <t>Candidats admis</t>
        </is>
      </c>
      <c r="H703" s="40" t="inlineStr">
        <is>
          <t>TECHNIQUE</t>
        </is>
      </c>
      <c r="I703" s="41" t="inlineStr">
        <is>
          <t>2025FCST_V4</t>
        </is>
      </c>
      <c r="J703" s="41" t="n">
        <v>2025</v>
      </c>
      <c r="K703" s="41" t="inlineStr">
        <is>
          <t>NB</t>
        </is>
      </c>
      <c r="L703" s="43" t="n">
        <v>60</v>
      </c>
    </row>
    <row r="704">
      <c r="B704" s="39" t="inlineStr">
        <is>
          <t>MBWAY_NAN</t>
        </is>
      </c>
      <c r="C704" s="40" t="inlineStr">
        <is>
          <t>MAS_MGT</t>
        </is>
      </c>
      <c r="D704" s="40" t="inlineStr">
        <is>
          <t>M1</t>
        </is>
      </c>
      <c r="E704" s="40" t="inlineStr">
        <is>
          <t>ALT</t>
        </is>
      </c>
      <c r="F704" s="40" t="inlineStr">
        <is>
          <t>STA_NOUV</t>
        </is>
      </c>
      <c r="G704" s="39" t="inlineStr">
        <is>
          <t>Nouveaux inscrits</t>
        </is>
      </c>
      <c r="H704" s="40" t="inlineStr">
        <is>
          <t>TECHNIQUE</t>
        </is>
      </c>
      <c r="I704" s="41" t="inlineStr">
        <is>
          <t>2023ACT_VDEF</t>
        </is>
      </c>
      <c r="J704" s="41" t="n">
        <v>2023</v>
      </c>
      <c r="K704" s="41" t="inlineStr">
        <is>
          <t>NB</t>
        </is>
      </c>
      <c r="L704" s="43" t="n">
        <v>32</v>
      </c>
    </row>
    <row r="705">
      <c r="B705" s="39" t="inlineStr">
        <is>
          <t>MBWAY_NAN</t>
        </is>
      </c>
      <c r="C705" s="40" t="inlineStr">
        <is>
          <t>MAS_MGT</t>
        </is>
      </c>
      <c r="D705" s="40" t="inlineStr">
        <is>
          <t>M1</t>
        </is>
      </c>
      <c r="E705" s="40" t="inlineStr">
        <is>
          <t>ALT</t>
        </is>
      </c>
      <c r="F705" s="40" t="inlineStr">
        <is>
          <t>STA_NOUV</t>
        </is>
      </c>
      <c r="G705" s="39" t="inlineStr">
        <is>
          <t>Nouveaux inscrits</t>
        </is>
      </c>
      <c r="H705" s="40" t="inlineStr">
        <is>
          <t>TECHNIQUE</t>
        </is>
      </c>
      <c r="I705" s="41" t="inlineStr">
        <is>
          <t>2024ACT_VDEF</t>
        </is>
      </c>
      <c r="J705" s="41" t="n">
        <v>2024</v>
      </c>
      <c r="K705" s="41" t="inlineStr">
        <is>
          <t>NB</t>
        </is>
      </c>
      <c r="L705" s="43" t="n">
        <v>34</v>
      </c>
    </row>
    <row r="706">
      <c r="B706" s="39" t="inlineStr">
        <is>
          <t>MBWAY_NAN</t>
        </is>
      </c>
      <c r="C706" s="40" t="inlineStr">
        <is>
          <t>MAS_MGT</t>
        </is>
      </c>
      <c r="D706" s="40" t="inlineStr">
        <is>
          <t>M1</t>
        </is>
      </c>
      <c r="E706" s="40" t="inlineStr">
        <is>
          <t>ALT</t>
        </is>
      </c>
      <c r="F706" s="40" t="inlineStr">
        <is>
          <t>STA_NOUV</t>
        </is>
      </c>
      <c r="G706" s="39" t="inlineStr">
        <is>
          <t>Nouveaux inscrits</t>
        </is>
      </c>
      <c r="H706" s="40" t="inlineStr">
        <is>
          <t>TECHNIQUE</t>
        </is>
      </c>
      <c r="I706" s="41" t="inlineStr">
        <is>
          <t>2025FCST_V4</t>
        </is>
      </c>
      <c r="J706" s="41" t="n">
        <v>2025</v>
      </c>
      <c r="K706" s="41" t="inlineStr">
        <is>
          <t>NB</t>
        </is>
      </c>
      <c r="L706" s="43" t="n">
        <v>36</v>
      </c>
    </row>
    <row r="707">
      <c r="B707" s="39" t="inlineStr">
        <is>
          <t>MBWAY_NAN</t>
        </is>
      </c>
      <c r="C707" s="40" t="inlineStr">
        <is>
          <t>MAS_MGT</t>
        </is>
      </c>
      <c r="D707" s="40" t="inlineStr">
        <is>
          <t>M1</t>
        </is>
      </c>
      <c r="E707" s="40" t="inlineStr">
        <is>
          <t>ALT</t>
        </is>
      </c>
      <c r="F707" s="40" t="inlineStr">
        <is>
          <t>STA_CLASS</t>
        </is>
      </c>
      <c r="G707" s="39" t="inlineStr">
        <is>
          <t>Nombre de classes</t>
        </is>
      </c>
      <c r="H707" s="40" t="inlineStr">
        <is>
          <t>TECHNIQUE</t>
        </is>
      </c>
      <c r="I707" s="41" t="inlineStr">
        <is>
          <t>2023ACT_VDEF</t>
        </is>
      </c>
      <c r="J707" s="41" t="n">
        <v>2023</v>
      </c>
      <c r="K707" s="41" t="inlineStr">
        <is>
          <t>NB</t>
        </is>
      </c>
      <c r="L707" s="43" t="n">
        <v>2</v>
      </c>
    </row>
    <row r="708">
      <c r="B708" s="39" t="inlineStr">
        <is>
          <t>MBWAY_NAN</t>
        </is>
      </c>
      <c r="C708" s="40" t="inlineStr">
        <is>
          <t>MAS_MGT</t>
        </is>
      </c>
      <c r="D708" s="40" t="inlineStr">
        <is>
          <t>M1</t>
        </is>
      </c>
      <c r="E708" s="40" t="inlineStr">
        <is>
          <t>ALT</t>
        </is>
      </c>
      <c r="F708" s="40" t="inlineStr">
        <is>
          <t>STA_CLASS</t>
        </is>
      </c>
      <c r="G708" s="39" t="inlineStr">
        <is>
          <t>Nombre de classes</t>
        </is>
      </c>
      <c r="H708" s="40" t="inlineStr">
        <is>
          <t>TECHNIQUE</t>
        </is>
      </c>
      <c r="I708" s="41" t="inlineStr">
        <is>
          <t>2024ACT_VDEF</t>
        </is>
      </c>
      <c r="J708" s="41" t="n">
        <v>2024</v>
      </c>
      <c r="K708" s="41" t="inlineStr">
        <is>
          <t>NB</t>
        </is>
      </c>
      <c r="L708" s="43" t="n">
        <v>2</v>
      </c>
    </row>
    <row r="709">
      <c r="B709" s="39" t="inlineStr">
        <is>
          <t>MBWAY_NAN</t>
        </is>
      </c>
      <c r="C709" s="40" t="inlineStr">
        <is>
          <t>MAS_MGT</t>
        </is>
      </c>
      <c r="D709" s="40" t="inlineStr">
        <is>
          <t>M1</t>
        </is>
      </c>
      <c r="E709" s="40" t="inlineStr">
        <is>
          <t>ALT</t>
        </is>
      </c>
      <c r="F709" s="40" t="inlineStr">
        <is>
          <t>STA_CLASS</t>
        </is>
      </c>
      <c r="G709" s="39" t="inlineStr">
        <is>
          <t>Nombre de classes</t>
        </is>
      </c>
      <c r="H709" s="40" t="inlineStr">
        <is>
          <t>TECHNIQUE</t>
        </is>
      </c>
      <c r="I709" s="41" t="inlineStr">
        <is>
          <t>2025FCST_V4</t>
        </is>
      </c>
      <c r="J709" s="41" t="n">
        <v>2025</v>
      </c>
      <c r="K709" s="41" t="inlineStr">
        <is>
          <t>NB</t>
        </is>
      </c>
      <c r="L709" s="43" t="n">
        <v>2</v>
      </c>
    </row>
    <row r="710">
      <c r="B710" s="39" t="inlineStr">
        <is>
          <t>MBWAY_NAN</t>
        </is>
      </c>
      <c r="C710" s="40" t="inlineStr">
        <is>
          <t>MAS_MGT</t>
        </is>
      </c>
      <c r="D710" s="40" t="inlineStr">
        <is>
          <t>M1</t>
        </is>
      </c>
      <c r="E710" s="40" t="inlineStr">
        <is>
          <t>ALT</t>
        </is>
      </c>
      <c r="F710" s="40" t="inlineStr">
        <is>
          <t>STA_HEURE</t>
        </is>
      </c>
      <c r="G710" s="39" t="inlineStr">
        <is>
          <t>Heures d'enseignement</t>
        </is>
      </c>
      <c r="H710" s="40" t="inlineStr">
        <is>
          <t>TECHNIQUE</t>
        </is>
      </c>
      <c r="I710" s="41" t="inlineStr">
        <is>
          <t>2023ACT_VDEF</t>
        </is>
      </c>
      <c r="J710" s="41" t="n">
        <v>2023</v>
      </c>
      <c r="K710" s="41" t="inlineStr">
        <is>
          <t>NB</t>
        </is>
      </c>
      <c r="L710" s="43" t="n">
        <v>864</v>
      </c>
    </row>
    <row r="711">
      <c r="B711" s="39" t="inlineStr">
        <is>
          <t>MBWAY_NAN</t>
        </is>
      </c>
      <c r="C711" s="40" t="inlineStr">
        <is>
          <t>MAS_MGT</t>
        </is>
      </c>
      <c r="D711" s="40" t="inlineStr">
        <is>
          <t>M1</t>
        </is>
      </c>
      <c r="E711" s="40" t="inlineStr">
        <is>
          <t>ALT</t>
        </is>
      </c>
      <c r="F711" s="40" t="inlineStr">
        <is>
          <t>STA_HEURE</t>
        </is>
      </c>
      <c r="G711" s="39" t="inlineStr">
        <is>
          <t>Heures d'enseignement</t>
        </is>
      </c>
      <c r="H711" s="40" t="inlineStr">
        <is>
          <t>TECHNIQUE</t>
        </is>
      </c>
      <c r="I711" s="41" t="inlineStr">
        <is>
          <t>2024ACT_VDEF</t>
        </is>
      </c>
      <c r="J711" s="41" t="n">
        <v>2024</v>
      </c>
      <c r="K711" s="41" t="inlineStr">
        <is>
          <t>NB</t>
        </is>
      </c>
      <c r="L711" s="43" t="n">
        <v>912</v>
      </c>
    </row>
    <row r="712">
      <c r="B712" s="39" t="inlineStr">
        <is>
          <t>MBWAY_NAN</t>
        </is>
      </c>
      <c r="C712" s="40" t="inlineStr">
        <is>
          <t>MAS_MGT</t>
        </is>
      </c>
      <c r="D712" s="40" t="inlineStr">
        <is>
          <t>M1</t>
        </is>
      </c>
      <c r="E712" s="40" t="inlineStr">
        <is>
          <t>ALT</t>
        </is>
      </c>
      <c r="F712" s="40" t="inlineStr">
        <is>
          <t>STA_HEURE</t>
        </is>
      </c>
      <c r="G712" s="39" t="inlineStr">
        <is>
          <t>Heures d'enseignement</t>
        </is>
      </c>
      <c r="H712" s="40" t="inlineStr">
        <is>
          <t>TECHNIQUE</t>
        </is>
      </c>
      <c r="I712" s="41" t="inlineStr">
        <is>
          <t>2025FCST_V4</t>
        </is>
      </c>
      <c r="J712" s="41" t="n">
        <v>2025</v>
      </c>
      <c r="K712" s="41" t="inlineStr">
        <is>
          <t>NB</t>
        </is>
      </c>
      <c r="L712" s="43" t="n">
        <v>960</v>
      </c>
    </row>
    <row r="713">
      <c r="B713" s="39" t="inlineStr">
        <is>
          <t>MBWAY_NAN</t>
        </is>
      </c>
      <c r="C713" s="40" t="inlineStr">
        <is>
          <t>MAS_MGT</t>
        </is>
      </c>
      <c r="D713" s="40" t="inlineStr">
        <is>
          <t>M1</t>
        </is>
      </c>
      <c r="E713" s="40" t="inlineStr">
        <is>
          <t>ALT</t>
        </is>
      </c>
      <c r="F713" s="40" t="inlineStr">
        <is>
          <t>STA_CAPA</t>
        </is>
      </c>
      <c r="G713" s="39" t="inlineStr">
        <is>
          <t>Capacité par classe</t>
        </is>
      </c>
      <c r="H713" s="40" t="inlineStr">
        <is>
          <t>TECHNIQUE</t>
        </is>
      </c>
      <c r="I713" s="41" t="inlineStr">
        <is>
          <t>2023ACT_VDEF</t>
        </is>
      </c>
      <c r="J713" s="41" t="n">
        <v>2023</v>
      </c>
      <c r="K713" s="41" t="inlineStr">
        <is>
          <t>NB</t>
        </is>
      </c>
      <c r="L713" s="43" t="n">
        <v>26</v>
      </c>
    </row>
    <row r="714">
      <c r="B714" s="39" t="inlineStr">
        <is>
          <t>MBWAY_NAN</t>
        </is>
      </c>
      <c r="C714" s="40" t="inlineStr">
        <is>
          <t>MAS_MGT</t>
        </is>
      </c>
      <c r="D714" s="40" t="inlineStr">
        <is>
          <t>M1</t>
        </is>
      </c>
      <c r="E714" s="40" t="inlineStr">
        <is>
          <t>ALT</t>
        </is>
      </c>
      <c r="F714" s="40" t="inlineStr">
        <is>
          <t>STA_CAPA</t>
        </is>
      </c>
      <c r="G714" s="39" t="inlineStr">
        <is>
          <t>Capacité par classe</t>
        </is>
      </c>
      <c r="H714" s="40" t="inlineStr">
        <is>
          <t>TECHNIQUE</t>
        </is>
      </c>
      <c r="I714" s="41" t="inlineStr">
        <is>
          <t>2024ACT_VDEF</t>
        </is>
      </c>
      <c r="J714" s="41" t="n">
        <v>2024</v>
      </c>
      <c r="K714" s="41" t="inlineStr">
        <is>
          <t>NB</t>
        </is>
      </c>
      <c r="L714" s="43" t="n">
        <v>26</v>
      </c>
    </row>
    <row r="715">
      <c r="B715" s="39" t="inlineStr">
        <is>
          <t>MBWAY_NAN</t>
        </is>
      </c>
      <c r="C715" s="40" t="inlineStr">
        <is>
          <t>MAS_MGT</t>
        </is>
      </c>
      <c r="D715" s="40" t="inlineStr">
        <is>
          <t>M1</t>
        </is>
      </c>
      <c r="E715" s="40" t="inlineStr">
        <is>
          <t>ALT</t>
        </is>
      </c>
      <c r="F715" s="40" t="inlineStr">
        <is>
          <t>STA_CAPA</t>
        </is>
      </c>
      <c r="G715" s="39" t="inlineStr">
        <is>
          <t>Capacité par classe</t>
        </is>
      </c>
      <c r="H715" s="40" t="inlineStr">
        <is>
          <t>TECHNIQUE</t>
        </is>
      </c>
      <c r="I715" s="41" t="inlineStr">
        <is>
          <t>2025FCST_V4</t>
        </is>
      </c>
      <c r="J715" s="41" t="n">
        <v>2025</v>
      </c>
      <c r="K715" s="41" t="inlineStr">
        <is>
          <t>NB</t>
        </is>
      </c>
      <c r="L715" s="43" t="n">
        <v>26</v>
      </c>
    </row>
    <row r="716">
      <c r="B716" s="39" t="inlineStr">
        <is>
          <t>MBWAY_NAN</t>
        </is>
      </c>
      <c r="C716" s="40" t="inlineStr">
        <is>
          <t>MAS_MGT</t>
        </is>
      </c>
      <c r="D716" s="40" t="inlineStr">
        <is>
          <t>M1</t>
        </is>
      </c>
      <c r="E716" s="40" t="inlineStr">
        <is>
          <t>ALT</t>
        </is>
      </c>
      <c r="F716" s="40" t="inlineStr">
        <is>
          <t>DRV_CONV</t>
        </is>
      </c>
      <c r="G716" s="39" t="inlineStr">
        <is>
          <t>Taux de conversion candidat→inscrit</t>
        </is>
      </c>
      <c r="H716" s="40" t="inlineStr">
        <is>
          <t>TECHNIQUE</t>
        </is>
      </c>
      <c r="I716" s="41" t="inlineStr">
        <is>
          <t>2023ACT_VDEF</t>
        </is>
      </c>
      <c r="J716" s="41" t="n">
        <v>2023</v>
      </c>
      <c r="K716" s="41" t="inlineStr">
        <is>
          <t>PCT</t>
        </is>
      </c>
      <c r="L716" s="44" t="n">
        <v>0.3711</v>
      </c>
    </row>
    <row r="717">
      <c r="B717" s="39" t="inlineStr">
        <is>
          <t>MBWAY_NAN</t>
        </is>
      </c>
      <c r="C717" s="40" t="inlineStr">
        <is>
          <t>MAS_MGT</t>
        </is>
      </c>
      <c r="D717" s="40" t="inlineStr">
        <is>
          <t>M1</t>
        </is>
      </c>
      <c r="E717" s="40" t="inlineStr">
        <is>
          <t>ALT</t>
        </is>
      </c>
      <c r="F717" s="40" t="inlineStr">
        <is>
          <t>DRV_CONV</t>
        </is>
      </c>
      <c r="G717" s="39" t="inlineStr">
        <is>
          <t>Taux de conversion candidat→inscrit</t>
        </is>
      </c>
      <c r="H717" s="40" t="inlineStr">
        <is>
          <t>TECHNIQUE</t>
        </is>
      </c>
      <c r="I717" s="41" t="inlineStr">
        <is>
          <t>2024ACT_VDEF</t>
        </is>
      </c>
      <c r="J717" s="41" t="n">
        <v>2024</v>
      </c>
      <c r="K717" s="41" t="inlineStr">
        <is>
          <t>PCT</t>
        </is>
      </c>
      <c r="L717" s="44" t="n">
        <v>0.3711</v>
      </c>
    </row>
    <row r="718">
      <c r="B718" s="39" t="inlineStr">
        <is>
          <t>MBWAY_NAN</t>
        </is>
      </c>
      <c r="C718" s="40" t="inlineStr">
        <is>
          <t>MAS_MGT</t>
        </is>
      </c>
      <c r="D718" s="40" t="inlineStr">
        <is>
          <t>M1</t>
        </is>
      </c>
      <c r="E718" s="40" t="inlineStr">
        <is>
          <t>ALT</t>
        </is>
      </c>
      <c r="F718" s="40" t="inlineStr">
        <is>
          <t>DRV_CONV</t>
        </is>
      </c>
      <c r="G718" s="39" t="inlineStr">
        <is>
          <t>Taux de conversion candidat→inscrit</t>
        </is>
      </c>
      <c r="H718" s="40" t="inlineStr">
        <is>
          <t>TECHNIQUE</t>
        </is>
      </c>
      <c r="I718" s="41" t="inlineStr">
        <is>
          <t>2025FCST_V4</t>
        </is>
      </c>
      <c r="J718" s="41" t="n">
        <v>2025</v>
      </c>
      <c r="K718" s="41" t="inlineStr">
        <is>
          <t>PCT</t>
        </is>
      </c>
      <c r="L718" s="44" t="n">
        <v>0.3711</v>
      </c>
    </row>
    <row r="719">
      <c r="B719" s="39" t="inlineStr">
        <is>
          <t>MBWAY_NAN</t>
        </is>
      </c>
      <c r="C719" s="40" t="inlineStr">
        <is>
          <t>MAS_MGT</t>
        </is>
      </c>
      <c r="D719" s="40" t="inlineStr">
        <is>
          <t>M1</t>
        </is>
      </c>
      <c r="E719" s="40" t="inlineStr">
        <is>
          <t>ALT</t>
        </is>
      </c>
      <c r="F719" s="40" t="inlineStr">
        <is>
          <t>PRX_TARIF</t>
        </is>
      </c>
      <c r="G719" s="39" t="inlineStr">
        <is>
          <t>Tarif moyen scolarité</t>
        </is>
      </c>
      <c r="H719" s="40" t="inlineStr">
        <is>
          <t>TECHNIQUE</t>
        </is>
      </c>
      <c r="I719" s="41" t="inlineStr">
        <is>
          <t>2023ACT_VDEF</t>
        </is>
      </c>
      <c r="J719" s="41" t="n">
        <v>2023</v>
      </c>
      <c r="K719" s="41" t="inlineStr">
        <is>
          <t>EUR</t>
        </is>
      </c>
      <c r="L719" s="42" t="n">
        <v>9000</v>
      </c>
    </row>
    <row r="720">
      <c r="B720" s="39" t="inlineStr">
        <is>
          <t>MBWAY_NAN</t>
        </is>
      </c>
      <c r="C720" s="40" t="inlineStr">
        <is>
          <t>MAS_MGT</t>
        </is>
      </c>
      <c r="D720" s="40" t="inlineStr">
        <is>
          <t>M1</t>
        </is>
      </c>
      <c r="E720" s="40" t="inlineStr">
        <is>
          <t>ALT</t>
        </is>
      </c>
      <c r="F720" s="40" t="inlineStr">
        <is>
          <t>PRX_TARIF</t>
        </is>
      </c>
      <c r="G720" s="39" t="inlineStr">
        <is>
          <t>Tarif moyen scolarité</t>
        </is>
      </c>
      <c r="H720" s="40" t="inlineStr">
        <is>
          <t>TECHNIQUE</t>
        </is>
      </c>
      <c r="I720" s="41" t="inlineStr">
        <is>
          <t>2024ACT_VDEF</t>
        </is>
      </c>
      <c r="J720" s="41" t="n">
        <v>2024</v>
      </c>
      <c r="K720" s="41" t="inlineStr">
        <is>
          <t>EUR</t>
        </is>
      </c>
      <c r="L720" s="42" t="n">
        <v>9000</v>
      </c>
    </row>
    <row r="721">
      <c r="B721" s="39" t="inlineStr">
        <is>
          <t>MBWAY_NAN</t>
        </is>
      </c>
      <c r="C721" s="40" t="inlineStr">
        <is>
          <t>MAS_MGT</t>
        </is>
      </c>
      <c r="D721" s="40" t="inlineStr">
        <is>
          <t>M1</t>
        </is>
      </c>
      <c r="E721" s="40" t="inlineStr">
        <is>
          <t>ALT</t>
        </is>
      </c>
      <c r="F721" s="40" t="inlineStr">
        <is>
          <t>PRX_TARIF</t>
        </is>
      </c>
      <c r="G721" s="39" t="inlineStr">
        <is>
          <t>Tarif moyen scolarité</t>
        </is>
      </c>
      <c r="H721" s="40" t="inlineStr">
        <is>
          <t>TECHNIQUE</t>
        </is>
      </c>
      <c r="I721" s="41" t="inlineStr">
        <is>
          <t>2025FCST_V4</t>
        </is>
      </c>
      <c r="J721" s="41" t="n">
        <v>2025</v>
      </c>
      <c r="K721" s="41" t="inlineStr">
        <is>
          <t>EUR</t>
        </is>
      </c>
      <c r="L721" s="42" t="n">
        <v>9000</v>
      </c>
    </row>
    <row r="722">
      <c r="B722" s="39" t="inlineStr">
        <is>
          <t>MBWAY_NAN</t>
        </is>
      </c>
      <c r="C722" s="40" t="inlineStr">
        <is>
          <t>MAS_MGT</t>
        </is>
      </c>
      <c r="D722" s="40" t="inlineStr">
        <is>
          <t>M1</t>
        </is>
      </c>
      <c r="E722" s="40" t="inlineStr">
        <is>
          <t>ALT</t>
        </is>
      </c>
      <c r="F722" s="40" t="inlineStr">
        <is>
          <t>CAC_LEAD</t>
        </is>
      </c>
      <c r="G722" s="39" t="inlineStr">
        <is>
          <t>Coût d'acquisition par lead</t>
        </is>
      </c>
      <c r="H722" s="40" t="inlineStr">
        <is>
          <t>TECHNIQUE</t>
        </is>
      </c>
      <c r="I722" s="41" t="inlineStr">
        <is>
          <t>2023ACT_VDEF</t>
        </is>
      </c>
      <c r="J722" s="41" t="n">
        <v>2023</v>
      </c>
      <c r="K722" s="41" t="inlineStr">
        <is>
          <t>EUR</t>
        </is>
      </c>
      <c r="L722" s="42" t="n">
        <v>600</v>
      </c>
    </row>
    <row r="723">
      <c r="B723" s="39" t="inlineStr">
        <is>
          <t>MBWAY_NAN</t>
        </is>
      </c>
      <c r="C723" s="40" t="inlineStr">
        <is>
          <t>MAS_MGT</t>
        </is>
      </c>
      <c r="D723" s="40" t="inlineStr">
        <is>
          <t>M1</t>
        </is>
      </c>
      <c r="E723" s="40" t="inlineStr">
        <is>
          <t>ALT</t>
        </is>
      </c>
      <c r="F723" s="40" t="inlineStr">
        <is>
          <t>CAC_LEAD</t>
        </is>
      </c>
      <c r="G723" s="39" t="inlineStr">
        <is>
          <t>Coût d'acquisition par lead</t>
        </is>
      </c>
      <c r="H723" s="40" t="inlineStr">
        <is>
          <t>TECHNIQUE</t>
        </is>
      </c>
      <c r="I723" s="41" t="inlineStr">
        <is>
          <t>2024ACT_VDEF</t>
        </is>
      </c>
      <c r="J723" s="41" t="n">
        <v>2024</v>
      </c>
      <c r="K723" s="41" t="inlineStr">
        <is>
          <t>EUR</t>
        </is>
      </c>
      <c r="L723" s="42" t="n">
        <v>600</v>
      </c>
    </row>
    <row r="724">
      <c r="B724" s="39" t="inlineStr">
        <is>
          <t>MBWAY_NAN</t>
        </is>
      </c>
      <c r="C724" s="40" t="inlineStr">
        <is>
          <t>MAS_MGT</t>
        </is>
      </c>
      <c r="D724" s="40" t="inlineStr">
        <is>
          <t>M1</t>
        </is>
      </c>
      <c r="E724" s="40" t="inlineStr">
        <is>
          <t>ALT</t>
        </is>
      </c>
      <c r="F724" s="40" t="inlineStr">
        <is>
          <t>CAC_LEAD</t>
        </is>
      </c>
      <c r="G724" s="39" t="inlineStr">
        <is>
          <t>Coût d'acquisition par lead</t>
        </is>
      </c>
      <c r="H724" s="40" t="inlineStr">
        <is>
          <t>TECHNIQUE</t>
        </is>
      </c>
      <c r="I724" s="41" t="inlineStr">
        <is>
          <t>2025FCST_V4</t>
        </is>
      </c>
      <c r="J724" s="41" t="n">
        <v>2025</v>
      </c>
      <c r="K724" s="41" t="inlineStr">
        <is>
          <t>EUR</t>
        </is>
      </c>
      <c r="L724" s="42" t="n">
        <v>600</v>
      </c>
    </row>
    <row r="725">
      <c r="B725" s="39" t="inlineStr">
        <is>
          <t>MBWAY_NAN</t>
        </is>
      </c>
      <c r="C725" s="40" t="inlineStr">
        <is>
          <t>MAS_MGT</t>
        </is>
      </c>
      <c r="D725" s="40" t="inlineStr">
        <is>
          <t>M2</t>
        </is>
      </c>
      <c r="E725" s="40" t="inlineStr">
        <is>
          <t>ALT</t>
        </is>
      </c>
      <c r="F725" s="40" t="inlineStr">
        <is>
          <t>706100</t>
        </is>
      </c>
      <c r="G725" s="39" t="inlineStr">
        <is>
          <t>Droits de scolarité</t>
        </is>
      </c>
      <c r="H725" s="40" t="inlineStr">
        <is>
          <t>COMPTABLE</t>
        </is>
      </c>
      <c r="I725" s="41" t="inlineStr">
        <is>
          <t>2023ACT_VDEF</t>
        </is>
      </c>
      <c r="J725" s="41" t="n">
        <v>2023</v>
      </c>
      <c r="K725" s="41" t="inlineStr">
        <is>
          <t>EUR</t>
        </is>
      </c>
      <c r="L725" s="42" t="n">
        <v>259200</v>
      </c>
    </row>
    <row r="726">
      <c r="B726" s="39" t="inlineStr">
        <is>
          <t>MBWAY_NAN</t>
        </is>
      </c>
      <c r="C726" s="40" t="inlineStr">
        <is>
          <t>MAS_MGT</t>
        </is>
      </c>
      <c r="D726" s="40" t="inlineStr">
        <is>
          <t>M2</t>
        </is>
      </c>
      <c r="E726" s="40" t="inlineStr">
        <is>
          <t>ALT</t>
        </is>
      </c>
      <c r="F726" s="40" t="inlineStr">
        <is>
          <t>706100</t>
        </is>
      </c>
      <c r="G726" s="39" t="inlineStr">
        <is>
          <t>Droits de scolarité</t>
        </is>
      </c>
      <c r="H726" s="40" t="inlineStr">
        <is>
          <t>COMPTABLE</t>
        </is>
      </c>
      <c r="I726" s="41" t="inlineStr">
        <is>
          <t>2024ACT_VDEF</t>
        </is>
      </c>
      <c r="J726" s="41" t="n">
        <v>2024</v>
      </c>
      <c r="K726" s="41" t="inlineStr">
        <is>
          <t>EUR</t>
        </is>
      </c>
      <c r="L726" s="42" t="n">
        <v>273600</v>
      </c>
    </row>
    <row r="727">
      <c r="B727" s="39" t="inlineStr">
        <is>
          <t>MBWAY_NAN</t>
        </is>
      </c>
      <c r="C727" s="40" t="inlineStr">
        <is>
          <t>MAS_MGT</t>
        </is>
      </c>
      <c r="D727" s="40" t="inlineStr">
        <is>
          <t>M2</t>
        </is>
      </c>
      <c r="E727" s="40" t="inlineStr">
        <is>
          <t>ALT</t>
        </is>
      </c>
      <c r="F727" s="40" t="inlineStr">
        <is>
          <t>706100</t>
        </is>
      </c>
      <c r="G727" s="39" t="inlineStr">
        <is>
          <t>Droits de scolarité</t>
        </is>
      </c>
      <c r="H727" s="40" t="inlineStr">
        <is>
          <t>COMPTABLE</t>
        </is>
      </c>
      <c r="I727" s="41" t="inlineStr">
        <is>
          <t>2025FCST_V4</t>
        </is>
      </c>
      <c r="J727" s="41" t="n">
        <v>2025</v>
      </c>
      <c r="K727" s="41" t="inlineStr">
        <is>
          <t>EUR</t>
        </is>
      </c>
      <c r="L727" s="42" t="n">
        <v>288000</v>
      </c>
    </row>
    <row r="728">
      <c r="B728" s="39" t="inlineStr">
        <is>
          <t>MBWAY_NAN</t>
        </is>
      </c>
      <c r="C728" s="40" t="inlineStr">
        <is>
          <t>MAS_MGT</t>
        </is>
      </c>
      <c r="D728" s="40" t="inlineStr">
        <is>
          <t>M2</t>
        </is>
      </c>
      <c r="E728" s="40" t="inlineStr">
        <is>
          <t>ALT</t>
        </is>
      </c>
      <c r="F728" s="40" t="inlineStr">
        <is>
          <t>604100</t>
        </is>
      </c>
      <c r="G728" s="39" t="inlineStr">
        <is>
          <t>Vacations &amp; sous-traitance pédagogique</t>
        </is>
      </c>
      <c r="H728" s="40" t="inlineStr">
        <is>
          <t>COMPTABLE</t>
        </is>
      </c>
      <c r="I728" s="41" t="inlineStr">
        <is>
          <t>2023ACT_VDEF</t>
        </is>
      </c>
      <c r="J728" s="41" t="n">
        <v>2023</v>
      </c>
      <c r="K728" s="41" t="inlineStr">
        <is>
          <t>EUR</t>
        </is>
      </c>
      <c r="L728" s="42" t="n">
        <v>55440</v>
      </c>
    </row>
    <row r="729">
      <c r="B729" s="39" t="inlineStr">
        <is>
          <t>MBWAY_NAN</t>
        </is>
      </c>
      <c r="C729" s="40" t="inlineStr">
        <is>
          <t>MAS_MGT</t>
        </is>
      </c>
      <c r="D729" s="40" t="inlineStr">
        <is>
          <t>M2</t>
        </is>
      </c>
      <c r="E729" s="40" t="inlineStr">
        <is>
          <t>ALT</t>
        </is>
      </c>
      <c r="F729" s="40" t="inlineStr">
        <is>
          <t>604100</t>
        </is>
      </c>
      <c r="G729" s="39" t="inlineStr">
        <is>
          <t>Vacations &amp; sous-traitance pédagogique</t>
        </is>
      </c>
      <c r="H729" s="40" t="inlineStr">
        <is>
          <t>COMPTABLE</t>
        </is>
      </c>
      <c r="I729" s="41" t="inlineStr">
        <is>
          <t>2024ACT_VDEF</t>
        </is>
      </c>
      <c r="J729" s="41" t="n">
        <v>2024</v>
      </c>
      <c r="K729" s="41" t="inlineStr">
        <is>
          <t>EUR</t>
        </is>
      </c>
      <c r="L729" s="42" t="n">
        <v>58520</v>
      </c>
    </row>
    <row r="730">
      <c r="B730" s="39" t="inlineStr">
        <is>
          <t>MBWAY_NAN</t>
        </is>
      </c>
      <c r="C730" s="40" t="inlineStr">
        <is>
          <t>MAS_MGT</t>
        </is>
      </c>
      <c r="D730" s="40" t="inlineStr">
        <is>
          <t>M2</t>
        </is>
      </c>
      <c r="E730" s="40" t="inlineStr">
        <is>
          <t>ALT</t>
        </is>
      </c>
      <c r="F730" s="40" t="inlineStr">
        <is>
          <t>604100</t>
        </is>
      </c>
      <c r="G730" s="39" t="inlineStr">
        <is>
          <t>Vacations &amp; sous-traitance pédagogique</t>
        </is>
      </c>
      <c r="H730" s="40" t="inlineStr">
        <is>
          <t>COMPTABLE</t>
        </is>
      </c>
      <c r="I730" s="41" t="inlineStr">
        <is>
          <t>2025FCST_V4</t>
        </is>
      </c>
      <c r="J730" s="41" t="n">
        <v>2025</v>
      </c>
      <c r="K730" s="41" t="inlineStr">
        <is>
          <t>EUR</t>
        </is>
      </c>
      <c r="L730" s="42" t="n">
        <v>61600</v>
      </c>
    </row>
    <row r="731">
      <c r="B731" s="39" t="inlineStr">
        <is>
          <t>MBWAY_NAN</t>
        </is>
      </c>
      <c r="C731" s="40" t="inlineStr">
        <is>
          <t>MAS_MGT</t>
        </is>
      </c>
      <c r="D731" s="40" t="inlineStr">
        <is>
          <t>M2</t>
        </is>
      </c>
      <c r="E731" s="40" t="inlineStr">
        <is>
          <t>ALT</t>
        </is>
      </c>
      <c r="F731" s="40" t="inlineStr">
        <is>
          <t>606300</t>
        </is>
      </c>
      <c r="G731" s="39" t="inlineStr">
        <is>
          <t>Fournitures &amp; ressources pédagogiques</t>
        </is>
      </c>
      <c r="H731" s="40" t="inlineStr">
        <is>
          <t>COMPTABLE</t>
        </is>
      </c>
      <c r="I731" s="41" t="inlineStr">
        <is>
          <t>2023ACT_VDEF</t>
        </is>
      </c>
      <c r="J731" s="41" t="n">
        <v>2023</v>
      </c>
      <c r="K731" s="41" t="inlineStr">
        <is>
          <t>EUR</t>
        </is>
      </c>
      <c r="L731" s="42" t="n">
        <v>14976</v>
      </c>
    </row>
    <row r="732">
      <c r="B732" s="39" t="inlineStr">
        <is>
          <t>MBWAY_NAN</t>
        </is>
      </c>
      <c r="C732" s="40" t="inlineStr">
        <is>
          <t>MAS_MGT</t>
        </is>
      </c>
      <c r="D732" s="40" t="inlineStr">
        <is>
          <t>M2</t>
        </is>
      </c>
      <c r="E732" s="40" t="inlineStr">
        <is>
          <t>ALT</t>
        </is>
      </c>
      <c r="F732" s="40" t="inlineStr">
        <is>
          <t>606300</t>
        </is>
      </c>
      <c r="G732" s="39" t="inlineStr">
        <is>
          <t>Fournitures &amp; ressources pédagogiques</t>
        </is>
      </c>
      <c r="H732" s="40" t="inlineStr">
        <is>
          <t>COMPTABLE</t>
        </is>
      </c>
      <c r="I732" s="41" t="inlineStr">
        <is>
          <t>2024ACT_VDEF</t>
        </is>
      </c>
      <c r="J732" s="41" t="n">
        <v>2024</v>
      </c>
      <c r="K732" s="41" t="inlineStr">
        <is>
          <t>EUR</t>
        </is>
      </c>
      <c r="L732" s="42" t="n">
        <v>15808</v>
      </c>
    </row>
    <row r="733">
      <c r="B733" s="39" t="inlineStr">
        <is>
          <t>MBWAY_NAN</t>
        </is>
      </c>
      <c r="C733" s="40" t="inlineStr">
        <is>
          <t>MAS_MGT</t>
        </is>
      </c>
      <c r="D733" s="40" t="inlineStr">
        <is>
          <t>M2</t>
        </is>
      </c>
      <c r="E733" s="40" t="inlineStr">
        <is>
          <t>ALT</t>
        </is>
      </c>
      <c r="F733" s="40" t="inlineStr">
        <is>
          <t>606300</t>
        </is>
      </c>
      <c r="G733" s="39" t="inlineStr">
        <is>
          <t>Fournitures &amp; ressources pédagogiques</t>
        </is>
      </c>
      <c r="H733" s="40" t="inlineStr">
        <is>
          <t>COMPTABLE</t>
        </is>
      </c>
      <c r="I733" s="41" t="inlineStr">
        <is>
          <t>2025FCST_V4</t>
        </is>
      </c>
      <c r="J733" s="41" t="n">
        <v>2025</v>
      </c>
      <c r="K733" s="41" t="inlineStr">
        <is>
          <t>EUR</t>
        </is>
      </c>
      <c r="L733" s="42" t="n">
        <v>16640</v>
      </c>
    </row>
    <row r="734">
      <c r="B734" s="39" t="inlineStr">
        <is>
          <t>MBWAY_NAN</t>
        </is>
      </c>
      <c r="C734" s="40" t="inlineStr">
        <is>
          <t>MAS_MGT</t>
        </is>
      </c>
      <c r="D734" s="40" t="inlineStr">
        <is>
          <t>M2</t>
        </is>
      </c>
      <c r="E734" s="40" t="inlineStr">
        <is>
          <t>ALT</t>
        </is>
      </c>
      <c r="F734" s="40" t="inlineStr">
        <is>
          <t>613200</t>
        </is>
      </c>
      <c r="G734" s="39" t="inlineStr">
        <is>
          <t>Locations immobilières (loyers)</t>
        </is>
      </c>
      <c r="H734" s="40" t="inlineStr">
        <is>
          <t>COMPTABLE</t>
        </is>
      </c>
      <c r="I734" s="41" t="inlineStr">
        <is>
          <t>2023ACT_VDEF</t>
        </is>
      </c>
      <c r="J734" s="41" t="n">
        <v>2023</v>
      </c>
      <c r="K734" s="41" t="inlineStr">
        <is>
          <t>EUR</t>
        </is>
      </c>
      <c r="L734" s="42" t="n">
        <v>37620</v>
      </c>
    </row>
    <row r="735">
      <c r="B735" s="39" t="inlineStr">
        <is>
          <t>MBWAY_NAN</t>
        </is>
      </c>
      <c r="C735" s="40" t="inlineStr">
        <is>
          <t>MAS_MGT</t>
        </is>
      </c>
      <c r="D735" s="40" t="inlineStr">
        <is>
          <t>M2</t>
        </is>
      </c>
      <c r="E735" s="40" t="inlineStr">
        <is>
          <t>ALT</t>
        </is>
      </c>
      <c r="F735" s="40" t="inlineStr">
        <is>
          <t>613200</t>
        </is>
      </c>
      <c r="G735" s="39" t="inlineStr">
        <is>
          <t>Locations immobilières (loyers)</t>
        </is>
      </c>
      <c r="H735" s="40" t="inlineStr">
        <is>
          <t>COMPTABLE</t>
        </is>
      </c>
      <c r="I735" s="41" t="inlineStr">
        <is>
          <t>2024ACT_VDEF</t>
        </is>
      </c>
      <c r="J735" s="41" t="n">
        <v>2024</v>
      </c>
      <c r="K735" s="41" t="inlineStr">
        <is>
          <t>EUR</t>
        </is>
      </c>
      <c r="L735" s="42" t="n">
        <v>39710</v>
      </c>
    </row>
    <row r="736">
      <c r="B736" s="39" t="inlineStr">
        <is>
          <t>MBWAY_NAN</t>
        </is>
      </c>
      <c r="C736" s="40" t="inlineStr">
        <is>
          <t>MAS_MGT</t>
        </is>
      </c>
      <c r="D736" s="40" t="inlineStr">
        <is>
          <t>M2</t>
        </is>
      </c>
      <c r="E736" s="40" t="inlineStr">
        <is>
          <t>ALT</t>
        </is>
      </c>
      <c r="F736" s="40" t="inlineStr">
        <is>
          <t>613200</t>
        </is>
      </c>
      <c r="G736" s="39" t="inlineStr">
        <is>
          <t>Locations immobilières (loyers)</t>
        </is>
      </c>
      <c r="H736" s="40" t="inlineStr">
        <is>
          <t>COMPTABLE</t>
        </is>
      </c>
      <c r="I736" s="41" t="inlineStr">
        <is>
          <t>2025FCST_V4</t>
        </is>
      </c>
      <c r="J736" s="41" t="n">
        <v>2025</v>
      </c>
      <c r="K736" s="41" t="inlineStr">
        <is>
          <t>EUR</t>
        </is>
      </c>
      <c r="L736" s="42" t="n">
        <v>41800</v>
      </c>
    </row>
    <row r="737">
      <c r="B737" s="39" t="inlineStr">
        <is>
          <t>MBWAY_NAN</t>
        </is>
      </c>
      <c r="C737" s="40" t="inlineStr">
        <is>
          <t>MAS_MGT</t>
        </is>
      </c>
      <c r="D737" s="40" t="inlineStr">
        <is>
          <t>M2</t>
        </is>
      </c>
      <c r="E737" s="40" t="inlineStr">
        <is>
          <t>ALT</t>
        </is>
      </c>
      <c r="F737" s="40" t="inlineStr">
        <is>
          <t>641100</t>
        </is>
      </c>
      <c r="G737" s="39" t="inlineStr">
        <is>
          <t>Rémunérations du personnel permanent</t>
        </is>
      </c>
      <c r="H737" s="40" t="inlineStr">
        <is>
          <t>COMPTABLE</t>
        </is>
      </c>
      <c r="I737" s="41" t="inlineStr">
        <is>
          <t>2023ACT_VDEF</t>
        </is>
      </c>
      <c r="J737" s="41" t="n">
        <v>2023</v>
      </c>
      <c r="K737" s="41" t="inlineStr">
        <is>
          <t>EUR</t>
        </is>
      </c>
      <c r="L737" s="42" t="n">
        <v>83520</v>
      </c>
    </row>
    <row r="738">
      <c r="B738" s="39" t="inlineStr">
        <is>
          <t>MBWAY_NAN</t>
        </is>
      </c>
      <c r="C738" s="40" t="inlineStr">
        <is>
          <t>MAS_MGT</t>
        </is>
      </c>
      <c r="D738" s="40" t="inlineStr">
        <is>
          <t>M2</t>
        </is>
      </c>
      <c r="E738" s="40" t="inlineStr">
        <is>
          <t>ALT</t>
        </is>
      </c>
      <c r="F738" s="40" t="inlineStr">
        <is>
          <t>641100</t>
        </is>
      </c>
      <c r="G738" s="39" t="inlineStr">
        <is>
          <t>Rémunérations du personnel permanent</t>
        </is>
      </c>
      <c r="H738" s="40" t="inlineStr">
        <is>
          <t>COMPTABLE</t>
        </is>
      </c>
      <c r="I738" s="41" t="inlineStr">
        <is>
          <t>2024ACT_VDEF</t>
        </is>
      </c>
      <c r="J738" s="41" t="n">
        <v>2024</v>
      </c>
      <c r="K738" s="41" t="inlineStr">
        <is>
          <t>EUR</t>
        </is>
      </c>
      <c r="L738" s="42" t="n">
        <v>88160</v>
      </c>
    </row>
    <row r="739">
      <c r="B739" s="39" t="inlineStr">
        <is>
          <t>MBWAY_NAN</t>
        </is>
      </c>
      <c r="C739" s="40" t="inlineStr">
        <is>
          <t>MAS_MGT</t>
        </is>
      </c>
      <c r="D739" s="40" t="inlineStr">
        <is>
          <t>M2</t>
        </is>
      </c>
      <c r="E739" s="40" t="inlineStr">
        <is>
          <t>ALT</t>
        </is>
      </c>
      <c r="F739" s="40" t="inlineStr">
        <is>
          <t>641100</t>
        </is>
      </c>
      <c r="G739" s="39" t="inlineStr">
        <is>
          <t>Rémunérations du personnel permanent</t>
        </is>
      </c>
      <c r="H739" s="40" t="inlineStr">
        <is>
          <t>COMPTABLE</t>
        </is>
      </c>
      <c r="I739" s="41" t="inlineStr">
        <is>
          <t>2025FCST_V4</t>
        </is>
      </c>
      <c r="J739" s="41" t="n">
        <v>2025</v>
      </c>
      <c r="K739" s="41" t="inlineStr">
        <is>
          <t>EUR</t>
        </is>
      </c>
      <c r="L739" s="42" t="n">
        <v>92800</v>
      </c>
    </row>
    <row r="740">
      <c r="B740" s="39" t="inlineStr">
        <is>
          <t>MBWAY_NAN</t>
        </is>
      </c>
      <c r="C740" s="40" t="inlineStr">
        <is>
          <t>MAS_MGT</t>
        </is>
      </c>
      <c r="D740" s="40" t="inlineStr">
        <is>
          <t>M2</t>
        </is>
      </c>
      <c r="E740" s="40" t="inlineStr">
        <is>
          <t>ALT</t>
        </is>
      </c>
      <c r="F740" s="40" t="inlineStr">
        <is>
          <t>622600</t>
        </is>
      </c>
      <c r="G740" s="39" t="inlineStr">
        <is>
          <t>Honoraires &amp; frais de siège (structure groupe)</t>
        </is>
      </c>
      <c r="H740" s="40" t="inlineStr">
        <is>
          <t>COMPTABLE</t>
        </is>
      </c>
      <c r="I740" s="41" t="inlineStr">
        <is>
          <t>2023ACT_VDEF</t>
        </is>
      </c>
      <c r="J740" s="41" t="n">
        <v>2023</v>
      </c>
      <c r="K740" s="41" t="inlineStr">
        <is>
          <t>EUR</t>
        </is>
      </c>
      <c r="L740" s="42" t="n">
        <v>34207</v>
      </c>
    </row>
    <row r="741">
      <c r="B741" s="39" t="inlineStr">
        <is>
          <t>MBWAY_NAN</t>
        </is>
      </c>
      <c r="C741" s="40" t="inlineStr">
        <is>
          <t>MAS_MGT</t>
        </is>
      </c>
      <c r="D741" s="40" t="inlineStr">
        <is>
          <t>M2</t>
        </is>
      </c>
      <c r="E741" s="40" t="inlineStr">
        <is>
          <t>ALT</t>
        </is>
      </c>
      <c r="F741" s="40" t="inlineStr">
        <is>
          <t>622600</t>
        </is>
      </c>
      <c r="G741" s="39" t="inlineStr">
        <is>
          <t>Honoraires &amp; frais de siège (structure groupe)</t>
        </is>
      </c>
      <c r="H741" s="40" t="inlineStr">
        <is>
          <t>COMPTABLE</t>
        </is>
      </c>
      <c r="I741" s="41" t="inlineStr">
        <is>
          <t>2024ACT_VDEF</t>
        </is>
      </c>
      <c r="J741" s="41" t="n">
        <v>2024</v>
      </c>
      <c r="K741" s="41" t="inlineStr">
        <is>
          <t>EUR</t>
        </is>
      </c>
      <c r="L741" s="42" t="n">
        <v>36108</v>
      </c>
    </row>
    <row r="742">
      <c r="B742" s="39" t="inlineStr">
        <is>
          <t>MBWAY_NAN</t>
        </is>
      </c>
      <c r="C742" s="40" t="inlineStr">
        <is>
          <t>MAS_MGT</t>
        </is>
      </c>
      <c r="D742" s="40" t="inlineStr">
        <is>
          <t>M2</t>
        </is>
      </c>
      <c r="E742" s="40" t="inlineStr">
        <is>
          <t>ALT</t>
        </is>
      </c>
      <c r="F742" s="40" t="inlineStr">
        <is>
          <t>622600</t>
        </is>
      </c>
      <c r="G742" s="39" t="inlineStr">
        <is>
          <t>Honoraires &amp; frais de siège (structure groupe)</t>
        </is>
      </c>
      <c r="H742" s="40" t="inlineStr">
        <is>
          <t>COMPTABLE</t>
        </is>
      </c>
      <c r="I742" s="41" t="inlineStr">
        <is>
          <t>2025FCST_V4</t>
        </is>
      </c>
      <c r="J742" s="41" t="n">
        <v>2025</v>
      </c>
      <c r="K742" s="41" t="inlineStr">
        <is>
          <t>EUR</t>
        </is>
      </c>
      <c r="L742" s="42" t="n">
        <v>38008</v>
      </c>
    </row>
    <row r="743">
      <c r="B743" s="39" t="inlineStr">
        <is>
          <t>MBWAY_NAN</t>
        </is>
      </c>
      <c r="C743" s="40" t="inlineStr">
        <is>
          <t>MAS_MGT</t>
        </is>
      </c>
      <c r="D743" s="40" t="inlineStr">
        <is>
          <t>M2</t>
        </is>
      </c>
      <c r="E743" s="40" t="inlineStr">
        <is>
          <t>ALT</t>
        </is>
      </c>
      <c r="F743" s="40" t="inlineStr">
        <is>
          <t>606800</t>
        </is>
      </c>
      <c r="G743" s="39" t="inlineStr">
        <is>
          <t>Autres achats &amp; charges externes</t>
        </is>
      </c>
      <c r="H743" s="40" t="inlineStr">
        <is>
          <t>COMPTABLE</t>
        </is>
      </c>
      <c r="I743" s="41" t="inlineStr">
        <is>
          <t>2023ACT_VDEF</t>
        </is>
      </c>
      <c r="J743" s="41" t="n">
        <v>2023</v>
      </c>
      <c r="K743" s="41" t="inlineStr">
        <is>
          <t>EUR</t>
        </is>
      </c>
      <c r="L743" s="42" t="n">
        <v>26899</v>
      </c>
    </row>
    <row r="744">
      <c r="B744" s="39" t="inlineStr">
        <is>
          <t>MBWAY_NAN</t>
        </is>
      </c>
      <c r="C744" s="40" t="inlineStr">
        <is>
          <t>MAS_MGT</t>
        </is>
      </c>
      <c r="D744" s="40" t="inlineStr">
        <is>
          <t>M2</t>
        </is>
      </c>
      <c r="E744" s="40" t="inlineStr">
        <is>
          <t>ALT</t>
        </is>
      </c>
      <c r="F744" s="40" t="inlineStr">
        <is>
          <t>606800</t>
        </is>
      </c>
      <c r="G744" s="39" t="inlineStr">
        <is>
          <t>Autres achats &amp; charges externes</t>
        </is>
      </c>
      <c r="H744" s="40" t="inlineStr">
        <is>
          <t>COMPTABLE</t>
        </is>
      </c>
      <c r="I744" s="41" t="inlineStr">
        <is>
          <t>2024ACT_VDEF</t>
        </is>
      </c>
      <c r="J744" s="41" t="n">
        <v>2024</v>
      </c>
      <c r="K744" s="41" t="inlineStr">
        <is>
          <t>EUR</t>
        </is>
      </c>
      <c r="L744" s="42" t="n">
        <v>28394</v>
      </c>
    </row>
    <row r="745">
      <c r="B745" s="39" t="inlineStr">
        <is>
          <t>MBWAY_NAN</t>
        </is>
      </c>
      <c r="C745" s="40" t="inlineStr">
        <is>
          <t>MAS_MGT</t>
        </is>
      </c>
      <c r="D745" s="40" t="inlineStr">
        <is>
          <t>M2</t>
        </is>
      </c>
      <c r="E745" s="40" t="inlineStr">
        <is>
          <t>ALT</t>
        </is>
      </c>
      <c r="F745" s="40" t="inlineStr">
        <is>
          <t>606800</t>
        </is>
      </c>
      <c r="G745" s="39" t="inlineStr">
        <is>
          <t>Autres achats &amp; charges externes</t>
        </is>
      </c>
      <c r="H745" s="40" t="inlineStr">
        <is>
          <t>COMPTABLE</t>
        </is>
      </c>
      <c r="I745" s="41" t="inlineStr">
        <is>
          <t>2025FCST_V4</t>
        </is>
      </c>
      <c r="J745" s="41" t="n">
        <v>2025</v>
      </c>
      <c r="K745" s="41" t="inlineStr">
        <is>
          <t>EUR</t>
        </is>
      </c>
      <c r="L745" s="42" t="n">
        <v>29888</v>
      </c>
    </row>
    <row r="746">
      <c r="B746" s="39" t="inlineStr">
        <is>
          <t>MBWAY_NAN</t>
        </is>
      </c>
      <c r="C746" s="40" t="inlineStr">
        <is>
          <t>MAS_MGT</t>
        </is>
      </c>
      <c r="D746" s="40" t="inlineStr">
        <is>
          <t>M2</t>
        </is>
      </c>
      <c r="E746" s="40" t="inlineStr">
        <is>
          <t>ALT</t>
        </is>
      </c>
      <c r="F746" s="40" t="inlineStr">
        <is>
          <t>681100</t>
        </is>
      </c>
      <c r="G746" s="39" t="inlineStr">
        <is>
          <t>Dotations aux amortissements</t>
        </is>
      </c>
      <c r="H746" s="40" t="inlineStr">
        <is>
          <t>COMPTABLE</t>
        </is>
      </c>
      <c r="I746" s="41" t="inlineStr">
        <is>
          <t>2023ACT_VDEF</t>
        </is>
      </c>
      <c r="J746" s="41" t="n">
        <v>2023</v>
      </c>
      <c r="K746" s="41" t="inlineStr">
        <is>
          <t>EUR</t>
        </is>
      </c>
      <c r="L746" s="42" t="n">
        <v>20520</v>
      </c>
    </row>
    <row r="747">
      <c r="B747" s="39" t="inlineStr">
        <is>
          <t>MBWAY_NAN</t>
        </is>
      </c>
      <c r="C747" s="40" t="inlineStr">
        <is>
          <t>MAS_MGT</t>
        </is>
      </c>
      <c r="D747" s="40" t="inlineStr">
        <is>
          <t>M2</t>
        </is>
      </c>
      <c r="E747" s="40" t="inlineStr">
        <is>
          <t>ALT</t>
        </is>
      </c>
      <c r="F747" s="40" t="inlineStr">
        <is>
          <t>681100</t>
        </is>
      </c>
      <c r="G747" s="39" t="inlineStr">
        <is>
          <t>Dotations aux amortissements</t>
        </is>
      </c>
      <c r="H747" s="40" t="inlineStr">
        <is>
          <t>COMPTABLE</t>
        </is>
      </c>
      <c r="I747" s="41" t="inlineStr">
        <is>
          <t>2024ACT_VDEF</t>
        </is>
      </c>
      <c r="J747" s="41" t="n">
        <v>2024</v>
      </c>
      <c r="K747" s="41" t="inlineStr">
        <is>
          <t>EUR</t>
        </is>
      </c>
      <c r="L747" s="42" t="n">
        <v>21660</v>
      </c>
    </row>
    <row r="748">
      <c r="B748" s="39" t="inlineStr">
        <is>
          <t>MBWAY_NAN</t>
        </is>
      </c>
      <c r="C748" s="40" t="inlineStr">
        <is>
          <t>MAS_MGT</t>
        </is>
      </c>
      <c r="D748" s="40" t="inlineStr">
        <is>
          <t>M2</t>
        </is>
      </c>
      <c r="E748" s="40" t="inlineStr">
        <is>
          <t>ALT</t>
        </is>
      </c>
      <c r="F748" s="40" t="inlineStr">
        <is>
          <t>681100</t>
        </is>
      </c>
      <c r="G748" s="39" t="inlineStr">
        <is>
          <t>Dotations aux amortissements</t>
        </is>
      </c>
      <c r="H748" s="40" t="inlineStr">
        <is>
          <t>COMPTABLE</t>
        </is>
      </c>
      <c r="I748" s="41" t="inlineStr">
        <is>
          <t>2025FCST_V4</t>
        </is>
      </c>
      <c r="J748" s="41" t="n">
        <v>2025</v>
      </c>
      <c r="K748" s="41" t="inlineStr">
        <is>
          <t>EUR</t>
        </is>
      </c>
      <c r="L748" s="42" t="n">
        <v>22800</v>
      </c>
    </row>
    <row r="749">
      <c r="B749" s="39" t="inlineStr">
        <is>
          <t>MBWAY_NAN</t>
        </is>
      </c>
      <c r="C749" s="40" t="inlineStr">
        <is>
          <t>MAS_MGT</t>
        </is>
      </c>
      <c r="D749" s="40" t="inlineStr">
        <is>
          <t>M2</t>
        </is>
      </c>
      <c r="E749" s="40" t="inlineStr">
        <is>
          <t>ALT</t>
        </is>
      </c>
      <c r="F749" s="40" t="inlineStr">
        <is>
          <t>STA_EFF</t>
        </is>
      </c>
      <c r="G749" s="39" t="inlineStr">
        <is>
          <t>Effectif inscrit</t>
        </is>
      </c>
      <c r="H749" s="40" t="inlineStr">
        <is>
          <t>TECHNIQUE</t>
        </is>
      </c>
      <c r="I749" s="41" t="inlineStr">
        <is>
          <t>2023ACT_VDEF</t>
        </is>
      </c>
      <c r="J749" s="41" t="n">
        <v>2023</v>
      </c>
      <c r="K749" s="41" t="inlineStr">
        <is>
          <t>NB</t>
        </is>
      </c>
      <c r="L749" s="43" t="n">
        <v>29</v>
      </c>
    </row>
    <row r="750">
      <c r="B750" s="39" t="inlineStr">
        <is>
          <t>MBWAY_NAN</t>
        </is>
      </c>
      <c r="C750" s="40" t="inlineStr">
        <is>
          <t>MAS_MGT</t>
        </is>
      </c>
      <c r="D750" s="40" t="inlineStr">
        <is>
          <t>M2</t>
        </is>
      </c>
      <c r="E750" s="40" t="inlineStr">
        <is>
          <t>ALT</t>
        </is>
      </c>
      <c r="F750" s="40" t="inlineStr">
        <is>
          <t>STA_EFF</t>
        </is>
      </c>
      <c r="G750" s="39" t="inlineStr">
        <is>
          <t>Effectif inscrit</t>
        </is>
      </c>
      <c r="H750" s="40" t="inlineStr">
        <is>
          <t>TECHNIQUE</t>
        </is>
      </c>
      <c r="I750" s="41" t="inlineStr">
        <is>
          <t>2024ACT_VDEF</t>
        </is>
      </c>
      <c r="J750" s="41" t="n">
        <v>2024</v>
      </c>
      <c r="K750" s="41" t="inlineStr">
        <is>
          <t>NB</t>
        </is>
      </c>
      <c r="L750" s="43" t="n">
        <v>30</v>
      </c>
    </row>
    <row r="751">
      <c r="B751" s="39" t="inlineStr">
        <is>
          <t>MBWAY_NAN</t>
        </is>
      </c>
      <c r="C751" s="40" t="inlineStr">
        <is>
          <t>MAS_MGT</t>
        </is>
      </c>
      <c r="D751" s="40" t="inlineStr">
        <is>
          <t>M2</t>
        </is>
      </c>
      <c r="E751" s="40" t="inlineStr">
        <is>
          <t>ALT</t>
        </is>
      </c>
      <c r="F751" s="40" t="inlineStr">
        <is>
          <t>STA_EFF</t>
        </is>
      </c>
      <c r="G751" s="39" t="inlineStr">
        <is>
          <t>Effectif inscrit</t>
        </is>
      </c>
      <c r="H751" s="40" t="inlineStr">
        <is>
          <t>TECHNIQUE</t>
        </is>
      </c>
      <c r="I751" s="41" t="inlineStr">
        <is>
          <t>2025FCST_V4</t>
        </is>
      </c>
      <c r="J751" s="41" t="n">
        <v>2025</v>
      </c>
      <c r="K751" s="41" t="inlineStr">
        <is>
          <t>NB</t>
        </is>
      </c>
      <c r="L751" s="43" t="n">
        <v>32</v>
      </c>
    </row>
    <row r="752">
      <c r="B752" s="39" t="inlineStr">
        <is>
          <t>MBWAY_NAN</t>
        </is>
      </c>
      <c r="C752" s="40" t="inlineStr">
        <is>
          <t>MAS_MGT</t>
        </is>
      </c>
      <c r="D752" s="40" t="inlineStr">
        <is>
          <t>M2</t>
        </is>
      </c>
      <c r="E752" s="40" t="inlineStr">
        <is>
          <t>ALT</t>
        </is>
      </c>
      <c r="F752" s="40" t="inlineStr">
        <is>
          <t>STA_REINS</t>
        </is>
      </c>
      <c r="G752" s="39" t="inlineStr">
        <is>
          <t>Réinscrits</t>
        </is>
      </c>
      <c r="H752" s="40" t="inlineStr">
        <is>
          <t>TECHNIQUE</t>
        </is>
      </c>
      <c r="I752" s="41" t="inlineStr">
        <is>
          <t>2023ACT_VDEF</t>
        </is>
      </c>
      <c r="J752" s="41" t="n">
        <v>2023</v>
      </c>
      <c r="K752" s="41" t="inlineStr">
        <is>
          <t>NB</t>
        </is>
      </c>
      <c r="L752" s="43" t="n">
        <v>29</v>
      </c>
    </row>
    <row r="753">
      <c r="B753" s="39" t="inlineStr">
        <is>
          <t>MBWAY_NAN</t>
        </is>
      </c>
      <c r="C753" s="40" t="inlineStr">
        <is>
          <t>MAS_MGT</t>
        </is>
      </c>
      <c r="D753" s="40" t="inlineStr">
        <is>
          <t>M2</t>
        </is>
      </c>
      <c r="E753" s="40" t="inlineStr">
        <is>
          <t>ALT</t>
        </is>
      </c>
      <c r="F753" s="40" t="inlineStr">
        <is>
          <t>STA_REINS</t>
        </is>
      </c>
      <c r="G753" s="39" t="inlineStr">
        <is>
          <t>Réinscrits</t>
        </is>
      </c>
      <c r="H753" s="40" t="inlineStr">
        <is>
          <t>TECHNIQUE</t>
        </is>
      </c>
      <c r="I753" s="41" t="inlineStr">
        <is>
          <t>2024ACT_VDEF</t>
        </is>
      </c>
      <c r="J753" s="41" t="n">
        <v>2024</v>
      </c>
      <c r="K753" s="41" t="inlineStr">
        <is>
          <t>NB</t>
        </is>
      </c>
      <c r="L753" s="43" t="n">
        <v>30</v>
      </c>
    </row>
    <row r="754">
      <c r="B754" s="39" t="inlineStr">
        <is>
          <t>MBWAY_NAN</t>
        </is>
      </c>
      <c r="C754" s="40" t="inlineStr">
        <is>
          <t>MAS_MGT</t>
        </is>
      </c>
      <c r="D754" s="40" t="inlineStr">
        <is>
          <t>M2</t>
        </is>
      </c>
      <c r="E754" s="40" t="inlineStr">
        <is>
          <t>ALT</t>
        </is>
      </c>
      <c r="F754" s="40" t="inlineStr">
        <is>
          <t>STA_REINS</t>
        </is>
      </c>
      <c r="G754" s="39" t="inlineStr">
        <is>
          <t>Réinscrits</t>
        </is>
      </c>
      <c r="H754" s="40" t="inlineStr">
        <is>
          <t>TECHNIQUE</t>
        </is>
      </c>
      <c r="I754" s="41" t="inlineStr">
        <is>
          <t>2025FCST_V4</t>
        </is>
      </c>
      <c r="J754" s="41" t="n">
        <v>2025</v>
      </c>
      <c r="K754" s="41" t="inlineStr">
        <is>
          <t>NB</t>
        </is>
      </c>
      <c r="L754" s="43" t="n">
        <v>32</v>
      </c>
    </row>
    <row r="755">
      <c r="B755" s="39" t="inlineStr">
        <is>
          <t>MBWAY_NAN</t>
        </is>
      </c>
      <c r="C755" s="40" t="inlineStr">
        <is>
          <t>MAS_MGT</t>
        </is>
      </c>
      <c r="D755" s="40" t="inlineStr">
        <is>
          <t>M2</t>
        </is>
      </c>
      <c r="E755" s="40" t="inlineStr">
        <is>
          <t>ALT</t>
        </is>
      </c>
      <c r="F755" s="40" t="inlineStr">
        <is>
          <t>STA_CLASS</t>
        </is>
      </c>
      <c r="G755" s="39" t="inlineStr">
        <is>
          <t>Nombre de classes</t>
        </is>
      </c>
      <c r="H755" s="40" t="inlineStr">
        <is>
          <t>TECHNIQUE</t>
        </is>
      </c>
      <c r="I755" s="41" t="inlineStr">
        <is>
          <t>2023ACT_VDEF</t>
        </is>
      </c>
      <c r="J755" s="41" t="n">
        <v>2023</v>
      </c>
      <c r="K755" s="41" t="inlineStr">
        <is>
          <t>NB</t>
        </is>
      </c>
      <c r="L755" s="43" t="n">
        <v>2</v>
      </c>
    </row>
    <row r="756">
      <c r="B756" s="39" t="inlineStr">
        <is>
          <t>MBWAY_NAN</t>
        </is>
      </c>
      <c r="C756" s="40" t="inlineStr">
        <is>
          <t>MAS_MGT</t>
        </is>
      </c>
      <c r="D756" s="40" t="inlineStr">
        <is>
          <t>M2</t>
        </is>
      </c>
      <c r="E756" s="40" t="inlineStr">
        <is>
          <t>ALT</t>
        </is>
      </c>
      <c r="F756" s="40" t="inlineStr">
        <is>
          <t>STA_CLASS</t>
        </is>
      </c>
      <c r="G756" s="39" t="inlineStr">
        <is>
          <t>Nombre de classes</t>
        </is>
      </c>
      <c r="H756" s="40" t="inlineStr">
        <is>
          <t>TECHNIQUE</t>
        </is>
      </c>
      <c r="I756" s="41" t="inlineStr">
        <is>
          <t>2024ACT_VDEF</t>
        </is>
      </c>
      <c r="J756" s="41" t="n">
        <v>2024</v>
      </c>
      <c r="K756" s="41" t="inlineStr">
        <is>
          <t>NB</t>
        </is>
      </c>
      <c r="L756" s="43" t="n">
        <v>2</v>
      </c>
    </row>
    <row r="757">
      <c r="B757" s="39" t="inlineStr">
        <is>
          <t>MBWAY_NAN</t>
        </is>
      </c>
      <c r="C757" s="40" t="inlineStr">
        <is>
          <t>MAS_MGT</t>
        </is>
      </c>
      <c r="D757" s="40" t="inlineStr">
        <is>
          <t>M2</t>
        </is>
      </c>
      <c r="E757" s="40" t="inlineStr">
        <is>
          <t>ALT</t>
        </is>
      </c>
      <c r="F757" s="40" t="inlineStr">
        <is>
          <t>STA_CLASS</t>
        </is>
      </c>
      <c r="G757" s="39" t="inlineStr">
        <is>
          <t>Nombre de classes</t>
        </is>
      </c>
      <c r="H757" s="40" t="inlineStr">
        <is>
          <t>TECHNIQUE</t>
        </is>
      </c>
      <c r="I757" s="41" t="inlineStr">
        <is>
          <t>2025FCST_V4</t>
        </is>
      </c>
      <c r="J757" s="41" t="n">
        <v>2025</v>
      </c>
      <c r="K757" s="41" t="inlineStr">
        <is>
          <t>NB</t>
        </is>
      </c>
      <c r="L757" s="43" t="n">
        <v>2</v>
      </c>
    </row>
    <row r="758">
      <c r="B758" s="39" t="inlineStr">
        <is>
          <t>MBWAY_NAN</t>
        </is>
      </c>
      <c r="C758" s="40" t="inlineStr">
        <is>
          <t>MAS_MGT</t>
        </is>
      </c>
      <c r="D758" s="40" t="inlineStr">
        <is>
          <t>M2</t>
        </is>
      </c>
      <c r="E758" s="40" t="inlineStr">
        <is>
          <t>ALT</t>
        </is>
      </c>
      <c r="F758" s="40" t="inlineStr">
        <is>
          <t>STA_HEURE</t>
        </is>
      </c>
      <c r="G758" s="39" t="inlineStr">
        <is>
          <t>Heures d'enseignement</t>
        </is>
      </c>
      <c r="H758" s="40" t="inlineStr">
        <is>
          <t>TECHNIQUE</t>
        </is>
      </c>
      <c r="I758" s="41" t="inlineStr">
        <is>
          <t>2023ACT_VDEF</t>
        </is>
      </c>
      <c r="J758" s="41" t="n">
        <v>2023</v>
      </c>
      <c r="K758" s="41" t="inlineStr">
        <is>
          <t>NB</t>
        </is>
      </c>
      <c r="L758" s="43" t="n">
        <v>792</v>
      </c>
    </row>
    <row r="759">
      <c r="B759" s="39" t="inlineStr">
        <is>
          <t>MBWAY_NAN</t>
        </is>
      </c>
      <c r="C759" s="40" t="inlineStr">
        <is>
          <t>MAS_MGT</t>
        </is>
      </c>
      <c r="D759" s="40" t="inlineStr">
        <is>
          <t>M2</t>
        </is>
      </c>
      <c r="E759" s="40" t="inlineStr">
        <is>
          <t>ALT</t>
        </is>
      </c>
      <c r="F759" s="40" t="inlineStr">
        <is>
          <t>STA_HEURE</t>
        </is>
      </c>
      <c r="G759" s="39" t="inlineStr">
        <is>
          <t>Heures d'enseignement</t>
        </is>
      </c>
      <c r="H759" s="40" t="inlineStr">
        <is>
          <t>TECHNIQUE</t>
        </is>
      </c>
      <c r="I759" s="41" t="inlineStr">
        <is>
          <t>2024ACT_VDEF</t>
        </is>
      </c>
      <c r="J759" s="41" t="n">
        <v>2024</v>
      </c>
      <c r="K759" s="41" t="inlineStr">
        <is>
          <t>NB</t>
        </is>
      </c>
      <c r="L759" s="43" t="n">
        <v>836</v>
      </c>
    </row>
    <row r="760">
      <c r="B760" s="39" t="inlineStr">
        <is>
          <t>MBWAY_NAN</t>
        </is>
      </c>
      <c r="C760" s="40" t="inlineStr">
        <is>
          <t>MAS_MGT</t>
        </is>
      </c>
      <c r="D760" s="40" t="inlineStr">
        <is>
          <t>M2</t>
        </is>
      </c>
      <c r="E760" s="40" t="inlineStr">
        <is>
          <t>ALT</t>
        </is>
      </c>
      <c r="F760" s="40" t="inlineStr">
        <is>
          <t>STA_HEURE</t>
        </is>
      </c>
      <c r="G760" s="39" t="inlineStr">
        <is>
          <t>Heures d'enseignement</t>
        </is>
      </c>
      <c r="H760" s="40" t="inlineStr">
        <is>
          <t>TECHNIQUE</t>
        </is>
      </c>
      <c r="I760" s="41" t="inlineStr">
        <is>
          <t>2025FCST_V4</t>
        </is>
      </c>
      <c r="J760" s="41" t="n">
        <v>2025</v>
      </c>
      <c r="K760" s="41" t="inlineStr">
        <is>
          <t>NB</t>
        </is>
      </c>
      <c r="L760" s="43" t="n">
        <v>880</v>
      </c>
    </row>
    <row r="761">
      <c r="B761" s="39" t="inlineStr">
        <is>
          <t>MBWAY_NAN</t>
        </is>
      </c>
      <c r="C761" s="40" t="inlineStr">
        <is>
          <t>MAS_MGT</t>
        </is>
      </c>
      <c r="D761" s="40" t="inlineStr">
        <is>
          <t>M2</t>
        </is>
      </c>
      <c r="E761" s="40" t="inlineStr">
        <is>
          <t>ALT</t>
        </is>
      </c>
      <c r="F761" s="40" t="inlineStr">
        <is>
          <t>STA_CAPA</t>
        </is>
      </c>
      <c r="G761" s="39" t="inlineStr">
        <is>
          <t>Capacité par classe</t>
        </is>
      </c>
      <c r="H761" s="40" t="inlineStr">
        <is>
          <t>TECHNIQUE</t>
        </is>
      </c>
      <c r="I761" s="41" t="inlineStr">
        <is>
          <t>2023ACT_VDEF</t>
        </is>
      </c>
      <c r="J761" s="41" t="n">
        <v>2023</v>
      </c>
      <c r="K761" s="41" t="inlineStr">
        <is>
          <t>NB</t>
        </is>
      </c>
      <c r="L761" s="43" t="n">
        <v>26</v>
      </c>
    </row>
    <row r="762">
      <c r="B762" s="39" t="inlineStr">
        <is>
          <t>MBWAY_NAN</t>
        </is>
      </c>
      <c r="C762" s="40" t="inlineStr">
        <is>
          <t>MAS_MGT</t>
        </is>
      </c>
      <c r="D762" s="40" t="inlineStr">
        <is>
          <t>M2</t>
        </is>
      </c>
      <c r="E762" s="40" t="inlineStr">
        <is>
          <t>ALT</t>
        </is>
      </c>
      <c r="F762" s="40" t="inlineStr">
        <is>
          <t>STA_CAPA</t>
        </is>
      </c>
      <c r="G762" s="39" t="inlineStr">
        <is>
          <t>Capacité par classe</t>
        </is>
      </c>
      <c r="H762" s="40" t="inlineStr">
        <is>
          <t>TECHNIQUE</t>
        </is>
      </c>
      <c r="I762" s="41" t="inlineStr">
        <is>
          <t>2024ACT_VDEF</t>
        </is>
      </c>
      <c r="J762" s="41" t="n">
        <v>2024</v>
      </c>
      <c r="K762" s="41" t="inlineStr">
        <is>
          <t>NB</t>
        </is>
      </c>
      <c r="L762" s="43" t="n">
        <v>26</v>
      </c>
    </row>
    <row r="763">
      <c r="B763" s="39" t="inlineStr">
        <is>
          <t>MBWAY_NAN</t>
        </is>
      </c>
      <c r="C763" s="40" t="inlineStr">
        <is>
          <t>MAS_MGT</t>
        </is>
      </c>
      <c r="D763" s="40" t="inlineStr">
        <is>
          <t>M2</t>
        </is>
      </c>
      <c r="E763" s="40" t="inlineStr">
        <is>
          <t>ALT</t>
        </is>
      </c>
      <c r="F763" s="40" t="inlineStr">
        <is>
          <t>STA_CAPA</t>
        </is>
      </c>
      <c r="G763" s="39" t="inlineStr">
        <is>
          <t>Capacité par classe</t>
        </is>
      </c>
      <c r="H763" s="40" t="inlineStr">
        <is>
          <t>TECHNIQUE</t>
        </is>
      </c>
      <c r="I763" s="41" t="inlineStr">
        <is>
          <t>2025FCST_V4</t>
        </is>
      </c>
      <c r="J763" s="41" t="n">
        <v>2025</v>
      </c>
      <c r="K763" s="41" t="inlineStr">
        <is>
          <t>NB</t>
        </is>
      </c>
      <c r="L763" s="43" t="n">
        <v>26</v>
      </c>
    </row>
    <row r="764">
      <c r="B764" s="39" t="inlineStr">
        <is>
          <t>MBWAY_NAN</t>
        </is>
      </c>
      <c r="C764" s="40" t="inlineStr">
        <is>
          <t>MAS_MGT</t>
        </is>
      </c>
      <c r="D764" s="40" t="inlineStr">
        <is>
          <t>M2</t>
        </is>
      </c>
      <c r="E764" s="40" t="inlineStr">
        <is>
          <t>ALT</t>
        </is>
      </c>
      <c r="F764" s="40" t="inlineStr">
        <is>
          <t>DRV_PASS</t>
        </is>
      </c>
      <c r="G764" s="39" t="inlineStr">
        <is>
          <t>Taux de passage (réinscription)</t>
        </is>
      </c>
      <c r="H764" s="40" t="inlineStr">
        <is>
          <t>TECHNIQUE</t>
        </is>
      </c>
      <c r="I764" s="41" t="inlineStr">
        <is>
          <t>2023ACT_VDEF</t>
        </is>
      </c>
      <c r="J764" s="41" t="n">
        <v>2023</v>
      </c>
      <c r="K764" s="41" t="inlineStr">
        <is>
          <t>PCT</t>
        </is>
      </c>
      <c r="L764" s="44" t="n">
        <v>0.96</v>
      </c>
    </row>
    <row r="765">
      <c r="B765" s="39" t="inlineStr">
        <is>
          <t>MBWAY_NAN</t>
        </is>
      </c>
      <c r="C765" s="40" t="inlineStr">
        <is>
          <t>MAS_MGT</t>
        </is>
      </c>
      <c r="D765" s="40" t="inlineStr">
        <is>
          <t>M2</t>
        </is>
      </c>
      <c r="E765" s="40" t="inlineStr">
        <is>
          <t>ALT</t>
        </is>
      </c>
      <c r="F765" s="40" t="inlineStr">
        <is>
          <t>DRV_PASS</t>
        </is>
      </c>
      <c r="G765" s="39" t="inlineStr">
        <is>
          <t>Taux de passage (réinscription)</t>
        </is>
      </c>
      <c r="H765" s="40" t="inlineStr">
        <is>
          <t>TECHNIQUE</t>
        </is>
      </c>
      <c r="I765" s="41" t="inlineStr">
        <is>
          <t>2024ACT_VDEF</t>
        </is>
      </c>
      <c r="J765" s="41" t="n">
        <v>2024</v>
      </c>
      <c r="K765" s="41" t="inlineStr">
        <is>
          <t>PCT</t>
        </is>
      </c>
      <c r="L765" s="44" t="n">
        <v>0.96</v>
      </c>
    </row>
    <row r="766">
      <c r="B766" s="39" t="inlineStr">
        <is>
          <t>MBWAY_NAN</t>
        </is>
      </c>
      <c r="C766" s="40" t="inlineStr">
        <is>
          <t>MAS_MGT</t>
        </is>
      </c>
      <c r="D766" s="40" t="inlineStr">
        <is>
          <t>M2</t>
        </is>
      </c>
      <c r="E766" s="40" t="inlineStr">
        <is>
          <t>ALT</t>
        </is>
      </c>
      <c r="F766" s="40" t="inlineStr">
        <is>
          <t>DRV_PASS</t>
        </is>
      </c>
      <c r="G766" s="39" t="inlineStr">
        <is>
          <t>Taux de passage (réinscription)</t>
        </is>
      </c>
      <c r="H766" s="40" t="inlineStr">
        <is>
          <t>TECHNIQUE</t>
        </is>
      </c>
      <c r="I766" s="41" t="inlineStr">
        <is>
          <t>2025FCST_V4</t>
        </is>
      </c>
      <c r="J766" s="41" t="n">
        <v>2025</v>
      </c>
      <c r="K766" s="41" t="inlineStr">
        <is>
          <t>PCT</t>
        </is>
      </c>
      <c r="L766" s="44" t="n">
        <v>0.96</v>
      </c>
    </row>
    <row r="767">
      <c r="B767" s="39" t="inlineStr">
        <is>
          <t>MBWAY_NAN</t>
        </is>
      </c>
      <c r="C767" s="40" t="inlineStr">
        <is>
          <t>MAS_MGT</t>
        </is>
      </c>
      <c r="D767" s="40" t="inlineStr">
        <is>
          <t>M2</t>
        </is>
      </c>
      <c r="E767" s="40" t="inlineStr">
        <is>
          <t>ALT</t>
        </is>
      </c>
      <c r="F767" s="40" t="inlineStr">
        <is>
          <t>PRX_TARIF</t>
        </is>
      </c>
      <c r="G767" s="39" t="inlineStr">
        <is>
          <t>Tarif moyen scolarité</t>
        </is>
      </c>
      <c r="H767" s="40" t="inlineStr">
        <is>
          <t>TECHNIQUE</t>
        </is>
      </c>
      <c r="I767" s="41" t="inlineStr">
        <is>
          <t>2023ACT_VDEF</t>
        </is>
      </c>
      <c r="J767" s="41" t="n">
        <v>2023</v>
      </c>
      <c r="K767" s="41" t="inlineStr">
        <is>
          <t>EUR</t>
        </is>
      </c>
      <c r="L767" s="42" t="n">
        <v>9000</v>
      </c>
    </row>
    <row r="768">
      <c r="B768" s="39" t="inlineStr">
        <is>
          <t>MBWAY_NAN</t>
        </is>
      </c>
      <c r="C768" s="40" t="inlineStr">
        <is>
          <t>MAS_MGT</t>
        </is>
      </c>
      <c r="D768" s="40" t="inlineStr">
        <is>
          <t>M2</t>
        </is>
      </c>
      <c r="E768" s="40" t="inlineStr">
        <is>
          <t>ALT</t>
        </is>
      </c>
      <c r="F768" s="40" t="inlineStr">
        <is>
          <t>PRX_TARIF</t>
        </is>
      </c>
      <c r="G768" s="39" t="inlineStr">
        <is>
          <t>Tarif moyen scolarité</t>
        </is>
      </c>
      <c r="H768" s="40" t="inlineStr">
        <is>
          <t>TECHNIQUE</t>
        </is>
      </c>
      <c r="I768" s="41" t="inlineStr">
        <is>
          <t>2024ACT_VDEF</t>
        </is>
      </c>
      <c r="J768" s="41" t="n">
        <v>2024</v>
      </c>
      <c r="K768" s="41" t="inlineStr">
        <is>
          <t>EUR</t>
        </is>
      </c>
      <c r="L768" s="42" t="n">
        <v>9000</v>
      </c>
    </row>
    <row r="769">
      <c r="B769" s="39" t="inlineStr">
        <is>
          <t>MBWAY_NAN</t>
        </is>
      </c>
      <c r="C769" s="40" t="inlineStr">
        <is>
          <t>MAS_MGT</t>
        </is>
      </c>
      <c r="D769" s="40" t="inlineStr">
        <is>
          <t>M2</t>
        </is>
      </c>
      <c r="E769" s="40" t="inlineStr">
        <is>
          <t>ALT</t>
        </is>
      </c>
      <c r="F769" s="40" t="inlineStr">
        <is>
          <t>PRX_TARIF</t>
        </is>
      </c>
      <c r="G769" s="39" t="inlineStr">
        <is>
          <t>Tarif moyen scolarité</t>
        </is>
      </c>
      <c r="H769" s="40" t="inlineStr">
        <is>
          <t>TECHNIQUE</t>
        </is>
      </c>
      <c r="I769" s="41" t="inlineStr">
        <is>
          <t>2025FCST_V4</t>
        </is>
      </c>
      <c r="J769" s="41" t="n">
        <v>2025</v>
      </c>
      <c r="K769" s="41" t="inlineStr">
        <is>
          <t>EUR</t>
        </is>
      </c>
      <c r="L769" s="42" t="n">
        <v>9000</v>
      </c>
    </row>
    <row r="770">
      <c r="B770" s="39" t="inlineStr">
        <is>
          <t>MBWAY_BOR</t>
        </is>
      </c>
      <c r="C770" s="40" t="inlineStr">
        <is>
          <t>BAC_MGT</t>
        </is>
      </c>
      <c r="D770" s="40" t="inlineStr">
        <is>
          <t>B1</t>
        </is>
      </c>
      <c r="E770" s="40" t="inlineStr">
        <is>
          <t>INIT</t>
        </is>
      </c>
      <c r="F770" s="40" t="inlineStr">
        <is>
          <t>706100</t>
        </is>
      </c>
      <c r="G770" s="39" t="inlineStr">
        <is>
          <t>Droits de scolarité</t>
        </is>
      </c>
      <c r="H770" s="40" t="inlineStr">
        <is>
          <t>COMPTABLE</t>
        </is>
      </c>
      <c r="I770" s="41" t="inlineStr">
        <is>
          <t>2023ACT_VDEF</t>
        </is>
      </c>
      <c r="J770" s="41" t="n">
        <v>2023</v>
      </c>
      <c r="K770" s="41" t="inlineStr">
        <is>
          <t>EUR</t>
        </is>
      </c>
      <c r="L770" s="42" t="n">
        <v>390150</v>
      </c>
    </row>
    <row r="771">
      <c r="B771" s="39" t="inlineStr">
        <is>
          <t>MBWAY_BOR</t>
        </is>
      </c>
      <c r="C771" s="40" t="inlineStr">
        <is>
          <t>BAC_MGT</t>
        </is>
      </c>
      <c r="D771" s="40" t="inlineStr">
        <is>
          <t>B1</t>
        </is>
      </c>
      <c r="E771" s="40" t="inlineStr">
        <is>
          <t>INIT</t>
        </is>
      </c>
      <c r="F771" s="40" t="inlineStr">
        <is>
          <t>706100</t>
        </is>
      </c>
      <c r="G771" s="39" t="inlineStr">
        <is>
          <t>Droits de scolarité</t>
        </is>
      </c>
      <c r="H771" s="40" t="inlineStr">
        <is>
          <t>COMPTABLE</t>
        </is>
      </c>
      <c r="I771" s="41" t="inlineStr">
        <is>
          <t>2024ACT_VDEF</t>
        </is>
      </c>
      <c r="J771" s="41" t="n">
        <v>2024</v>
      </c>
      <c r="K771" s="41" t="inlineStr">
        <is>
          <t>EUR</t>
        </is>
      </c>
      <c r="L771" s="42" t="n">
        <v>411825</v>
      </c>
    </row>
    <row r="772">
      <c r="B772" s="39" t="inlineStr">
        <is>
          <t>MBWAY_BOR</t>
        </is>
      </c>
      <c r="C772" s="40" t="inlineStr">
        <is>
          <t>BAC_MGT</t>
        </is>
      </c>
      <c r="D772" s="40" t="inlineStr">
        <is>
          <t>B1</t>
        </is>
      </c>
      <c r="E772" s="40" t="inlineStr">
        <is>
          <t>INIT</t>
        </is>
      </c>
      <c r="F772" s="40" t="inlineStr">
        <is>
          <t>706100</t>
        </is>
      </c>
      <c r="G772" s="39" t="inlineStr">
        <is>
          <t>Droits de scolarité</t>
        </is>
      </c>
      <c r="H772" s="40" t="inlineStr">
        <is>
          <t>COMPTABLE</t>
        </is>
      </c>
      <c r="I772" s="41" t="inlineStr">
        <is>
          <t>2025FCST_V4</t>
        </is>
      </c>
      <c r="J772" s="41" t="n">
        <v>2025</v>
      </c>
      <c r="K772" s="41" t="inlineStr">
        <is>
          <t>EUR</t>
        </is>
      </c>
      <c r="L772" s="42" t="n">
        <v>433500</v>
      </c>
    </row>
    <row r="773">
      <c r="B773" s="39" t="inlineStr">
        <is>
          <t>MBWAY_BOR</t>
        </is>
      </c>
      <c r="C773" s="40" t="inlineStr">
        <is>
          <t>BAC_MGT</t>
        </is>
      </c>
      <c r="D773" s="40" t="inlineStr">
        <is>
          <t>B1</t>
        </is>
      </c>
      <c r="E773" s="40" t="inlineStr">
        <is>
          <t>INIT</t>
        </is>
      </c>
      <c r="F773" s="40" t="inlineStr">
        <is>
          <t>708500</t>
        </is>
      </c>
      <c r="G773" s="39" t="inlineStr">
        <is>
          <t>Frais de dossier / inscription</t>
        </is>
      </c>
      <c r="H773" s="40" t="inlineStr">
        <is>
          <t>COMPTABLE</t>
        </is>
      </c>
      <c r="I773" s="41" t="inlineStr">
        <is>
          <t>2023ACT_VDEF</t>
        </is>
      </c>
      <c r="J773" s="41" t="n">
        <v>2023</v>
      </c>
      <c r="K773" s="41" t="inlineStr">
        <is>
          <t>EUR</t>
        </is>
      </c>
      <c r="L773" s="42" t="n">
        <v>4131</v>
      </c>
    </row>
    <row r="774">
      <c r="B774" s="39" t="inlineStr">
        <is>
          <t>MBWAY_BOR</t>
        </is>
      </c>
      <c r="C774" s="40" t="inlineStr">
        <is>
          <t>BAC_MGT</t>
        </is>
      </c>
      <c r="D774" s="40" t="inlineStr">
        <is>
          <t>B1</t>
        </is>
      </c>
      <c r="E774" s="40" t="inlineStr">
        <is>
          <t>INIT</t>
        </is>
      </c>
      <c r="F774" s="40" t="inlineStr">
        <is>
          <t>708500</t>
        </is>
      </c>
      <c r="G774" s="39" t="inlineStr">
        <is>
          <t>Frais de dossier / inscription</t>
        </is>
      </c>
      <c r="H774" s="40" t="inlineStr">
        <is>
          <t>COMPTABLE</t>
        </is>
      </c>
      <c r="I774" s="41" t="inlineStr">
        <is>
          <t>2024ACT_VDEF</t>
        </is>
      </c>
      <c r="J774" s="41" t="n">
        <v>2024</v>
      </c>
      <c r="K774" s="41" t="inlineStr">
        <is>
          <t>EUR</t>
        </is>
      </c>
      <c r="L774" s="42" t="n">
        <v>4360</v>
      </c>
    </row>
    <row r="775">
      <c r="B775" s="39" t="inlineStr">
        <is>
          <t>MBWAY_BOR</t>
        </is>
      </c>
      <c r="C775" s="40" t="inlineStr">
        <is>
          <t>BAC_MGT</t>
        </is>
      </c>
      <c r="D775" s="40" t="inlineStr">
        <is>
          <t>B1</t>
        </is>
      </c>
      <c r="E775" s="40" t="inlineStr">
        <is>
          <t>INIT</t>
        </is>
      </c>
      <c r="F775" s="40" t="inlineStr">
        <is>
          <t>708500</t>
        </is>
      </c>
      <c r="G775" s="39" t="inlineStr">
        <is>
          <t>Frais de dossier / inscription</t>
        </is>
      </c>
      <c r="H775" s="40" t="inlineStr">
        <is>
          <t>COMPTABLE</t>
        </is>
      </c>
      <c r="I775" s="41" t="inlineStr">
        <is>
          <t>2025FCST_V4</t>
        </is>
      </c>
      <c r="J775" s="41" t="n">
        <v>2025</v>
      </c>
      <c r="K775" s="41" t="inlineStr">
        <is>
          <t>EUR</t>
        </is>
      </c>
      <c r="L775" s="42" t="n">
        <v>4590</v>
      </c>
    </row>
    <row r="776">
      <c r="B776" s="39" t="inlineStr">
        <is>
          <t>MBWAY_BOR</t>
        </is>
      </c>
      <c r="C776" s="40" t="inlineStr">
        <is>
          <t>BAC_MGT</t>
        </is>
      </c>
      <c r="D776" s="40" t="inlineStr">
        <is>
          <t>B1</t>
        </is>
      </c>
      <c r="E776" s="40" t="inlineStr">
        <is>
          <t>INIT</t>
        </is>
      </c>
      <c r="F776" s="40" t="inlineStr">
        <is>
          <t>604100</t>
        </is>
      </c>
      <c r="G776" s="39" t="inlineStr">
        <is>
          <t>Vacations &amp; sous-traitance pédagogique</t>
        </is>
      </c>
      <c r="H776" s="40" t="inlineStr">
        <is>
          <t>COMPTABLE</t>
        </is>
      </c>
      <c r="I776" s="41" t="inlineStr">
        <is>
          <t>2023ACT_VDEF</t>
        </is>
      </c>
      <c r="J776" s="41" t="n">
        <v>2023</v>
      </c>
      <c r="K776" s="41" t="inlineStr">
        <is>
          <t>EUR</t>
        </is>
      </c>
      <c r="L776" s="42" t="n">
        <v>62640</v>
      </c>
    </row>
    <row r="777">
      <c r="B777" s="39" t="inlineStr">
        <is>
          <t>MBWAY_BOR</t>
        </is>
      </c>
      <c r="C777" s="40" t="inlineStr">
        <is>
          <t>BAC_MGT</t>
        </is>
      </c>
      <c r="D777" s="40" t="inlineStr">
        <is>
          <t>B1</t>
        </is>
      </c>
      <c r="E777" s="40" t="inlineStr">
        <is>
          <t>INIT</t>
        </is>
      </c>
      <c r="F777" s="40" t="inlineStr">
        <is>
          <t>604100</t>
        </is>
      </c>
      <c r="G777" s="39" t="inlineStr">
        <is>
          <t>Vacations &amp; sous-traitance pédagogique</t>
        </is>
      </c>
      <c r="H777" s="40" t="inlineStr">
        <is>
          <t>COMPTABLE</t>
        </is>
      </c>
      <c r="I777" s="41" t="inlineStr">
        <is>
          <t>2024ACT_VDEF</t>
        </is>
      </c>
      <c r="J777" s="41" t="n">
        <v>2024</v>
      </c>
      <c r="K777" s="41" t="inlineStr">
        <is>
          <t>EUR</t>
        </is>
      </c>
      <c r="L777" s="42" t="n">
        <v>66120</v>
      </c>
    </row>
    <row r="778">
      <c r="B778" s="39" t="inlineStr">
        <is>
          <t>MBWAY_BOR</t>
        </is>
      </c>
      <c r="C778" s="40" t="inlineStr">
        <is>
          <t>BAC_MGT</t>
        </is>
      </c>
      <c r="D778" s="40" t="inlineStr">
        <is>
          <t>B1</t>
        </is>
      </c>
      <c r="E778" s="40" t="inlineStr">
        <is>
          <t>INIT</t>
        </is>
      </c>
      <c r="F778" s="40" t="inlineStr">
        <is>
          <t>604100</t>
        </is>
      </c>
      <c r="G778" s="39" t="inlineStr">
        <is>
          <t>Vacations &amp; sous-traitance pédagogique</t>
        </is>
      </c>
      <c r="H778" s="40" t="inlineStr">
        <is>
          <t>COMPTABLE</t>
        </is>
      </c>
      <c r="I778" s="41" t="inlineStr">
        <is>
          <t>2025FCST_V4</t>
        </is>
      </c>
      <c r="J778" s="41" t="n">
        <v>2025</v>
      </c>
      <c r="K778" s="41" t="inlineStr">
        <is>
          <t>EUR</t>
        </is>
      </c>
      <c r="L778" s="42" t="n">
        <v>69600</v>
      </c>
    </row>
    <row r="779">
      <c r="B779" s="39" t="inlineStr">
        <is>
          <t>MBWAY_BOR</t>
        </is>
      </c>
      <c r="C779" s="40" t="inlineStr">
        <is>
          <t>BAC_MGT</t>
        </is>
      </c>
      <c r="D779" s="40" t="inlineStr">
        <is>
          <t>B1</t>
        </is>
      </c>
      <c r="E779" s="40" t="inlineStr">
        <is>
          <t>INIT</t>
        </is>
      </c>
      <c r="F779" s="40" t="inlineStr">
        <is>
          <t>606300</t>
        </is>
      </c>
      <c r="G779" s="39" t="inlineStr">
        <is>
          <t>Fournitures &amp; ressources pédagogiques</t>
        </is>
      </c>
      <c r="H779" s="40" t="inlineStr">
        <is>
          <t>COMPTABLE</t>
        </is>
      </c>
      <c r="I779" s="41" t="inlineStr">
        <is>
          <t>2023ACT_VDEF</t>
        </is>
      </c>
      <c r="J779" s="41" t="n">
        <v>2023</v>
      </c>
      <c r="K779" s="41" t="inlineStr">
        <is>
          <t>EUR</t>
        </is>
      </c>
      <c r="L779" s="42" t="n">
        <v>18360</v>
      </c>
    </row>
    <row r="780">
      <c r="B780" s="39" t="inlineStr">
        <is>
          <t>MBWAY_BOR</t>
        </is>
      </c>
      <c r="C780" s="40" t="inlineStr">
        <is>
          <t>BAC_MGT</t>
        </is>
      </c>
      <c r="D780" s="40" t="inlineStr">
        <is>
          <t>B1</t>
        </is>
      </c>
      <c r="E780" s="40" t="inlineStr">
        <is>
          <t>INIT</t>
        </is>
      </c>
      <c r="F780" s="40" t="inlineStr">
        <is>
          <t>606300</t>
        </is>
      </c>
      <c r="G780" s="39" t="inlineStr">
        <is>
          <t>Fournitures &amp; ressources pédagogiques</t>
        </is>
      </c>
      <c r="H780" s="40" t="inlineStr">
        <is>
          <t>COMPTABLE</t>
        </is>
      </c>
      <c r="I780" s="41" t="inlineStr">
        <is>
          <t>2024ACT_VDEF</t>
        </is>
      </c>
      <c r="J780" s="41" t="n">
        <v>2024</v>
      </c>
      <c r="K780" s="41" t="inlineStr">
        <is>
          <t>EUR</t>
        </is>
      </c>
      <c r="L780" s="42" t="n">
        <v>19380</v>
      </c>
    </row>
    <row r="781">
      <c r="B781" s="39" t="inlineStr">
        <is>
          <t>MBWAY_BOR</t>
        </is>
      </c>
      <c r="C781" s="40" t="inlineStr">
        <is>
          <t>BAC_MGT</t>
        </is>
      </c>
      <c r="D781" s="40" t="inlineStr">
        <is>
          <t>B1</t>
        </is>
      </c>
      <c r="E781" s="40" t="inlineStr">
        <is>
          <t>INIT</t>
        </is>
      </c>
      <c r="F781" s="40" t="inlineStr">
        <is>
          <t>606300</t>
        </is>
      </c>
      <c r="G781" s="39" t="inlineStr">
        <is>
          <t>Fournitures &amp; ressources pédagogiques</t>
        </is>
      </c>
      <c r="H781" s="40" t="inlineStr">
        <is>
          <t>COMPTABLE</t>
        </is>
      </c>
      <c r="I781" s="41" t="inlineStr">
        <is>
          <t>2025FCST_V4</t>
        </is>
      </c>
      <c r="J781" s="41" t="n">
        <v>2025</v>
      </c>
      <c r="K781" s="41" t="inlineStr">
        <is>
          <t>EUR</t>
        </is>
      </c>
      <c r="L781" s="42" t="n">
        <v>20400</v>
      </c>
    </row>
    <row r="782">
      <c r="B782" s="39" t="inlineStr">
        <is>
          <t>MBWAY_BOR</t>
        </is>
      </c>
      <c r="C782" s="40" t="inlineStr">
        <is>
          <t>BAC_MGT</t>
        </is>
      </c>
      <c r="D782" s="40" t="inlineStr">
        <is>
          <t>B1</t>
        </is>
      </c>
      <c r="E782" s="40" t="inlineStr">
        <is>
          <t>INIT</t>
        </is>
      </c>
      <c r="F782" s="40" t="inlineStr">
        <is>
          <t>623000</t>
        </is>
      </c>
      <c r="G782" s="39" t="inlineStr">
        <is>
          <t>Publicité &amp; marketing (acquisition)</t>
        </is>
      </c>
      <c r="H782" s="40" t="inlineStr">
        <is>
          <t>COMPTABLE</t>
        </is>
      </c>
      <c r="I782" s="41" t="inlineStr">
        <is>
          <t>2023ACT_VDEF</t>
        </is>
      </c>
      <c r="J782" s="41" t="n">
        <v>2023</v>
      </c>
      <c r="K782" s="41" t="inlineStr">
        <is>
          <t>EUR</t>
        </is>
      </c>
      <c r="L782" s="42" t="n">
        <v>14688</v>
      </c>
    </row>
    <row r="783">
      <c r="B783" s="39" t="inlineStr">
        <is>
          <t>MBWAY_BOR</t>
        </is>
      </c>
      <c r="C783" s="40" t="inlineStr">
        <is>
          <t>BAC_MGT</t>
        </is>
      </c>
      <c r="D783" s="40" t="inlineStr">
        <is>
          <t>B1</t>
        </is>
      </c>
      <c r="E783" s="40" t="inlineStr">
        <is>
          <t>INIT</t>
        </is>
      </c>
      <c r="F783" s="40" t="inlineStr">
        <is>
          <t>623000</t>
        </is>
      </c>
      <c r="G783" s="39" t="inlineStr">
        <is>
          <t>Publicité &amp; marketing (acquisition)</t>
        </is>
      </c>
      <c r="H783" s="40" t="inlineStr">
        <is>
          <t>COMPTABLE</t>
        </is>
      </c>
      <c r="I783" s="41" t="inlineStr">
        <is>
          <t>2024ACT_VDEF</t>
        </is>
      </c>
      <c r="J783" s="41" t="n">
        <v>2024</v>
      </c>
      <c r="K783" s="41" t="inlineStr">
        <is>
          <t>EUR</t>
        </is>
      </c>
      <c r="L783" s="42" t="n">
        <v>15504</v>
      </c>
    </row>
    <row r="784">
      <c r="B784" s="39" t="inlineStr">
        <is>
          <t>MBWAY_BOR</t>
        </is>
      </c>
      <c r="C784" s="40" t="inlineStr">
        <is>
          <t>BAC_MGT</t>
        </is>
      </c>
      <c r="D784" s="40" t="inlineStr">
        <is>
          <t>B1</t>
        </is>
      </c>
      <c r="E784" s="40" t="inlineStr">
        <is>
          <t>INIT</t>
        </is>
      </c>
      <c r="F784" s="40" t="inlineStr">
        <is>
          <t>623000</t>
        </is>
      </c>
      <c r="G784" s="39" t="inlineStr">
        <is>
          <t>Publicité &amp; marketing (acquisition)</t>
        </is>
      </c>
      <c r="H784" s="40" t="inlineStr">
        <is>
          <t>COMPTABLE</t>
        </is>
      </c>
      <c r="I784" s="41" t="inlineStr">
        <is>
          <t>2025FCST_V4</t>
        </is>
      </c>
      <c r="J784" s="41" t="n">
        <v>2025</v>
      </c>
      <c r="K784" s="41" t="inlineStr">
        <is>
          <t>EUR</t>
        </is>
      </c>
      <c r="L784" s="42" t="n">
        <v>16320</v>
      </c>
    </row>
    <row r="785">
      <c r="B785" s="39" t="inlineStr">
        <is>
          <t>MBWAY_BOR</t>
        </is>
      </c>
      <c r="C785" s="40" t="inlineStr">
        <is>
          <t>BAC_MGT</t>
        </is>
      </c>
      <c r="D785" s="40" t="inlineStr">
        <is>
          <t>B1</t>
        </is>
      </c>
      <c r="E785" s="40" t="inlineStr">
        <is>
          <t>INIT</t>
        </is>
      </c>
      <c r="F785" s="40" t="inlineStr">
        <is>
          <t>613200</t>
        </is>
      </c>
      <c r="G785" s="39" t="inlineStr">
        <is>
          <t>Locations immobilières (loyers)</t>
        </is>
      </c>
      <c r="H785" s="40" t="inlineStr">
        <is>
          <t>COMPTABLE</t>
        </is>
      </c>
      <c r="I785" s="41" t="inlineStr">
        <is>
          <t>2023ACT_VDEF</t>
        </is>
      </c>
      <c r="J785" s="41" t="n">
        <v>2023</v>
      </c>
      <c r="K785" s="41" t="inlineStr">
        <is>
          <t>EUR</t>
        </is>
      </c>
      <c r="L785" s="42" t="n">
        <v>32040</v>
      </c>
    </row>
    <row r="786">
      <c r="B786" s="39" t="inlineStr">
        <is>
          <t>MBWAY_BOR</t>
        </is>
      </c>
      <c r="C786" s="40" t="inlineStr">
        <is>
          <t>BAC_MGT</t>
        </is>
      </c>
      <c r="D786" s="40" t="inlineStr">
        <is>
          <t>B1</t>
        </is>
      </c>
      <c r="E786" s="40" t="inlineStr">
        <is>
          <t>INIT</t>
        </is>
      </c>
      <c r="F786" s="40" t="inlineStr">
        <is>
          <t>613200</t>
        </is>
      </c>
      <c r="G786" s="39" t="inlineStr">
        <is>
          <t>Locations immobilières (loyers)</t>
        </is>
      </c>
      <c r="H786" s="40" t="inlineStr">
        <is>
          <t>COMPTABLE</t>
        </is>
      </c>
      <c r="I786" s="41" t="inlineStr">
        <is>
          <t>2024ACT_VDEF</t>
        </is>
      </c>
      <c r="J786" s="41" t="n">
        <v>2024</v>
      </c>
      <c r="K786" s="41" t="inlineStr">
        <is>
          <t>EUR</t>
        </is>
      </c>
      <c r="L786" s="42" t="n">
        <v>33820</v>
      </c>
    </row>
    <row r="787">
      <c r="B787" s="39" t="inlineStr">
        <is>
          <t>MBWAY_BOR</t>
        </is>
      </c>
      <c r="C787" s="40" t="inlineStr">
        <is>
          <t>BAC_MGT</t>
        </is>
      </c>
      <c r="D787" s="40" t="inlineStr">
        <is>
          <t>B1</t>
        </is>
      </c>
      <c r="E787" s="40" t="inlineStr">
        <is>
          <t>INIT</t>
        </is>
      </c>
      <c r="F787" s="40" t="inlineStr">
        <is>
          <t>613200</t>
        </is>
      </c>
      <c r="G787" s="39" t="inlineStr">
        <is>
          <t>Locations immobilières (loyers)</t>
        </is>
      </c>
      <c r="H787" s="40" t="inlineStr">
        <is>
          <t>COMPTABLE</t>
        </is>
      </c>
      <c r="I787" s="41" t="inlineStr">
        <is>
          <t>2025FCST_V4</t>
        </is>
      </c>
      <c r="J787" s="41" t="n">
        <v>2025</v>
      </c>
      <c r="K787" s="41" t="inlineStr">
        <is>
          <t>EUR</t>
        </is>
      </c>
      <c r="L787" s="42" t="n">
        <v>35600</v>
      </c>
    </row>
    <row r="788">
      <c r="B788" s="39" t="inlineStr">
        <is>
          <t>MBWAY_BOR</t>
        </is>
      </c>
      <c r="C788" s="40" t="inlineStr">
        <is>
          <t>BAC_MGT</t>
        </is>
      </c>
      <c r="D788" s="40" t="inlineStr">
        <is>
          <t>B1</t>
        </is>
      </c>
      <c r="E788" s="40" t="inlineStr">
        <is>
          <t>INIT</t>
        </is>
      </c>
      <c r="F788" s="40" t="inlineStr">
        <is>
          <t>641100</t>
        </is>
      </c>
      <c r="G788" s="39" t="inlineStr">
        <is>
          <t>Rémunérations du personnel permanent</t>
        </is>
      </c>
      <c r="H788" s="40" t="inlineStr">
        <is>
          <t>COMPTABLE</t>
        </is>
      </c>
      <c r="I788" s="41" t="inlineStr">
        <is>
          <t>2023ACT_VDEF</t>
        </is>
      </c>
      <c r="J788" s="41" t="n">
        <v>2023</v>
      </c>
      <c r="K788" s="41" t="inlineStr">
        <is>
          <t>EUR</t>
        </is>
      </c>
      <c r="L788" s="42" t="n">
        <v>73080</v>
      </c>
    </row>
    <row r="789">
      <c r="B789" s="39" t="inlineStr">
        <is>
          <t>MBWAY_BOR</t>
        </is>
      </c>
      <c r="C789" s="40" t="inlineStr">
        <is>
          <t>BAC_MGT</t>
        </is>
      </c>
      <c r="D789" s="40" t="inlineStr">
        <is>
          <t>B1</t>
        </is>
      </c>
      <c r="E789" s="40" t="inlineStr">
        <is>
          <t>INIT</t>
        </is>
      </c>
      <c r="F789" s="40" t="inlineStr">
        <is>
          <t>641100</t>
        </is>
      </c>
      <c r="G789" s="39" t="inlineStr">
        <is>
          <t>Rémunérations du personnel permanent</t>
        </is>
      </c>
      <c r="H789" s="40" t="inlineStr">
        <is>
          <t>COMPTABLE</t>
        </is>
      </c>
      <c r="I789" s="41" t="inlineStr">
        <is>
          <t>2024ACT_VDEF</t>
        </is>
      </c>
      <c r="J789" s="41" t="n">
        <v>2024</v>
      </c>
      <c r="K789" s="41" t="inlineStr">
        <is>
          <t>EUR</t>
        </is>
      </c>
      <c r="L789" s="42" t="n">
        <v>77140</v>
      </c>
    </row>
    <row r="790">
      <c r="B790" s="39" t="inlineStr">
        <is>
          <t>MBWAY_BOR</t>
        </is>
      </c>
      <c r="C790" s="40" t="inlineStr">
        <is>
          <t>BAC_MGT</t>
        </is>
      </c>
      <c r="D790" s="40" t="inlineStr">
        <is>
          <t>B1</t>
        </is>
      </c>
      <c r="E790" s="40" t="inlineStr">
        <is>
          <t>INIT</t>
        </is>
      </c>
      <c r="F790" s="40" t="inlineStr">
        <is>
          <t>641100</t>
        </is>
      </c>
      <c r="G790" s="39" t="inlineStr">
        <is>
          <t>Rémunérations du personnel permanent</t>
        </is>
      </c>
      <c r="H790" s="40" t="inlineStr">
        <is>
          <t>COMPTABLE</t>
        </is>
      </c>
      <c r="I790" s="41" t="inlineStr">
        <is>
          <t>2025FCST_V4</t>
        </is>
      </c>
      <c r="J790" s="41" t="n">
        <v>2025</v>
      </c>
      <c r="K790" s="41" t="inlineStr">
        <is>
          <t>EUR</t>
        </is>
      </c>
      <c r="L790" s="42" t="n">
        <v>81200</v>
      </c>
    </row>
    <row r="791">
      <c r="B791" s="39" t="inlineStr">
        <is>
          <t>MBWAY_BOR</t>
        </is>
      </c>
      <c r="C791" s="40" t="inlineStr">
        <is>
          <t>BAC_MGT</t>
        </is>
      </c>
      <c r="D791" s="40" t="inlineStr">
        <is>
          <t>B1</t>
        </is>
      </c>
      <c r="E791" s="40" t="inlineStr">
        <is>
          <t>INIT</t>
        </is>
      </c>
      <c r="F791" s="40" t="inlineStr">
        <is>
          <t>622600</t>
        </is>
      </c>
      <c r="G791" s="39" t="inlineStr">
        <is>
          <t>Honoraires &amp; frais de siège (structure groupe)</t>
        </is>
      </c>
      <c r="H791" s="40" t="inlineStr">
        <is>
          <t>COMPTABLE</t>
        </is>
      </c>
      <c r="I791" s="41" t="inlineStr">
        <is>
          <t>2023ACT_VDEF</t>
        </is>
      </c>
      <c r="J791" s="41" t="n">
        <v>2023</v>
      </c>
      <c r="K791" s="41" t="inlineStr">
        <is>
          <t>EUR</t>
        </is>
      </c>
      <c r="L791" s="42" t="n">
        <v>29167</v>
      </c>
    </row>
    <row r="792">
      <c r="B792" s="39" t="inlineStr">
        <is>
          <t>MBWAY_BOR</t>
        </is>
      </c>
      <c r="C792" s="40" t="inlineStr">
        <is>
          <t>BAC_MGT</t>
        </is>
      </c>
      <c r="D792" s="40" t="inlineStr">
        <is>
          <t>B1</t>
        </is>
      </c>
      <c r="E792" s="40" t="inlineStr">
        <is>
          <t>INIT</t>
        </is>
      </c>
      <c r="F792" s="40" t="inlineStr">
        <is>
          <t>622600</t>
        </is>
      </c>
      <c r="G792" s="39" t="inlineStr">
        <is>
          <t>Honoraires &amp; frais de siège (structure groupe)</t>
        </is>
      </c>
      <c r="H792" s="40" t="inlineStr">
        <is>
          <t>COMPTABLE</t>
        </is>
      </c>
      <c r="I792" s="41" t="inlineStr">
        <is>
          <t>2024ACT_VDEF</t>
        </is>
      </c>
      <c r="J792" s="41" t="n">
        <v>2024</v>
      </c>
      <c r="K792" s="41" t="inlineStr">
        <is>
          <t>EUR</t>
        </is>
      </c>
      <c r="L792" s="42" t="n">
        <v>30788</v>
      </c>
    </row>
    <row r="793">
      <c r="B793" s="39" t="inlineStr">
        <is>
          <t>MBWAY_BOR</t>
        </is>
      </c>
      <c r="C793" s="40" t="inlineStr">
        <is>
          <t>BAC_MGT</t>
        </is>
      </c>
      <c r="D793" s="40" t="inlineStr">
        <is>
          <t>B1</t>
        </is>
      </c>
      <c r="E793" s="40" t="inlineStr">
        <is>
          <t>INIT</t>
        </is>
      </c>
      <c r="F793" s="40" t="inlineStr">
        <is>
          <t>622600</t>
        </is>
      </c>
      <c r="G793" s="39" t="inlineStr">
        <is>
          <t>Honoraires &amp; frais de siège (structure groupe)</t>
        </is>
      </c>
      <c r="H793" s="40" t="inlineStr">
        <is>
          <t>COMPTABLE</t>
        </is>
      </c>
      <c r="I793" s="41" t="inlineStr">
        <is>
          <t>2025FCST_V4</t>
        </is>
      </c>
      <c r="J793" s="41" t="n">
        <v>2025</v>
      </c>
      <c r="K793" s="41" t="inlineStr">
        <is>
          <t>EUR</t>
        </is>
      </c>
      <c r="L793" s="42" t="n">
        <v>32408</v>
      </c>
    </row>
    <row r="794">
      <c r="B794" s="39" t="inlineStr">
        <is>
          <t>MBWAY_BOR</t>
        </is>
      </c>
      <c r="C794" s="40" t="inlineStr">
        <is>
          <t>BAC_MGT</t>
        </is>
      </c>
      <c r="D794" s="40" t="inlineStr">
        <is>
          <t>B1</t>
        </is>
      </c>
      <c r="E794" s="40" t="inlineStr">
        <is>
          <t>INIT</t>
        </is>
      </c>
      <c r="F794" s="40" t="inlineStr">
        <is>
          <t>606800</t>
        </is>
      </c>
      <c r="G794" s="39" t="inlineStr">
        <is>
          <t>Autres achats &amp; charges externes</t>
        </is>
      </c>
      <c r="H794" s="40" t="inlineStr">
        <is>
          <t>COMPTABLE</t>
        </is>
      </c>
      <c r="I794" s="41" t="inlineStr">
        <is>
          <t>2023ACT_VDEF</t>
        </is>
      </c>
      <c r="J794" s="41" t="n">
        <v>2023</v>
      </c>
      <c r="K794" s="41" t="inlineStr">
        <is>
          <t>EUR</t>
        </is>
      </c>
      <c r="L794" s="42" t="n">
        <v>42871</v>
      </c>
    </row>
    <row r="795">
      <c r="B795" s="39" t="inlineStr">
        <is>
          <t>MBWAY_BOR</t>
        </is>
      </c>
      <c r="C795" s="40" t="inlineStr">
        <is>
          <t>BAC_MGT</t>
        </is>
      </c>
      <c r="D795" s="40" t="inlineStr">
        <is>
          <t>B1</t>
        </is>
      </c>
      <c r="E795" s="40" t="inlineStr">
        <is>
          <t>INIT</t>
        </is>
      </c>
      <c r="F795" s="40" t="inlineStr">
        <is>
          <t>606800</t>
        </is>
      </c>
      <c r="G795" s="39" t="inlineStr">
        <is>
          <t>Autres achats &amp; charges externes</t>
        </is>
      </c>
      <c r="H795" s="40" t="inlineStr">
        <is>
          <t>COMPTABLE</t>
        </is>
      </c>
      <c r="I795" s="41" t="inlineStr">
        <is>
          <t>2024ACT_VDEF</t>
        </is>
      </c>
      <c r="J795" s="41" t="n">
        <v>2024</v>
      </c>
      <c r="K795" s="41" t="inlineStr">
        <is>
          <t>EUR</t>
        </is>
      </c>
      <c r="L795" s="42" t="n">
        <v>45252</v>
      </c>
    </row>
    <row r="796">
      <c r="B796" s="39" t="inlineStr">
        <is>
          <t>MBWAY_BOR</t>
        </is>
      </c>
      <c r="C796" s="40" t="inlineStr">
        <is>
          <t>BAC_MGT</t>
        </is>
      </c>
      <c r="D796" s="40" t="inlineStr">
        <is>
          <t>B1</t>
        </is>
      </c>
      <c r="E796" s="40" t="inlineStr">
        <is>
          <t>INIT</t>
        </is>
      </c>
      <c r="F796" s="40" t="inlineStr">
        <is>
          <t>606800</t>
        </is>
      </c>
      <c r="G796" s="39" t="inlineStr">
        <is>
          <t>Autres achats &amp; charges externes</t>
        </is>
      </c>
      <c r="H796" s="40" t="inlineStr">
        <is>
          <t>COMPTABLE</t>
        </is>
      </c>
      <c r="I796" s="41" t="inlineStr">
        <is>
          <t>2025FCST_V4</t>
        </is>
      </c>
      <c r="J796" s="41" t="n">
        <v>2025</v>
      </c>
      <c r="K796" s="41" t="inlineStr">
        <is>
          <t>EUR</t>
        </is>
      </c>
      <c r="L796" s="42" t="n">
        <v>47634</v>
      </c>
    </row>
    <row r="797">
      <c r="B797" s="39" t="inlineStr">
        <is>
          <t>MBWAY_BOR</t>
        </is>
      </c>
      <c r="C797" s="40" t="inlineStr">
        <is>
          <t>BAC_MGT</t>
        </is>
      </c>
      <c r="D797" s="40" t="inlineStr">
        <is>
          <t>B1</t>
        </is>
      </c>
      <c r="E797" s="40" t="inlineStr">
        <is>
          <t>INIT</t>
        </is>
      </c>
      <c r="F797" s="40" t="inlineStr">
        <is>
          <t>681100</t>
        </is>
      </c>
      <c r="G797" s="39" t="inlineStr">
        <is>
          <t>Dotations aux amortissements</t>
        </is>
      </c>
      <c r="H797" s="40" t="inlineStr">
        <is>
          <t>COMPTABLE</t>
        </is>
      </c>
      <c r="I797" s="41" t="inlineStr">
        <is>
          <t>2023ACT_VDEF</t>
        </is>
      </c>
      <c r="J797" s="41" t="n">
        <v>2023</v>
      </c>
      <c r="K797" s="41" t="inlineStr">
        <is>
          <t>EUR</t>
        </is>
      </c>
      <c r="L797" s="42" t="n">
        <v>17460</v>
      </c>
    </row>
    <row r="798">
      <c r="B798" s="39" t="inlineStr">
        <is>
          <t>MBWAY_BOR</t>
        </is>
      </c>
      <c r="C798" s="40" t="inlineStr">
        <is>
          <t>BAC_MGT</t>
        </is>
      </c>
      <c r="D798" s="40" t="inlineStr">
        <is>
          <t>B1</t>
        </is>
      </c>
      <c r="E798" s="40" t="inlineStr">
        <is>
          <t>INIT</t>
        </is>
      </c>
      <c r="F798" s="40" t="inlineStr">
        <is>
          <t>681100</t>
        </is>
      </c>
      <c r="G798" s="39" t="inlineStr">
        <is>
          <t>Dotations aux amortissements</t>
        </is>
      </c>
      <c r="H798" s="40" t="inlineStr">
        <is>
          <t>COMPTABLE</t>
        </is>
      </c>
      <c r="I798" s="41" t="inlineStr">
        <is>
          <t>2024ACT_VDEF</t>
        </is>
      </c>
      <c r="J798" s="41" t="n">
        <v>2024</v>
      </c>
      <c r="K798" s="41" t="inlineStr">
        <is>
          <t>EUR</t>
        </is>
      </c>
      <c r="L798" s="42" t="n">
        <v>18430</v>
      </c>
    </row>
    <row r="799">
      <c r="B799" s="39" t="inlineStr">
        <is>
          <t>MBWAY_BOR</t>
        </is>
      </c>
      <c r="C799" s="40" t="inlineStr">
        <is>
          <t>BAC_MGT</t>
        </is>
      </c>
      <c r="D799" s="40" t="inlineStr">
        <is>
          <t>B1</t>
        </is>
      </c>
      <c r="E799" s="40" t="inlineStr">
        <is>
          <t>INIT</t>
        </is>
      </c>
      <c r="F799" s="40" t="inlineStr">
        <is>
          <t>681100</t>
        </is>
      </c>
      <c r="G799" s="39" t="inlineStr">
        <is>
          <t>Dotations aux amortissements</t>
        </is>
      </c>
      <c r="H799" s="40" t="inlineStr">
        <is>
          <t>COMPTABLE</t>
        </is>
      </c>
      <c r="I799" s="41" t="inlineStr">
        <is>
          <t>2025FCST_V4</t>
        </is>
      </c>
      <c r="J799" s="41" t="n">
        <v>2025</v>
      </c>
      <c r="K799" s="41" t="inlineStr">
        <is>
          <t>EUR</t>
        </is>
      </c>
      <c r="L799" s="42" t="n">
        <v>19400</v>
      </c>
    </row>
    <row r="800">
      <c r="B800" s="39" t="inlineStr">
        <is>
          <t>MBWAY_BOR</t>
        </is>
      </c>
      <c r="C800" s="40" t="inlineStr">
        <is>
          <t>BAC_MGT</t>
        </is>
      </c>
      <c r="D800" s="40" t="inlineStr">
        <is>
          <t>B1</t>
        </is>
      </c>
      <c r="E800" s="40" t="inlineStr">
        <is>
          <t>INIT</t>
        </is>
      </c>
      <c r="F800" s="40" t="inlineStr">
        <is>
          <t>STA_EFF</t>
        </is>
      </c>
      <c r="G800" s="39" t="inlineStr">
        <is>
          <t>Effectif inscrit</t>
        </is>
      </c>
      <c r="H800" s="40" t="inlineStr">
        <is>
          <t>TECHNIQUE</t>
        </is>
      </c>
      <c r="I800" s="41" t="inlineStr">
        <is>
          <t>2023ACT_VDEF</t>
        </is>
      </c>
      <c r="J800" s="41" t="n">
        <v>2023</v>
      </c>
      <c r="K800" s="41" t="inlineStr">
        <is>
          <t>NB</t>
        </is>
      </c>
      <c r="L800" s="43" t="n">
        <v>46</v>
      </c>
    </row>
    <row r="801">
      <c r="B801" s="39" t="inlineStr">
        <is>
          <t>MBWAY_BOR</t>
        </is>
      </c>
      <c r="C801" s="40" t="inlineStr">
        <is>
          <t>BAC_MGT</t>
        </is>
      </c>
      <c r="D801" s="40" t="inlineStr">
        <is>
          <t>B1</t>
        </is>
      </c>
      <c r="E801" s="40" t="inlineStr">
        <is>
          <t>INIT</t>
        </is>
      </c>
      <c r="F801" s="40" t="inlineStr">
        <is>
          <t>STA_EFF</t>
        </is>
      </c>
      <c r="G801" s="39" t="inlineStr">
        <is>
          <t>Effectif inscrit</t>
        </is>
      </c>
      <c r="H801" s="40" t="inlineStr">
        <is>
          <t>TECHNIQUE</t>
        </is>
      </c>
      <c r="I801" s="41" t="inlineStr">
        <is>
          <t>2024ACT_VDEF</t>
        </is>
      </c>
      <c r="J801" s="41" t="n">
        <v>2024</v>
      </c>
      <c r="K801" s="41" t="inlineStr">
        <is>
          <t>NB</t>
        </is>
      </c>
      <c r="L801" s="43" t="n">
        <v>48</v>
      </c>
    </row>
    <row r="802">
      <c r="B802" s="39" t="inlineStr">
        <is>
          <t>MBWAY_BOR</t>
        </is>
      </c>
      <c r="C802" s="40" t="inlineStr">
        <is>
          <t>BAC_MGT</t>
        </is>
      </c>
      <c r="D802" s="40" t="inlineStr">
        <is>
          <t>B1</t>
        </is>
      </c>
      <c r="E802" s="40" t="inlineStr">
        <is>
          <t>INIT</t>
        </is>
      </c>
      <c r="F802" s="40" t="inlineStr">
        <is>
          <t>STA_EFF</t>
        </is>
      </c>
      <c r="G802" s="39" t="inlineStr">
        <is>
          <t>Effectif inscrit</t>
        </is>
      </c>
      <c r="H802" s="40" t="inlineStr">
        <is>
          <t>TECHNIQUE</t>
        </is>
      </c>
      <c r="I802" s="41" t="inlineStr">
        <is>
          <t>2025FCST_V4</t>
        </is>
      </c>
      <c r="J802" s="41" t="n">
        <v>2025</v>
      </c>
      <c r="K802" s="41" t="inlineStr">
        <is>
          <t>NB</t>
        </is>
      </c>
      <c r="L802" s="43" t="n">
        <v>51</v>
      </c>
    </row>
    <row r="803">
      <c r="B803" s="39" t="inlineStr">
        <is>
          <t>MBWAY_BOR</t>
        </is>
      </c>
      <c r="C803" s="40" t="inlineStr">
        <is>
          <t>BAC_MGT</t>
        </is>
      </c>
      <c r="D803" s="40" t="inlineStr">
        <is>
          <t>B1</t>
        </is>
      </c>
      <c r="E803" s="40" t="inlineStr">
        <is>
          <t>INIT</t>
        </is>
      </c>
      <c r="F803" s="40" t="inlineStr">
        <is>
          <t>STA_CAND</t>
        </is>
      </c>
      <c r="G803" s="39" t="inlineStr">
        <is>
          <t>Candidatures reçues</t>
        </is>
      </c>
      <c r="H803" s="40" t="inlineStr">
        <is>
          <t>TECHNIQUE</t>
        </is>
      </c>
      <c r="I803" s="41" t="inlineStr">
        <is>
          <t>2023ACT_VDEF</t>
        </is>
      </c>
      <c r="J803" s="41" t="n">
        <v>2023</v>
      </c>
      <c r="K803" s="41" t="inlineStr">
        <is>
          <t>NB</t>
        </is>
      </c>
      <c r="L803" s="43" t="n">
        <v>123</v>
      </c>
    </row>
    <row r="804">
      <c r="B804" s="39" t="inlineStr">
        <is>
          <t>MBWAY_BOR</t>
        </is>
      </c>
      <c r="C804" s="40" t="inlineStr">
        <is>
          <t>BAC_MGT</t>
        </is>
      </c>
      <c r="D804" s="40" t="inlineStr">
        <is>
          <t>B1</t>
        </is>
      </c>
      <c r="E804" s="40" t="inlineStr">
        <is>
          <t>INIT</t>
        </is>
      </c>
      <c r="F804" s="40" t="inlineStr">
        <is>
          <t>STA_CAND</t>
        </is>
      </c>
      <c r="G804" s="39" t="inlineStr">
        <is>
          <t>Candidatures reçues</t>
        </is>
      </c>
      <c r="H804" s="40" t="inlineStr">
        <is>
          <t>TECHNIQUE</t>
        </is>
      </c>
      <c r="I804" s="41" t="inlineStr">
        <is>
          <t>2024ACT_VDEF</t>
        </is>
      </c>
      <c r="J804" s="41" t="n">
        <v>2024</v>
      </c>
      <c r="K804" s="41" t="inlineStr">
        <is>
          <t>NB</t>
        </is>
      </c>
      <c r="L804" s="43" t="n">
        <v>130</v>
      </c>
    </row>
    <row r="805">
      <c r="B805" s="39" t="inlineStr">
        <is>
          <t>MBWAY_BOR</t>
        </is>
      </c>
      <c r="C805" s="40" t="inlineStr">
        <is>
          <t>BAC_MGT</t>
        </is>
      </c>
      <c r="D805" s="40" t="inlineStr">
        <is>
          <t>B1</t>
        </is>
      </c>
      <c r="E805" s="40" t="inlineStr">
        <is>
          <t>INIT</t>
        </is>
      </c>
      <c r="F805" s="40" t="inlineStr">
        <is>
          <t>STA_CAND</t>
        </is>
      </c>
      <c r="G805" s="39" t="inlineStr">
        <is>
          <t>Candidatures reçues</t>
        </is>
      </c>
      <c r="H805" s="40" t="inlineStr">
        <is>
          <t>TECHNIQUE</t>
        </is>
      </c>
      <c r="I805" s="41" t="inlineStr">
        <is>
          <t>2025FCST_V4</t>
        </is>
      </c>
      <c r="J805" s="41" t="n">
        <v>2025</v>
      </c>
      <c r="K805" s="41" t="inlineStr">
        <is>
          <t>NB</t>
        </is>
      </c>
      <c r="L805" s="43" t="n">
        <v>137</v>
      </c>
    </row>
    <row r="806">
      <c r="B806" s="39" t="inlineStr">
        <is>
          <t>MBWAY_BOR</t>
        </is>
      </c>
      <c r="C806" s="40" t="inlineStr">
        <is>
          <t>BAC_MGT</t>
        </is>
      </c>
      <c r="D806" s="40" t="inlineStr">
        <is>
          <t>B1</t>
        </is>
      </c>
      <c r="E806" s="40" t="inlineStr">
        <is>
          <t>INIT</t>
        </is>
      </c>
      <c r="F806" s="40" t="inlineStr">
        <is>
          <t>STA_ADMIS</t>
        </is>
      </c>
      <c r="G806" s="39" t="inlineStr">
        <is>
          <t>Candidats admis</t>
        </is>
      </c>
      <c r="H806" s="40" t="inlineStr">
        <is>
          <t>TECHNIQUE</t>
        </is>
      </c>
      <c r="I806" s="41" t="inlineStr">
        <is>
          <t>2023ACT_VDEF</t>
        </is>
      </c>
      <c r="J806" s="41" t="n">
        <v>2023</v>
      </c>
      <c r="K806" s="41" t="inlineStr">
        <is>
          <t>NB</t>
        </is>
      </c>
      <c r="L806" s="43" t="n">
        <v>76</v>
      </c>
    </row>
    <row r="807">
      <c r="B807" s="39" t="inlineStr">
        <is>
          <t>MBWAY_BOR</t>
        </is>
      </c>
      <c r="C807" s="40" t="inlineStr">
        <is>
          <t>BAC_MGT</t>
        </is>
      </c>
      <c r="D807" s="40" t="inlineStr">
        <is>
          <t>B1</t>
        </is>
      </c>
      <c r="E807" s="40" t="inlineStr">
        <is>
          <t>INIT</t>
        </is>
      </c>
      <c r="F807" s="40" t="inlineStr">
        <is>
          <t>STA_ADMIS</t>
        </is>
      </c>
      <c r="G807" s="39" t="inlineStr">
        <is>
          <t>Candidats admis</t>
        </is>
      </c>
      <c r="H807" s="40" t="inlineStr">
        <is>
          <t>TECHNIQUE</t>
        </is>
      </c>
      <c r="I807" s="41" t="inlineStr">
        <is>
          <t>2024ACT_VDEF</t>
        </is>
      </c>
      <c r="J807" s="41" t="n">
        <v>2024</v>
      </c>
      <c r="K807" s="41" t="inlineStr">
        <is>
          <t>NB</t>
        </is>
      </c>
      <c r="L807" s="43" t="n">
        <v>81</v>
      </c>
    </row>
    <row r="808">
      <c r="B808" s="39" t="inlineStr">
        <is>
          <t>MBWAY_BOR</t>
        </is>
      </c>
      <c r="C808" s="40" t="inlineStr">
        <is>
          <t>BAC_MGT</t>
        </is>
      </c>
      <c r="D808" s="40" t="inlineStr">
        <is>
          <t>B1</t>
        </is>
      </c>
      <c r="E808" s="40" t="inlineStr">
        <is>
          <t>INIT</t>
        </is>
      </c>
      <c r="F808" s="40" t="inlineStr">
        <is>
          <t>STA_ADMIS</t>
        </is>
      </c>
      <c r="G808" s="39" t="inlineStr">
        <is>
          <t>Candidats admis</t>
        </is>
      </c>
      <c r="H808" s="40" t="inlineStr">
        <is>
          <t>TECHNIQUE</t>
        </is>
      </c>
      <c r="I808" s="41" t="inlineStr">
        <is>
          <t>2025FCST_V4</t>
        </is>
      </c>
      <c r="J808" s="41" t="n">
        <v>2025</v>
      </c>
      <c r="K808" s="41" t="inlineStr">
        <is>
          <t>NB</t>
        </is>
      </c>
      <c r="L808" s="43" t="n">
        <v>85</v>
      </c>
    </row>
    <row r="809">
      <c r="B809" s="39" t="inlineStr">
        <is>
          <t>MBWAY_BOR</t>
        </is>
      </c>
      <c r="C809" s="40" t="inlineStr">
        <is>
          <t>BAC_MGT</t>
        </is>
      </c>
      <c r="D809" s="40" t="inlineStr">
        <is>
          <t>B1</t>
        </is>
      </c>
      <c r="E809" s="40" t="inlineStr">
        <is>
          <t>INIT</t>
        </is>
      </c>
      <c r="F809" s="40" t="inlineStr">
        <is>
          <t>STA_NOUV</t>
        </is>
      </c>
      <c r="G809" s="39" t="inlineStr">
        <is>
          <t>Nouveaux inscrits</t>
        </is>
      </c>
      <c r="H809" s="40" t="inlineStr">
        <is>
          <t>TECHNIQUE</t>
        </is>
      </c>
      <c r="I809" s="41" t="inlineStr">
        <is>
          <t>2023ACT_VDEF</t>
        </is>
      </c>
      <c r="J809" s="41" t="n">
        <v>2023</v>
      </c>
      <c r="K809" s="41" t="inlineStr">
        <is>
          <t>NB</t>
        </is>
      </c>
      <c r="L809" s="43" t="n">
        <v>46</v>
      </c>
    </row>
    <row r="810">
      <c r="B810" s="39" t="inlineStr">
        <is>
          <t>MBWAY_BOR</t>
        </is>
      </c>
      <c r="C810" s="40" t="inlineStr">
        <is>
          <t>BAC_MGT</t>
        </is>
      </c>
      <c r="D810" s="40" t="inlineStr">
        <is>
          <t>B1</t>
        </is>
      </c>
      <c r="E810" s="40" t="inlineStr">
        <is>
          <t>INIT</t>
        </is>
      </c>
      <c r="F810" s="40" t="inlineStr">
        <is>
          <t>STA_NOUV</t>
        </is>
      </c>
      <c r="G810" s="39" t="inlineStr">
        <is>
          <t>Nouveaux inscrits</t>
        </is>
      </c>
      <c r="H810" s="40" t="inlineStr">
        <is>
          <t>TECHNIQUE</t>
        </is>
      </c>
      <c r="I810" s="41" t="inlineStr">
        <is>
          <t>2024ACT_VDEF</t>
        </is>
      </c>
      <c r="J810" s="41" t="n">
        <v>2024</v>
      </c>
      <c r="K810" s="41" t="inlineStr">
        <is>
          <t>NB</t>
        </is>
      </c>
      <c r="L810" s="43" t="n">
        <v>48</v>
      </c>
    </row>
    <row r="811">
      <c r="B811" s="39" t="inlineStr">
        <is>
          <t>MBWAY_BOR</t>
        </is>
      </c>
      <c r="C811" s="40" t="inlineStr">
        <is>
          <t>BAC_MGT</t>
        </is>
      </c>
      <c r="D811" s="40" t="inlineStr">
        <is>
          <t>B1</t>
        </is>
      </c>
      <c r="E811" s="40" t="inlineStr">
        <is>
          <t>INIT</t>
        </is>
      </c>
      <c r="F811" s="40" t="inlineStr">
        <is>
          <t>STA_NOUV</t>
        </is>
      </c>
      <c r="G811" s="39" t="inlineStr">
        <is>
          <t>Nouveaux inscrits</t>
        </is>
      </c>
      <c r="H811" s="40" t="inlineStr">
        <is>
          <t>TECHNIQUE</t>
        </is>
      </c>
      <c r="I811" s="41" t="inlineStr">
        <is>
          <t>2025FCST_V4</t>
        </is>
      </c>
      <c r="J811" s="41" t="n">
        <v>2025</v>
      </c>
      <c r="K811" s="41" t="inlineStr">
        <is>
          <t>NB</t>
        </is>
      </c>
      <c r="L811" s="43" t="n">
        <v>51</v>
      </c>
    </row>
    <row r="812">
      <c r="B812" s="39" t="inlineStr">
        <is>
          <t>MBWAY_BOR</t>
        </is>
      </c>
      <c r="C812" s="40" t="inlineStr">
        <is>
          <t>BAC_MGT</t>
        </is>
      </c>
      <c r="D812" s="40" t="inlineStr">
        <is>
          <t>B1</t>
        </is>
      </c>
      <c r="E812" s="40" t="inlineStr">
        <is>
          <t>INIT</t>
        </is>
      </c>
      <c r="F812" s="40" t="inlineStr">
        <is>
          <t>STA_CLASS</t>
        </is>
      </c>
      <c r="G812" s="39" t="inlineStr">
        <is>
          <t>Nombre de classes</t>
        </is>
      </c>
      <c r="H812" s="40" t="inlineStr">
        <is>
          <t>TECHNIQUE</t>
        </is>
      </c>
      <c r="I812" s="41" t="inlineStr">
        <is>
          <t>2023ACT_VDEF</t>
        </is>
      </c>
      <c r="J812" s="41" t="n">
        <v>2023</v>
      </c>
      <c r="K812" s="41" t="inlineStr">
        <is>
          <t>NB</t>
        </is>
      </c>
      <c r="L812" s="43" t="n">
        <v>2</v>
      </c>
    </row>
    <row r="813">
      <c r="B813" s="39" t="inlineStr">
        <is>
          <t>MBWAY_BOR</t>
        </is>
      </c>
      <c r="C813" s="40" t="inlineStr">
        <is>
          <t>BAC_MGT</t>
        </is>
      </c>
      <c r="D813" s="40" t="inlineStr">
        <is>
          <t>B1</t>
        </is>
      </c>
      <c r="E813" s="40" t="inlineStr">
        <is>
          <t>INIT</t>
        </is>
      </c>
      <c r="F813" s="40" t="inlineStr">
        <is>
          <t>STA_CLASS</t>
        </is>
      </c>
      <c r="G813" s="39" t="inlineStr">
        <is>
          <t>Nombre de classes</t>
        </is>
      </c>
      <c r="H813" s="40" t="inlineStr">
        <is>
          <t>TECHNIQUE</t>
        </is>
      </c>
      <c r="I813" s="41" t="inlineStr">
        <is>
          <t>2024ACT_VDEF</t>
        </is>
      </c>
      <c r="J813" s="41" t="n">
        <v>2024</v>
      </c>
      <c r="K813" s="41" t="inlineStr">
        <is>
          <t>NB</t>
        </is>
      </c>
      <c r="L813" s="43" t="n">
        <v>2</v>
      </c>
    </row>
    <row r="814">
      <c r="B814" s="39" t="inlineStr">
        <is>
          <t>MBWAY_BOR</t>
        </is>
      </c>
      <c r="C814" s="40" t="inlineStr">
        <is>
          <t>BAC_MGT</t>
        </is>
      </c>
      <c r="D814" s="40" t="inlineStr">
        <is>
          <t>B1</t>
        </is>
      </c>
      <c r="E814" s="40" t="inlineStr">
        <is>
          <t>INIT</t>
        </is>
      </c>
      <c r="F814" s="40" t="inlineStr">
        <is>
          <t>STA_CLASS</t>
        </is>
      </c>
      <c r="G814" s="39" t="inlineStr">
        <is>
          <t>Nombre de classes</t>
        </is>
      </c>
      <c r="H814" s="40" t="inlineStr">
        <is>
          <t>TECHNIQUE</t>
        </is>
      </c>
      <c r="I814" s="41" t="inlineStr">
        <is>
          <t>2025FCST_V4</t>
        </is>
      </c>
      <c r="J814" s="41" t="n">
        <v>2025</v>
      </c>
      <c r="K814" s="41" t="inlineStr">
        <is>
          <t>NB</t>
        </is>
      </c>
      <c r="L814" s="43" t="n">
        <v>2</v>
      </c>
    </row>
    <row r="815">
      <c r="B815" s="39" t="inlineStr">
        <is>
          <t>MBWAY_BOR</t>
        </is>
      </c>
      <c r="C815" s="40" t="inlineStr">
        <is>
          <t>BAC_MGT</t>
        </is>
      </c>
      <c r="D815" s="40" t="inlineStr">
        <is>
          <t>B1</t>
        </is>
      </c>
      <c r="E815" s="40" t="inlineStr">
        <is>
          <t>INIT</t>
        </is>
      </c>
      <c r="F815" s="40" t="inlineStr">
        <is>
          <t>STA_HEURE</t>
        </is>
      </c>
      <c r="G815" s="39" t="inlineStr">
        <is>
          <t>Heures d'enseignement</t>
        </is>
      </c>
      <c r="H815" s="40" t="inlineStr">
        <is>
          <t>TECHNIQUE</t>
        </is>
      </c>
      <c r="I815" s="41" t="inlineStr">
        <is>
          <t>2023ACT_VDEF</t>
        </is>
      </c>
      <c r="J815" s="41" t="n">
        <v>2023</v>
      </c>
      <c r="K815" s="41" t="inlineStr">
        <is>
          <t>NB</t>
        </is>
      </c>
      <c r="L815" s="43" t="n">
        <v>1080</v>
      </c>
    </row>
    <row r="816">
      <c r="B816" s="39" t="inlineStr">
        <is>
          <t>MBWAY_BOR</t>
        </is>
      </c>
      <c r="C816" s="40" t="inlineStr">
        <is>
          <t>BAC_MGT</t>
        </is>
      </c>
      <c r="D816" s="40" t="inlineStr">
        <is>
          <t>B1</t>
        </is>
      </c>
      <c r="E816" s="40" t="inlineStr">
        <is>
          <t>INIT</t>
        </is>
      </c>
      <c r="F816" s="40" t="inlineStr">
        <is>
          <t>STA_HEURE</t>
        </is>
      </c>
      <c r="G816" s="39" t="inlineStr">
        <is>
          <t>Heures d'enseignement</t>
        </is>
      </c>
      <c r="H816" s="40" t="inlineStr">
        <is>
          <t>TECHNIQUE</t>
        </is>
      </c>
      <c r="I816" s="41" t="inlineStr">
        <is>
          <t>2024ACT_VDEF</t>
        </is>
      </c>
      <c r="J816" s="41" t="n">
        <v>2024</v>
      </c>
      <c r="K816" s="41" t="inlineStr">
        <is>
          <t>NB</t>
        </is>
      </c>
      <c r="L816" s="43" t="n">
        <v>1140</v>
      </c>
    </row>
    <row r="817">
      <c r="B817" s="39" t="inlineStr">
        <is>
          <t>MBWAY_BOR</t>
        </is>
      </c>
      <c r="C817" s="40" t="inlineStr">
        <is>
          <t>BAC_MGT</t>
        </is>
      </c>
      <c r="D817" s="40" t="inlineStr">
        <is>
          <t>B1</t>
        </is>
      </c>
      <c r="E817" s="40" t="inlineStr">
        <is>
          <t>INIT</t>
        </is>
      </c>
      <c r="F817" s="40" t="inlineStr">
        <is>
          <t>STA_HEURE</t>
        </is>
      </c>
      <c r="G817" s="39" t="inlineStr">
        <is>
          <t>Heures d'enseignement</t>
        </is>
      </c>
      <c r="H817" s="40" t="inlineStr">
        <is>
          <t>TECHNIQUE</t>
        </is>
      </c>
      <c r="I817" s="41" t="inlineStr">
        <is>
          <t>2025FCST_V4</t>
        </is>
      </c>
      <c r="J817" s="41" t="n">
        <v>2025</v>
      </c>
      <c r="K817" s="41" t="inlineStr">
        <is>
          <t>NB</t>
        </is>
      </c>
      <c r="L817" s="43" t="n">
        <v>1200</v>
      </c>
    </row>
    <row r="818">
      <c r="B818" s="39" t="inlineStr">
        <is>
          <t>MBWAY_BOR</t>
        </is>
      </c>
      <c r="C818" s="40" t="inlineStr">
        <is>
          <t>BAC_MGT</t>
        </is>
      </c>
      <c r="D818" s="40" t="inlineStr">
        <is>
          <t>B1</t>
        </is>
      </c>
      <c r="E818" s="40" t="inlineStr">
        <is>
          <t>INIT</t>
        </is>
      </c>
      <c r="F818" s="40" t="inlineStr">
        <is>
          <t>STA_CAPA</t>
        </is>
      </c>
      <c r="G818" s="39" t="inlineStr">
        <is>
          <t>Capacité par classe</t>
        </is>
      </c>
      <c r="H818" s="40" t="inlineStr">
        <is>
          <t>TECHNIQUE</t>
        </is>
      </c>
      <c r="I818" s="41" t="inlineStr">
        <is>
          <t>2023ACT_VDEF</t>
        </is>
      </c>
      <c r="J818" s="41" t="n">
        <v>2023</v>
      </c>
      <c r="K818" s="41" t="inlineStr">
        <is>
          <t>NB</t>
        </is>
      </c>
      <c r="L818" s="43" t="n">
        <v>32</v>
      </c>
    </row>
    <row r="819">
      <c r="B819" s="39" t="inlineStr">
        <is>
          <t>MBWAY_BOR</t>
        </is>
      </c>
      <c r="C819" s="40" t="inlineStr">
        <is>
          <t>BAC_MGT</t>
        </is>
      </c>
      <c r="D819" s="40" t="inlineStr">
        <is>
          <t>B1</t>
        </is>
      </c>
      <c r="E819" s="40" t="inlineStr">
        <is>
          <t>INIT</t>
        </is>
      </c>
      <c r="F819" s="40" t="inlineStr">
        <is>
          <t>STA_CAPA</t>
        </is>
      </c>
      <c r="G819" s="39" t="inlineStr">
        <is>
          <t>Capacité par classe</t>
        </is>
      </c>
      <c r="H819" s="40" t="inlineStr">
        <is>
          <t>TECHNIQUE</t>
        </is>
      </c>
      <c r="I819" s="41" t="inlineStr">
        <is>
          <t>2024ACT_VDEF</t>
        </is>
      </c>
      <c r="J819" s="41" t="n">
        <v>2024</v>
      </c>
      <c r="K819" s="41" t="inlineStr">
        <is>
          <t>NB</t>
        </is>
      </c>
      <c r="L819" s="43" t="n">
        <v>32</v>
      </c>
    </row>
    <row r="820">
      <c r="B820" s="39" t="inlineStr">
        <is>
          <t>MBWAY_BOR</t>
        </is>
      </c>
      <c r="C820" s="40" t="inlineStr">
        <is>
          <t>BAC_MGT</t>
        </is>
      </c>
      <c r="D820" s="40" t="inlineStr">
        <is>
          <t>B1</t>
        </is>
      </c>
      <c r="E820" s="40" t="inlineStr">
        <is>
          <t>INIT</t>
        </is>
      </c>
      <c r="F820" s="40" t="inlineStr">
        <is>
          <t>STA_CAPA</t>
        </is>
      </c>
      <c r="G820" s="39" t="inlineStr">
        <is>
          <t>Capacité par classe</t>
        </is>
      </c>
      <c r="H820" s="40" t="inlineStr">
        <is>
          <t>TECHNIQUE</t>
        </is>
      </c>
      <c r="I820" s="41" t="inlineStr">
        <is>
          <t>2025FCST_V4</t>
        </is>
      </c>
      <c r="J820" s="41" t="n">
        <v>2025</v>
      </c>
      <c r="K820" s="41" t="inlineStr">
        <is>
          <t>NB</t>
        </is>
      </c>
      <c r="L820" s="43" t="n">
        <v>32</v>
      </c>
    </row>
    <row r="821">
      <c r="B821" s="39" t="inlineStr">
        <is>
          <t>MBWAY_BOR</t>
        </is>
      </c>
      <c r="C821" s="40" t="inlineStr">
        <is>
          <t>BAC_MGT</t>
        </is>
      </c>
      <c r="D821" s="40" t="inlineStr">
        <is>
          <t>B1</t>
        </is>
      </c>
      <c r="E821" s="40" t="inlineStr">
        <is>
          <t>INIT</t>
        </is>
      </c>
      <c r="F821" s="40" t="inlineStr">
        <is>
          <t>DRV_CONV</t>
        </is>
      </c>
      <c r="G821" s="39" t="inlineStr">
        <is>
          <t>Taux de conversion candidat→inscrit</t>
        </is>
      </c>
      <c r="H821" s="40" t="inlineStr">
        <is>
          <t>TECHNIQUE</t>
        </is>
      </c>
      <c r="I821" s="41" t="inlineStr">
        <is>
          <t>2023ACT_VDEF</t>
        </is>
      </c>
      <c r="J821" s="41" t="n">
        <v>2023</v>
      </c>
      <c r="K821" s="41" t="inlineStr">
        <is>
          <t>PCT</t>
        </is>
      </c>
      <c r="L821" s="44" t="n">
        <v>0.3723</v>
      </c>
    </row>
    <row r="822">
      <c r="B822" s="39" t="inlineStr">
        <is>
          <t>MBWAY_BOR</t>
        </is>
      </c>
      <c r="C822" s="40" t="inlineStr">
        <is>
          <t>BAC_MGT</t>
        </is>
      </c>
      <c r="D822" s="40" t="inlineStr">
        <is>
          <t>B1</t>
        </is>
      </c>
      <c r="E822" s="40" t="inlineStr">
        <is>
          <t>INIT</t>
        </is>
      </c>
      <c r="F822" s="40" t="inlineStr">
        <is>
          <t>DRV_CONV</t>
        </is>
      </c>
      <c r="G822" s="39" t="inlineStr">
        <is>
          <t>Taux de conversion candidat→inscrit</t>
        </is>
      </c>
      <c r="H822" s="40" t="inlineStr">
        <is>
          <t>TECHNIQUE</t>
        </is>
      </c>
      <c r="I822" s="41" t="inlineStr">
        <is>
          <t>2024ACT_VDEF</t>
        </is>
      </c>
      <c r="J822" s="41" t="n">
        <v>2024</v>
      </c>
      <c r="K822" s="41" t="inlineStr">
        <is>
          <t>PCT</t>
        </is>
      </c>
      <c r="L822" s="44" t="n">
        <v>0.3723</v>
      </c>
    </row>
    <row r="823">
      <c r="B823" s="39" t="inlineStr">
        <is>
          <t>MBWAY_BOR</t>
        </is>
      </c>
      <c r="C823" s="40" t="inlineStr">
        <is>
          <t>BAC_MGT</t>
        </is>
      </c>
      <c r="D823" s="40" t="inlineStr">
        <is>
          <t>B1</t>
        </is>
      </c>
      <c r="E823" s="40" t="inlineStr">
        <is>
          <t>INIT</t>
        </is>
      </c>
      <c r="F823" s="40" t="inlineStr">
        <is>
          <t>DRV_CONV</t>
        </is>
      </c>
      <c r="G823" s="39" t="inlineStr">
        <is>
          <t>Taux de conversion candidat→inscrit</t>
        </is>
      </c>
      <c r="H823" s="40" t="inlineStr">
        <is>
          <t>TECHNIQUE</t>
        </is>
      </c>
      <c r="I823" s="41" t="inlineStr">
        <is>
          <t>2025FCST_V4</t>
        </is>
      </c>
      <c r="J823" s="41" t="n">
        <v>2025</v>
      </c>
      <c r="K823" s="41" t="inlineStr">
        <is>
          <t>PCT</t>
        </is>
      </c>
      <c r="L823" s="44" t="n">
        <v>0.3723</v>
      </c>
    </row>
    <row r="824">
      <c r="B824" s="39" t="inlineStr">
        <is>
          <t>MBWAY_BOR</t>
        </is>
      </c>
      <c r="C824" s="40" t="inlineStr">
        <is>
          <t>BAC_MGT</t>
        </is>
      </c>
      <c r="D824" s="40" t="inlineStr">
        <is>
          <t>B1</t>
        </is>
      </c>
      <c r="E824" s="40" t="inlineStr">
        <is>
          <t>INIT</t>
        </is>
      </c>
      <c r="F824" s="40" t="inlineStr">
        <is>
          <t>PRX_TARIF</t>
        </is>
      </c>
      <c r="G824" s="39" t="inlineStr">
        <is>
          <t>Tarif moyen scolarité</t>
        </is>
      </c>
      <c r="H824" s="40" t="inlineStr">
        <is>
          <t>TECHNIQUE</t>
        </is>
      </c>
      <c r="I824" s="41" t="inlineStr">
        <is>
          <t>2023ACT_VDEF</t>
        </is>
      </c>
      <c r="J824" s="41" t="n">
        <v>2023</v>
      </c>
      <c r="K824" s="41" t="inlineStr">
        <is>
          <t>EUR</t>
        </is>
      </c>
      <c r="L824" s="42" t="n">
        <v>8500</v>
      </c>
    </row>
    <row r="825">
      <c r="B825" s="39" t="inlineStr">
        <is>
          <t>MBWAY_BOR</t>
        </is>
      </c>
      <c r="C825" s="40" t="inlineStr">
        <is>
          <t>BAC_MGT</t>
        </is>
      </c>
      <c r="D825" s="40" t="inlineStr">
        <is>
          <t>B1</t>
        </is>
      </c>
      <c r="E825" s="40" t="inlineStr">
        <is>
          <t>INIT</t>
        </is>
      </c>
      <c r="F825" s="40" t="inlineStr">
        <is>
          <t>PRX_TARIF</t>
        </is>
      </c>
      <c r="G825" s="39" t="inlineStr">
        <is>
          <t>Tarif moyen scolarité</t>
        </is>
      </c>
      <c r="H825" s="40" t="inlineStr">
        <is>
          <t>TECHNIQUE</t>
        </is>
      </c>
      <c r="I825" s="41" t="inlineStr">
        <is>
          <t>2024ACT_VDEF</t>
        </is>
      </c>
      <c r="J825" s="41" t="n">
        <v>2024</v>
      </c>
      <c r="K825" s="41" t="inlineStr">
        <is>
          <t>EUR</t>
        </is>
      </c>
      <c r="L825" s="42" t="n">
        <v>8500</v>
      </c>
    </row>
    <row r="826">
      <c r="B826" s="39" t="inlineStr">
        <is>
          <t>MBWAY_BOR</t>
        </is>
      </c>
      <c r="C826" s="40" t="inlineStr">
        <is>
          <t>BAC_MGT</t>
        </is>
      </c>
      <c r="D826" s="40" t="inlineStr">
        <is>
          <t>B1</t>
        </is>
      </c>
      <c r="E826" s="40" t="inlineStr">
        <is>
          <t>INIT</t>
        </is>
      </c>
      <c r="F826" s="40" t="inlineStr">
        <is>
          <t>PRX_TARIF</t>
        </is>
      </c>
      <c r="G826" s="39" t="inlineStr">
        <is>
          <t>Tarif moyen scolarité</t>
        </is>
      </c>
      <c r="H826" s="40" t="inlineStr">
        <is>
          <t>TECHNIQUE</t>
        </is>
      </c>
      <c r="I826" s="41" t="inlineStr">
        <is>
          <t>2025FCST_V4</t>
        </is>
      </c>
      <c r="J826" s="41" t="n">
        <v>2025</v>
      </c>
      <c r="K826" s="41" t="inlineStr">
        <is>
          <t>EUR</t>
        </is>
      </c>
      <c r="L826" s="42" t="n">
        <v>8500</v>
      </c>
    </row>
    <row r="827">
      <c r="B827" s="39" t="inlineStr">
        <is>
          <t>MBWAY_BOR</t>
        </is>
      </c>
      <c r="C827" s="40" t="inlineStr">
        <is>
          <t>BAC_MGT</t>
        </is>
      </c>
      <c r="D827" s="40" t="inlineStr">
        <is>
          <t>B1</t>
        </is>
      </c>
      <c r="E827" s="40" t="inlineStr">
        <is>
          <t>INIT</t>
        </is>
      </c>
      <c r="F827" s="40" t="inlineStr">
        <is>
          <t>CAC_LEAD</t>
        </is>
      </c>
      <c r="G827" s="39" t="inlineStr">
        <is>
          <t>Coût d'acquisition par lead</t>
        </is>
      </c>
      <c r="H827" s="40" t="inlineStr">
        <is>
          <t>TECHNIQUE</t>
        </is>
      </c>
      <c r="I827" s="41" t="inlineStr">
        <is>
          <t>2023ACT_VDEF</t>
        </is>
      </c>
      <c r="J827" s="41" t="n">
        <v>2023</v>
      </c>
      <c r="K827" s="41" t="inlineStr">
        <is>
          <t>EUR</t>
        </is>
      </c>
      <c r="L827" s="42" t="n">
        <v>320</v>
      </c>
    </row>
    <row r="828">
      <c r="B828" s="39" t="inlineStr">
        <is>
          <t>MBWAY_BOR</t>
        </is>
      </c>
      <c r="C828" s="40" t="inlineStr">
        <is>
          <t>BAC_MGT</t>
        </is>
      </c>
      <c r="D828" s="40" t="inlineStr">
        <is>
          <t>B1</t>
        </is>
      </c>
      <c r="E828" s="40" t="inlineStr">
        <is>
          <t>INIT</t>
        </is>
      </c>
      <c r="F828" s="40" t="inlineStr">
        <is>
          <t>CAC_LEAD</t>
        </is>
      </c>
      <c r="G828" s="39" t="inlineStr">
        <is>
          <t>Coût d'acquisition par lead</t>
        </is>
      </c>
      <c r="H828" s="40" t="inlineStr">
        <is>
          <t>TECHNIQUE</t>
        </is>
      </c>
      <c r="I828" s="41" t="inlineStr">
        <is>
          <t>2024ACT_VDEF</t>
        </is>
      </c>
      <c r="J828" s="41" t="n">
        <v>2024</v>
      </c>
      <c r="K828" s="41" t="inlineStr">
        <is>
          <t>EUR</t>
        </is>
      </c>
      <c r="L828" s="42" t="n">
        <v>320</v>
      </c>
    </row>
    <row r="829">
      <c r="B829" s="39" t="inlineStr">
        <is>
          <t>MBWAY_BOR</t>
        </is>
      </c>
      <c r="C829" s="40" t="inlineStr">
        <is>
          <t>BAC_MGT</t>
        </is>
      </c>
      <c r="D829" s="40" t="inlineStr">
        <is>
          <t>B1</t>
        </is>
      </c>
      <c r="E829" s="40" t="inlineStr">
        <is>
          <t>INIT</t>
        </is>
      </c>
      <c r="F829" s="40" t="inlineStr">
        <is>
          <t>CAC_LEAD</t>
        </is>
      </c>
      <c r="G829" s="39" t="inlineStr">
        <is>
          <t>Coût d'acquisition par lead</t>
        </is>
      </c>
      <c r="H829" s="40" t="inlineStr">
        <is>
          <t>TECHNIQUE</t>
        </is>
      </c>
      <c r="I829" s="41" t="inlineStr">
        <is>
          <t>2025FCST_V4</t>
        </is>
      </c>
      <c r="J829" s="41" t="n">
        <v>2025</v>
      </c>
      <c r="K829" s="41" t="inlineStr">
        <is>
          <t>EUR</t>
        </is>
      </c>
      <c r="L829" s="42" t="n">
        <v>320</v>
      </c>
    </row>
    <row r="830">
      <c r="B830" s="39" t="inlineStr">
        <is>
          <t>MBWAY_BOR</t>
        </is>
      </c>
      <c r="C830" s="40" t="inlineStr">
        <is>
          <t>BAC_MGT</t>
        </is>
      </c>
      <c r="D830" s="40" t="inlineStr">
        <is>
          <t>B2</t>
        </is>
      </c>
      <c r="E830" s="40" t="inlineStr">
        <is>
          <t>ALT</t>
        </is>
      </c>
      <c r="F830" s="40" t="inlineStr">
        <is>
          <t>706100</t>
        </is>
      </c>
      <c r="G830" s="39" t="inlineStr">
        <is>
          <t>Droits de scolarité</t>
        </is>
      </c>
      <c r="H830" s="40" t="inlineStr">
        <is>
          <t>COMPTABLE</t>
        </is>
      </c>
      <c r="I830" s="41" t="inlineStr">
        <is>
          <t>2023ACT_VDEF</t>
        </is>
      </c>
      <c r="J830" s="41" t="n">
        <v>2023</v>
      </c>
      <c r="K830" s="41" t="inlineStr">
        <is>
          <t>EUR</t>
        </is>
      </c>
      <c r="L830" s="42" t="n">
        <v>309600</v>
      </c>
    </row>
    <row r="831">
      <c r="B831" s="39" t="inlineStr">
        <is>
          <t>MBWAY_BOR</t>
        </is>
      </c>
      <c r="C831" s="40" t="inlineStr">
        <is>
          <t>BAC_MGT</t>
        </is>
      </c>
      <c r="D831" s="40" t="inlineStr">
        <is>
          <t>B2</t>
        </is>
      </c>
      <c r="E831" s="40" t="inlineStr">
        <is>
          <t>ALT</t>
        </is>
      </c>
      <c r="F831" s="40" t="inlineStr">
        <is>
          <t>706100</t>
        </is>
      </c>
      <c r="G831" s="39" t="inlineStr">
        <is>
          <t>Droits de scolarité</t>
        </is>
      </c>
      <c r="H831" s="40" t="inlineStr">
        <is>
          <t>COMPTABLE</t>
        </is>
      </c>
      <c r="I831" s="41" t="inlineStr">
        <is>
          <t>2024ACT_VDEF</t>
        </is>
      </c>
      <c r="J831" s="41" t="n">
        <v>2024</v>
      </c>
      <c r="K831" s="41" t="inlineStr">
        <is>
          <t>EUR</t>
        </is>
      </c>
      <c r="L831" s="42" t="n">
        <v>326800</v>
      </c>
    </row>
    <row r="832">
      <c r="B832" s="39" t="inlineStr">
        <is>
          <t>MBWAY_BOR</t>
        </is>
      </c>
      <c r="C832" s="40" t="inlineStr">
        <is>
          <t>BAC_MGT</t>
        </is>
      </c>
      <c r="D832" s="40" t="inlineStr">
        <is>
          <t>B2</t>
        </is>
      </c>
      <c r="E832" s="40" t="inlineStr">
        <is>
          <t>ALT</t>
        </is>
      </c>
      <c r="F832" s="40" t="inlineStr">
        <is>
          <t>706100</t>
        </is>
      </c>
      <c r="G832" s="39" t="inlineStr">
        <is>
          <t>Droits de scolarité</t>
        </is>
      </c>
      <c r="H832" s="40" t="inlineStr">
        <is>
          <t>COMPTABLE</t>
        </is>
      </c>
      <c r="I832" s="41" t="inlineStr">
        <is>
          <t>2025FCST_V4</t>
        </is>
      </c>
      <c r="J832" s="41" t="n">
        <v>2025</v>
      </c>
      <c r="K832" s="41" t="inlineStr">
        <is>
          <t>EUR</t>
        </is>
      </c>
      <c r="L832" s="42" t="n">
        <v>344000</v>
      </c>
    </row>
    <row r="833">
      <c r="B833" s="39" t="inlineStr">
        <is>
          <t>MBWAY_BOR</t>
        </is>
      </c>
      <c r="C833" s="40" t="inlineStr">
        <is>
          <t>BAC_MGT</t>
        </is>
      </c>
      <c r="D833" s="40" t="inlineStr">
        <is>
          <t>B2</t>
        </is>
      </c>
      <c r="E833" s="40" t="inlineStr">
        <is>
          <t>ALT</t>
        </is>
      </c>
      <c r="F833" s="40" t="inlineStr">
        <is>
          <t>604100</t>
        </is>
      </c>
      <c r="G833" s="39" t="inlineStr">
        <is>
          <t>Vacations &amp; sous-traitance pédagogique</t>
        </is>
      </c>
      <c r="H833" s="40" t="inlineStr">
        <is>
          <t>COMPTABLE</t>
        </is>
      </c>
      <c r="I833" s="41" t="inlineStr">
        <is>
          <t>2023ACT_VDEF</t>
        </is>
      </c>
      <c r="J833" s="41" t="n">
        <v>2023</v>
      </c>
      <c r="K833" s="41" t="inlineStr">
        <is>
          <t>EUR</t>
        </is>
      </c>
      <c r="L833" s="42" t="n">
        <v>58464</v>
      </c>
    </row>
    <row r="834">
      <c r="B834" s="39" t="inlineStr">
        <is>
          <t>MBWAY_BOR</t>
        </is>
      </c>
      <c r="C834" s="40" t="inlineStr">
        <is>
          <t>BAC_MGT</t>
        </is>
      </c>
      <c r="D834" s="40" t="inlineStr">
        <is>
          <t>B2</t>
        </is>
      </c>
      <c r="E834" s="40" t="inlineStr">
        <is>
          <t>ALT</t>
        </is>
      </c>
      <c r="F834" s="40" t="inlineStr">
        <is>
          <t>604100</t>
        </is>
      </c>
      <c r="G834" s="39" t="inlineStr">
        <is>
          <t>Vacations &amp; sous-traitance pédagogique</t>
        </is>
      </c>
      <c r="H834" s="40" t="inlineStr">
        <is>
          <t>COMPTABLE</t>
        </is>
      </c>
      <c r="I834" s="41" t="inlineStr">
        <is>
          <t>2024ACT_VDEF</t>
        </is>
      </c>
      <c r="J834" s="41" t="n">
        <v>2024</v>
      </c>
      <c r="K834" s="41" t="inlineStr">
        <is>
          <t>EUR</t>
        </is>
      </c>
      <c r="L834" s="42" t="n">
        <v>61712</v>
      </c>
    </row>
    <row r="835">
      <c r="B835" s="39" t="inlineStr">
        <is>
          <t>MBWAY_BOR</t>
        </is>
      </c>
      <c r="C835" s="40" t="inlineStr">
        <is>
          <t>BAC_MGT</t>
        </is>
      </c>
      <c r="D835" s="40" t="inlineStr">
        <is>
          <t>B2</t>
        </is>
      </c>
      <c r="E835" s="40" t="inlineStr">
        <is>
          <t>ALT</t>
        </is>
      </c>
      <c r="F835" s="40" t="inlineStr">
        <is>
          <t>604100</t>
        </is>
      </c>
      <c r="G835" s="39" t="inlineStr">
        <is>
          <t>Vacations &amp; sous-traitance pédagogique</t>
        </is>
      </c>
      <c r="H835" s="40" t="inlineStr">
        <is>
          <t>COMPTABLE</t>
        </is>
      </c>
      <c r="I835" s="41" t="inlineStr">
        <is>
          <t>2025FCST_V4</t>
        </is>
      </c>
      <c r="J835" s="41" t="n">
        <v>2025</v>
      </c>
      <c r="K835" s="41" t="inlineStr">
        <is>
          <t>EUR</t>
        </is>
      </c>
      <c r="L835" s="42" t="n">
        <v>64960</v>
      </c>
    </row>
    <row r="836">
      <c r="B836" s="39" t="inlineStr">
        <is>
          <t>MBWAY_BOR</t>
        </is>
      </c>
      <c r="C836" s="40" t="inlineStr">
        <is>
          <t>BAC_MGT</t>
        </is>
      </c>
      <c r="D836" s="40" t="inlineStr">
        <is>
          <t>B2</t>
        </is>
      </c>
      <c r="E836" s="40" t="inlineStr">
        <is>
          <t>ALT</t>
        </is>
      </c>
      <c r="F836" s="40" t="inlineStr">
        <is>
          <t>606300</t>
        </is>
      </c>
      <c r="G836" s="39" t="inlineStr">
        <is>
          <t>Fournitures &amp; ressources pédagogiques</t>
        </is>
      </c>
      <c r="H836" s="40" t="inlineStr">
        <is>
          <t>COMPTABLE</t>
        </is>
      </c>
      <c r="I836" s="41" t="inlineStr">
        <is>
          <t>2023ACT_VDEF</t>
        </is>
      </c>
      <c r="J836" s="41" t="n">
        <v>2023</v>
      </c>
      <c r="K836" s="41" t="inlineStr">
        <is>
          <t>EUR</t>
        </is>
      </c>
      <c r="L836" s="42" t="n">
        <v>15480</v>
      </c>
    </row>
    <row r="837">
      <c r="B837" s="39" t="inlineStr">
        <is>
          <t>MBWAY_BOR</t>
        </is>
      </c>
      <c r="C837" s="40" t="inlineStr">
        <is>
          <t>BAC_MGT</t>
        </is>
      </c>
      <c r="D837" s="40" t="inlineStr">
        <is>
          <t>B2</t>
        </is>
      </c>
      <c r="E837" s="40" t="inlineStr">
        <is>
          <t>ALT</t>
        </is>
      </c>
      <c r="F837" s="40" t="inlineStr">
        <is>
          <t>606300</t>
        </is>
      </c>
      <c r="G837" s="39" t="inlineStr">
        <is>
          <t>Fournitures &amp; ressources pédagogiques</t>
        </is>
      </c>
      <c r="H837" s="40" t="inlineStr">
        <is>
          <t>COMPTABLE</t>
        </is>
      </c>
      <c r="I837" s="41" t="inlineStr">
        <is>
          <t>2024ACT_VDEF</t>
        </is>
      </c>
      <c r="J837" s="41" t="n">
        <v>2024</v>
      </c>
      <c r="K837" s="41" t="inlineStr">
        <is>
          <t>EUR</t>
        </is>
      </c>
      <c r="L837" s="42" t="n">
        <v>16340</v>
      </c>
    </row>
    <row r="838">
      <c r="B838" s="39" t="inlineStr">
        <is>
          <t>MBWAY_BOR</t>
        </is>
      </c>
      <c r="C838" s="40" t="inlineStr">
        <is>
          <t>BAC_MGT</t>
        </is>
      </c>
      <c r="D838" s="40" t="inlineStr">
        <is>
          <t>B2</t>
        </is>
      </c>
      <c r="E838" s="40" t="inlineStr">
        <is>
          <t>ALT</t>
        </is>
      </c>
      <c r="F838" s="40" t="inlineStr">
        <is>
          <t>606300</t>
        </is>
      </c>
      <c r="G838" s="39" t="inlineStr">
        <is>
          <t>Fournitures &amp; ressources pédagogiques</t>
        </is>
      </c>
      <c r="H838" s="40" t="inlineStr">
        <is>
          <t>COMPTABLE</t>
        </is>
      </c>
      <c r="I838" s="41" t="inlineStr">
        <is>
          <t>2025FCST_V4</t>
        </is>
      </c>
      <c r="J838" s="41" t="n">
        <v>2025</v>
      </c>
      <c r="K838" s="41" t="inlineStr">
        <is>
          <t>EUR</t>
        </is>
      </c>
      <c r="L838" s="42" t="n">
        <v>17200</v>
      </c>
    </row>
    <row r="839">
      <c r="B839" s="39" t="inlineStr">
        <is>
          <t>MBWAY_BOR</t>
        </is>
      </c>
      <c r="C839" s="40" t="inlineStr">
        <is>
          <t>BAC_MGT</t>
        </is>
      </c>
      <c r="D839" s="40" t="inlineStr">
        <is>
          <t>B2</t>
        </is>
      </c>
      <c r="E839" s="40" t="inlineStr">
        <is>
          <t>ALT</t>
        </is>
      </c>
      <c r="F839" s="40" t="inlineStr">
        <is>
          <t>613200</t>
        </is>
      </c>
      <c r="G839" s="39" t="inlineStr">
        <is>
          <t>Locations immobilières (loyers)</t>
        </is>
      </c>
      <c r="H839" s="40" t="inlineStr">
        <is>
          <t>COMPTABLE</t>
        </is>
      </c>
      <c r="I839" s="41" t="inlineStr">
        <is>
          <t>2023ACT_VDEF</t>
        </is>
      </c>
      <c r="J839" s="41" t="n">
        <v>2023</v>
      </c>
      <c r="K839" s="41" t="inlineStr">
        <is>
          <t>EUR</t>
        </is>
      </c>
      <c r="L839" s="42" t="n">
        <v>32040</v>
      </c>
    </row>
    <row r="840">
      <c r="B840" s="39" t="inlineStr">
        <is>
          <t>MBWAY_BOR</t>
        </is>
      </c>
      <c r="C840" s="40" t="inlineStr">
        <is>
          <t>BAC_MGT</t>
        </is>
      </c>
      <c r="D840" s="40" t="inlineStr">
        <is>
          <t>B2</t>
        </is>
      </c>
      <c r="E840" s="40" t="inlineStr">
        <is>
          <t>ALT</t>
        </is>
      </c>
      <c r="F840" s="40" t="inlineStr">
        <is>
          <t>613200</t>
        </is>
      </c>
      <c r="G840" s="39" t="inlineStr">
        <is>
          <t>Locations immobilières (loyers)</t>
        </is>
      </c>
      <c r="H840" s="40" t="inlineStr">
        <is>
          <t>COMPTABLE</t>
        </is>
      </c>
      <c r="I840" s="41" t="inlineStr">
        <is>
          <t>2024ACT_VDEF</t>
        </is>
      </c>
      <c r="J840" s="41" t="n">
        <v>2024</v>
      </c>
      <c r="K840" s="41" t="inlineStr">
        <is>
          <t>EUR</t>
        </is>
      </c>
      <c r="L840" s="42" t="n">
        <v>33820</v>
      </c>
    </row>
    <row r="841">
      <c r="B841" s="39" t="inlineStr">
        <is>
          <t>MBWAY_BOR</t>
        </is>
      </c>
      <c r="C841" s="40" t="inlineStr">
        <is>
          <t>BAC_MGT</t>
        </is>
      </c>
      <c r="D841" s="40" t="inlineStr">
        <is>
          <t>B2</t>
        </is>
      </c>
      <c r="E841" s="40" t="inlineStr">
        <is>
          <t>ALT</t>
        </is>
      </c>
      <c r="F841" s="40" t="inlineStr">
        <is>
          <t>613200</t>
        </is>
      </c>
      <c r="G841" s="39" t="inlineStr">
        <is>
          <t>Locations immobilières (loyers)</t>
        </is>
      </c>
      <c r="H841" s="40" t="inlineStr">
        <is>
          <t>COMPTABLE</t>
        </is>
      </c>
      <c r="I841" s="41" t="inlineStr">
        <is>
          <t>2025FCST_V4</t>
        </is>
      </c>
      <c r="J841" s="41" t="n">
        <v>2025</v>
      </c>
      <c r="K841" s="41" t="inlineStr">
        <is>
          <t>EUR</t>
        </is>
      </c>
      <c r="L841" s="42" t="n">
        <v>35600</v>
      </c>
    </row>
    <row r="842">
      <c r="B842" s="39" t="inlineStr">
        <is>
          <t>MBWAY_BOR</t>
        </is>
      </c>
      <c r="C842" s="40" t="inlineStr">
        <is>
          <t>BAC_MGT</t>
        </is>
      </c>
      <c r="D842" s="40" t="inlineStr">
        <is>
          <t>B2</t>
        </is>
      </c>
      <c r="E842" s="40" t="inlineStr">
        <is>
          <t>ALT</t>
        </is>
      </c>
      <c r="F842" s="40" t="inlineStr">
        <is>
          <t>641100</t>
        </is>
      </c>
      <c r="G842" s="39" t="inlineStr">
        <is>
          <t>Rémunérations du personnel permanent</t>
        </is>
      </c>
      <c r="H842" s="40" t="inlineStr">
        <is>
          <t>COMPTABLE</t>
        </is>
      </c>
      <c r="I842" s="41" t="inlineStr">
        <is>
          <t>2023ACT_VDEF</t>
        </is>
      </c>
      <c r="J842" s="41" t="n">
        <v>2023</v>
      </c>
      <c r="K842" s="41" t="inlineStr">
        <is>
          <t>EUR</t>
        </is>
      </c>
      <c r="L842" s="42" t="n">
        <v>73080</v>
      </c>
    </row>
    <row r="843">
      <c r="B843" s="39" t="inlineStr">
        <is>
          <t>MBWAY_BOR</t>
        </is>
      </c>
      <c r="C843" s="40" t="inlineStr">
        <is>
          <t>BAC_MGT</t>
        </is>
      </c>
      <c r="D843" s="40" t="inlineStr">
        <is>
          <t>B2</t>
        </is>
      </c>
      <c r="E843" s="40" t="inlineStr">
        <is>
          <t>ALT</t>
        </is>
      </c>
      <c r="F843" s="40" t="inlineStr">
        <is>
          <t>641100</t>
        </is>
      </c>
      <c r="G843" s="39" t="inlineStr">
        <is>
          <t>Rémunérations du personnel permanent</t>
        </is>
      </c>
      <c r="H843" s="40" t="inlineStr">
        <is>
          <t>COMPTABLE</t>
        </is>
      </c>
      <c r="I843" s="41" t="inlineStr">
        <is>
          <t>2024ACT_VDEF</t>
        </is>
      </c>
      <c r="J843" s="41" t="n">
        <v>2024</v>
      </c>
      <c r="K843" s="41" t="inlineStr">
        <is>
          <t>EUR</t>
        </is>
      </c>
      <c r="L843" s="42" t="n">
        <v>77140</v>
      </c>
    </row>
    <row r="844">
      <c r="B844" s="39" t="inlineStr">
        <is>
          <t>MBWAY_BOR</t>
        </is>
      </c>
      <c r="C844" s="40" t="inlineStr">
        <is>
          <t>BAC_MGT</t>
        </is>
      </c>
      <c r="D844" s="40" t="inlineStr">
        <is>
          <t>B2</t>
        </is>
      </c>
      <c r="E844" s="40" t="inlineStr">
        <is>
          <t>ALT</t>
        </is>
      </c>
      <c r="F844" s="40" t="inlineStr">
        <is>
          <t>641100</t>
        </is>
      </c>
      <c r="G844" s="39" t="inlineStr">
        <is>
          <t>Rémunérations du personnel permanent</t>
        </is>
      </c>
      <c r="H844" s="40" t="inlineStr">
        <is>
          <t>COMPTABLE</t>
        </is>
      </c>
      <c r="I844" s="41" t="inlineStr">
        <is>
          <t>2025FCST_V4</t>
        </is>
      </c>
      <c r="J844" s="41" t="n">
        <v>2025</v>
      </c>
      <c r="K844" s="41" t="inlineStr">
        <is>
          <t>EUR</t>
        </is>
      </c>
      <c r="L844" s="42" t="n">
        <v>81200</v>
      </c>
    </row>
    <row r="845">
      <c r="B845" s="39" t="inlineStr">
        <is>
          <t>MBWAY_BOR</t>
        </is>
      </c>
      <c r="C845" s="40" t="inlineStr">
        <is>
          <t>BAC_MGT</t>
        </is>
      </c>
      <c r="D845" s="40" t="inlineStr">
        <is>
          <t>B2</t>
        </is>
      </c>
      <c r="E845" s="40" t="inlineStr">
        <is>
          <t>ALT</t>
        </is>
      </c>
      <c r="F845" s="40" t="inlineStr">
        <is>
          <t>622600</t>
        </is>
      </c>
      <c r="G845" s="39" t="inlineStr">
        <is>
          <t>Honoraires &amp; frais de siège (structure groupe)</t>
        </is>
      </c>
      <c r="H845" s="40" t="inlineStr">
        <is>
          <t>COMPTABLE</t>
        </is>
      </c>
      <c r="I845" s="41" t="inlineStr">
        <is>
          <t>2023ACT_VDEF</t>
        </is>
      </c>
      <c r="J845" s="41" t="n">
        <v>2023</v>
      </c>
      <c r="K845" s="41" t="inlineStr">
        <is>
          <t>EUR</t>
        </is>
      </c>
      <c r="L845" s="42" t="n">
        <v>29167</v>
      </c>
    </row>
    <row r="846">
      <c r="B846" s="39" t="inlineStr">
        <is>
          <t>MBWAY_BOR</t>
        </is>
      </c>
      <c r="C846" s="40" t="inlineStr">
        <is>
          <t>BAC_MGT</t>
        </is>
      </c>
      <c r="D846" s="40" t="inlineStr">
        <is>
          <t>B2</t>
        </is>
      </c>
      <c r="E846" s="40" t="inlineStr">
        <is>
          <t>ALT</t>
        </is>
      </c>
      <c r="F846" s="40" t="inlineStr">
        <is>
          <t>622600</t>
        </is>
      </c>
      <c r="G846" s="39" t="inlineStr">
        <is>
          <t>Honoraires &amp; frais de siège (structure groupe)</t>
        </is>
      </c>
      <c r="H846" s="40" t="inlineStr">
        <is>
          <t>COMPTABLE</t>
        </is>
      </c>
      <c r="I846" s="41" t="inlineStr">
        <is>
          <t>2024ACT_VDEF</t>
        </is>
      </c>
      <c r="J846" s="41" t="n">
        <v>2024</v>
      </c>
      <c r="K846" s="41" t="inlineStr">
        <is>
          <t>EUR</t>
        </is>
      </c>
      <c r="L846" s="42" t="n">
        <v>30788</v>
      </c>
    </row>
    <row r="847">
      <c r="B847" s="39" t="inlineStr">
        <is>
          <t>MBWAY_BOR</t>
        </is>
      </c>
      <c r="C847" s="40" t="inlineStr">
        <is>
          <t>BAC_MGT</t>
        </is>
      </c>
      <c r="D847" s="40" t="inlineStr">
        <is>
          <t>B2</t>
        </is>
      </c>
      <c r="E847" s="40" t="inlineStr">
        <is>
          <t>ALT</t>
        </is>
      </c>
      <c r="F847" s="40" t="inlineStr">
        <is>
          <t>622600</t>
        </is>
      </c>
      <c r="G847" s="39" t="inlineStr">
        <is>
          <t>Honoraires &amp; frais de siège (structure groupe)</t>
        </is>
      </c>
      <c r="H847" s="40" t="inlineStr">
        <is>
          <t>COMPTABLE</t>
        </is>
      </c>
      <c r="I847" s="41" t="inlineStr">
        <is>
          <t>2025FCST_V4</t>
        </is>
      </c>
      <c r="J847" s="41" t="n">
        <v>2025</v>
      </c>
      <c r="K847" s="41" t="inlineStr">
        <is>
          <t>EUR</t>
        </is>
      </c>
      <c r="L847" s="42" t="n">
        <v>32408</v>
      </c>
    </row>
    <row r="848">
      <c r="B848" s="39" t="inlineStr">
        <is>
          <t>MBWAY_BOR</t>
        </is>
      </c>
      <c r="C848" s="40" t="inlineStr">
        <is>
          <t>BAC_MGT</t>
        </is>
      </c>
      <c r="D848" s="40" t="inlineStr">
        <is>
          <t>B2</t>
        </is>
      </c>
      <c r="E848" s="40" t="inlineStr">
        <is>
          <t>ALT</t>
        </is>
      </c>
      <c r="F848" s="40" t="inlineStr">
        <is>
          <t>606800</t>
        </is>
      </c>
      <c r="G848" s="39" t="inlineStr">
        <is>
          <t>Autres achats &amp; charges externes</t>
        </is>
      </c>
      <c r="H848" s="40" t="inlineStr">
        <is>
          <t>COMPTABLE</t>
        </is>
      </c>
      <c r="I848" s="41" t="inlineStr">
        <is>
          <t>2023ACT_VDEF</t>
        </is>
      </c>
      <c r="J848" s="41" t="n">
        <v>2023</v>
      </c>
      <c r="K848" s="41" t="inlineStr">
        <is>
          <t>EUR</t>
        </is>
      </c>
      <c r="L848" s="42" t="n">
        <v>36146</v>
      </c>
    </row>
    <row r="849">
      <c r="B849" s="39" t="inlineStr">
        <is>
          <t>MBWAY_BOR</t>
        </is>
      </c>
      <c r="C849" s="40" t="inlineStr">
        <is>
          <t>BAC_MGT</t>
        </is>
      </c>
      <c r="D849" s="40" t="inlineStr">
        <is>
          <t>B2</t>
        </is>
      </c>
      <c r="E849" s="40" t="inlineStr">
        <is>
          <t>ALT</t>
        </is>
      </c>
      <c r="F849" s="40" t="inlineStr">
        <is>
          <t>606800</t>
        </is>
      </c>
      <c r="G849" s="39" t="inlineStr">
        <is>
          <t>Autres achats &amp; charges externes</t>
        </is>
      </c>
      <c r="H849" s="40" t="inlineStr">
        <is>
          <t>COMPTABLE</t>
        </is>
      </c>
      <c r="I849" s="41" t="inlineStr">
        <is>
          <t>2024ACT_VDEF</t>
        </is>
      </c>
      <c r="J849" s="41" t="n">
        <v>2024</v>
      </c>
      <c r="K849" s="41" t="inlineStr">
        <is>
          <t>EUR</t>
        </is>
      </c>
      <c r="L849" s="42" t="n">
        <v>38154</v>
      </c>
    </row>
    <row r="850">
      <c r="B850" s="39" t="inlineStr">
        <is>
          <t>MBWAY_BOR</t>
        </is>
      </c>
      <c r="C850" s="40" t="inlineStr">
        <is>
          <t>BAC_MGT</t>
        </is>
      </c>
      <c r="D850" s="40" t="inlineStr">
        <is>
          <t>B2</t>
        </is>
      </c>
      <c r="E850" s="40" t="inlineStr">
        <is>
          <t>ALT</t>
        </is>
      </c>
      <c r="F850" s="40" t="inlineStr">
        <is>
          <t>606800</t>
        </is>
      </c>
      <c r="G850" s="39" t="inlineStr">
        <is>
          <t>Autres achats &amp; charges externes</t>
        </is>
      </c>
      <c r="H850" s="40" t="inlineStr">
        <is>
          <t>COMPTABLE</t>
        </is>
      </c>
      <c r="I850" s="41" t="inlineStr">
        <is>
          <t>2025FCST_V4</t>
        </is>
      </c>
      <c r="J850" s="41" t="n">
        <v>2025</v>
      </c>
      <c r="K850" s="41" t="inlineStr">
        <is>
          <t>EUR</t>
        </is>
      </c>
      <c r="L850" s="42" t="n">
        <v>40162</v>
      </c>
    </row>
    <row r="851">
      <c r="B851" s="39" t="inlineStr">
        <is>
          <t>MBWAY_BOR</t>
        </is>
      </c>
      <c r="C851" s="40" t="inlineStr">
        <is>
          <t>BAC_MGT</t>
        </is>
      </c>
      <c r="D851" s="40" t="inlineStr">
        <is>
          <t>B2</t>
        </is>
      </c>
      <c r="E851" s="40" t="inlineStr">
        <is>
          <t>ALT</t>
        </is>
      </c>
      <c r="F851" s="40" t="inlineStr">
        <is>
          <t>681100</t>
        </is>
      </c>
      <c r="G851" s="39" t="inlineStr">
        <is>
          <t>Dotations aux amortissements</t>
        </is>
      </c>
      <c r="H851" s="40" t="inlineStr">
        <is>
          <t>COMPTABLE</t>
        </is>
      </c>
      <c r="I851" s="41" t="inlineStr">
        <is>
          <t>2023ACT_VDEF</t>
        </is>
      </c>
      <c r="J851" s="41" t="n">
        <v>2023</v>
      </c>
      <c r="K851" s="41" t="inlineStr">
        <is>
          <t>EUR</t>
        </is>
      </c>
      <c r="L851" s="42" t="n">
        <v>17460</v>
      </c>
    </row>
    <row r="852">
      <c r="B852" s="39" t="inlineStr">
        <is>
          <t>MBWAY_BOR</t>
        </is>
      </c>
      <c r="C852" s="40" t="inlineStr">
        <is>
          <t>BAC_MGT</t>
        </is>
      </c>
      <c r="D852" s="40" t="inlineStr">
        <is>
          <t>B2</t>
        </is>
      </c>
      <c r="E852" s="40" t="inlineStr">
        <is>
          <t>ALT</t>
        </is>
      </c>
      <c r="F852" s="40" t="inlineStr">
        <is>
          <t>681100</t>
        </is>
      </c>
      <c r="G852" s="39" t="inlineStr">
        <is>
          <t>Dotations aux amortissements</t>
        </is>
      </c>
      <c r="H852" s="40" t="inlineStr">
        <is>
          <t>COMPTABLE</t>
        </is>
      </c>
      <c r="I852" s="41" t="inlineStr">
        <is>
          <t>2024ACT_VDEF</t>
        </is>
      </c>
      <c r="J852" s="41" t="n">
        <v>2024</v>
      </c>
      <c r="K852" s="41" t="inlineStr">
        <is>
          <t>EUR</t>
        </is>
      </c>
      <c r="L852" s="42" t="n">
        <v>18430</v>
      </c>
    </row>
    <row r="853">
      <c r="B853" s="39" t="inlineStr">
        <is>
          <t>MBWAY_BOR</t>
        </is>
      </c>
      <c r="C853" s="40" t="inlineStr">
        <is>
          <t>BAC_MGT</t>
        </is>
      </c>
      <c r="D853" s="40" t="inlineStr">
        <is>
          <t>B2</t>
        </is>
      </c>
      <c r="E853" s="40" t="inlineStr">
        <is>
          <t>ALT</t>
        </is>
      </c>
      <c r="F853" s="40" t="inlineStr">
        <is>
          <t>681100</t>
        </is>
      </c>
      <c r="G853" s="39" t="inlineStr">
        <is>
          <t>Dotations aux amortissements</t>
        </is>
      </c>
      <c r="H853" s="40" t="inlineStr">
        <is>
          <t>COMPTABLE</t>
        </is>
      </c>
      <c r="I853" s="41" t="inlineStr">
        <is>
          <t>2025FCST_V4</t>
        </is>
      </c>
      <c r="J853" s="41" t="n">
        <v>2025</v>
      </c>
      <c r="K853" s="41" t="inlineStr">
        <is>
          <t>EUR</t>
        </is>
      </c>
      <c r="L853" s="42" t="n">
        <v>19400</v>
      </c>
    </row>
    <row r="854">
      <c r="B854" s="39" t="inlineStr">
        <is>
          <t>MBWAY_BOR</t>
        </is>
      </c>
      <c r="C854" s="40" t="inlineStr">
        <is>
          <t>BAC_MGT</t>
        </is>
      </c>
      <c r="D854" s="40" t="inlineStr">
        <is>
          <t>B2</t>
        </is>
      </c>
      <c r="E854" s="40" t="inlineStr">
        <is>
          <t>ALT</t>
        </is>
      </c>
      <c r="F854" s="40" t="inlineStr">
        <is>
          <t>STA_EFF</t>
        </is>
      </c>
      <c r="G854" s="39" t="inlineStr">
        <is>
          <t>Effectif inscrit</t>
        </is>
      </c>
      <c r="H854" s="40" t="inlineStr">
        <is>
          <t>TECHNIQUE</t>
        </is>
      </c>
      <c r="I854" s="41" t="inlineStr">
        <is>
          <t>2023ACT_VDEF</t>
        </is>
      </c>
      <c r="J854" s="41" t="n">
        <v>2023</v>
      </c>
      <c r="K854" s="41" t="inlineStr">
        <is>
          <t>NB</t>
        </is>
      </c>
      <c r="L854" s="43" t="n">
        <v>39</v>
      </c>
    </row>
    <row r="855">
      <c r="B855" s="39" t="inlineStr">
        <is>
          <t>MBWAY_BOR</t>
        </is>
      </c>
      <c r="C855" s="40" t="inlineStr">
        <is>
          <t>BAC_MGT</t>
        </is>
      </c>
      <c r="D855" s="40" t="inlineStr">
        <is>
          <t>B2</t>
        </is>
      </c>
      <c r="E855" s="40" t="inlineStr">
        <is>
          <t>ALT</t>
        </is>
      </c>
      <c r="F855" s="40" t="inlineStr">
        <is>
          <t>STA_EFF</t>
        </is>
      </c>
      <c r="G855" s="39" t="inlineStr">
        <is>
          <t>Effectif inscrit</t>
        </is>
      </c>
      <c r="H855" s="40" t="inlineStr">
        <is>
          <t>TECHNIQUE</t>
        </is>
      </c>
      <c r="I855" s="41" t="inlineStr">
        <is>
          <t>2024ACT_VDEF</t>
        </is>
      </c>
      <c r="J855" s="41" t="n">
        <v>2024</v>
      </c>
      <c r="K855" s="41" t="inlineStr">
        <is>
          <t>NB</t>
        </is>
      </c>
      <c r="L855" s="43" t="n">
        <v>41</v>
      </c>
    </row>
    <row r="856">
      <c r="B856" s="39" t="inlineStr">
        <is>
          <t>MBWAY_BOR</t>
        </is>
      </c>
      <c r="C856" s="40" t="inlineStr">
        <is>
          <t>BAC_MGT</t>
        </is>
      </c>
      <c r="D856" s="40" t="inlineStr">
        <is>
          <t>B2</t>
        </is>
      </c>
      <c r="E856" s="40" t="inlineStr">
        <is>
          <t>ALT</t>
        </is>
      </c>
      <c r="F856" s="40" t="inlineStr">
        <is>
          <t>STA_EFF</t>
        </is>
      </c>
      <c r="G856" s="39" t="inlineStr">
        <is>
          <t>Effectif inscrit</t>
        </is>
      </c>
      <c r="H856" s="40" t="inlineStr">
        <is>
          <t>TECHNIQUE</t>
        </is>
      </c>
      <c r="I856" s="41" t="inlineStr">
        <is>
          <t>2025FCST_V4</t>
        </is>
      </c>
      <c r="J856" s="41" t="n">
        <v>2025</v>
      </c>
      <c r="K856" s="41" t="inlineStr">
        <is>
          <t>NB</t>
        </is>
      </c>
      <c r="L856" s="43" t="n">
        <v>43</v>
      </c>
    </row>
    <row r="857">
      <c r="B857" s="39" t="inlineStr">
        <is>
          <t>MBWAY_BOR</t>
        </is>
      </c>
      <c r="C857" s="40" t="inlineStr">
        <is>
          <t>BAC_MGT</t>
        </is>
      </c>
      <c r="D857" s="40" t="inlineStr">
        <is>
          <t>B2</t>
        </is>
      </c>
      <c r="E857" s="40" t="inlineStr">
        <is>
          <t>ALT</t>
        </is>
      </c>
      <c r="F857" s="40" t="inlineStr">
        <is>
          <t>STA_REINS</t>
        </is>
      </c>
      <c r="G857" s="39" t="inlineStr">
        <is>
          <t>Réinscrits</t>
        </is>
      </c>
      <c r="H857" s="40" t="inlineStr">
        <is>
          <t>TECHNIQUE</t>
        </is>
      </c>
      <c r="I857" s="41" t="inlineStr">
        <is>
          <t>2023ACT_VDEF</t>
        </is>
      </c>
      <c r="J857" s="41" t="n">
        <v>2023</v>
      </c>
      <c r="K857" s="41" t="inlineStr">
        <is>
          <t>NB</t>
        </is>
      </c>
      <c r="L857" s="43" t="n">
        <v>39</v>
      </c>
    </row>
    <row r="858">
      <c r="B858" s="39" t="inlineStr">
        <is>
          <t>MBWAY_BOR</t>
        </is>
      </c>
      <c r="C858" s="40" t="inlineStr">
        <is>
          <t>BAC_MGT</t>
        </is>
      </c>
      <c r="D858" s="40" t="inlineStr">
        <is>
          <t>B2</t>
        </is>
      </c>
      <c r="E858" s="40" t="inlineStr">
        <is>
          <t>ALT</t>
        </is>
      </c>
      <c r="F858" s="40" t="inlineStr">
        <is>
          <t>STA_REINS</t>
        </is>
      </c>
      <c r="G858" s="39" t="inlineStr">
        <is>
          <t>Réinscrits</t>
        </is>
      </c>
      <c r="H858" s="40" t="inlineStr">
        <is>
          <t>TECHNIQUE</t>
        </is>
      </c>
      <c r="I858" s="41" t="inlineStr">
        <is>
          <t>2024ACT_VDEF</t>
        </is>
      </c>
      <c r="J858" s="41" t="n">
        <v>2024</v>
      </c>
      <c r="K858" s="41" t="inlineStr">
        <is>
          <t>NB</t>
        </is>
      </c>
      <c r="L858" s="43" t="n">
        <v>41</v>
      </c>
    </row>
    <row r="859">
      <c r="B859" s="39" t="inlineStr">
        <is>
          <t>MBWAY_BOR</t>
        </is>
      </c>
      <c r="C859" s="40" t="inlineStr">
        <is>
          <t>BAC_MGT</t>
        </is>
      </c>
      <c r="D859" s="40" t="inlineStr">
        <is>
          <t>B2</t>
        </is>
      </c>
      <c r="E859" s="40" t="inlineStr">
        <is>
          <t>ALT</t>
        </is>
      </c>
      <c r="F859" s="40" t="inlineStr">
        <is>
          <t>STA_REINS</t>
        </is>
      </c>
      <c r="G859" s="39" t="inlineStr">
        <is>
          <t>Réinscrits</t>
        </is>
      </c>
      <c r="H859" s="40" t="inlineStr">
        <is>
          <t>TECHNIQUE</t>
        </is>
      </c>
      <c r="I859" s="41" t="inlineStr">
        <is>
          <t>2025FCST_V4</t>
        </is>
      </c>
      <c r="J859" s="41" t="n">
        <v>2025</v>
      </c>
      <c r="K859" s="41" t="inlineStr">
        <is>
          <t>NB</t>
        </is>
      </c>
      <c r="L859" s="43" t="n">
        <v>43</v>
      </c>
    </row>
    <row r="860">
      <c r="B860" s="39" t="inlineStr">
        <is>
          <t>MBWAY_BOR</t>
        </is>
      </c>
      <c r="C860" s="40" t="inlineStr">
        <is>
          <t>BAC_MGT</t>
        </is>
      </c>
      <c r="D860" s="40" t="inlineStr">
        <is>
          <t>B2</t>
        </is>
      </c>
      <c r="E860" s="40" t="inlineStr">
        <is>
          <t>ALT</t>
        </is>
      </c>
      <c r="F860" s="40" t="inlineStr">
        <is>
          <t>STA_CLASS</t>
        </is>
      </c>
      <c r="G860" s="39" t="inlineStr">
        <is>
          <t>Nombre de classes</t>
        </is>
      </c>
      <c r="H860" s="40" t="inlineStr">
        <is>
          <t>TECHNIQUE</t>
        </is>
      </c>
      <c r="I860" s="41" t="inlineStr">
        <is>
          <t>2023ACT_VDEF</t>
        </is>
      </c>
      <c r="J860" s="41" t="n">
        <v>2023</v>
      </c>
      <c r="K860" s="41" t="inlineStr">
        <is>
          <t>NB</t>
        </is>
      </c>
      <c r="L860" s="43" t="n">
        <v>2</v>
      </c>
    </row>
    <row r="861">
      <c r="B861" s="39" t="inlineStr">
        <is>
          <t>MBWAY_BOR</t>
        </is>
      </c>
      <c r="C861" s="40" t="inlineStr">
        <is>
          <t>BAC_MGT</t>
        </is>
      </c>
      <c r="D861" s="40" t="inlineStr">
        <is>
          <t>B2</t>
        </is>
      </c>
      <c r="E861" s="40" t="inlineStr">
        <is>
          <t>ALT</t>
        </is>
      </c>
      <c r="F861" s="40" t="inlineStr">
        <is>
          <t>STA_CLASS</t>
        </is>
      </c>
      <c r="G861" s="39" t="inlineStr">
        <is>
          <t>Nombre de classes</t>
        </is>
      </c>
      <c r="H861" s="40" t="inlineStr">
        <is>
          <t>TECHNIQUE</t>
        </is>
      </c>
      <c r="I861" s="41" t="inlineStr">
        <is>
          <t>2024ACT_VDEF</t>
        </is>
      </c>
      <c r="J861" s="41" t="n">
        <v>2024</v>
      </c>
      <c r="K861" s="41" t="inlineStr">
        <is>
          <t>NB</t>
        </is>
      </c>
      <c r="L861" s="43" t="n">
        <v>2</v>
      </c>
    </row>
    <row r="862">
      <c r="B862" s="39" t="inlineStr">
        <is>
          <t>MBWAY_BOR</t>
        </is>
      </c>
      <c r="C862" s="40" t="inlineStr">
        <is>
          <t>BAC_MGT</t>
        </is>
      </c>
      <c r="D862" s="40" t="inlineStr">
        <is>
          <t>B2</t>
        </is>
      </c>
      <c r="E862" s="40" t="inlineStr">
        <is>
          <t>ALT</t>
        </is>
      </c>
      <c r="F862" s="40" t="inlineStr">
        <is>
          <t>STA_CLASS</t>
        </is>
      </c>
      <c r="G862" s="39" t="inlineStr">
        <is>
          <t>Nombre de classes</t>
        </is>
      </c>
      <c r="H862" s="40" t="inlineStr">
        <is>
          <t>TECHNIQUE</t>
        </is>
      </c>
      <c r="I862" s="41" t="inlineStr">
        <is>
          <t>2025FCST_V4</t>
        </is>
      </c>
      <c r="J862" s="41" t="n">
        <v>2025</v>
      </c>
      <c r="K862" s="41" t="inlineStr">
        <is>
          <t>NB</t>
        </is>
      </c>
      <c r="L862" s="43" t="n">
        <v>2</v>
      </c>
    </row>
    <row r="863">
      <c r="B863" s="39" t="inlineStr">
        <is>
          <t>MBWAY_BOR</t>
        </is>
      </c>
      <c r="C863" s="40" t="inlineStr">
        <is>
          <t>BAC_MGT</t>
        </is>
      </c>
      <c r="D863" s="40" t="inlineStr">
        <is>
          <t>B2</t>
        </is>
      </c>
      <c r="E863" s="40" t="inlineStr">
        <is>
          <t>ALT</t>
        </is>
      </c>
      <c r="F863" s="40" t="inlineStr">
        <is>
          <t>STA_HEURE</t>
        </is>
      </c>
      <c r="G863" s="39" t="inlineStr">
        <is>
          <t>Heures d'enseignement</t>
        </is>
      </c>
      <c r="H863" s="40" t="inlineStr">
        <is>
          <t>TECHNIQUE</t>
        </is>
      </c>
      <c r="I863" s="41" t="inlineStr">
        <is>
          <t>2023ACT_VDEF</t>
        </is>
      </c>
      <c r="J863" s="41" t="n">
        <v>2023</v>
      </c>
      <c r="K863" s="41" t="inlineStr">
        <is>
          <t>NB</t>
        </is>
      </c>
      <c r="L863" s="43" t="n">
        <v>1008</v>
      </c>
    </row>
    <row r="864">
      <c r="B864" s="39" t="inlineStr">
        <is>
          <t>MBWAY_BOR</t>
        </is>
      </c>
      <c r="C864" s="40" t="inlineStr">
        <is>
          <t>BAC_MGT</t>
        </is>
      </c>
      <c r="D864" s="40" t="inlineStr">
        <is>
          <t>B2</t>
        </is>
      </c>
      <c r="E864" s="40" t="inlineStr">
        <is>
          <t>ALT</t>
        </is>
      </c>
      <c r="F864" s="40" t="inlineStr">
        <is>
          <t>STA_HEURE</t>
        </is>
      </c>
      <c r="G864" s="39" t="inlineStr">
        <is>
          <t>Heures d'enseignement</t>
        </is>
      </c>
      <c r="H864" s="40" t="inlineStr">
        <is>
          <t>TECHNIQUE</t>
        </is>
      </c>
      <c r="I864" s="41" t="inlineStr">
        <is>
          <t>2024ACT_VDEF</t>
        </is>
      </c>
      <c r="J864" s="41" t="n">
        <v>2024</v>
      </c>
      <c r="K864" s="41" t="inlineStr">
        <is>
          <t>NB</t>
        </is>
      </c>
      <c r="L864" s="43" t="n">
        <v>1064</v>
      </c>
    </row>
    <row r="865">
      <c r="B865" s="39" t="inlineStr">
        <is>
          <t>MBWAY_BOR</t>
        </is>
      </c>
      <c r="C865" s="40" t="inlineStr">
        <is>
          <t>BAC_MGT</t>
        </is>
      </c>
      <c r="D865" s="40" t="inlineStr">
        <is>
          <t>B2</t>
        </is>
      </c>
      <c r="E865" s="40" t="inlineStr">
        <is>
          <t>ALT</t>
        </is>
      </c>
      <c r="F865" s="40" t="inlineStr">
        <is>
          <t>STA_HEURE</t>
        </is>
      </c>
      <c r="G865" s="39" t="inlineStr">
        <is>
          <t>Heures d'enseignement</t>
        </is>
      </c>
      <c r="H865" s="40" t="inlineStr">
        <is>
          <t>TECHNIQUE</t>
        </is>
      </c>
      <c r="I865" s="41" t="inlineStr">
        <is>
          <t>2025FCST_V4</t>
        </is>
      </c>
      <c r="J865" s="41" t="n">
        <v>2025</v>
      </c>
      <c r="K865" s="41" t="inlineStr">
        <is>
          <t>NB</t>
        </is>
      </c>
      <c r="L865" s="43" t="n">
        <v>1120</v>
      </c>
    </row>
    <row r="866">
      <c r="B866" s="39" t="inlineStr">
        <is>
          <t>MBWAY_BOR</t>
        </is>
      </c>
      <c r="C866" s="40" t="inlineStr">
        <is>
          <t>BAC_MGT</t>
        </is>
      </c>
      <c r="D866" s="40" t="inlineStr">
        <is>
          <t>B2</t>
        </is>
      </c>
      <c r="E866" s="40" t="inlineStr">
        <is>
          <t>ALT</t>
        </is>
      </c>
      <c r="F866" s="40" t="inlineStr">
        <is>
          <t>STA_CAPA</t>
        </is>
      </c>
      <c r="G866" s="39" t="inlineStr">
        <is>
          <t>Capacité par classe</t>
        </is>
      </c>
      <c r="H866" s="40" t="inlineStr">
        <is>
          <t>TECHNIQUE</t>
        </is>
      </c>
      <c r="I866" s="41" t="inlineStr">
        <is>
          <t>2023ACT_VDEF</t>
        </is>
      </c>
      <c r="J866" s="41" t="n">
        <v>2023</v>
      </c>
      <c r="K866" s="41" t="inlineStr">
        <is>
          <t>NB</t>
        </is>
      </c>
      <c r="L866" s="43" t="n">
        <v>32</v>
      </c>
    </row>
    <row r="867">
      <c r="B867" s="39" t="inlineStr">
        <is>
          <t>MBWAY_BOR</t>
        </is>
      </c>
      <c r="C867" s="40" t="inlineStr">
        <is>
          <t>BAC_MGT</t>
        </is>
      </c>
      <c r="D867" s="40" t="inlineStr">
        <is>
          <t>B2</t>
        </is>
      </c>
      <c r="E867" s="40" t="inlineStr">
        <is>
          <t>ALT</t>
        </is>
      </c>
      <c r="F867" s="40" t="inlineStr">
        <is>
          <t>STA_CAPA</t>
        </is>
      </c>
      <c r="G867" s="39" t="inlineStr">
        <is>
          <t>Capacité par classe</t>
        </is>
      </c>
      <c r="H867" s="40" t="inlineStr">
        <is>
          <t>TECHNIQUE</t>
        </is>
      </c>
      <c r="I867" s="41" t="inlineStr">
        <is>
          <t>2024ACT_VDEF</t>
        </is>
      </c>
      <c r="J867" s="41" t="n">
        <v>2024</v>
      </c>
      <c r="K867" s="41" t="inlineStr">
        <is>
          <t>NB</t>
        </is>
      </c>
      <c r="L867" s="43" t="n">
        <v>32</v>
      </c>
    </row>
    <row r="868">
      <c r="B868" s="39" t="inlineStr">
        <is>
          <t>MBWAY_BOR</t>
        </is>
      </c>
      <c r="C868" s="40" t="inlineStr">
        <is>
          <t>BAC_MGT</t>
        </is>
      </c>
      <c r="D868" s="40" t="inlineStr">
        <is>
          <t>B2</t>
        </is>
      </c>
      <c r="E868" s="40" t="inlineStr">
        <is>
          <t>ALT</t>
        </is>
      </c>
      <c r="F868" s="40" t="inlineStr">
        <is>
          <t>STA_CAPA</t>
        </is>
      </c>
      <c r="G868" s="39" t="inlineStr">
        <is>
          <t>Capacité par classe</t>
        </is>
      </c>
      <c r="H868" s="40" t="inlineStr">
        <is>
          <t>TECHNIQUE</t>
        </is>
      </c>
      <c r="I868" s="41" t="inlineStr">
        <is>
          <t>2025FCST_V4</t>
        </is>
      </c>
      <c r="J868" s="41" t="n">
        <v>2025</v>
      </c>
      <c r="K868" s="41" t="inlineStr">
        <is>
          <t>NB</t>
        </is>
      </c>
      <c r="L868" s="43" t="n">
        <v>32</v>
      </c>
    </row>
    <row r="869">
      <c r="B869" s="39" t="inlineStr">
        <is>
          <t>MBWAY_BOR</t>
        </is>
      </c>
      <c r="C869" s="40" t="inlineStr">
        <is>
          <t>BAC_MGT</t>
        </is>
      </c>
      <c r="D869" s="40" t="inlineStr">
        <is>
          <t>B2</t>
        </is>
      </c>
      <c r="E869" s="40" t="inlineStr">
        <is>
          <t>ALT</t>
        </is>
      </c>
      <c r="F869" s="40" t="inlineStr">
        <is>
          <t>DRV_PASS</t>
        </is>
      </c>
      <c r="G869" s="39" t="inlineStr">
        <is>
          <t>Taux de passage (réinscription)</t>
        </is>
      </c>
      <c r="H869" s="40" t="inlineStr">
        <is>
          <t>TECHNIQUE</t>
        </is>
      </c>
      <c r="I869" s="41" t="inlineStr">
        <is>
          <t>2023ACT_VDEF</t>
        </is>
      </c>
      <c r="J869" s="41" t="n">
        <v>2023</v>
      </c>
      <c r="K869" s="41" t="inlineStr">
        <is>
          <t>PCT</t>
        </is>
      </c>
      <c r="L869" s="44" t="n">
        <v>0.93</v>
      </c>
    </row>
    <row r="870">
      <c r="B870" s="39" t="inlineStr">
        <is>
          <t>MBWAY_BOR</t>
        </is>
      </c>
      <c r="C870" s="40" t="inlineStr">
        <is>
          <t>BAC_MGT</t>
        </is>
      </c>
      <c r="D870" s="40" t="inlineStr">
        <is>
          <t>B2</t>
        </is>
      </c>
      <c r="E870" s="40" t="inlineStr">
        <is>
          <t>ALT</t>
        </is>
      </c>
      <c r="F870" s="40" t="inlineStr">
        <is>
          <t>DRV_PASS</t>
        </is>
      </c>
      <c r="G870" s="39" t="inlineStr">
        <is>
          <t>Taux de passage (réinscription)</t>
        </is>
      </c>
      <c r="H870" s="40" t="inlineStr">
        <is>
          <t>TECHNIQUE</t>
        </is>
      </c>
      <c r="I870" s="41" t="inlineStr">
        <is>
          <t>2024ACT_VDEF</t>
        </is>
      </c>
      <c r="J870" s="41" t="n">
        <v>2024</v>
      </c>
      <c r="K870" s="41" t="inlineStr">
        <is>
          <t>PCT</t>
        </is>
      </c>
      <c r="L870" s="44" t="n">
        <v>0.93</v>
      </c>
    </row>
    <row r="871">
      <c r="B871" s="39" t="inlineStr">
        <is>
          <t>MBWAY_BOR</t>
        </is>
      </c>
      <c r="C871" s="40" t="inlineStr">
        <is>
          <t>BAC_MGT</t>
        </is>
      </c>
      <c r="D871" s="40" t="inlineStr">
        <is>
          <t>B2</t>
        </is>
      </c>
      <c r="E871" s="40" t="inlineStr">
        <is>
          <t>ALT</t>
        </is>
      </c>
      <c r="F871" s="40" t="inlineStr">
        <is>
          <t>DRV_PASS</t>
        </is>
      </c>
      <c r="G871" s="39" t="inlineStr">
        <is>
          <t>Taux de passage (réinscription)</t>
        </is>
      </c>
      <c r="H871" s="40" t="inlineStr">
        <is>
          <t>TECHNIQUE</t>
        </is>
      </c>
      <c r="I871" s="41" t="inlineStr">
        <is>
          <t>2025FCST_V4</t>
        </is>
      </c>
      <c r="J871" s="41" t="n">
        <v>2025</v>
      </c>
      <c r="K871" s="41" t="inlineStr">
        <is>
          <t>PCT</t>
        </is>
      </c>
      <c r="L871" s="44" t="n">
        <v>0.93</v>
      </c>
    </row>
    <row r="872">
      <c r="B872" s="39" t="inlineStr">
        <is>
          <t>MBWAY_BOR</t>
        </is>
      </c>
      <c r="C872" s="40" t="inlineStr">
        <is>
          <t>BAC_MGT</t>
        </is>
      </c>
      <c r="D872" s="40" t="inlineStr">
        <is>
          <t>B2</t>
        </is>
      </c>
      <c r="E872" s="40" t="inlineStr">
        <is>
          <t>ALT</t>
        </is>
      </c>
      <c r="F872" s="40" t="inlineStr">
        <is>
          <t>PRX_TARIF</t>
        </is>
      </c>
      <c r="G872" s="39" t="inlineStr">
        <is>
          <t>Tarif moyen scolarité</t>
        </is>
      </c>
      <c r="H872" s="40" t="inlineStr">
        <is>
          <t>TECHNIQUE</t>
        </is>
      </c>
      <c r="I872" s="41" t="inlineStr">
        <is>
          <t>2023ACT_VDEF</t>
        </is>
      </c>
      <c r="J872" s="41" t="n">
        <v>2023</v>
      </c>
      <c r="K872" s="41" t="inlineStr">
        <is>
          <t>EUR</t>
        </is>
      </c>
      <c r="L872" s="42" t="n">
        <v>8000</v>
      </c>
    </row>
    <row r="873">
      <c r="B873" s="39" t="inlineStr">
        <is>
          <t>MBWAY_BOR</t>
        </is>
      </c>
      <c r="C873" s="40" t="inlineStr">
        <is>
          <t>BAC_MGT</t>
        </is>
      </c>
      <c r="D873" s="40" t="inlineStr">
        <is>
          <t>B2</t>
        </is>
      </c>
      <c r="E873" s="40" t="inlineStr">
        <is>
          <t>ALT</t>
        </is>
      </c>
      <c r="F873" s="40" t="inlineStr">
        <is>
          <t>PRX_TARIF</t>
        </is>
      </c>
      <c r="G873" s="39" t="inlineStr">
        <is>
          <t>Tarif moyen scolarité</t>
        </is>
      </c>
      <c r="H873" s="40" t="inlineStr">
        <is>
          <t>TECHNIQUE</t>
        </is>
      </c>
      <c r="I873" s="41" t="inlineStr">
        <is>
          <t>2024ACT_VDEF</t>
        </is>
      </c>
      <c r="J873" s="41" t="n">
        <v>2024</v>
      </c>
      <c r="K873" s="41" t="inlineStr">
        <is>
          <t>EUR</t>
        </is>
      </c>
      <c r="L873" s="42" t="n">
        <v>8000</v>
      </c>
    </row>
    <row r="874">
      <c r="B874" s="39" t="inlineStr">
        <is>
          <t>MBWAY_BOR</t>
        </is>
      </c>
      <c r="C874" s="40" t="inlineStr">
        <is>
          <t>BAC_MGT</t>
        </is>
      </c>
      <c r="D874" s="40" t="inlineStr">
        <is>
          <t>B2</t>
        </is>
      </c>
      <c r="E874" s="40" t="inlineStr">
        <is>
          <t>ALT</t>
        </is>
      </c>
      <c r="F874" s="40" t="inlineStr">
        <is>
          <t>PRX_TARIF</t>
        </is>
      </c>
      <c r="G874" s="39" t="inlineStr">
        <is>
          <t>Tarif moyen scolarité</t>
        </is>
      </c>
      <c r="H874" s="40" t="inlineStr">
        <is>
          <t>TECHNIQUE</t>
        </is>
      </c>
      <c r="I874" s="41" t="inlineStr">
        <is>
          <t>2025FCST_V4</t>
        </is>
      </c>
      <c r="J874" s="41" t="n">
        <v>2025</v>
      </c>
      <c r="K874" s="41" t="inlineStr">
        <is>
          <t>EUR</t>
        </is>
      </c>
      <c r="L874" s="42" t="n">
        <v>8000</v>
      </c>
    </row>
    <row r="875">
      <c r="B875" s="39" t="inlineStr">
        <is>
          <t>MBWAY_BOR</t>
        </is>
      </c>
      <c r="C875" s="40" t="inlineStr">
        <is>
          <t>BAC_MGT</t>
        </is>
      </c>
      <c r="D875" s="40" t="inlineStr">
        <is>
          <t>B3</t>
        </is>
      </c>
      <c r="E875" s="40" t="inlineStr">
        <is>
          <t>ALT</t>
        </is>
      </c>
      <c r="F875" s="40" t="inlineStr">
        <is>
          <t>706100</t>
        </is>
      </c>
      <c r="G875" s="39" t="inlineStr">
        <is>
          <t>Droits de scolarité</t>
        </is>
      </c>
      <c r="H875" s="40" t="inlineStr">
        <is>
          <t>COMPTABLE</t>
        </is>
      </c>
      <c r="I875" s="41" t="inlineStr">
        <is>
          <t>2023ACT_VDEF</t>
        </is>
      </c>
      <c r="J875" s="41" t="n">
        <v>2023</v>
      </c>
      <c r="K875" s="41" t="inlineStr">
        <is>
          <t>EUR</t>
        </is>
      </c>
      <c r="L875" s="42" t="n">
        <v>273600</v>
      </c>
    </row>
    <row r="876">
      <c r="B876" s="39" t="inlineStr">
        <is>
          <t>MBWAY_BOR</t>
        </is>
      </c>
      <c r="C876" s="40" t="inlineStr">
        <is>
          <t>BAC_MGT</t>
        </is>
      </c>
      <c r="D876" s="40" t="inlineStr">
        <is>
          <t>B3</t>
        </is>
      </c>
      <c r="E876" s="40" t="inlineStr">
        <is>
          <t>ALT</t>
        </is>
      </c>
      <c r="F876" s="40" t="inlineStr">
        <is>
          <t>706100</t>
        </is>
      </c>
      <c r="G876" s="39" t="inlineStr">
        <is>
          <t>Droits de scolarité</t>
        </is>
      </c>
      <c r="H876" s="40" t="inlineStr">
        <is>
          <t>COMPTABLE</t>
        </is>
      </c>
      <c r="I876" s="41" t="inlineStr">
        <is>
          <t>2024ACT_VDEF</t>
        </is>
      </c>
      <c r="J876" s="41" t="n">
        <v>2024</v>
      </c>
      <c r="K876" s="41" t="inlineStr">
        <is>
          <t>EUR</t>
        </is>
      </c>
      <c r="L876" s="42" t="n">
        <v>288800</v>
      </c>
    </row>
    <row r="877">
      <c r="B877" s="39" t="inlineStr">
        <is>
          <t>MBWAY_BOR</t>
        </is>
      </c>
      <c r="C877" s="40" t="inlineStr">
        <is>
          <t>BAC_MGT</t>
        </is>
      </c>
      <c r="D877" s="40" t="inlineStr">
        <is>
          <t>B3</t>
        </is>
      </c>
      <c r="E877" s="40" t="inlineStr">
        <is>
          <t>ALT</t>
        </is>
      </c>
      <c r="F877" s="40" t="inlineStr">
        <is>
          <t>706100</t>
        </is>
      </c>
      <c r="G877" s="39" t="inlineStr">
        <is>
          <t>Droits de scolarité</t>
        </is>
      </c>
      <c r="H877" s="40" t="inlineStr">
        <is>
          <t>COMPTABLE</t>
        </is>
      </c>
      <c r="I877" s="41" t="inlineStr">
        <is>
          <t>2025FCST_V4</t>
        </is>
      </c>
      <c r="J877" s="41" t="n">
        <v>2025</v>
      </c>
      <c r="K877" s="41" t="inlineStr">
        <is>
          <t>EUR</t>
        </is>
      </c>
      <c r="L877" s="42" t="n">
        <v>304000</v>
      </c>
    </row>
    <row r="878">
      <c r="B878" s="39" t="inlineStr">
        <is>
          <t>MBWAY_BOR</t>
        </is>
      </c>
      <c r="C878" s="40" t="inlineStr">
        <is>
          <t>BAC_MGT</t>
        </is>
      </c>
      <c r="D878" s="40" t="inlineStr">
        <is>
          <t>B3</t>
        </is>
      </c>
      <c r="E878" s="40" t="inlineStr">
        <is>
          <t>ALT</t>
        </is>
      </c>
      <c r="F878" s="40" t="inlineStr">
        <is>
          <t>604100</t>
        </is>
      </c>
      <c r="G878" s="39" t="inlineStr">
        <is>
          <t>Vacations &amp; sous-traitance pédagogique</t>
        </is>
      </c>
      <c r="H878" s="40" t="inlineStr">
        <is>
          <t>COMPTABLE</t>
        </is>
      </c>
      <c r="I878" s="41" t="inlineStr">
        <is>
          <t>2023ACT_VDEF</t>
        </is>
      </c>
      <c r="J878" s="41" t="n">
        <v>2023</v>
      </c>
      <c r="K878" s="41" t="inlineStr">
        <is>
          <t>EUR</t>
        </is>
      </c>
      <c r="L878" s="42" t="n">
        <v>54288</v>
      </c>
    </row>
    <row r="879">
      <c r="B879" s="39" t="inlineStr">
        <is>
          <t>MBWAY_BOR</t>
        </is>
      </c>
      <c r="C879" s="40" t="inlineStr">
        <is>
          <t>BAC_MGT</t>
        </is>
      </c>
      <c r="D879" s="40" t="inlineStr">
        <is>
          <t>B3</t>
        </is>
      </c>
      <c r="E879" s="40" t="inlineStr">
        <is>
          <t>ALT</t>
        </is>
      </c>
      <c r="F879" s="40" t="inlineStr">
        <is>
          <t>604100</t>
        </is>
      </c>
      <c r="G879" s="39" t="inlineStr">
        <is>
          <t>Vacations &amp; sous-traitance pédagogique</t>
        </is>
      </c>
      <c r="H879" s="40" t="inlineStr">
        <is>
          <t>COMPTABLE</t>
        </is>
      </c>
      <c r="I879" s="41" t="inlineStr">
        <is>
          <t>2024ACT_VDEF</t>
        </is>
      </c>
      <c r="J879" s="41" t="n">
        <v>2024</v>
      </c>
      <c r="K879" s="41" t="inlineStr">
        <is>
          <t>EUR</t>
        </is>
      </c>
      <c r="L879" s="42" t="n">
        <v>57304</v>
      </c>
    </row>
    <row r="880">
      <c r="B880" s="39" t="inlineStr">
        <is>
          <t>MBWAY_BOR</t>
        </is>
      </c>
      <c r="C880" s="40" t="inlineStr">
        <is>
          <t>BAC_MGT</t>
        </is>
      </c>
      <c r="D880" s="40" t="inlineStr">
        <is>
          <t>B3</t>
        </is>
      </c>
      <c r="E880" s="40" t="inlineStr">
        <is>
          <t>ALT</t>
        </is>
      </c>
      <c r="F880" s="40" t="inlineStr">
        <is>
          <t>604100</t>
        </is>
      </c>
      <c r="G880" s="39" t="inlineStr">
        <is>
          <t>Vacations &amp; sous-traitance pédagogique</t>
        </is>
      </c>
      <c r="H880" s="40" t="inlineStr">
        <is>
          <t>COMPTABLE</t>
        </is>
      </c>
      <c r="I880" s="41" t="inlineStr">
        <is>
          <t>2025FCST_V4</t>
        </is>
      </c>
      <c r="J880" s="41" t="n">
        <v>2025</v>
      </c>
      <c r="K880" s="41" t="inlineStr">
        <is>
          <t>EUR</t>
        </is>
      </c>
      <c r="L880" s="42" t="n">
        <v>60320</v>
      </c>
    </row>
    <row r="881">
      <c r="B881" s="39" t="inlineStr">
        <is>
          <t>MBWAY_BOR</t>
        </is>
      </c>
      <c r="C881" s="40" t="inlineStr">
        <is>
          <t>BAC_MGT</t>
        </is>
      </c>
      <c r="D881" s="40" t="inlineStr">
        <is>
          <t>B3</t>
        </is>
      </c>
      <c r="E881" s="40" t="inlineStr">
        <is>
          <t>ALT</t>
        </is>
      </c>
      <c r="F881" s="40" t="inlineStr">
        <is>
          <t>606300</t>
        </is>
      </c>
      <c r="G881" s="39" t="inlineStr">
        <is>
          <t>Fournitures &amp; ressources pédagogiques</t>
        </is>
      </c>
      <c r="H881" s="40" t="inlineStr">
        <is>
          <t>COMPTABLE</t>
        </is>
      </c>
      <c r="I881" s="41" t="inlineStr">
        <is>
          <t>2023ACT_VDEF</t>
        </is>
      </c>
      <c r="J881" s="41" t="n">
        <v>2023</v>
      </c>
      <c r="K881" s="41" t="inlineStr">
        <is>
          <t>EUR</t>
        </is>
      </c>
      <c r="L881" s="42" t="n">
        <v>13680</v>
      </c>
    </row>
    <row r="882">
      <c r="B882" s="39" t="inlineStr">
        <is>
          <t>MBWAY_BOR</t>
        </is>
      </c>
      <c r="C882" s="40" t="inlineStr">
        <is>
          <t>BAC_MGT</t>
        </is>
      </c>
      <c r="D882" s="40" t="inlineStr">
        <is>
          <t>B3</t>
        </is>
      </c>
      <c r="E882" s="40" t="inlineStr">
        <is>
          <t>ALT</t>
        </is>
      </c>
      <c r="F882" s="40" t="inlineStr">
        <is>
          <t>606300</t>
        </is>
      </c>
      <c r="G882" s="39" t="inlineStr">
        <is>
          <t>Fournitures &amp; ressources pédagogiques</t>
        </is>
      </c>
      <c r="H882" s="40" t="inlineStr">
        <is>
          <t>COMPTABLE</t>
        </is>
      </c>
      <c r="I882" s="41" t="inlineStr">
        <is>
          <t>2024ACT_VDEF</t>
        </is>
      </c>
      <c r="J882" s="41" t="n">
        <v>2024</v>
      </c>
      <c r="K882" s="41" t="inlineStr">
        <is>
          <t>EUR</t>
        </is>
      </c>
      <c r="L882" s="42" t="n">
        <v>14440</v>
      </c>
    </row>
    <row r="883">
      <c r="B883" s="39" t="inlineStr">
        <is>
          <t>MBWAY_BOR</t>
        </is>
      </c>
      <c r="C883" s="40" t="inlineStr">
        <is>
          <t>BAC_MGT</t>
        </is>
      </c>
      <c r="D883" s="40" t="inlineStr">
        <is>
          <t>B3</t>
        </is>
      </c>
      <c r="E883" s="40" t="inlineStr">
        <is>
          <t>ALT</t>
        </is>
      </c>
      <c r="F883" s="40" t="inlineStr">
        <is>
          <t>606300</t>
        </is>
      </c>
      <c r="G883" s="39" t="inlineStr">
        <is>
          <t>Fournitures &amp; ressources pédagogiques</t>
        </is>
      </c>
      <c r="H883" s="40" t="inlineStr">
        <is>
          <t>COMPTABLE</t>
        </is>
      </c>
      <c r="I883" s="41" t="inlineStr">
        <is>
          <t>2025FCST_V4</t>
        </is>
      </c>
      <c r="J883" s="41" t="n">
        <v>2025</v>
      </c>
      <c r="K883" s="41" t="inlineStr">
        <is>
          <t>EUR</t>
        </is>
      </c>
      <c r="L883" s="42" t="n">
        <v>15200</v>
      </c>
    </row>
    <row r="884">
      <c r="B884" s="39" t="inlineStr">
        <is>
          <t>MBWAY_BOR</t>
        </is>
      </c>
      <c r="C884" s="40" t="inlineStr">
        <is>
          <t>BAC_MGT</t>
        </is>
      </c>
      <c r="D884" s="40" t="inlineStr">
        <is>
          <t>B3</t>
        </is>
      </c>
      <c r="E884" s="40" t="inlineStr">
        <is>
          <t>ALT</t>
        </is>
      </c>
      <c r="F884" s="40" t="inlineStr">
        <is>
          <t>613200</t>
        </is>
      </c>
      <c r="G884" s="39" t="inlineStr">
        <is>
          <t>Locations immobilières (loyers)</t>
        </is>
      </c>
      <c r="H884" s="40" t="inlineStr">
        <is>
          <t>COMPTABLE</t>
        </is>
      </c>
      <c r="I884" s="41" t="inlineStr">
        <is>
          <t>2023ACT_VDEF</t>
        </is>
      </c>
      <c r="J884" s="41" t="n">
        <v>2023</v>
      </c>
      <c r="K884" s="41" t="inlineStr">
        <is>
          <t>EUR</t>
        </is>
      </c>
      <c r="L884" s="42" t="n">
        <v>32040</v>
      </c>
    </row>
    <row r="885">
      <c r="B885" s="39" t="inlineStr">
        <is>
          <t>MBWAY_BOR</t>
        </is>
      </c>
      <c r="C885" s="40" t="inlineStr">
        <is>
          <t>BAC_MGT</t>
        </is>
      </c>
      <c r="D885" s="40" t="inlineStr">
        <is>
          <t>B3</t>
        </is>
      </c>
      <c r="E885" s="40" t="inlineStr">
        <is>
          <t>ALT</t>
        </is>
      </c>
      <c r="F885" s="40" t="inlineStr">
        <is>
          <t>613200</t>
        </is>
      </c>
      <c r="G885" s="39" t="inlineStr">
        <is>
          <t>Locations immobilières (loyers)</t>
        </is>
      </c>
      <c r="H885" s="40" t="inlineStr">
        <is>
          <t>COMPTABLE</t>
        </is>
      </c>
      <c r="I885" s="41" t="inlineStr">
        <is>
          <t>2024ACT_VDEF</t>
        </is>
      </c>
      <c r="J885" s="41" t="n">
        <v>2024</v>
      </c>
      <c r="K885" s="41" t="inlineStr">
        <is>
          <t>EUR</t>
        </is>
      </c>
      <c r="L885" s="42" t="n">
        <v>33820</v>
      </c>
    </row>
    <row r="886">
      <c r="B886" s="39" t="inlineStr">
        <is>
          <t>MBWAY_BOR</t>
        </is>
      </c>
      <c r="C886" s="40" t="inlineStr">
        <is>
          <t>BAC_MGT</t>
        </is>
      </c>
      <c r="D886" s="40" t="inlineStr">
        <is>
          <t>B3</t>
        </is>
      </c>
      <c r="E886" s="40" t="inlineStr">
        <is>
          <t>ALT</t>
        </is>
      </c>
      <c r="F886" s="40" t="inlineStr">
        <is>
          <t>613200</t>
        </is>
      </c>
      <c r="G886" s="39" t="inlineStr">
        <is>
          <t>Locations immobilières (loyers)</t>
        </is>
      </c>
      <c r="H886" s="40" t="inlineStr">
        <is>
          <t>COMPTABLE</t>
        </is>
      </c>
      <c r="I886" s="41" t="inlineStr">
        <is>
          <t>2025FCST_V4</t>
        </is>
      </c>
      <c r="J886" s="41" t="n">
        <v>2025</v>
      </c>
      <c r="K886" s="41" t="inlineStr">
        <is>
          <t>EUR</t>
        </is>
      </c>
      <c r="L886" s="42" t="n">
        <v>35600</v>
      </c>
    </row>
    <row r="887">
      <c r="B887" s="39" t="inlineStr">
        <is>
          <t>MBWAY_BOR</t>
        </is>
      </c>
      <c r="C887" s="40" t="inlineStr">
        <is>
          <t>BAC_MGT</t>
        </is>
      </c>
      <c r="D887" s="40" t="inlineStr">
        <is>
          <t>B3</t>
        </is>
      </c>
      <c r="E887" s="40" t="inlineStr">
        <is>
          <t>ALT</t>
        </is>
      </c>
      <c r="F887" s="40" t="inlineStr">
        <is>
          <t>641100</t>
        </is>
      </c>
      <c r="G887" s="39" t="inlineStr">
        <is>
          <t>Rémunérations du personnel permanent</t>
        </is>
      </c>
      <c r="H887" s="40" t="inlineStr">
        <is>
          <t>COMPTABLE</t>
        </is>
      </c>
      <c r="I887" s="41" t="inlineStr">
        <is>
          <t>2023ACT_VDEF</t>
        </is>
      </c>
      <c r="J887" s="41" t="n">
        <v>2023</v>
      </c>
      <c r="K887" s="41" t="inlineStr">
        <is>
          <t>EUR</t>
        </is>
      </c>
      <c r="L887" s="42" t="n">
        <v>73080</v>
      </c>
    </row>
    <row r="888">
      <c r="B888" s="39" t="inlineStr">
        <is>
          <t>MBWAY_BOR</t>
        </is>
      </c>
      <c r="C888" s="40" t="inlineStr">
        <is>
          <t>BAC_MGT</t>
        </is>
      </c>
      <c r="D888" s="40" t="inlineStr">
        <is>
          <t>B3</t>
        </is>
      </c>
      <c r="E888" s="40" t="inlineStr">
        <is>
          <t>ALT</t>
        </is>
      </c>
      <c r="F888" s="40" t="inlineStr">
        <is>
          <t>641100</t>
        </is>
      </c>
      <c r="G888" s="39" t="inlineStr">
        <is>
          <t>Rémunérations du personnel permanent</t>
        </is>
      </c>
      <c r="H888" s="40" t="inlineStr">
        <is>
          <t>COMPTABLE</t>
        </is>
      </c>
      <c r="I888" s="41" t="inlineStr">
        <is>
          <t>2024ACT_VDEF</t>
        </is>
      </c>
      <c r="J888" s="41" t="n">
        <v>2024</v>
      </c>
      <c r="K888" s="41" t="inlineStr">
        <is>
          <t>EUR</t>
        </is>
      </c>
      <c r="L888" s="42" t="n">
        <v>77140</v>
      </c>
    </row>
    <row r="889">
      <c r="B889" s="39" t="inlineStr">
        <is>
          <t>MBWAY_BOR</t>
        </is>
      </c>
      <c r="C889" s="40" t="inlineStr">
        <is>
          <t>BAC_MGT</t>
        </is>
      </c>
      <c r="D889" s="40" t="inlineStr">
        <is>
          <t>B3</t>
        </is>
      </c>
      <c r="E889" s="40" t="inlineStr">
        <is>
          <t>ALT</t>
        </is>
      </c>
      <c r="F889" s="40" t="inlineStr">
        <is>
          <t>641100</t>
        </is>
      </c>
      <c r="G889" s="39" t="inlineStr">
        <is>
          <t>Rémunérations du personnel permanent</t>
        </is>
      </c>
      <c r="H889" s="40" t="inlineStr">
        <is>
          <t>COMPTABLE</t>
        </is>
      </c>
      <c r="I889" s="41" t="inlineStr">
        <is>
          <t>2025FCST_V4</t>
        </is>
      </c>
      <c r="J889" s="41" t="n">
        <v>2025</v>
      </c>
      <c r="K889" s="41" t="inlineStr">
        <is>
          <t>EUR</t>
        </is>
      </c>
      <c r="L889" s="42" t="n">
        <v>81200</v>
      </c>
    </row>
    <row r="890">
      <c r="B890" s="39" t="inlineStr">
        <is>
          <t>MBWAY_BOR</t>
        </is>
      </c>
      <c r="C890" s="40" t="inlineStr">
        <is>
          <t>BAC_MGT</t>
        </is>
      </c>
      <c r="D890" s="40" t="inlineStr">
        <is>
          <t>B3</t>
        </is>
      </c>
      <c r="E890" s="40" t="inlineStr">
        <is>
          <t>ALT</t>
        </is>
      </c>
      <c r="F890" s="40" t="inlineStr">
        <is>
          <t>622600</t>
        </is>
      </c>
      <c r="G890" s="39" t="inlineStr">
        <is>
          <t>Honoraires &amp; frais de siège (structure groupe)</t>
        </is>
      </c>
      <c r="H890" s="40" t="inlineStr">
        <is>
          <t>COMPTABLE</t>
        </is>
      </c>
      <c r="I890" s="41" t="inlineStr">
        <is>
          <t>2023ACT_VDEF</t>
        </is>
      </c>
      <c r="J890" s="41" t="n">
        <v>2023</v>
      </c>
      <c r="K890" s="41" t="inlineStr">
        <is>
          <t>EUR</t>
        </is>
      </c>
      <c r="L890" s="42" t="n">
        <v>29167</v>
      </c>
    </row>
    <row r="891">
      <c r="B891" s="39" t="inlineStr">
        <is>
          <t>MBWAY_BOR</t>
        </is>
      </c>
      <c r="C891" s="40" t="inlineStr">
        <is>
          <t>BAC_MGT</t>
        </is>
      </c>
      <c r="D891" s="40" t="inlineStr">
        <is>
          <t>B3</t>
        </is>
      </c>
      <c r="E891" s="40" t="inlineStr">
        <is>
          <t>ALT</t>
        </is>
      </c>
      <c r="F891" s="40" t="inlineStr">
        <is>
          <t>622600</t>
        </is>
      </c>
      <c r="G891" s="39" t="inlineStr">
        <is>
          <t>Honoraires &amp; frais de siège (structure groupe)</t>
        </is>
      </c>
      <c r="H891" s="40" t="inlineStr">
        <is>
          <t>COMPTABLE</t>
        </is>
      </c>
      <c r="I891" s="41" t="inlineStr">
        <is>
          <t>2024ACT_VDEF</t>
        </is>
      </c>
      <c r="J891" s="41" t="n">
        <v>2024</v>
      </c>
      <c r="K891" s="41" t="inlineStr">
        <is>
          <t>EUR</t>
        </is>
      </c>
      <c r="L891" s="42" t="n">
        <v>30788</v>
      </c>
    </row>
    <row r="892">
      <c r="B892" s="39" t="inlineStr">
        <is>
          <t>MBWAY_BOR</t>
        </is>
      </c>
      <c r="C892" s="40" t="inlineStr">
        <is>
          <t>BAC_MGT</t>
        </is>
      </c>
      <c r="D892" s="40" t="inlineStr">
        <is>
          <t>B3</t>
        </is>
      </c>
      <c r="E892" s="40" t="inlineStr">
        <is>
          <t>ALT</t>
        </is>
      </c>
      <c r="F892" s="40" t="inlineStr">
        <is>
          <t>622600</t>
        </is>
      </c>
      <c r="G892" s="39" t="inlineStr">
        <is>
          <t>Honoraires &amp; frais de siège (structure groupe)</t>
        </is>
      </c>
      <c r="H892" s="40" t="inlineStr">
        <is>
          <t>COMPTABLE</t>
        </is>
      </c>
      <c r="I892" s="41" t="inlineStr">
        <is>
          <t>2025FCST_V4</t>
        </is>
      </c>
      <c r="J892" s="41" t="n">
        <v>2025</v>
      </c>
      <c r="K892" s="41" t="inlineStr">
        <is>
          <t>EUR</t>
        </is>
      </c>
      <c r="L892" s="42" t="n">
        <v>32408</v>
      </c>
    </row>
    <row r="893">
      <c r="B893" s="39" t="inlineStr">
        <is>
          <t>MBWAY_BOR</t>
        </is>
      </c>
      <c r="C893" s="40" t="inlineStr">
        <is>
          <t>BAC_MGT</t>
        </is>
      </c>
      <c r="D893" s="40" t="inlineStr">
        <is>
          <t>B3</t>
        </is>
      </c>
      <c r="E893" s="40" t="inlineStr">
        <is>
          <t>ALT</t>
        </is>
      </c>
      <c r="F893" s="40" t="inlineStr">
        <is>
          <t>606800</t>
        </is>
      </c>
      <c r="G893" s="39" t="inlineStr">
        <is>
          <t>Autres achats &amp; charges externes</t>
        </is>
      </c>
      <c r="H893" s="40" t="inlineStr">
        <is>
          <t>COMPTABLE</t>
        </is>
      </c>
      <c r="I893" s="41" t="inlineStr">
        <is>
          <t>2023ACT_VDEF</t>
        </is>
      </c>
      <c r="J893" s="41" t="n">
        <v>2023</v>
      </c>
      <c r="K893" s="41" t="inlineStr">
        <is>
          <t>EUR</t>
        </is>
      </c>
      <c r="L893" s="42" t="n">
        <v>31943</v>
      </c>
    </row>
    <row r="894">
      <c r="B894" s="39" t="inlineStr">
        <is>
          <t>MBWAY_BOR</t>
        </is>
      </c>
      <c r="C894" s="40" t="inlineStr">
        <is>
          <t>BAC_MGT</t>
        </is>
      </c>
      <c r="D894" s="40" t="inlineStr">
        <is>
          <t>B3</t>
        </is>
      </c>
      <c r="E894" s="40" t="inlineStr">
        <is>
          <t>ALT</t>
        </is>
      </c>
      <c r="F894" s="40" t="inlineStr">
        <is>
          <t>606800</t>
        </is>
      </c>
      <c r="G894" s="39" t="inlineStr">
        <is>
          <t>Autres achats &amp; charges externes</t>
        </is>
      </c>
      <c r="H894" s="40" t="inlineStr">
        <is>
          <t>COMPTABLE</t>
        </is>
      </c>
      <c r="I894" s="41" t="inlineStr">
        <is>
          <t>2024ACT_VDEF</t>
        </is>
      </c>
      <c r="J894" s="41" t="n">
        <v>2024</v>
      </c>
      <c r="K894" s="41" t="inlineStr">
        <is>
          <t>EUR</t>
        </is>
      </c>
      <c r="L894" s="42" t="n">
        <v>33717</v>
      </c>
    </row>
    <row r="895">
      <c r="B895" s="39" t="inlineStr">
        <is>
          <t>MBWAY_BOR</t>
        </is>
      </c>
      <c r="C895" s="40" t="inlineStr">
        <is>
          <t>BAC_MGT</t>
        </is>
      </c>
      <c r="D895" s="40" t="inlineStr">
        <is>
          <t>B3</t>
        </is>
      </c>
      <c r="E895" s="40" t="inlineStr">
        <is>
          <t>ALT</t>
        </is>
      </c>
      <c r="F895" s="40" t="inlineStr">
        <is>
          <t>606800</t>
        </is>
      </c>
      <c r="G895" s="39" t="inlineStr">
        <is>
          <t>Autres achats &amp; charges externes</t>
        </is>
      </c>
      <c r="H895" s="40" t="inlineStr">
        <is>
          <t>COMPTABLE</t>
        </is>
      </c>
      <c r="I895" s="41" t="inlineStr">
        <is>
          <t>2025FCST_V4</t>
        </is>
      </c>
      <c r="J895" s="41" t="n">
        <v>2025</v>
      </c>
      <c r="K895" s="41" t="inlineStr">
        <is>
          <t>EUR</t>
        </is>
      </c>
      <c r="L895" s="42" t="n">
        <v>35492</v>
      </c>
    </row>
    <row r="896">
      <c r="B896" s="39" t="inlineStr">
        <is>
          <t>MBWAY_BOR</t>
        </is>
      </c>
      <c r="C896" s="40" t="inlineStr">
        <is>
          <t>BAC_MGT</t>
        </is>
      </c>
      <c r="D896" s="40" t="inlineStr">
        <is>
          <t>B3</t>
        </is>
      </c>
      <c r="E896" s="40" t="inlineStr">
        <is>
          <t>ALT</t>
        </is>
      </c>
      <c r="F896" s="40" t="inlineStr">
        <is>
          <t>681100</t>
        </is>
      </c>
      <c r="G896" s="39" t="inlineStr">
        <is>
          <t>Dotations aux amortissements</t>
        </is>
      </c>
      <c r="H896" s="40" t="inlineStr">
        <is>
          <t>COMPTABLE</t>
        </is>
      </c>
      <c r="I896" s="41" t="inlineStr">
        <is>
          <t>2023ACT_VDEF</t>
        </is>
      </c>
      <c r="J896" s="41" t="n">
        <v>2023</v>
      </c>
      <c r="K896" s="41" t="inlineStr">
        <is>
          <t>EUR</t>
        </is>
      </c>
      <c r="L896" s="42" t="n">
        <v>17460</v>
      </c>
    </row>
    <row r="897">
      <c r="B897" s="39" t="inlineStr">
        <is>
          <t>MBWAY_BOR</t>
        </is>
      </c>
      <c r="C897" s="40" t="inlineStr">
        <is>
          <t>BAC_MGT</t>
        </is>
      </c>
      <c r="D897" s="40" t="inlineStr">
        <is>
          <t>B3</t>
        </is>
      </c>
      <c r="E897" s="40" t="inlineStr">
        <is>
          <t>ALT</t>
        </is>
      </c>
      <c r="F897" s="40" t="inlineStr">
        <is>
          <t>681100</t>
        </is>
      </c>
      <c r="G897" s="39" t="inlineStr">
        <is>
          <t>Dotations aux amortissements</t>
        </is>
      </c>
      <c r="H897" s="40" t="inlineStr">
        <is>
          <t>COMPTABLE</t>
        </is>
      </c>
      <c r="I897" s="41" t="inlineStr">
        <is>
          <t>2024ACT_VDEF</t>
        </is>
      </c>
      <c r="J897" s="41" t="n">
        <v>2024</v>
      </c>
      <c r="K897" s="41" t="inlineStr">
        <is>
          <t>EUR</t>
        </is>
      </c>
      <c r="L897" s="42" t="n">
        <v>18430</v>
      </c>
    </row>
    <row r="898">
      <c r="B898" s="39" t="inlineStr">
        <is>
          <t>MBWAY_BOR</t>
        </is>
      </c>
      <c r="C898" s="40" t="inlineStr">
        <is>
          <t>BAC_MGT</t>
        </is>
      </c>
      <c r="D898" s="40" t="inlineStr">
        <is>
          <t>B3</t>
        </is>
      </c>
      <c r="E898" s="40" t="inlineStr">
        <is>
          <t>ALT</t>
        </is>
      </c>
      <c r="F898" s="40" t="inlineStr">
        <is>
          <t>681100</t>
        </is>
      </c>
      <c r="G898" s="39" t="inlineStr">
        <is>
          <t>Dotations aux amortissements</t>
        </is>
      </c>
      <c r="H898" s="40" t="inlineStr">
        <is>
          <t>COMPTABLE</t>
        </is>
      </c>
      <c r="I898" s="41" t="inlineStr">
        <is>
          <t>2025FCST_V4</t>
        </is>
      </c>
      <c r="J898" s="41" t="n">
        <v>2025</v>
      </c>
      <c r="K898" s="41" t="inlineStr">
        <is>
          <t>EUR</t>
        </is>
      </c>
      <c r="L898" s="42" t="n">
        <v>19400</v>
      </c>
    </row>
    <row r="899">
      <c r="B899" s="39" t="inlineStr">
        <is>
          <t>MBWAY_BOR</t>
        </is>
      </c>
      <c r="C899" s="40" t="inlineStr">
        <is>
          <t>BAC_MGT</t>
        </is>
      </c>
      <c r="D899" s="40" t="inlineStr">
        <is>
          <t>B3</t>
        </is>
      </c>
      <c r="E899" s="40" t="inlineStr">
        <is>
          <t>ALT</t>
        </is>
      </c>
      <c r="F899" s="40" t="inlineStr">
        <is>
          <t>STA_EFF</t>
        </is>
      </c>
      <c r="G899" s="39" t="inlineStr">
        <is>
          <t>Effectif inscrit</t>
        </is>
      </c>
      <c r="H899" s="40" t="inlineStr">
        <is>
          <t>TECHNIQUE</t>
        </is>
      </c>
      <c r="I899" s="41" t="inlineStr">
        <is>
          <t>2023ACT_VDEF</t>
        </is>
      </c>
      <c r="J899" s="41" t="n">
        <v>2023</v>
      </c>
      <c r="K899" s="41" t="inlineStr">
        <is>
          <t>NB</t>
        </is>
      </c>
      <c r="L899" s="43" t="n">
        <v>34</v>
      </c>
    </row>
    <row r="900">
      <c r="B900" s="39" t="inlineStr">
        <is>
          <t>MBWAY_BOR</t>
        </is>
      </c>
      <c r="C900" s="40" t="inlineStr">
        <is>
          <t>BAC_MGT</t>
        </is>
      </c>
      <c r="D900" s="40" t="inlineStr">
        <is>
          <t>B3</t>
        </is>
      </c>
      <c r="E900" s="40" t="inlineStr">
        <is>
          <t>ALT</t>
        </is>
      </c>
      <c r="F900" s="40" t="inlineStr">
        <is>
          <t>STA_EFF</t>
        </is>
      </c>
      <c r="G900" s="39" t="inlineStr">
        <is>
          <t>Effectif inscrit</t>
        </is>
      </c>
      <c r="H900" s="40" t="inlineStr">
        <is>
          <t>TECHNIQUE</t>
        </is>
      </c>
      <c r="I900" s="41" t="inlineStr">
        <is>
          <t>2024ACT_VDEF</t>
        </is>
      </c>
      <c r="J900" s="41" t="n">
        <v>2024</v>
      </c>
      <c r="K900" s="41" t="inlineStr">
        <is>
          <t>NB</t>
        </is>
      </c>
      <c r="L900" s="43" t="n">
        <v>36</v>
      </c>
    </row>
    <row r="901">
      <c r="B901" s="39" t="inlineStr">
        <is>
          <t>MBWAY_BOR</t>
        </is>
      </c>
      <c r="C901" s="40" t="inlineStr">
        <is>
          <t>BAC_MGT</t>
        </is>
      </c>
      <c r="D901" s="40" t="inlineStr">
        <is>
          <t>B3</t>
        </is>
      </c>
      <c r="E901" s="40" t="inlineStr">
        <is>
          <t>ALT</t>
        </is>
      </c>
      <c r="F901" s="40" t="inlineStr">
        <is>
          <t>STA_EFF</t>
        </is>
      </c>
      <c r="G901" s="39" t="inlineStr">
        <is>
          <t>Effectif inscrit</t>
        </is>
      </c>
      <c r="H901" s="40" t="inlineStr">
        <is>
          <t>TECHNIQUE</t>
        </is>
      </c>
      <c r="I901" s="41" t="inlineStr">
        <is>
          <t>2025FCST_V4</t>
        </is>
      </c>
      <c r="J901" s="41" t="n">
        <v>2025</v>
      </c>
      <c r="K901" s="41" t="inlineStr">
        <is>
          <t>NB</t>
        </is>
      </c>
      <c r="L901" s="43" t="n">
        <v>38</v>
      </c>
    </row>
    <row r="902">
      <c r="B902" s="39" t="inlineStr">
        <is>
          <t>MBWAY_BOR</t>
        </is>
      </c>
      <c r="C902" s="40" t="inlineStr">
        <is>
          <t>BAC_MGT</t>
        </is>
      </c>
      <c r="D902" s="40" t="inlineStr">
        <is>
          <t>B3</t>
        </is>
      </c>
      <c r="E902" s="40" t="inlineStr">
        <is>
          <t>ALT</t>
        </is>
      </c>
      <c r="F902" s="40" t="inlineStr">
        <is>
          <t>STA_REINS</t>
        </is>
      </c>
      <c r="G902" s="39" t="inlineStr">
        <is>
          <t>Réinscrits</t>
        </is>
      </c>
      <c r="H902" s="40" t="inlineStr">
        <is>
          <t>TECHNIQUE</t>
        </is>
      </c>
      <c r="I902" s="41" t="inlineStr">
        <is>
          <t>2023ACT_VDEF</t>
        </is>
      </c>
      <c r="J902" s="41" t="n">
        <v>2023</v>
      </c>
      <c r="K902" s="41" t="inlineStr">
        <is>
          <t>NB</t>
        </is>
      </c>
      <c r="L902" s="43" t="n">
        <v>34</v>
      </c>
    </row>
    <row r="903">
      <c r="B903" s="39" t="inlineStr">
        <is>
          <t>MBWAY_BOR</t>
        </is>
      </c>
      <c r="C903" s="40" t="inlineStr">
        <is>
          <t>BAC_MGT</t>
        </is>
      </c>
      <c r="D903" s="40" t="inlineStr">
        <is>
          <t>B3</t>
        </is>
      </c>
      <c r="E903" s="40" t="inlineStr">
        <is>
          <t>ALT</t>
        </is>
      </c>
      <c r="F903" s="40" t="inlineStr">
        <is>
          <t>STA_REINS</t>
        </is>
      </c>
      <c r="G903" s="39" t="inlineStr">
        <is>
          <t>Réinscrits</t>
        </is>
      </c>
      <c r="H903" s="40" t="inlineStr">
        <is>
          <t>TECHNIQUE</t>
        </is>
      </c>
      <c r="I903" s="41" t="inlineStr">
        <is>
          <t>2024ACT_VDEF</t>
        </is>
      </c>
      <c r="J903" s="41" t="n">
        <v>2024</v>
      </c>
      <c r="K903" s="41" t="inlineStr">
        <is>
          <t>NB</t>
        </is>
      </c>
      <c r="L903" s="43" t="n">
        <v>36</v>
      </c>
    </row>
    <row r="904">
      <c r="B904" s="39" t="inlineStr">
        <is>
          <t>MBWAY_BOR</t>
        </is>
      </c>
      <c r="C904" s="40" t="inlineStr">
        <is>
          <t>BAC_MGT</t>
        </is>
      </c>
      <c r="D904" s="40" t="inlineStr">
        <is>
          <t>B3</t>
        </is>
      </c>
      <c r="E904" s="40" t="inlineStr">
        <is>
          <t>ALT</t>
        </is>
      </c>
      <c r="F904" s="40" t="inlineStr">
        <is>
          <t>STA_REINS</t>
        </is>
      </c>
      <c r="G904" s="39" t="inlineStr">
        <is>
          <t>Réinscrits</t>
        </is>
      </c>
      <c r="H904" s="40" t="inlineStr">
        <is>
          <t>TECHNIQUE</t>
        </is>
      </c>
      <c r="I904" s="41" t="inlineStr">
        <is>
          <t>2025FCST_V4</t>
        </is>
      </c>
      <c r="J904" s="41" t="n">
        <v>2025</v>
      </c>
      <c r="K904" s="41" t="inlineStr">
        <is>
          <t>NB</t>
        </is>
      </c>
      <c r="L904" s="43" t="n">
        <v>38</v>
      </c>
    </row>
    <row r="905">
      <c r="B905" s="39" t="inlineStr">
        <is>
          <t>MBWAY_BOR</t>
        </is>
      </c>
      <c r="C905" s="40" t="inlineStr">
        <is>
          <t>BAC_MGT</t>
        </is>
      </c>
      <c r="D905" s="40" t="inlineStr">
        <is>
          <t>B3</t>
        </is>
      </c>
      <c r="E905" s="40" t="inlineStr">
        <is>
          <t>ALT</t>
        </is>
      </c>
      <c r="F905" s="40" t="inlineStr">
        <is>
          <t>STA_CLASS</t>
        </is>
      </c>
      <c r="G905" s="39" t="inlineStr">
        <is>
          <t>Nombre de classes</t>
        </is>
      </c>
      <c r="H905" s="40" t="inlineStr">
        <is>
          <t>TECHNIQUE</t>
        </is>
      </c>
      <c r="I905" s="41" t="inlineStr">
        <is>
          <t>2023ACT_VDEF</t>
        </is>
      </c>
      <c r="J905" s="41" t="n">
        <v>2023</v>
      </c>
      <c r="K905" s="41" t="inlineStr">
        <is>
          <t>NB</t>
        </is>
      </c>
      <c r="L905" s="43" t="n">
        <v>2</v>
      </c>
    </row>
    <row r="906">
      <c r="B906" s="39" t="inlineStr">
        <is>
          <t>MBWAY_BOR</t>
        </is>
      </c>
      <c r="C906" s="40" t="inlineStr">
        <is>
          <t>BAC_MGT</t>
        </is>
      </c>
      <c r="D906" s="40" t="inlineStr">
        <is>
          <t>B3</t>
        </is>
      </c>
      <c r="E906" s="40" t="inlineStr">
        <is>
          <t>ALT</t>
        </is>
      </c>
      <c r="F906" s="40" t="inlineStr">
        <is>
          <t>STA_CLASS</t>
        </is>
      </c>
      <c r="G906" s="39" t="inlineStr">
        <is>
          <t>Nombre de classes</t>
        </is>
      </c>
      <c r="H906" s="40" t="inlineStr">
        <is>
          <t>TECHNIQUE</t>
        </is>
      </c>
      <c r="I906" s="41" t="inlineStr">
        <is>
          <t>2024ACT_VDEF</t>
        </is>
      </c>
      <c r="J906" s="41" t="n">
        <v>2024</v>
      </c>
      <c r="K906" s="41" t="inlineStr">
        <is>
          <t>NB</t>
        </is>
      </c>
      <c r="L906" s="43" t="n">
        <v>2</v>
      </c>
    </row>
    <row r="907">
      <c r="B907" s="39" t="inlineStr">
        <is>
          <t>MBWAY_BOR</t>
        </is>
      </c>
      <c r="C907" s="40" t="inlineStr">
        <is>
          <t>BAC_MGT</t>
        </is>
      </c>
      <c r="D907" s="40" t="inlineStr">
        <is>
          <t>B3</t>
        </is>
      </c>
      <c r="E907" s="40" t="inlineStr">
        <is>
          <t>ALT</t>
        </is>
      </c>
      <c r="F907" s="40" t="inlineStr">
        <is>
          <t>STA_CLASS</t>
        </is>
      </c>
      <c r="G907" s="39" t="inlineStr">
        <is>
          <t>Nombre de classes</t>
        </is>
      </c>
      <c r="H907" s="40" t="inlineStr">
        <is>
          <t>TECHNIQUE</t>
        </is>
      </c>
      <c r="I907" s="41" t="inlineStr">
        <is>
          <t>2025FCST_V4</t>
        </is>
      </c>
      <c r="J907" s="41" t="n">
        <v>2025</v>
      </c>
      <c r="K907" s="41" t="inlineStr">
        <is>
          <t>NB</t>
        </is>
      </c>
      <c r="L907" s="43" t="n">
        <v>2</v>
      </c>
    </row>
    <row r="908">
      <c r="B908" s="39" t="inlineStr">
        <is>
          <t>MBWAY_BOR</t>
        </is>
      </c>
      <c r="C908" s="40" t="inlineStr">
        <is>
          <t>BAC_MGT</t>
        </is>
      </c>
      <c r="D908" s="40" t="inlineStr">
        <is>
          <t>B3</t>
        </is>
      </c>
      <c r="E908" s="40" t="inlineStr">
        <is>
          <t>ALT</t>
        </is>
      </c>
      <c r="F908" s="40" t="inlineStr">
        <is>
          <t>STA_HEURE</t>
        </is>
      </c>
      <c r="G908" s="39" t="inlineStr">
        <is>
          <t>Heures d'enseignement</t>
        </is>
      </c>
      <c r="H908" s="40" t="inlineStr">
        <is>
          <t>TECHNIQUE</t>
        </is>
      </c>
      <c r="I908" s="41" t="inlineStr">
        <is>
          <t>2023ACT_VDEF</t>
        </is>
      </c>
      <c r="J908" s="41" t="n">
        <v>2023</v>
      </c>
      <c r="K908" s="41" t="inlineStr">
        <is>
          <t>NB</t>
        </is>
      </c>
      <c r="L908" s="43" t="n">
        <v>936</v>
      </c>
    </row>
    <row r="909">
      <c r="B909" s="39" t="inlineStr">
        <is>
          <t>MBWAY_BOR</t>
        </is>
      </c>
      <c r="C909" s="40" t="inlineStr">
        <is>
          <t>BAC_MGT</t>
        </is>
      </c>
      <c r="D909" s="40" t="inlineStr">
        <is>
          <t>B3</t>
        </is>
      </c>
      <c r="E909" s="40" t="inlineStr">
        <is>
          <t>ALT</t>
        </is>
      </c>
      <c r="F909" s="40" t="inlineStr">
        <is>
          <t>STA_HEURE</t>
        </is>
      </c>
      <c r="G909" s="39" t="inlineStr">
        <is>
          <t>Heures d'enseignement</t>
        </is>
      </c>
      <c r="H909" s="40" t="inlineStr">
        <is>
          <t>TECHNIQUE</t>
        </is>
      </c>
      <c r="I909" s="41" t="inlineStr">
        <is>
          <t>2024ACT_VDEF</t>
        </is>
      </c>
      <c r="J909" s="41" t="n">
        <v>2024</v>
      </c>
      <c r="K909" s="41" t="inlineStr">
        <is>
          <t>NB</t>
        </is>
      </c>
      <c r="L909" s="43" t="n">
        <v>988</v>
      </c>
    </row>
    <row r="910">
      <c r="B910" s="39" t="inlineStr">
        <is>
          <t>MBWAY_BOR</t>
        </is>
      </c>
      <c r="C910" s="40" t="inlineStr">
        <is>
          <t>BAC_MGT</t>
        </is>
      </c>
      <c r="D910" s="40" t="inlineStr">
        <is>
          <t>B3</t>
        </is>
      </c>
      <c r="E910" s="40" t="inlineStr">
        <is>
          <t>ALT</t>
        </is>
      </c>
      <c r="F910" s="40" t="inlineStr">
        <is>
          <t>STA_HEURE</t>
        </is>
      </c>
      <c r="G910" s="39" t="inlineStr">
        <is>
          <t>Heures d'enseignement</t>
        </is>
      </c>
      <c r="H910" s="40" t="inlineStr">
        <is>
          <t>TECHNIQUE</t>
        </is>
      </c>
      <c r="I910" s="41" t="inlineStr">
        <is>
          <t>2025FCST_V4</t>
        </is>
      </c>
      <c r="J910" s="41" t="n">
        <v>2025</v>
      </c>
      <c r="K910" s="41" t="inlineStr">
        <is>
          <t>NB</t>
        </is>
      </c>
      <c r="L910" s="43" t="n">
        <v>1040</v>
      </c>
    </row>
    <row r="911">
      <c r="B911" s="39" t="inlineStr">
        <is>
          <t>MBWAY_BOR</t>
        </is>
      </c>
      <c r="C911" s="40" t="inlineStr">
        <is>
          <t>BAC_MGT</t>
        </is>
      </c>
      <c r="D911" s="40" t="inlineStr">
        <is>
          <t>B3</t>
        </is>
      </c>
      <c r="E911" s="40" t="inlineStr">
        <is>
          <t>ALT</t>
        </is>
      </c>
      <c r="F911" s="40" t="inlineStr">
        <is>
          <t>STA_CAPA</t>
        </is>
      </c>
      <c r="G911" s="39" t="inlineStr">
        <is>
          <t>Capacité par classe</t>
        </is>
      </c>
      <c r="H911" s="40" t="inlineStr">
        <is>
          <t>TECHNIQUE</t>
        </is>
      </c>
      <c r="I911" s="41" t="inlineStr">
        <is>
          <t>2023ACT_VDEF</t>
        </is>
      </c>
      <c r="J911" s="41" t="n">
        <v>2023</v>
      </c>
      <c r="K911" s="41" t="inlineStr">
        <is>
          <t>NB</t>
        </is>
      </c>
      <c r="L911" s="43" t="n">
        <v>32</v>
      </c>
    </row>
    <row r="912">
      <c r="B912" s="39" t="inlineStr">
        <is>
          <t>MBWAY_BOR</t>
        </is>
      </c>
      <c r="C912" s="40" t="inlineStr">
        <is>
          <t>BAC_MGT</t>
        </is>
      </c>
      <c r="D912" s="40" t="inlineStr">
        <is>
          <t>B3</t>
        </is>
      </c>
      <c r="E912" s="40" t="inlineStr">
        <is>
          <t>ALT</t>
        </is>
      </c>
      <c r="F912" s="40" t="inlineStr">
        <is>
          <t>STA_CAPA</t>
        </is>
      </c>
      <c r="G912" s="39" t="inlineStr">
        <is>
          <t>Capacité par classe</t>
        </is>
      </c>
      <c r="H912" s="40" t="inlineStr">
        <is>
          <t>TECHNIQUE</t>
        </is>
      </c>
      <c r="I912" s="41" t="inlineStr">
        <is>
          <t>2024ACT_VDEF</t>
        </is>
      </c>
      <c r="J912" s="41" t="n">
        <v>2024</v>
      </c>
      <c r="K912" s="41" t="inlineStr">
        <is>
          <t>NB</t>
        </is>
      </c>
      <c r="L912" s="43" t="n">
        <v>32</v>
      </c>
    </row>
    <row r="913">
      <c r="B913" s="39" t="inlineStr">
        <is>
          <t>MBWAY_BOR</t>
        </is>
      </c>
      <c r="C913" s="40" t="inlineStr">
        <is>
          <t>BAC_MGT</t>
        </is>
      </c>
      <c r="D913" s="40" t="inlineStr">
        <is>
          <t>B3</t>
        </is>
      </c>
      <c r="E913" s="40" t="inlineStr">
        <is>
          <t>ALT</t>
        </is>
      </c>
      <c r="F913" s="40" t="inlineStr">
        <is>
          <t>STA_CAPA</t>
        </is>
      </c>
      <c r="G913" s="39" t="inlineStr">
        <is>
          <t>Capacité par classe</t>
        </is>
      </c>
      <c r="H913" s="40" t="inlineStr">
        <is>
          <t>TECHNIQUE</t>
        </is>
      </c>
      <c r="I913" s="41" t="inlineStr">
        <is>
          <t>2025FCST_V4</t>
        </is>
      </c>
      <c r="J913" s="41" t="n">
        <v>2025</v>
      </c>
      <c r="K913" s="41" t="inlineStr">
        <is>
          <t>NB</t>
        </is>
      </c>
      <c r="L913" s="43" t="n">
        <v>32</v>
      </c>
    </row>
    <row r="914">
      <c r="B914" s="39" t="inlineStr">
        <is>
          <t>MBWAY_BOR</t>
        </is>
      </c>
      <c r="C914" s="40" t="inlineStr">
        <is>
          <t>BAC_MGT</t>
        </is>
      </c>
      <c r="D914" s="40" t="inlineStr">
        <is>
          <t>B3</t>
        </is>
      </c>
      <c r="E914" s="40" t="inlineStr">
        <is>
          <t>ALT</t>
        </is>
      </c>
      <c r="F914" s="40" t="inlineStr">
        <is>
          <t>DRV_PASS</t>
        </is>
      </c>
      <c r="G914" s="39" t="inlineStr">
        <is>
          <t>Taux de passage (réinscription)</t>
        </is>
      </c>
      <c r="H914" s="40" t="inlineStr">
        <is>
          <t>TECHNIQUE</t>
        </is>
      </c>
      <c r="I914" s="41" t="inlineStr">
        <is>
          <t>2023ACT_VDEF</t>
        </is>
      </c>
      <c r="J914" s="41" t="n">
        <v>2023</v>
      </c>
      <c r="K914" s="41" t="inlineStr">
        <is>
          <t>PCT</t>
        </is>
      </c>
      <c r="L914" s="44" t="n">
        <v>0.95</v>
      </c>
    </row>
    <row r="915">
      <c r="B915" s="39" t="inlineStr">
        <is>
          <t>MBWAY_BOR</t>
        </is>
      </c>
      <c r="C915" s="40" t="inlineStr">
        <is>
          <t>BAC_MGT</t>
        </is>
      </c>
      <c r="D915" s="40" t="inlineStr">
        <is>
          <t>B3</t>
        </is>
      </c>
      <c r="E915" s="40" t="inlineStr">
        <is>
          <t>ALT</t>
        </is>
      </c>
      <c r="F915" s="40" t="inlineStr">
        <is>
          <t>DRV_PASS</t>
        </is>
      </c>
      <c r="G915" s="39" t="inlineStr">
        <is>
          <t>Taux de passage (réinscription)</t>
        </is>
      </c>
      <c r="H915" s="40" t="inlineStr">
        <is>
          <t>TECHNIQUE</t>
        </is>
      </c>
      <c r="I915" s="41" t="inlineStr">
        <is>
          <t>2024ACT_VDEF</t>
        </is>
      </c>
      <c r="J915" s="41" t="n">
        <v>2024</v>
      </c>
      <c r="K915" s="41" t="inlineStr">
        <is>
          <t>PCT</t>
        </is>
      </c>
      <c r="L915" s="44" t="n">
        <v>0.95</v>
      </c>
    </row>
    <row r="916">
      <c r="B916" s="39" t="inlineStr">
        <is>
          <t>MBWAY_BOR</t>
        </is>
      </c>
      <c r="C916" s="40" t="inlineStr">
        <is>
          <t>BAC_MGT</t>
        </is>
      </c>
      <c r="D916" s="40" t="inlineStr">
        <is>
          <t>B3</t>
        </is>
      </c>
      <c r="E916" s="40" t="inlineStr">
        <is>
          <t>ALT</t>
        </is>
      </c>
      <c r="F916" s="40" t="inlineStr">
        <is>
          <t>DRV_PASS</t>
        </is>
      </c>
      <c r="G916" s="39" t="inlineStr">
        <is>
          <t>Taux de passage (réinscription)</t>
        </is>
      </c>
      <c r="H916" s="40" t="inlineStr">
        <is>
          <t>TECHNIQUE</t>
        </is>
      </c>
      <c r="I916" s="41" t="inlineStr">
        <is>
          <t>2025FCST_V4</t>
        </is>
      </c>
      <c r="J916" s="41" t="n">
        <v>2025</v>
      </c>
      <c r="K916" s="41" t="inlineStr">
        <is>
          <t>PCT</t>
        </is>
      </c>
      <c r="L916" s="44" t="n">
        <v>0.95</v>
      </c>
    </row>
    <row r="917">
      <c r="B917" s="39" t="inlineStr">
        <is>
          <t>MBWAY_BOR</t>
        </is>
      </c>
      <c r="C917" s="40" t="inlineStr">
        <is>
          <t>BAC_MGT</t>
        </is>
      </c>
      <c r="D917" s="40" t="inlineStr">
        <is>
          <t>B3</t>
        </is>
      </c>
      <c r="E917" s="40" t="inlineStr">
        <is>
          <t>ALT</t>
        </is>
      </c>
      <c r="F917" s="40" t="inlineStr">
        <is>
          <t>PRX_TARIF</t>
        </is>
      </c>
      <c r="G917" s="39" t="inlineStr">
        <is>
          <t>Tarif moyen scolarité</t>
        </is>
      </c>
      <c r="H917" s="40" t="inlineStr">
        <is>
          <t>TECHNIQUE</t>
        </is>
      </c>
      <c r="I917" s="41" t="inlineStr">
        <is>
          <t>2023ACT_VDEF</t>
        </is>
      </c>
      <c r="J917" s="41" t="n">
        <v>2023</v>
      </c>
      <c r="K917" s="41" t="inlineStr">
        <is>
          <t>EUR</t>
        </is>
      </c>
      <c r="L917" s="42" t="n">
        <v>8000</v>
      </c>
    </row>
    <row r="918">
      <c r="B918" s="39" t="inlineStr">
        <is>
          <t>MBWAY_BOR</t>
        </is>
      </c>
      <c r="C918" s="40" t="inlineStr">
        <is>
          <t>BAC_MGT</t>
        </is>
      </c>
      <c r="D918" s="40" t="inlineStr">
        <is>
          <t>B3</t>
        </is>
      </c>
      <c r="E918" s="40" t="inlineStr">
        <is>
          <t>ALT</t>
        </is>
      </c>
      <c r="F918" s="40" t="inlineStr">
        <is>
          <t>PRX_TARIF</t>
        </is>
      </c>
      <c r="G918" s="39" t="inlineStr">
        <is>
          <t>Tarif moyen scolarité</t>
        </is>
      </c>
      <c r="H918" s="40" t="inlineStr">
        <is>
          <t>TECHNIQUE</t>
        </is>
      </c>
      <c r="I918" s="41" t="inlineStr">
        <is>
          <t>2024ACT_VDEF</t>
        </is>
      </c>
      <c r="J918" s="41" t="n">
        <v>2024</v>
      </c>
      <c r="K918" s="41" t="inlineStr">
        <is>
          <t>EUR</t>
        </is>
      </c>
      <c r="L918" s="42" t="n">
        <v>8000</v>
      </c>
    </row>
    <row r="919">
      <c r="B919" s="39" t="inlineStr">
        <is>
          <t>MBWAY_BOR</t>
        </is>
      </c>
      <c r="C919" s="40" t="inlineStr">
        <is>
          <t>BAC_MGT</t>
        </is>
      </c>
      <c r="D919" s="40" t="inlineStr">
        <is>
          <t>B3</t>
        </is>
      </c>
      <c r="E919" s="40" t="inlineStr">
        <is>
          <t>ALT</t>
        </is>
      </c>
      <c r="F919" s="40" t="inlineStr">
        <is>
          <t>PRX_TARIF</t>
        </is>
      </c>
      <c r="G919" s="39" t="inlineStr">
        <is>
          <t>Tarif moyen scolarité</t>
        </is>
      </c>
      <c r="H919" s="40" t="inlineStr">
        <is>
          <t>TECHNIQUE</t>
        </is>
      </c>
      <c r="I919" s="41" t="inlineStr">
        <is>
          <t>2025FCST_V4</t>
        </is>
      </c>
      <c r="J919" s="41" t="n">
        <v>2025</v>
      </c>
      <c r="K919" s="41" t="inlineStr">
        <is>
          <t>EUR</t>
        </is>
      </c>
      <c r="L919" s="42" t="n">
        <v>8000</v>
      </c>
    </row>
    <row r="920">
      <c r="B920" s="39" t="inlineStr">
        <is>
          <t>MBWAY_BOR</t>
        </is>
      </c>
      <c r="C920" s="40" t="inlineStr">
        <is>
          <t>MAS_MGT</t>
        </is>
      </c>
      <c r="D920" s="40" t="inlineStr">
        <is>
          <t>M1</t>
        </is>
      </c>
      <c r="E920" s="40" t="inlineStr">
        <is>
          <t>ALT</t>
        </is>
      </c>
      <c r="F920" s="40" t="inlineStr">
        <is>
          <t>706100</t>
        </is>
      </c>
      <c r="G920" s="39" t="inlineStr">
        <is>
          <t>Droits de scolarité</t>
        </is>
      </c>
      <c r="H920" s="40" t="inlineStr">
        <is>
          <t>COMPTABLE</t>
        </is>
      </c>
      <c r="I920" s="41" t="inlineStr">
        <is>
          <t>2023ACT_VDEF</t>
        </is>
      </c>
      <c r="J920" s="41" t="n">
        <v>2023</v>
      </c>
      <c r="K920" s="41" t="inlineStr">
        <is>
          <t>EUR</t>
        </is>
      </c>
      <c r="L920" s="42" t="n">
        <v>251100</v>
      </c>
    </row>
    <row r="921">
      <c r="B921" s="39" t="inlineStr">
        <is>
          <t>MBWAY_BOR</t>
        </is>
      </c>
      <c r="C921" s="40" t="inlineStr">
        <is>
          <t>MAS_MGT</t>
        </is>
      </c>
      <c r="D921" s="40" t="inlineStr">
        <is>
          <t>M1</t>
        </is>
      </c>
      <c r="E921" s="40" t="inlineStr">
        <is>
          <t>ALT</t>
        </is>
      </c>
      <c r="F921" s="40" t="inlineStr">
        <is>
          <t>706100</t>
        </is>
      </c>
      <c r="G921" s="39" t="inlineStr">
        <is>
          <t>Droits de scolarité</t>
        </is>
      </c>
      <c r="H921" s="40" t="inlineStr">
        <is>
          <t>COMPTABLE</t>
        </is>
      </c>
      <c r="I921" s="41" t="inlineStr">
        <is>
          <t>2024ACT_VDEF</t>
        </is>
      </c>
      <c r="J921" s="41" t="n">
        <v>2024</v>
      </c>
      <c r="K921" s="41" t="inlineStr">
        <is>
          <t>EUR</t>
        </is>
      </c>
      <c r="L921" s="42" t="n">
        <v>265050</v>
      </c>
    </row>
    <row r="922">
      <c r="B922" s="39" t="inlineStr">
        <is>
          <t>MBWAY_BOR</t>
        </is>
      </c>
      <c r="C922" s="40" t="inlineStr">
        <is>
          <t>MAS_MGT</t>
        </is>
      </c>
      <c r="D922" s="40" t="inlineStr">
        <is>
          <t>M1</t>
        </is>
      </c>
      <c r="E922" s="40" t="inlineStr">
        <is>
          <t>ALT</t>
        </is>
      </c>
      <c r="F922" s="40" t="inlineStr">
        <is>
          <t>706100</t>
        </is>
      </c>
      <c r="G922" s="39" t="inlineStr">
        <is>
          <t>Droits de scolarité</t>
        </is>
      </c>
      <c r="H922" s="40" t="inlineStr">
        <is>
          <t>COMPTABLE</t>
        </is>
      </c>
      <c r="I922" s="41" t="inlineStr">
        <is>
          <t>2025FCST_V4</t>
        </is>
      </c>
      <c r="J922" s="41" t="n">
        <v>2025</v>
      </c>
      <c r="K922" s="41" t="inlineStr">
        <is>
          <t>EUR</t>
        </is>
      </c>
      <c r="L922" s="42" t="n">
        <v>279000</v>
      </c>
    </row>
    <row r="923">
      <c r="B923" s="39" t="inlineStr">
        <is>
          <t>MBWAY_BOR</t>
        </is>
      </c>
      <c r="C923" s="40" t="inlineStr">
        <is>
          <t>MAS_MGT</t>
        </is>
      </c>
      <c r="D923" s="40" t="inlineStr">
        <is>
          <t>M1</t>
        </is>
      </c>
      <c r="E923" s="40" t="inlineStr">
        <is>
          <t>ALT</t>
        </is>
      </c>
      <c r="F923" s="40" t="inlineStr">
        <is>
          <t>708500</t>
        </is>
      </c>
      <c r="G923" s="39" t="inlineStr">
        <is>
          <t>Frais de dossier / inscription</t>
        </is>
      </c>
      <c r="H923" s="40" t="inlineStr">
        <is>
          <t>COMPTABLE</t>
        </is>
      </c>
      <c r="I923" s="41" t="inlineStr">
        <is>
          <t>2023ACT_VDEF</t>
        </is>
      </c>
      <c r="J923" s="41" t="n">
        <v>2023</v>
      </c>
      <c r="K923" s="41" t="inlineStr">
        <is>
          <t>EUR</t>
        </is>
      </c>
      <c r="L923" s="42" t="n">
        <v>2511</v>
      </c>
    </row>
    <row r="924">
      <c r="B924" s="39" t="inlineStr">
        <is>
          <t>MBWAY_BOR</t>
        </is>
      </c>
      <c r="C924" s="40" t="inlineStr">
        <is>
          <t>MAS_MGT</t>
        </is>
      </c>
      <c r="D924" s="40" t="inlineStr">
        <is>
          <t>M1</t>
        </is>
      </c>
      <c r="E924" s="40" t="inlineStr">
        <is>
          <t>ALT</t>
        </is>
      </c>
      <c r="F924" s="40" t="inlineStr">
        <is>
          <t>708500</t>
        </is>
      </c>
      <c r="G924" s="39" t="inlineStr">
        <is>
          <t>Frais de dossier / inscription</t>
        </is>
      </c>
      <c r="H924" s="40" t="inlineStr">
        <is>
          <t>COMPTABLE</t>
        </is>
      </c>
      <c r="I924" s="41" t="inlineStr">
        <is>
          <t>2024ACT_VDEF</t>
        </is>
      </c>
      <c r="J924" s="41" t="n">
        <v>2024</v>
      </c>
      <c r="K924" s="41" t="inlineStr">
        <is>
          <t>EUR</t>
        </is>
      </c>
      <c r="L924" s="42" t="n">
        <v>2650</v>
      </c>
    </row>
    <row r="925">
      <c r="B925" s="39" t="inlineStr">
        <is>
          <t>MBWAY_BOR</t>
        </is>
      </c>
      <c r="C925" s="40" t="inlineStr">
        <is>
          <t>MAS_MGT</t>
        </is>
      </c>
      <c r="D925" s="40" t="inlineStr">
        <is>
          <t>M1</t>
        </is>
      </c>
      <c r="E925" s="40" t="inlineStr">
        <is>
          <t>ALT</t>
        </is>
      </c>
      <c r="F925" s="40" t="inlineStr">
        <is>
          <t>708500</t>
        </is>
      </c>
      <c r="G925" s="39" t="inlineStr">
        <is>
          <t>Frais de dossier / inscription</t>
        </is>
      </c>
      <c r="H925" s="40" t="inlineStr">
        <is>
          <t>COMPTABLE</t>
        </is>
      </c>
      <c r="I925" s="41" t="inlineStr">
        <is>
          <t>2025FCST_V4</t>
        </is>
      </c>
      <c r="J925" s="41" t="n">
        <v>2025</v>
      </c>
      <c r="K925" s="41" t="inlineStr">
        <is>
          <t>EUR</t>
        </is>
      </c>
      <c r="L925" s="42" t="n">
        <v>2790</v>
      </c>
    </row>
    <row r="926">
      <c r="B926" s="39" t="inlineStr">
        <is>
          <t>MBWAY_BOR</t>
        </is>
      </c>
      <c r="C926" s="40" t="inlineStr">
        <is>
          <t>MAS_MGT</t>
        </is>
      </c>
      <c r="D926" s="40" t="inlineStr">
        <is>
          <t>M1</t>
        </is>
      </c>
      <c r="E926" s="40" t="inlineStr">
        <is>
          <t>ALT</t>
        </is>
      </c>
      <c r="F926" s="40" t="inlineStr">
        <is>
          <t>604100</t>
        </is>
      </c>
      <c r="G926" s="39" t="inlineStr">
        <is>
          <t>Vacations &amp; sous-traitance pédagogique</t>
        </is>
      </c>
      <c r="H926" s="40" t="inlineStr">
        <is>
          <t>COMPTABLE</t>
        </is>
      </c>
      <c r="I926" s="41" t="inlineStr">
        <is>
          <t>2023ACT_VDEF</t>
        </is>
      </c>
      <c r="J926" s="41" t="n">
        <v>2023</v>
      </c>
      <c r="K926" s="41" t="inlineStr">
        <is>
          <t>EUR</t>
        </is>
      </c>
      <c r="L926" s="42" t="n">
        <v>60480</v>
      </c>
    </row>
    <row r="927">
      <c r="B927" s="39" t="inlineStr">
        <is>
          <t>MBWAY_BOR</t>
        </is>
      </c>
      <c r="C927" s="40" t="inlineStr">
        <is>
          <t>MAS_MGT</t>
        </is>
      </c>
      <c r="D927" s="40" t="inlineStr">
        <is>
          <t>M1</t>
        </is>
      </c>
      <c r="E927" s="40" t="inlineStr">
        <is>
          <t>ALT</t>
        </is>
      </c>
      <c r="F927" s="40" t="inlineStr">
        <is>
          <t>604100</t>
        </is>
      </c>
      <c r="G927" s="39" t="inlineStr">
        <is>
          <t>Vacations &amp; sous-traitance pédagogique</t>
        </is>
      </c>
      <c r="H927" s="40" t="inlineStr">
        <is>
          <t>COMPTABLE</t>
        </is>
      </c>
      <c r="I927" s="41" t="inlineStr">
        <is>
          <t>2024ACT_VDEF</t>
        </is>
      </c>
      <c r="J927" s="41" t="n">
        <v>2024</v>
      </c>
      <c r="K927" s="41" t="inlineStr">
        <is>
          <t>EUR</t>
        </is>
      </c>
      <c r="L927" s="42" t="n">
        <v>63840</v>
      </c>
    </row>
    <row r="928">
      <c r="B928" s="39" t="inlineStr">
        <is>
          <t>MBWAY_BOR</t>
        </is>
      </c>
      <c r="C928" s="40" t="inlineStr">
        <is>
          <t>MAS_MGT</t>
        </is>
      </c>
      <c r="D928" s="40" t="inlineStr">
        <is>
          <t>M1</t>
        </is>
      </c>
      <c r="E928" s="40" t="inlineStr">
        <is>
          <t>ALT</t>
        </is>
      </c>
      <c r="F928" s="40" t="inlineStr">
        <is>
          <t>604100</t>
        </is>
      </c>
      <c r="G928" s="39" t="inlineStr">
        <is>
          <t>Vacations &amp; sous-traitance pédagogique</t>
        </is>
      </c>
      <c r="H928" s="40" t="inlineStr">
        <is>
          <t>COMPTABLE</t>
        </is>
      </c>
      <c r="I928" s="41" t="inlineStr">
        <is>
          <t>2025FCST_V4</t>
        </is>
      </c>
      <c r="J928" s="41" t="n">
        <v>2025</v>
      </c>
      <c r="K928" s="41" t="inlineStr">
        <is>
          <t>EUR</t>
        </is>
      </c>
      <c r="L928" s="42" t="n">
        <v>67200</v>
      </c>
    </row>
    <row r="929">
      <c r="B929" s="39" t="inlineStr">
        <is>
          <t>MBWAY_BOR</t>
        </is>
      </c>
      <c r="C929" s="40" t="inlineStr">
        <is>
          <t>MAS_MGT</t>
        </is>
      </c>
      <c r="D929" s="40" t="inlineStr">
        <is>
          <t>M1</t>
        </is>
      </c>
      <c r="E929" s="40" t="inlineStr">
        <is>
          <t>ALT</t>
        </is>
      </c>
      <c r="F929" s="40" t="inlineStr">
        <is>
          <t>606300</t>
        </is>
      </c>
      <c r="G929" s="39" t="inlineStr">
        <is>
          <t>Fournitures &amp; ressources pédagogiques</t>
        </is>
      </c>
      <c r="H929" s="40" t="inlineStr">
        <is>
          <t>COMPTABLE</t>
        </is>
      </c>
      <c r="I929" s="41" t="inlineStr">
        <is>
          <t>2023ACT_VDEF</t>
        </is>
      </c>
      <c r="J929" s="41" t="n">
        <v>2023</v>
      </c>
      <c r="K929" s="41" t="inlineStr">
        <is>
          <t>EUR</t>
        </is>
      </c>
      <c r="L929" s="42" t="n">
        <v>14508</v>
      </c>
    </row>
    <row r="930">
      <c r="B930" s="39" t="inlineStr">
        <is>
          <t>MBWAY_BOR</t>
        </is>
      </c>
      <c r="C930" s="40" t="inlineStr">
        <is>
          <t>MAS_MGT</t>
        </is>
      </c>
      <c r="D930" s="40" t="inlineStr">
        <is>
          <t>M1</t>
        </is>
      </c>
      <c r="E930" s="40" t="inlineStr">
        <is>
          <t>ALT</t>
        </is>
      </c>
      <c r="F930" s="40" t="inlineStr">
        <is>
          <t>606300</t>
        </is>
      </c>
      <c r="G930" s="39" t="inlineStr">
        <is>
          <t>Fournitures &amp; ressources pédagogiques</t>
        </is>
      </c>
      <c r="H930" s="40" t="inlineStr">
        <is>
          <t>COMPTABLE</t>
        </is>
      </c>
      <c r="I930" s="41" t="inlineStr">
        <is>
          <t>2024ACT_VDEF</t>
        </is>
      </c>
      <c r="J930" s="41" t="n">
        <v>2024</v>
      </c>
      <c r="K930" s="41" t="inlineStr">
        <is>
          <t>EUR</t>
        </is>
      </c>
      <c r="L930" s="42" t="n">
        <v>15314</v>
      </c>
    </row>
    <row r="931">
      <c r="B931" s="39" t="inlineStr">
        <is>
          <t>MBWAY_BOR</t>
        </is>
      </c>
      <c r="C931" s="40" t="inlineStr">
        <is>
          <t>MAS_MGT</t>
        </is>
      </c>
      <c r="D931" s="40" t="inlineStr">
        <is>
          <t>M1</t>
        </is>
      </c>
      <c r="E931" s="40" t="inlineStr">
        <is>
          <t>ALT</t>
        </is>
      </c>
      <c r="F931" s="40" t="inlineStr">
        <is>
          <t>606300</t>
        </is>
      </c>
      <c r="G931" s="39" t="inlineStr">
        <is>
          <t>Fournitures &amp; ressources pédagogiques</t>
        </is>
      </c>
      <c r="H931" s="40" t="inlineStr">
        <is>
          <t>COMPTABLE</t>
        </is>
      </c>
      <c r="I931" s="41" t="inlineStr">
        <is>
          <t>2025FCST_V4</t>
        </is>
      </c>
      <c r="J931" s="41" t="n">
        <v>2025</v>
      </c>
      <c r="K931" s="41" t="inlineStr">
        <is>
          <t>EUR</t>
        </is>
      </c>
      <c r="L931" s="42" t="n">
        <v>16120</v>
      </c>
    </row>
    <row r="932">
      <c r="B932" s="39" t="inlineStr">
        <is>
          <t>MBWAY_BOR</t>
        </is>
      </c>
      <c r="C932" s="40" t="inlineStr">
        <is>
          <t>MAS_MGT</t>
        </is>
      </c>
      <c r="D932" s="40" t="inlineStr">
        <is>
          <t>M1</t>
        </is>
      </c>
      <c r="E932" s="40" t="inlineStr">
        <is>
          <t>ALT</t>
        </is>
      </c>
      <c r="F932" s="40" t="inlineStr">
        <is>
          <t>623000</t>
        </is>
      </c>
      <c r="G932" s="39" t="inlineStr">
        <is>
          <t>Publicité &amp; marketing (acquisition)</t>
        </is>
      </c>
      <c r="H932" s="40" t="inlineStr">
        <is>
          <t>COMPTABLE</t>
        </is>
      </c>
      <c r="I932" s="41" t="inlineStr">
        <is>
          <t>2023ACT_VDEF</t>
        </is>
      </c>
      <c r="J932" s="41" t="n">
        <v>2023</v>
      </c>
      <c r="K932" s="41" t="inlineStr">
        <is>
          <t>EUR</t>
        </is>
      </c>
      <c r="L932" s="42" t="n">
        <v>16740</v>
      </c>
    </row>
    <row r="933">
      <c r="B933" s="39" t="inlineStr">
        <is>
          <t>MBWAY_BOR</t>
        </is>
      </c>
      <c r="C933" s="40" t="inlineStr">
        <is>
          <t>MAS_MGT</t>
        </is>
      </c>
      <c r="D933" s="40" t="inlineStr">
        <is>
          <t>M1</t>
        </is>
      </c>
      <c r="E933" s="40" t="inlineStr">
        <is>
          <t>ALT</t>
        </is>
      </c>
      <c r="F933" s="40" t="inlineStr">
        <is>
          <t>623000</t>
        </is>
      </c>
      <c r="G933" s="39" t="inlineStr">
        <is>
          <t>Publicité &amp; marketing (acquisition)</t>
        </is>
      </c>
      <c r="H933" s="40" t="inlineStr">
        <is>
          <t>COMPTABLE</t>
        </is>
      </c>
      <c r="I933" s="41" t="inlineStr">
        <is>
          <t>2024ACT_VDEF</t>
        </is>
      </c>
      <c r="J933" s="41" t="n">
        <v>2024</v>
      </c>
      <c r="K933" s="41" t="inlineStr">
        <is>
          <t>EUR</t>
        </is>
      </c>
      <c r="L933" s="42" t="n">
        <v>17670</v>
      </c>
    </row>
    <row r="934">
      <c r="B934" s="39" t="inlineStr">
        <is>
          <t>MBWAY_BOR</t>
        </is>
      </c>
      <c r="C934" s="40" t="inlineStr">
        <is>
          <t>MAS_MGT</t>
        </is>
      </c>
      <c r="D934" s="40" t="inlineStr">
        <is>
          <t>M1</t>
        </is>
      </c>
      <c r="E934" s="40" t="inlineStr">
        <is>
          <t>ALT</t>
        </is>
      </c>
      <c r="F934" s="40" t="inlineStr">
        <is>
          <t>623000</t>
        </is>
      </c>
      <c r="G934" s="39" t="inlineStr">
        <is>
          <t>Publicité &amp; marketing (acquisition)</t>
        </is>
      </c>
      <c r="H934" s="40" t="inlineStr">
        <is>
          <t>COMPTABLE</t>
        </is>
      </c>
      <c r="I934" s="41" t="inlineStr">
        <is>
          <t>2025FCST_V4</t>
        </is>
      </c>
      <c r="J934" s="41" t="n">
        <v>2025</v>
      </c>
      <c r="K934" s="41" t="inlineStr">
        <is>
          <t>EUR</t>
        </is>
      </c>
      <c r="L934" s="42" t="n">
        <v>18600</v>
      </c>
    </row>
    <row r="935">
      <c r="B935" s="39" t="inlineStr">
        <is>
          <t>MBWAY_BOR</t>
        </is>
      </c>
      <c r="C935" s="40" t="inlineStr">
        <is>
          <t>MAS_MGT</t>
        </is>
      </c>
      <c r="D935" s="40" t="inlineStr">
        <is>
          <t>M1</t>
        </is>
      </c>
      <c r="E935" s="40" t="inlineStr">
        <is>
          <t>ALT</t>
        </is>
      </c>
      <c r="F935" s="40" t="inlineStr">
        <is>
          <t>613200</t>
        </is>
      </c>
      <c r="G935" s="39" t="inlineStr">
        <is>
          <t>Locations immobilières (loyers)</t>
        </is>
      </c>
      <c r="H935" s="40" t="inlineStr">
        <is>
          <t>COMPTABLE</t>
        </is>
      </c>
      <c r="I935" s="41" t="inlineStr">
        <is>
          <t>2023ACT_VDEF</t>
        </is>
      </c>
      <c r="J935" s="41" t="n">
        <v>2023</v>
      </c>
      <c r="K935" s="41" t="inlineStr">
        <is>
          <t>EUR</t>
        </is>
      </c>
      <c r="L935" s="42" t="n">
        <v>32040</v>
      </c>
    </row>
    <row r="936">
      <c r="B936" s="39" t="inlineStr">
        <is>
          <t>MBWAY_BOR</t>
        </is>
      </c>
      <c r="C936" s="40" t="inlineStr">
        <is>
          <t>MAS_MGT</t>
        </is>
      </c>
      <c r="D936" s="40" t="inlineStr">
        <is>
          <t>M1</t>
        </is>
      </c>
      <c r="E936" s="40" t="inlineStr">
        <is>
          <t>ALT</t>
        </is>
      </c>
      <c r="F936" s="40" t="inlineStr">
        <is>
          <t>613200</t>
        </is>
      </c>
      <c r="G936" s="39" t="inlineStr">
        <is>
          <t>Locations immobilières (loyers)</t>
        </is>
      </c>
      <c r="H936" s="40" t="inlineStr">
        <is>
          <t>COMPTABLE</t>
        </is>
      </c>
      <c r="I936" s="41" t="inlineStr">
        <is>
          <t>2024ACT_VDEF</t>
        </is>
      </c>
      <c r="J936" s="41" t="n">
        <v>2024</v>
      </c>
      <c r="K936" s="41" t="inlineStr">
        <is>
          <t>EUR</t>
        </is>
      </c>
      <c r="L936" s="42" t="n">
        <v>33820</v>
      </c>
    </row>
    <row r="937">
      <c r="B937" s="39" t="inlineStr">
        <is>
          <t>MBWAY_BOR</t>
        </is>
      </c>
      <c r="C937" s="40" t="inlineStr">
        <is>
          <t>MAS_MGT</t>
        </is>
      </c>
      <c r="D937" s="40" t="inlineStr">
        <is>
          <t>M1</t>
        </is>
      </c>
      <c r="E937" s="40" t="inlineStr">
        <is>
          <t>ALT</t>
        </is>
      </c>
      <c r="F937" s="40" t="inlineStr">
        <is>
          <t>613200</t>
        </is>
      </c>
      <c r="G937" s="39" t="inlineStr">
        <is>
          <t>Locations immobilières (loyers)</t>
        </is>
      </c>
      <c r="H937" s="40" t="inlineStr">
        <is>
          <t>COMPTABLE</t>
        </is>
      </c>
      <c r="I937" s="41" t="inlineStr">
        <is>
          <t>2025FCST_V4</t>
        </is>
      </c>
      <c r="J937" s="41" t="n">
        <v>2025</v>
      </c>
      <c r="K937" s="41" t="inlineStr">
        <is>
          <t>EUR</t>
        </is>
      </c>
      <c r="L937" s="42" t="n">
        <v>35600</v>
      </c>
    </row>
    <row r="938">
      <c r="B938" s="39" t="inlineStr">
        <is>
          <t>MBWAY_BOR</t>
        </is>
      </c>
      <c r="C938" s="40" t="inlineStr">
        <is>
          <t>MAS_MGT</t>
        </is>
      </c>
      <c r="D938" s="40" t="inlineStr">
        <is>
          <t>M1</t>
        </is>
      </c>
      <c r="E938" s="40" t="inlineStr">
        <is>
          <t>ALT</t>
        </is>
      </c>
      <c r="F938" s="40" t="inlineStr">
        <is>
          <t>641100</t>
        </is>
      </c>
      <c r="G938" s="39" t="inlineStr">
        <is>
          <t>Rémunérations du personnel permanent</t>
        </is>
      </c>
      <c r="H938" s="40" t="inlineStr">
        <is>
          <t>COMPTABLE</t>
        </is>
      </c>
      <c r="I938" s="41" t="inlineStr">
        <is>
          <t>2023ACT_VDEF</t>
        </is>
      </c>
      <c r="J938" s="41" t="n">
        <v>2023</v>
      </c>
      <c r="K938" s="41" t="inlineStr">
        <is>
          <t>EUR</t>
        </is>
      </c>
      <c r="L938" s="42" t="n">
        <v>73080</v>
      </c>
    </row>
    <row r="939">
      <c r="B939" s="39" t="inlineStr">
        <is>
          <t>MBWAY_BOR</t>
        </is>
      </c>
      <c r="C939" s="40" t="inlineStr">
        <is>
          <t>MAS_MGT</t>
        </is>
      </c>
      <c r="D939" s="40" t="inlineStr">
        <is>
          <t>M1</t>
        </is>
      </c>
      <c r="E939" s="40" t="inlineStr">
        <is>
          <t>ALT</t>
        </is>
      </c>
      <c r="F939" s="40" t="inlineStr">
        <is>
          <t>641100</t>
        </is>
      </c>
      <c r="G939" s="39" t="inlineStr">
        <is>
          <t>Rémunérations du personnel permanent</t>
        </is>
      </c>
      <c r="H939" s="40" t="inlineStr">
        <is>
          <t>COMPTABLE</t>
        </is>
      </c>
      <c r="I939" s="41" t="inlineStr">
        <is>
          <t>2024ACT_VDEF</t>
        </is>
      </c>
      <c r="J939" s="41" t="n">
        <v>2024</v>
      </c>
      <c r="K939" s="41" t="inlineStr">
        <is>
          <t>EUR</t>
        </is>
      </c>
      <c r="L939" s="42" t="n">
        <v>77140</v>
      </c>
    </row>
    <row r="940">
      <c r="B940" s="39" t="inlineStr">
        <is>
          <t>MBWAY_BOR</t>
        </is>
      </c>
      <c r="C940" s="40" t="inlineStr">
        <is>
          <t>MAS_MGT</t>
        </is>
      </c>
      <c r="D940" s="40" t="inlineStr">
        <is>
          <t>M1</t>
        </is>
      </c>
      <c r="E940" s="40" t="inlineStr">
        <is>
          <t>ALT</t>
        </is>
      </c>
      <c r="F940" s="40" t="inlineStr">
        <is>
          <t>641100</t>
        </is>
      </c>
      <c r="G940" s="39" t="inlineStr">
        <is>
          <t>Rémunérations du personnel permanent</t>
        </is>
      </c>
      <c r="H940" s="40" t="inlineStr">
        <is>
          <t>COMPTABLE</t>
        </is>
      </c>
      <c r="I940" s="41" t="inlineStr">
        <is>
          <t>2025FCST_V4</t>
        </is>
      </c>
      <c r="J940" s="41" t="n">
        <v>2025</v>
      </c>
      <c r="K940" s="41" t="inlineStr">
        <is>
          <t>EUR</t>
        </is>
      </c>
      <c r="L940" s="42" t="n">
        <v>81200</v>
      </c>
    </row>
    <row r="941">
      <c r="B941" s="39" t="inlineStr">
        <is>
          <t>MBWAY_BOR</t>
        </is>
      </c>
      <c r="C941" s="40" t="inlineStr">
        <is>
          <t>MAS_MGT</t>
        </is>
      </c>
      <c r="D941" s="40" t="inlineStr">
        <is>
          <t>M1</t>
        </is>
      </c>
      <c r="E941" s="40" t="inlineStr">
        <is>
          <t>ALT</t>
        </is>
      </c>
      <c r="F941" s="40" t="inlineStr">
        <is>
          <t>622600</t>
        </is>
      </c>
      <c r="G941" s="39" t="inlineStr">
        <is>
          <t>Honoraires &amp; frais de siège (structure groupe)</t>
        </is>
      </c>
      <c r="H941" s="40" t="inlineStr">
        <is>
          <t>COMPTABLE</t>
        </is>
      </c>
      <c r="I941" s="41" t="inlineStr">
        <is>
          <t>2023ACT_VDEF</t>
        </is>
      </c>
      <c r="J941" s="41" t="n">
        <v>2023</v>
      </c>
      <c r="K941" s="41" t="inlineStr">
        <is>
          <t>EUR</t>
        </is>
      </c>
      <c r="L941" s="42" t="n">
        <v>29167</v>
      </c>
    </row>
    <row r="942">
      <c r="B942" s="39" t="inlineStr">
        <is>
          <t>MBWAY_BOR</t>
        </is>
      </c>
      <c r="C942" s="40" t="inlineStr">
        <is>
          <t>MAS_MGT</t>
        </is>
      </c>
      <c r="D942" s="40" t="inlineStr">
        <is>
          <t>M1</t>
        </is>
      </c>
      <c r="E942" s="40" t="inlineStr">
        <is>
          <t>ALT</t>
        </is>
      </c>
      <c r="F942" s="40" t="inlineStr">
        <is>
          <t>622600</t>
        </is>
      </c>
      <c r="G942" s="39" t="inlineStr">
        <is>
          <t>Honoraires &amp; frais de siège (structure groupe)</t>
        </is>
      </c>
      <c r="H942" s="40" t="inlineStr">
        <is>
          <t>COMPTABLE</t>
        </is>
      </c>
      <c r="I942" s="41" t="inlineStr">
        <is>
          <t>2024ACT_VDEF</t>
        </is>
      </c>
      <c r="J942" s="41" t="n">
        <v>2024</v>
      </c>
      <c r="K942" s="41" t="inlineStr">
        <is>
          <t>EUR</t>
        </is>
      </c>
      <c r="L942" s="42" t="n">
        <v>30788</v>
      </c>
    </row>
    <row r="943">
      <c r="B943" s="39" t="inlineStr">
        <is>
          <t>MBWAY_BOR</t>
        </is>
      </c>
      <c r="C943" s="40" t="inlineStr">
        <is>
          <t>MAS_MGT</t>
        </is>
      </c>
      <c r="D943" s="40" t="inlineStr">
        <is>
          <t>M1</t>
        </is>
      </c>
      <c r="E943" s="40" t="inlineStr">
        <is>
          <t>ALT</t>
        </is>
      </c>
      <c r="F943" s="40" t="inlineStr">
        <is>
          <t>622600</t>
        </is>
      </c>
      <c r="G943" s="39" t="inlineStr">
        <is>
          <t>Honoraires &amp; frais de siège (structure groupe)</t>
        </is>
      </c>
      <c r="H943" s="40" t="inlineStr">
        <is>
          <t>COMPTABLE</t>
        </is>
      </c>
      <c r="I943" s="41" t="inlineStr">
        <is>
          <t>2025FCST_V4</t>
        </is>
      </c>
      <c r="J943" s="41" t="n">
        <v>2025</v>
      </c>
      <c r="K943" s="41" t="inlineStr">
        <is>
          <t>EUR</t>
        </is>
      </c>
      <c r="L943" s="42" t="n">
        <v>32408</v>
      </c>
    </row>
    <row r="944">
      <c r="B944" s="39" t="inlineStr">
        <is>
          <t>MBWAY_BOR</t>
        </is>
      </c>
      <c r="C944" s="40" t="inlineStr">
        <is>
          <t>MAS_MGT</t>
        </is>
      </c>
      <c r="D944" s="40" t="inlineStr">
        <is>
          <t>M1</t>
        </is>
      </c>
      <c r="E944" s="40" t="inlineStr">
        <is>
          <t>ALT</t>
        </is>
      </c>
      <c r="F944" s="40" t="inlineStr">
        <is>
          <t>606800</t>
        </is>
      </c>
      <c r="G944" s="39" t="inlineStr">
        <is>
          <t>Autres achats &amp; charges externes</t>
        </is>
      </c>
      <c r="H944" s="40" t="inlineStr">
        <is>
          <t>COMPTABLE</t>
        </is>
      </c>
      <c r="I944" s="41" t="inlineStr">
        <is>
          <t>2023ACT_VDEF</t>
        </is>
      </c>
      <c r="J944" s="41" t="n">
        <v>2023</v>
      </c>
      <c r="K944" s="41" t="inlineStr">
        <is>
          <t>EUR</t>
        </is>
      </c>
      <c r="L944" s="42" t="n">
        <v>26059</v>
      </c>
    </row>
    <row r="945">
      <c r="B945" s="39" t="inlineStr">
        <is>
          <t>MBWAY_BOR</t>
        </is>
      </c>
      <c r="C945" s="40" t="inlineStr">
        <is>
          <t>MAS_MGT</t>
        </is>
      </c>
      <c r="D945" s="40" t="inlineStr">
        <is>
          <t>M1</t>
        </is>
      </c>
      <c r="E945" s="40" t="inlineStr">
        <is>
          <t>ALT</t>
        </is>
      </c>
      <c r="F945" s="40" t="inlineStr">
        <is>
          <t>606800</t>
        </is>
      </c>
      <c r="G945" s="39" t="inlineStr">
        <is>
          <t>Autres achats &amp; charges externes</t>
        </is>
      </c>
      <c r="H945" s="40" t="inlineStr">
        <is>
          <t>COMPTABLE</t>
        </is>
      </c>
      <c r="I945" s="41" t="inlineStr">
        <is>
          <t>2024ACT_VDEF</t>
        </is>
      </c>
      <c r="J945" s="41" t="n">
        <v>2024</v>
      </c>
      <c r="K945" s="41" t="inlineStr">
        <is>
          <t>EUR</t>
        </is>
      </c>
      <c r="L945" s="42" t="n">
        <v>27506</v>
      </c>
    </row>
    <row r="946">
      <c r="B946" s="39" t="inlineStr">
        <is>
          <t>MBWAY_BOR</t>
        </is>
      </c>
      <c r="C946" s="40" t="inlineStr">
        <is>
          <t>MAS_MGT</t>
        </is>
      </c>
      <c r="D946" s="40" t="inlineStr">
        <is>
          <t>M1</t>
        </is>
      </c>
      <c r="E946" s="40" t="inlineStr">
        <is>
          <t>ALT</t>
        </is>
      </c>
      <c r="F946" s="40" t="inlineStr">
        <is>
          <t>606800</t>
        </is>
      </c>
      <c r="G946" s="39" t="inlineStr">
        <is>
          <t>Autres achats &amp; charges externes</t>
        </is>
      </c>
      <c r="H946" s="40" t="inlineStr">
        <is>
          <t>COMPTABLE</t>
        </is>
      </c>
      <c r="I946" s="41" t="inlineStr">
        <is>
          <t>2025FCST_V4</t>
        </is>
      </c>
      <c r="J946" s="41" t="n">
        <v>2025</v>
      </c>
      <c r="K946" s="41" t="inlineStr">
        <is>
          <t>EUR</t>
        </is>
      </c>
      <c r="L946" s="42" t="n">
        <v>28954</v>
      </c>
    </row>
    <row r="947">
      <c r="B947" s="39" t="inlineStr">
        <is>
          <t>MBWAY_BOR</t>
        </is>
      </c>
      <c r="C947" s="40" t="inlineStr">
        <is>
          <t>MAS_MGT</t>
        </is>
      </c>
      <c r="D947" s="40" t="inlineStr">
        <is>
          <t>M1</t>
        </is>
      </c>
      <c r="E947" s="40" t="inlineStr">
        <is>
          <t>ALT</t>
        </is>
      </c>
      <c r="F947" s="40" t="inlineStr">
        <is>
          <t>681100</t>
        </is>
      </c>
      <c r="G947" s="39" t="inlineStr">
        <is>
          <t>Dotations aux amortissements</t>
        </is>
      </c>
      <c r="H947" s="40" t="inlineStr">
        <is>
          <t>COMPTABLE</t>
        </is>
      </c>
      <c r="I947" s="41" t="inlineStr">
        <is>
          <t>2023ACT_VDEF</t>
        </is>
      </c>
      <c r="J947" s="41" t="n">
        <v>2023</v>
      </c>
      <c r="K947" s="41" t="inlineStr">
        <is>
          <t>EUR</t>
        </is>
      </c>
      <c r="L947" s="42" t="n">
        <v>17460</v>
      </c>
    </row>
    <row r="948">
      <c r="B948" s="39" t="inlineStr">
        <is>
          <t>MBWAY_BOR</t>
        </is>
      </c>
      <c r="C948" s="40" t="inlineStr">
        <is>
          <t>MAS_MGT</t>
        </is>
      </c>
      <c r="D948" s="40" t="inlineStr">
        <is>
          <t>M1</t>
        </is>
      </c>
      <c r="E948" s="40" t="inlineStr">
        <is>
          <t>ALT</t>
        </is>
      </c>
      <c r="F948" s="40" t="inlineStr">
        <is>
          <t>681100</t>
        </is>
      </c>
      <c r="G948" s="39" t="inlineStr">
        <is>
          <t>Dotations aux amortissements</t>
        </is>
      </c>
      <c r="H948" s="40" t="inlineStr">
        <is>
          <t>COMPTABLE</t>
        </is>
      </c>
      <c r="I948" s="41" t="inlineStr">
        <is>
          <t>2024ACT_VDEF</t>
        </is>
      </c>
      <c r="J948" s="41" t="n">
        <v>2024</v>
      </c>
      <c r="K948" s="41" t="inlineStr">
        <is>
          <t>EUR</t>
        </is>
      </c>
      <c r="L948" s="42" t="n">
        <v>18430</v>
      </c>
    </row>
    <row r="949">
      <c r="B949" s="39" t="inlineStr">
        <is>
          <t>MBWAY_BOR</t>
        </is>
      </c>
      <c r="C949" s="40" t="inlineStr">
        <is>
          <t>MAS_MGT</t>
        </is>
      </c>
      <c r="D949" s="40" t="inlineStr">
        <is>
          <t>M1</t>
        </is>
      </c>
      <c r="E949" s="40" t="inlineStr">
        <is>
          <t>ALT</t>
        </is>
      </c>
      <c r="F949" s="40" t="inlineStr">
        <is>
          <t>681100</t>
        </is>
      </c>
      <c r="G949" s="39" t="inlineStr">
        <is>
          <t>Dotations aux amortissements</t>
        </is>
      </c>
      <c r="H949" s="40" t="inlineStr">
        <is>
          <t>COMPTABLE</t>
        </is>
      </c>
      <c r="I949" s="41" t="inlineStr">
        <is>
          <t>2025FCST_V4</t>
        </is>
      </c>
      <c r="J949" s="41" t="n">
        <v>2025</v>
      </c>
      <c r="K949" s="41" t="inlineStr">
        <is>
          <t>EUR</t>
        </is>
      </c>
      <c r="L949" s="42" t="n">
        <v>19400</v>
      </c>
    </row>
    <row r="950">
      <c r="B950" s="39" t="inlineStr">
        <is>
          <t>MBWAY_BOR</t>
        </is>
      </c>
      <c r="C950" s="40" t="inlineStr">
        <is>
          <t>MAS_MGT</t>
        </is>
      </c>
      <c r="D950" s="40" t="inlineStr">
        <is>
          <t>M1</t>
        </is>
      </c>
      <c r="E950" s="40" t="inlineStr">
        <is>
          <t>ALT</t>
        </is>
      </c>
      <c r="F950" s="40" t="inlineStr">
        <is>
          <t>STA_EFF</t>
        </is>
      </c>
      <c r="G950" s="39" t="inlineStr">
        <is>
          <t>Effectif inscrit</t>
        </is>
      </c>
      <c r="H950" s="40" t="inlineStr">
        <is>
          <t>TECHNIQUE</t>
        </is>
      </c>
      <c r="I950" s="41" t="inlineStr">
        <is>
          <t>2023ACT_VDEF</t>
        </is>
      </c>
      <c r="J950" s="41" t="n">
        <v>2023</v>
      </c>
      <c r="K950" s="41" t="inlineStr">
        <is>
          <t>NB</t>
        </is>
      </c>
      <c r="L950" s="43" t="n">
        <v>28</v>
      </c>
    </row>
    <row r="951">
      <c r="B951" s="39" t="inlineStr">
        <is>
          <t>MBWAY_BOR</t>
        </is>
      </c>
      <c r="C951" s="40" t="inlineStr">
        <is>
          <t>MAS_MGT</t>
        </is>
      </c>
      <c r="D951" s="40" t="inlineStr">
        <is>
          <t>M1</t>
        </is>
      </c>
      <c r="E951" s="40" t="inlineStr">
        <is>
          <t>ALT</t>
        </is>
      </c>
      <c r="F951" s="40" t="inlineStr">
        <is>
          <t>STA_EFF</t>
        </is>
      </c>
      <c r="G951" s="39" t="inlineStr">
        <is>
          <t>Effectif inscrit</t>
        </is>
      </c>
      <c r="H951" s="40" t="inlineStr">
        <is>
          <t>TECHNIQUE</t>
        </is>
      </c>
      <c r="I951" s="41" t="inlineStr">
        <is>
          <t>2024ACT_VDEF</t>
        </is>
      </c>
      <c r="J951" s="41" t="n">
        <v>2024</v>
      </c>
      <c r="K951" s="41" t="inlineStr">
        <is>
          <t>NB</t>
        </is>
      </c>
      <c r="L951" s="43" t="n">
        <v>29</v>
      </c>
    </row>
    <row r="952">
      <c r="B952" s="39" t="inlineStr">
        <is>
          <t>MBWAY_BOR</t>
        </is>
      </c>
      <c r="C952" s="40" t="inlineStr">
        <is>
          <t>MAS_MGT</t>
        </is>
      </c>
      <c r="D952" s="40" t="inlineStr">
        <is>
          <t>M1</t>
        </is>
      </c>
      <c r="E952" s="40" t="inlineStr">
        <is>
          <t>ALT</t>
        </is>
      </c>
      <c r="F952" s="40" t="inlineStr">
        <is>
          <t>STA_EFF</t>
        </is>
      </c>
      <c r="G952" s="39" t="inlineStr">
        <is>
          <t>Effectif inscrit</t>
        </is>
      </c>
      <c r="H952" s="40" t="inlineStr">
        <is>
          <t>TECHNIQUE</t>
        </is>
      </c>
      <c r="I952" s="41" t="inlineStr">
        <is>
          <t>2025FCST_V4</t>
        </is>
      </c>
      <c r="J952" s="41" t="n">
        <v>2025</v>
      </c>
      <c r="K952" s="41" t="inlineStr">
        <is>
          <t>NB</t>
        </is>
      </c>
      <c r="L952" s="43" t="n">
        <v>31</v>
      </c>
    </row>
    <row r="953">
      <c r="B953" s="39" t="inlineStr">
        <is>
          <t>MBWAY_BOR</t>
        </is>
      </c>
      <c r="C953" s="40" t="inlineStr">
        <is>
          <t>MAS_MGT</t>
        </is>
      </c>
      <c r="D953" s="40" t="inlineStr">
        <is>
          <t>M1</t>
        </is>
      </c>
      <c r="E953" s="40" t="inlineStr">
        <is>
          <t>ALT</t>
        </is>
      </c>
      <c r="F953" s="40" t="inlineStr">
        <is>
          <t>STA_CAND</t>
        </is>
      </c>
      <c r="G953" s="39" t="inlineStr">
        <is>
          <t>Candidatures reçues</t>
        </is>
      </c>
      <c r="H953" s="40" t="inlineStr">
        <is>
          <t>TECHNIQUE</t>
        </is>
      </c>
      <c r="I953" s="41" t="inlineStr">
        <is>
          <t>2023ACT_VDEF</t>
        </is>
      </c>
      <c r="J953" s="41" t="n">
        <v>2023</v>
      </c>
      <c r="K953" s="41" t="inlineStr">
        <is>
          <t>NB</t>
        </is>
      </c>
      <c r="L953" s="43" t="n">
        <v>75</v>
      </c>
    </row>
    <row r="954">
      <c r="B954" s="39" t="inlineStr">
        <is>
          <t>MBWAY_BOR</t>
        </is>
      </c>
      <c r="C954" s="40" t="inlineStr">
        <is>
          <t>MAS_MGT</t>
        </is>
      </c>
      <c r="D954" s="40" t="inlineStr">
        <is>
          <t>M1</t>
        </is>
      </c>
      <c r="E954" s="40" t="inlineStr">
        <is>
          <t>ALT</t>
        </is>
      </c>
      <c r="F954" s="40" t="inlineStr">
        <is>
          <t>STA_CAND</t>
        </is>
      </c>
      <c r="G954" s="39" t="inlineStr">
        <is>
          <t>Candidatures reçues</t>
        </is>
      </c>
      <c r="H954" s="40" t="inlineStr">
        <is>
          <t>TECHNIQUE</t>
        </is>
      </c>
      <c r="I954" s="41" t="inlineStr">
        <is>
          <t>2024ACT_VDEF</t>
        </is>
      </c>
      <c r="J954" s="41" t="n">
        <v>2024</v>
      </c>
      <c r="K954" s="41" t="inlineStr">
        <is>
          <t>NB</t>
        </is>
      </c>
      <c r="L954" s="43" t="n">
        <v>79</v>
      </c>
    </row>
    <row r="955">
      <c r="B955" s="39" t="inlineStr">
        <is>
          <t>MBWAY_BOR</t>
        </is>
      </c>
      <c r="C955" s="40" t="inlineStr">
        <is>
          <t>MAS_MGT</t>
        </is>
      </c>
      <c r="D955" s="40" t="inlineStr">
        <is>
          <t>M1</t>
        </is>
      </c>
      <c r="E955" s="40" t="inlineStr">
        <is>
          <t>ALT</t>
        </is>
      </c>
      <c r="F955" s="40" t="inlineStr">
        <is>
          <t>STA_CAND</t>
        </is>
      </c>
      <c r="G955" s="39" t="inlineStr">
        <is>
          <t>Candidatures reçues</t>
        </is>
      </c>
      <c r="H955" s="40" t="inlineStr">
        <is>
          <t>TECHNIQUE</t>
        </is>
      </c>
      <c r="I955" s="41" t="inlineStr">
        <is>
          <t>2025FCST_V4</t>
        </is>
      </c>
      <c r="J955" s="41" t="n">
        <v>2025</v>
      </c>
      <c r="K955" s="41" t="inlineStr">
        <is>
          <t>NB</t>
        </is>
      </c>
      <c r="L955" s="43" t="n">
        <v>83</v>
      </c>
    </row>
    <row r="956">
      <c r="B956" s="39" t="inlineStr">
        <is>
          <t>MBWAY_BOR</t>
        </is>
      </c>
      <c r="C956" s="40" t="inlineStr">
        <is>
          <t>MAS_MGT</t>
        </is>
      </c>
      <c r="D956" s="40" t="inlineStr">
        <is>
          <t>M1</t>
        </is>
      </c>
      <c r="E956" s="40" t="inlineStr">
        <is>
          <t>ALT</t>
        </is>
      </c>
      <c r="F956" s="40" t="inlineStr">
        <is>
          <t>STA_ADMIS</t>
        </is>
      </c>
      <c r="G956" s="39" t="inlineStr">
        <is>
          <t>Candidats admis</t>
        </is>
      </c>
      <c r="H956" s="40" t="inlineStr">
        <is>
          <t>TECHNIQUE</t>
        </is>
      </c>
      <c r="I956" s="41" t="inlineStr">
        <is>
          <t>2023ACT_VDEF</t>
        </is>
      </c>
      <c r="J956" s="41" t="n">
        <v>2023</v>
      </c>
      <c r="K956" s="41" t="inlineStr">
        <is>
          <t>NB</t>
        </is>
      </c>
      <c r="L956" s="43" t="n">
        <v>46</v>
      </c>
    </row>
    <row r="957">
      <c r="B957" s="39" t="inlineStr">
        <is>
          <t>MBWAY_BOR</t>
        </is>
      </c>
      <c r="C957" s="40" t="inlineStr">
        <is>
          <t>MAS_MGT</t>
        </is>
      </c>
      <c r="D957" s="40" t="inlineStr">
        <is>
          <t>M1</t>
        </is>
      </c>
      <c r="E957" s="40" t="inlineStr">
        <is>
          <t>ALT</t>
        </is>
      </c>
      <c r="F957" s="40" t="inlineStr">
        <is>
          <t>STA_ADMIS</t>
        </is>
      </c>
      <c r="G957" s="39" t="inlineStr">
        <is>
          <t>Candidats admis</t>
        </is>
      </c>
      <c r="H957" s="40" t="inlineStr">
        <is>
          <t>TECHNIQUE</t>
        </is>
      </c>
      <c r="I957" s="41" t="inlineStr">
        <is>
          <t>2024ACT_VDEF</t>
        </is>
      </c>
      <c r="J957" s="41" t="n">
        <v>2024</v>
      </c>
      <c r="K957" s="41" t="inlineStr">
        <is>
          <t>NB</t>
        </is>
      </c>
      <c r="L957" s="43" t="n">
        <v>48</v>
      </c>
    </row>
    <row r="958">
      <c r="B958" s="39" t="inlineStr">
        <is>
          <t>MBWAY_BOR</t>
        </is>
      </c>
      <c r="C958" s="40" t="inlineStr">
        <is>
          <t>MAS_MGT</t>
        </is>
      </c>
      <c r="D958" s="40" t="inlineStr">
        <is>
          <t>M1</t>
        </is>
      </c>
      <c r="E958" s="40" t="inlineStr">
        <is>
          <t>ALT</t>
        </is>
      </c>
      <c r="F958" s="40" t="inlineStr">
        <is>
          <t>STA_ADMIS</t>
        </is>
      </c>
      <c r="G958" s="39" t="inlineStr">
        <is>
          <t>Candidats admis</t>
        </is>
      </c>
      <c r="H958" s="40" t="inlineStr">
        <is>
          <t>TECHNIQUE</t>
        </is>
      </c>
      <c r="I958" s="41" t="inlineStr">
        <is>
          <t>2025FCST_V4</t>
        </is>
      </c>
      <c r="J958" s="41" t="n">
        <v>2025</v>
      </c>
      <c r="K958" s="41" t="inlineStr">
        <is>
          <t>NB</t>
        </is>
      </c>
      <c r="L958" s="43" t="n">
        <v>51</v>
      </c>
    </row>
    <row r="959">
      <c r="B959" s="39" t="inlineStr">
        <is>
          <t>MBWAY_BOR</t>
        </is>
      </c>
      <c r="C959" s="40" t="inlineStr">
        <is>
          <t>MAS_MGT</t>
        </is>
      </c>
      <c r="D959" s="40" t="inlineStr">
        <is>
          <t>M1</t>
        </is>
      </c>
      <c r="E959" s="40" t="inlineStr">
        <is>
          <t>ALT</t>
        </is>
      </c>
      <c r="F959" s="40" t="inlineStr">
        <is>
          <t>STA_NOUV</t>
        </is>
      </c>
      <c r="G959" s="39" t="inlineStr">
        <is>
          <t>Nouveaux inscrits</t>
        </is>
      </c>
      <c r="H959" s="40" t="inlineStr">
        <is>
          <t>TECHNIQUE</t>
        </is>
      </c>
      <c r="I959" s="41" t="inlineStr">
        <is>
          <t>2023ACT_VDEF</t>
        </is>
      </c>
      <c r="J959" s="41" t="n">
        <v>2023</v>
      </c>
      <c r="K959" s="41" t="inlineStr">
        <is>
          <t>NB</t>
        </is>
      </c>
      <c r="L959" s="43" t="n">
        <v>28</v>
      </c>
    </row>
    <row r="960">
      <c r="B960" s="39" t="inlineStr">
        <is>
          <t>MBWAY_BOR</t>
        </is>
      </c>
      <c r="C960" s="40" t="inlineStr">
        <is>
          <t>MAS_MGT</t>
        </is>
      </c>
      <c r="D960" s="40" t="inlineStr">
        <is>
          <t>M1</t>
        </is>
      </c>
      <c r="E960" s="40" t="inlineStr">
        <is>
          <t>ALT</t>
        </is>
      </c>
      <c r="F960" s="40" t="inlineStr">
        <is>
          <t>STA_NOUV</t>
        </is>
      </c>
      <c r="G960" s="39" t="inlineStr">
        <is>
          <t>Nouveaux inscrits</t>
        </is>
      </c>
      <c r="H960" s="40" t="inlineStr">
        <is>
          <t>TECHNIQUE</t>
        </is>
      </c>
      <c r="I960" s="41" t="inlineStr">
        <is>
          <t>2024ACT_VDEF</t>
        </is>
      </c>
      <c r="J960" s="41" t="n">
        <v>2024</v>
      </c>
      <c r="K960" s="41" t="inlineStr">
        <is>
          <t>NB</t>
        </is>
      </c>
      <c r="L960" s="43" t="n">
        <v>29</v>
      </c>
    </row>
    <row r="961">
      <c r="B961" s="39" t="inlineStr">
        <is>
          <t>MBWAY_BOR</t>
        </is>
      </c>
      <c r="C961" s="40" t="inlineStr">
        <is>
          <t>MAS_MGT</t>
        </is>
      </c>
      <c r="D961" s="40" t="inlineStr">
        <is>
          <t>M1</t>
        </is>
      </c>
      <c r="E961" s="40" t="inlineStr">
        <is>
          <t>ALT</t>
        </is>
      </c>
      <c r="F961" s="40" t="inlineStr">
        <is>
          <t>STA_NOUV</t>
        </is>
      </c>
      <c r="G961" s="39" t="inlineStr">
        <is>
          <t>Nouveaux inscrits</t>
        </is>
      </c>
      <c r="H961" s="40" t="inlineStr">
        <is>
          <t>TECHNIQUE</t>
        </is>
      </c>
      <c r="I961" s="41" t="inlineStr">
        <is>
          <t>2025FCST_V4</t>
        </is>
      </c>
      <c r="J961" s="41" t="n">
        <v>2025</v>
      </c>
      <c r="K961" s="41" t="inlineStr">
        <is>
          <t>NB</t>
        </is>
      </c>
      <c r="L961" s="43" t="n">
        <v>31</v>
      </c>
    </row>
    <row r="962">
      <c r="B962" s="39" t="inlineStr">
        <is>
          <t>MBWAY_BOR</t>
        </is>
      </c>
      <c r="C962" s="40" t="inlineStr">
        <is>
          <t>MAS_MGT</t>
        </is>
      </c>
      <c r="D962" s="40" t="inlineStr">
        <is>
          <t>M1</t>
        </is>
      </c>
      <c r="E962" s="40" t="inlineStr">
        <is>
          <t>ALT</t>
        </is>
      </c>
      <c r="F962" s="40" t="inlineStr">
        <is>
          <t>STA_CLASS</t>
        </is>
      </c>
      <c r="G962" s="39" t="inlineStr">
        <is>
          <t>Nombre de classes</t>
        </is>
      </c>
      <c r="H962" s="40" t="inlineStr">
        <is>
          <t>TECHNIQUE</t>
        </is>
      </c>
      <c r="I962" s="41" t="inlineStr">
        <is>
          <t>2023ACT_VDEF</t>
        </is>
      </c>
      <c r="J962" s="41" t="n">
        <v>2023</v>
      </c>
      <c r="K962" s="41" t="inlineStr">
        <is>
          <t>NB</t>
        </is>
      </c>
      <c r="L962" s="43" t="n">
        <v>2</v>
      </c>
    </row>
    <row r="963">
      <c r="B963" s="39" t="inlineStr">
        <is>
          <t>MBWAY_BOR</t>
        </is>
      </c>
      <c r="C963" s="40" t="inlineStr">
        <is>
          <t>MAS_MGT</t>
        </is>
      </c>
      <c r="D963" s="40" t="inlineStr">
        <is>
          <t>M1</t>
        </is>
      </c>
      <c r="E963" s="40" t="inlineStr">
        <is>
          <t>ALT</t>
        </is>
      </c>
      <c r="F963" s="40" t="inlineStr">
        <is>
          <t>STA_CLASS</t>
        </is>
      </c>
      <c r="G963" s="39" t="inlineStr">
        <is>
          <t>Nombre de classes</t>
        </is>
      </c>
      <c r="H963" s="40" t="inlineStr">
        <is>
          <t>TECHNIQUE</t>
        </is>
      </c>
      <c r="I963" s="41" t="inlineStr">
        <is>
          <t>2024ACT_VDEF</t>
        </is>
      </c>
      <c r="J963" s="41" t="n">
        <v>2024</v>
      </c>
      <c r="K963" s="41" t="inlineStr">
        <is>
          <t>NB</t>
        </is>
      </c>
      <c r="L963" s="43" t="n">
        <v>2</v>
      </c>
    </row>
    <row r="964">
      <c r="B964" s="39" t="inlineStr">
        <is>
          <t>MBWAY_BOR</t>
        </is>
      </c>
      <c r="C964" s="40" t="inlineStr">
        <is>
          <t>MAS_MGT</t>
        </is>
      </c>
      <c r="D964" s="40" t="inlineStr">
        <is>
          <t>M1</t>
        </is>
      </c>
      <c r="E964" s="40" t="inlineStr">
        <is>
          <t>ALT</t>
        </is>
      </c>
      <c r="F964" s="40" t="inlineStr">
        <is>
          <t>STA_CLASS</t>
        </is>
      </c>
      <c r="G964" s="39" t="inlineStr">
        <is>
          <t>Nombre de classes</t>
        </is>
      </c>
      <c r="H964" s="40" t="inlineStr">
        <is>
          <t>TECHNIQUE</t>
        </is>
      </c>
      <c r="I964" s="41" t="inlineStr">
        <is>
          <t>2025FCST_V4</t>
        </is>
      </c>
      <c r="J964" s="41" t="n">
        <v>2025</v>
      </c>
      <c r="K964" s="41" t="inlineStr">
        <is>
          <t>NB</t>
        </is>
      </c>
      <c r="L964" s="43" t="n">
        <v>2</v>
      </c>
    </row>
    <row r="965">
      <c r="B965" s="39" t="inlineStr">
        <is>
          <t>MBWAY_BOR</t>
        </is>
      </c>
      <c r="C965" s="40" t="inlineStr">
        <is>
          <t>MAS_MGT</t>
        </is>
      </c>
      <c r="D965" s="40" t="inlineStr">
        <is>
          <t>M1</t>
        </is>
      </c>
      <c r="E965" s="40" t="inlineStr">
        <is>
          <t>ALT</t>
        </is>
      </c>
      <c r="F965" s="40" t="inlineStr">
        <is>
          <t>STA_HEURE</t>
        </is>
      </c>
      <c r="G965" s="39" t="inlineStr">
        <is>
          <t>Heures d'enseignement</t>
        </is>
      </c>
      <c r="H965" s="40" t="inlineStr">
        <is>
          <t>TECHNIQUE</t>
        </is>
      </c>
      <c r="I965" s="41" t="inlineStr">
        <is>
          <t>2023ACT_VDEF</t>
        </is>
      </c>
      <c r="J965" s="41" t="n">
        <v>2023</v>
      </c>
      <c r="K965" s="41" t="inlineStr">
        <is>
          <t>NB</t>
        </is>
      </c>
      <c r="L965" s="43" t="n">
        <v>864</v>
      </c>
    </row>
    <row r="966">
      <c r="B966" s="39" t="inlineStr">
        <is>
          <t>MBWAY_BOR</t>
        </is>
      </c>
      <c r="C966" s="40" t="inlineStr">
        <is>
          <t>MAS_MGT</t>
        </is>
      </c>
      <c r="D966" s="40" t="inlineStr">
        <is>
          <t>M1</t>
        </is>
      </c>
      <c r="E966" s="40" t="inlineStr">
        <is>
          <t>ALT</t>
        </is>
      </c>
      <c r="F966" s="40" t="inlineStr">
        <is>
          <t>STA_HEURE</t>
        </is>
      </c>
      <c r="G966" s="39" t="inlineStr">
        <is>
          <t>Heures d'enseignement</t>
        </is>
      </c>
      <c r="H966" s="40" t="inlineStr">
        <is>
          <t>TECHNIQUE</t>
        </is>
      </c>
      <c r="I966" s="41" t="inlineStr">
        <is>
          <t>2024ACT_VDEF</t>
        </is>
      </c>
      <c r="J966" s="41" t="n">
        <v>2024</v>
      </c>
      <c r="K966" s="41" t="inlineStr">
        <is>
          <t>NB</t>
        </is>
      </c>
      <c r="L966" s="43" t="n">
        <v>912</v>
      </c>
    </row>
    <row r="967">
      <c r="B967" s="39" t="inlineStr">
        <is>
          <t>MBWAY_BOR</t>
        </is>
      </c>
      <c r="C967" s="40" t="inlineStr">
        <is>
          <t>MAS_MGT</t>
        </is>
      </c>
      <c r="D967" s="40" t="inlineStr">
        <is>
          <t>M1</t>
        </is>
      </c>
      <c r="E967" s="40" t="inlineStr">
        <is>
          <t>ALT</t>
        </is>
      </c>
      <c r="F967" s="40" t="inlineStr">
        <is>
          <t>STA_HEURE</t>
        </is>
      </c>
      <c r="G967" s="39" t="inlineStr">
        <is>
          <t>Heures d'enseignement</t>
        </is>
      </c>
      <c r="H967" s="40" t="inlineStr">
        <is>
          <t>TECHNIQUE</t>
        </is>
      </c>
      <c r="I967" s="41" t="inlineStr">
        <is>
          <t>2025FCST_V4</t>
        </is>
      </c>
      <c r="J967" s="41" t="n">
        <v>2025</v>
      </c>
      <c r="K967" s="41" t="inlineStr">
        <is>
          <t>NB</t>
        </is>
      </c>
      <c r="L967" s="43" t="n">
        <v>960</v>
      </c>
    </row>
    <row r="968">
      <c r="B968" s="39" t="inlineStr">
        <is>
          <t>MBWAY_BOR</t>
        </is>
      </c>
      <c r="C968" s="40" t="inlineStr">
        <is>
          <t>MAS_MGT</t>
        </is>
      </c>
      <c r="D968" s="40" t="inlineStr">
        <is>
          <t>M1</t>
        </is>
      </c>
      <c r="E968" s="40" t="inlineStr">
        <is>
          <t>ALT</t>
        </is>
      </c>
      <c r="F968" s="40" t="inlineStr">
        <is>
          <t>STA_CAPA</t>
        </is>
      </c>
      <c r="G968" s="39" t="inlineStr">
        <is>
          <t>Capacité par classe</t>
        </is>
      </c>
      <c r="H968" s="40" t="inlineStr">
        <is>
          <t>TECHNIQUE</t>
        </is>
      </c>
      <c r="I968" s="41" t="inlineStr">
        <is>
          <t>2023ACT_VDEF</t>
        </is>
      </c>
      <c r="J968" s="41" t="n">
        <v>2023</v>
      </c>
      <c r="K968" s="41" t="inlineStr">
        <is>
          <t>NB</t>
        </is>
      </c>
      <c r="L968" s="43" t="n">
        <v>26</v>
      </c>
    </row>
    <row r="969">
      <c r="B969" s="39" t="inlineStr">
        <is>
          <t>MBWAY_BOR</t>
        </is>
      </c>
      <c r="C969" s="40" t="inlineStr">
        <is>
          <t>MAS_MGT</t>
        </is>
      </c>
      <c r="D969" s="40" t="inlineStr">
        <is>
          <t>M1</t>
        </is>
      </c>
      <c r="E969" s="40" t="inlineStr">
        <is>
          <t>ALT</t>
        </is>
      </c>
      <c r="F969" s="40" t="inlineStr">
        <is>
          <t>STA_CAPA</t>
        </is>
      </c>
      <c r="G969" s="39" t="inlineStr">
        <is>
          <t>Capacité par classe</t>
        </is>
      </c>
      <c r="H969" s="40" t="inlineStr">
        <is>
          <t>TECHNIQUE</t>
        </is>
      </c>
      <c r="I969" s="41" t="inlineStr">
        <is>
          <t>2024ACT_VDEF</t>
        </is>
      </c>
      <c r="J969" s="41" t="n">
        <v>2024</v>
      </c>
      <c r="K969" s="41" t="inlineStr">
        <is>
          <t>NB</t>
        </is>
      </c>
      <c r="L969" s="43" t="n">
        <v>26</v>
      </c>
    </row>
    <row r="970">
      <c r="B970" s="39" t="inlineStr">
        <is>
          <t>MBWAY_BOR</t>
        </is>
      </c>
      <c r="C970" s="40" t="inlineStr">
        <is>
          <t>MAS_MGT</t>
        </is>
      </c>
      <c r="D970" s="40" t="inlineStr">
        <is>
          <t>M1</t>
        </is>
      </c>
      <c r="E970" s="40" t="inlineStr">
        <is>
          <t>ALT</t>
        </is>
      </c>
      <c r="F970" s="40" t="inlineStr">
        <is>
          <t>STA_CAPA</t>
        </is>
      </c>
      <c r="G970" s="39" t="inlineStr">
        <is>
          <t>Capacité par classe</t>
        </is>
      </c>
      <c r="H970" s="40" t="inlineStr">
        <is>
          <t>TECHNIQUE</t>
        </is>
      </c>
      <c r="I970" s="41" t="inlineStr">
        <is>
          <t>2025FCST_V4</t>
        </is>
      </c>
      <c r="J970" s="41" t="n">
        <v>2025</v>
      </c>
      <c r="K970" s="41" t="inlineStr">
        <is>
          <t>NB</t>
        </is>
      </c>
      <c r="L970" s="43" t="n">
        <v>26</v>
      </c>
    </row>
    <row r="971">
      <c r="B971" s="39" t="inlineStr">
        <is>
          <t>MBWAY_BOR</t>
        </is>
      </c>
      <c r="C971" s="40" t="inlineStr">
        <is>
          <t>MAS_MGT</t>
        </is>
      </c>
      <c r="D971" s="40" t="inlineStr">
        <is>
          <t>M1</t>
        </is>
      </c>
      <c r="E971" s="40" t="inlineStr">
        <is>
          <t>ALT</t>
        </is>
      </c>
      <c r="F971" s="40" t="inlineStr">
        <is>
          <t>DRV_CONV</t>
        </is>
      </c>
      <c r="G971" s="39" t="inlineStr">
        <is>
          <t>Taux de conversion candidat→inscrit</t>
        </is>
      </c>
      <c r="H971" s="40" t="inlineStr">
        <is>
          <t>TECHNIQUE</t>
        </is>
      </c>
      <c r="I971" s="41" t="inlineStr">
        <is>
          <t>2023ACT_VDEF</t>
        </is>
      </c>
      <c r="J971" s="41" t="n">
        <v>2023</v>
      </c>
      <c r="K971" s="41" t="inlineStr">
        <is>
          <t>PCT</t>
        </is>
      </c>
      <c r="L971" s="44" t="n">
        <v>0.3735</v>
      </c>
    </row>
    <row r="972">
      <c r="B972" s="39" t="inlineStr">
        <is>
          <t>MBWAY_BOR</t>
        </is>
      </c>
      <c r="C972" s="40" t="inlineStr">
        <is>
          <t>MAS_MGT</t>
        </is>
      </c>
      <c r="D972" s="40" t="inlineStr">
        <is>
          <t>M1</t>
        </is>
      </c>
      <c r="E972" s="40" t="inlineStr">
        <is>
          <t>ALT</t>
        </is>
      </c>
      <c r="F972" s="40" t="inlineStr">
        <is>
          <t>DRV_CONV</t>
        </is>
      </c>
      <c r="G972" s="39" t="inlineStr">
        <is>
          <t>Taux de conversion candidat→inscrit</t>
        </is>
      </c>
      <c r="H972" s="40" t="inlineStr">
        <is>
          <t>TECHNIQUE</t>
        </is>
      </c>
      <c r="I972" s="41" t="inlineStr">
        <is>
          <t>2024ACT_VDEF</t>
        </is>
      </c>
      <c r="J972" s="41" t="n">
        <v>2024</v>
      </c>
      <c r="K972" s="41" t="inlineStr">
        <is>
          <t>PCT</t>
        </is>
      </c>
      <c r="L972" s="44" t="n">
        <v>0.3735</v>
      </c>
    </row>
    <row r="973">
      <c r="B973" s="39" t="inlineStr">
        <is>
          <t>MBWAY_BOR</t>
        </is>
      </c>
      <c r="C973" s="40" t="inlineStr">
        <is>
          <t>MAS_MGT</t>
        </is>
      </c>
      <c r="D973" s="40" t="inlineStr">
        <is>
          <t>M1</t>
        </is>
      </c>
      <c r="E973" s="40" t="inlineStr">
        <is>
          <t>ALT</t>
        </is>
      </c>
      <c r="F973" s="40" t="inlineStr">
        <is>
          <t>DRV_CONV</t>
        </is>
      </c>
      <c r="G973" s="39" t="inlineStr">
        <is>
          <t>Taux de conversion candidat→inscrit</t>
        </is>
      </c>
      <c r="H973" s="40" t="inlineStr">
        <is>
          <t>TECHNIQUE</t>
        </is>
      </c>
      <c r="I973" s="41" t="inlineStr">
        <is>
          <t>2025FCST_V4</t>
        </is>
      </c>
      <c r="J973" s="41" t="n">
        <v>2025</v>
      </c>
      <c r="K973" s="41" t="inlineStr">
        <is>
          <t>PCT</t>
        </is>
      </c>
      <c r="L973" s="44" t="n">
        <v>0.3735</v>
      </c>
    </row>
    <row r="974">
      <c r="B974" s="39" t="inlineStr">
        <is>
          <t>MBWAY_BOR</t>
        </is>
      </c>
      <c r="C974" s="40" t="inlineStr">
        <is>
          <t>MAS_MGT</t>
        </is>
      </c>
      <c r="D974" s="40" t="inlineStr">
        <is>
          <t>M1</t>
        </is>
      </c>
      <c r="E974" s="40" t="inlineStr">
        <is>
          <t>ALT</t>
        </is>
      </c>
      <c r="F974" s="40" t="inlineStr">
        <is>
          <t>PRX_TARIF</t>
        </is>
      </c>
      <c r="G974" s="39" t="inlineStr">
        <is>
          <t>Tarif moyen scolarité</t>
        </is>
      </c>
      <c r="H974" s="40" t="inlineStr">
        <is>
          <t>TECHNIQUE</t>
        </is>
      </c>
      <c r="I974" s="41" t="inlineStr">
        <is>
          <t>2023ACT_VDEF</t>
        </is>
      </c>
      <c r="J974" s="41" t="n">
        <v>2023</v>
      </c>
      <c r="K974" s="41" t="inlineStr">
        <is>
          <t>EUR</t>
        </is>
      </c>
      <c r="L974" s="42" t="n">
        <v>9000</v>
      </c>
    </row>
    <row r="975">
      <c r="B975" s="39" t="inlineStr">
        <is>
          <t>MBWAY_BOR</t>
        </is>
      </c>
      <c r="C975" s="40" t="inlineStr">
        <is>
          <t>MAS_MGT</t>
        </is>
      </c>
      <c r="D975" s="40" t="inlineStr">
        <is>
          <t>M1</t>
        </is>
      </c>
      <c r="E975" s="40" t="inlineStr">
        <is>
          <t>ALT</t>
        </is>
      </c>
      <c r="F975" s="40" t="inlineStr">
        <is>
          <t>PRX_TARIF</t>
        </is>
      </c>
      <c r="G975" s="39" t="inlineStr">
        <is>
          <t>Tarif moyen scolarité</t>
        </is>
      </c>
      <c r="H975" s="40" t="inlineStr">
        <is>
          <t>TECHNIQUE</t>
        </is>
      </c>
      <c r="I975" s="41" t="inlineStr">
        <is>
          <t>2024ACT_VDEF</t>
        </is>
      </c>
      <c r="J975" s="41" t="n">
        <v>2024</v>
      </c>
      <c r="K975" s="41" t="inlineStr">
        <is>
          <t>EUR</t>
        </is>
      </c>
      <c r="L975" s="42" t="n">
        <v>9000</v>
      </c>
    </row>
    <row r="976">
      <c r="B976" s="39" t="inlineStr">
        <is>
          <t>MBWAY_BOR</t>
        </is>
      </c>
      <c r="C976" s="40" t="inlineStr">
        <is>
          <t>MAS_MGT</t>
        </is>
      </c>
      <c r="D976" s="40" t="inlineStr">
        <is>
          <t>M1</t>
        </is>
      </c>
      <c r="E976" s="40" t="inlineStr">
        <is>
          <t>ALT</t>
        </is>
      </c>
      <c r="F976" s="40" t="inlineStr">
        <is>
          <t>PRX_TARIF</t>
        </is>
      </c>
      <c r="G976" s="39" t="inlineStr">
        <is>
          <t>Tarif moyen scolarité</t>
        </is>
      </c>
      <c r="H976" s="40" t="inlineStr">
        <is>
          <t>TECHNIQUE</t>
        </is>
      </c>
      <c r="I976" s="41" t="inlineStr">
        <is>
          <t>2025FCST_V4</t>
        </is>
      </c>
      <c r="J976" s="41" t="n">
        <v>2025</v>
      </c>
      <c r="K976" s="41" t="inlineStr">
        <is>
          <t>EUR</t>
        </is>
      </c>
      <c r="L976" s="42" t="n">
        <v>9000</v>
      </c>
    </row>
    <row r="977">
      <c r="B977" s="39" t="inlineStr">
        <is>
          <t>MBWAY_BOR</t>
        </is>
      </c>
      <c r="C977" s="40" t="inlineStr">
        <is>
          <t>MAS_MGT</t>
        </is>
      </c>
      <c r="D977" s="40" t="inlineStr">
        <is>
          <t>M1</t>
        </is>
      </c>
      <c r="E977" s="40" t="inlineStr">
        <is>
          <t>ALT</t>
        </is>
      </c>
      <c r="F977" s="40" t="inlineStr">
        <is>
          <t>CAC_LEAD</t>
        </is>
      </c>
      <c r="G977" s="39" t="inlineStr">
        <is>
          <t>Coût d'acquisition par lead</t>
        </is>
      </c>
      <c r="H977" s="40" t="inlineStr">
        <is>
          <t>TECHNIQUE</t>
        </is>
      </c>
      <c r="I977" s="41" t="inlineStr">
        <is>
          <t>2023ACT_VDEF</t>
        </is>
      </c>
      <c r="J977" s="41" t="n">
        <v>2023</v>
      </c>
      <c r="K977" s="41" t="inlineStr">
        <is>
          <t>EUR</t>
        </is>
      </c>
      <c r="L977" s="42" t="n">
        <v>600</v>
      </c>
    </row>
    <row r="978">
      <c r="B978" s="39" t="inlineStr">
        <is>
          <t>MBWAY_BOR</t>
        </is>
      </c>
      <c r="C978" s="40" t="inlineStr">
        <is>
          <t>MAS_MGT</t>
        </is>
      </c>
      <c r="D978" s="40" t="inlineStr">
        <is>
          <t>M1</t>
        </is>
      </c>
      <c r="E978" s="40" t="inlineStr">
        <is>
          <t>ALT</t>
        </is>
      </c>
      <c r="F978" s="40" t="inlineStr">
        <is>
          <t>CAC_LEAD</t>
        </is>
      </c>
      <c r="G978" s="39" t="inlineStr">
        <is>
          <t>Coût d'acquisition par lead</t>
        </is>
      </c>
      <c r="H978" s="40" t="inlineStr">
        <is>
          <t>TECHNIQUE</t>
        </is>
      </c>
      <c r="I978" s="41" t="inlineStr">
        <is>
          <t>2024ACT_VDEF</t>
        </is>
      </c>
      <c r="J978" s="41" t="n">
        <v>2024</v>
      </c>
      <c r="K978" s="41" t="inlineStr">
        <is>
          <t>EUR</t>
        </is>
      </c>
      <c r="L978" s="42" t="n">
        <v>600</v>
      </c>
    </row>
    <row r="979">
      <c r="B979" s="39" t="inlineStr">
        <is>
          <t>MBWAY_BOR</t>
        </is>
      </c>
      <c r="C979" s="40" t="inlineStr">
        <is>
          <t>MAS_MGT</t>
        </is>
      </c>
      <c r="D979" s="40" t="inlineStr">
        <is>
          <t>M1</t>
        </is>
      </c>
      <c r="E979" s="40" t="inlineStr">
        <is>
          <t>ALT</t>
        </is>
      </c>
      <c r="F979" s="40" t="inlineStr">
        <is>
          <t>CAC_LEAD</t>
        </is>
      </c>
      <c r="G979" s="39" t="inlineStr">
        <is>
          <t>Coût d'acquisition par lead</t>
        </is>
      </c>
      <c r="H979" s="40" t="inlineStr">
        <is>
          <t>TECHNIQUE</t>
        </is>
      </c>
      <c r="I979" s="41" t="inlineStr">
        <is>
          <t>2025FCST_V4</t>
        </is>
      </c>
      <c r="J979" s="41" t="n">
        <v>2025</v>
      </c>
      <c r="K979" s="41" t="inlineStr">
        <is>
          <t>EUR</t>
        </is>
      </c>
      <c r="L979" s="42" t="n">
        <v>600</v>
      </c>
    </row>
    <row r="980">
      <c r="B980" s="39" t="inlineStr">
        <is>
          <t>MBWAY_BOR</t>
        </is>
      </c>
      <c r="C980" s="40" t="inlineStr">
        <is>
          <t>MAS_MGT</t>
        </is>
      </c>
      <c r="D980" s="40" t="inlineStr">
        <is>
          <t>M2</t>
        </is>
      </c>
      <c r="E980" s="40" t="inlineStr">
        <is>
          <t>ALT</t>
        </is>
      </c>
      <c r="F980" s="40" t="inlineStr">
        <is>
          <t>706100</t>
        </is>
      </c>
      <c r="G980" s="39" t="inlineStr">
        <is>
          <t>Droits de scolarité</t>
        </is>
      </c>
      <c r="H980" s="40" t="inlineStr">
        <is>
          <t>COMPTABLE</t>
        </is>
      </c>
      <c r="I980" s="41" t="inlineStr">
        <is>
          <t>2023ACT_VDEF</t>
        </is>
      </c>
      <c r="J980" s="41" t="n">
        <v>2023</v>
      </c>
      <c r="K980" s="41" t="inlineStr">
        <is>
          <t>EUR</t>
        </is>
      </c>
      <c r="L980" s="42" t="n">
        <v>226800</v>
      </c>
    </row>
    <row r="981">
      <c r="B981" s="39" t="inlineStr">
        <is>
          <t>MBWAY_BOR</t>
        </is>
      </c>
      <c r="C981" s="40" t="inlineStr">
        <is>
          <t>MAS_MGT</t>
        </is>
      </c>
      <c r="D981" s="40" t="inlineStr">
        <is>
          <t>M2</t>
        </is>
      </c>
      <c r="E981" s="40" t="inlineStr">
        <is>
          <t>ALT</t>
        </is>
      </c>
      <c r="F981" s="40" t="inlineStr">
        <is>
          <t>706100</t>
        </is>
      </c>
      <c r="G981" s="39" t="inlineStr">
        <is>
          <t>Droits de scolarité</t>
        </is>
      </c>
      <c r="H981" s="40" t="inlineStr">
        <is>
          <t>COMPTABLE</t>
        </is>
      </c>
      <c r="I981" s="41" t="inlineStr">
        <is>
          <t>2024ACT_VDEF</t>
        </is>
      </c>
      <c r="J981" s="41" t="n">
        <v>2024</v>
      </c>
      <c r="K981" s="41" t="inlineStr">
        <is>
          <t>EUR</t>
        </is>
      </c>
      <c r="L981" s="42" t="n">
        <v>239400</v>
      </c>
    </row>
    <row r="982">
      <c r="B982" s="39" t="inlineStr">
        <is>
          <t>MBWAY_BOR</t>
        </is>
      </c>
      <c r="C982" s="40" t="inlineStr">
        <is>
          <t>MAS_MGT</t>
        </is>
      </c>
      <c r="D982" s="40" t="inlineStr">
        <is>
          <t>M2</t>
        </is>
      </c>
      <c r="E982" s="40" t="inlineStr">
        <is>
          <t>ALT</t>
        </is>
      </c>
      <c r="F982" s="40" t="inlineStr">
        <is>
          <t>706100</t>
        </is>
      </c>
      <c r="G982" s="39" t="inlineStr">
        <is>
          <t>Droits de scolarité</t>
        </is>
      </c>
      <c r="H982" s="40" t="inlineStr">
        <is>
          <t>COMPTABLE</t>
        </is>
      </c>
      <c r="I982" s="41" t="inlineStr">
        <is>
          <t>2025FCST_V4</t>
        </is>
      </c>
      <c r="J982" s="41" t="n">
        <v>2025</v>
      </c>
      <c r="K982" s="41" t="inlineStr">
        <is>
          <t>EUR</t>
        </is>
      </c>
      <c r="L982" s="42" t="n">
        <v>252000</v>
      </c>
    </row>
    <row r="983">
      <c r="B983" s="39" t="inlineStr">
        <is>
          <t>MBWAY_BOR</t>
        </is>
      </c>
      <c r="C983" s="40" t="inlineStr">
        <is>
          <t>MAS_MGT</t>
        </is>
      </c>
      <c r="D983" s="40" t="inlineStr">
        <is>
          <t>M2</t>
        </is>
      </c>
      <c r="E983" s="40" t="inlineStr">
        <is>
          <t>ALT</t>
        </is>
      </c>
      <c r="F983" s="40" t="inlineStr">
        <is>
          <t>604100</t>
        </is>
      </c>
      <c r="G983" s="39" t="inlineStr">
        <is>
          <t>Vacations &amp; sous-traitance pédagogique</t>
        </is>
      </c>
      <c r="H983" s="40" t="inlineStr">
        <is>
          <t>COMPTABLE</t>
        </is>
      </c>
      <c r="I983" s="41" t="inlineStr">
        <is>
          <t>2023ACT_VDEF</t>
        </is>
      </c>
      <c r="J983" s="41" t="n">
        <v>2023</v>
      </c>
      <c r="K983" s="41" t="inlineStr">
        <is>
          <t>EUR</t>
        </is>
      </c>
      <c r="L983" s="42" t="n">
        <v>55440</v>
      </c>
    </row>
    <row r="984">
      <c r="B984" s="39" t="inlineStr">
        <is>
          <t>MBWAY_BOR</t>
        </is>
      </c>
      <c r="C984" s="40" t="inlineStr">
        <is>
          <t>MAS_MGT</t>
        </is>
      </c>
      <c r="D984" s="40" t="inlineStr">
        <is>
          <t>M2</t>
        </is>
      </c>
      <c r="E984" s="40" t="inlineStr">
        <is>
          <t>ALT</t>
        </is>
      </c>
      <c r="F984" s="40" t="inlineStr">
        <is>
          <t>604100</t>
        </is>
      </c>
      <c r="G984" s="39" t="inlineStr">
        <is>
          <t>Vacations &amp; sous-traitance pédagogique</t>
        </is>
      </c>
      <c r="H984" s="40" t="inlineStr">
        <is>
          <t>COMPTABLE</t>
        </is>
      </c>
      <c r="I984" s="41" t="inlineStr">
        <is>
          <t>2024ACT_VDEF</t>
        </is>
      </c>
      <c r="J984" s="41" t="n">
        <v>2024</v>
      </c>
      <c r="K984" s="41" t="inlineStr">
        <is>
          <t>EUR</t>
        </is>
      </c>
      <c r="L984" s="42" t="n">
        <v>58520</v>
      </c>
    </row>
    <row r="985">
      <c r="B985" s="39" t="inlineStr">
        <is>
          <t>MBWAY_BOR</t>
        </is>
      </c>
      <c r="C985" s="40" t="inlineStr">
        <is>
          <t>MAS_MGT</t>
        </is>
      </c>
      <c r="D985" s="40" t="inlineStr">
        <is>
          <t>M2</t>
        </is>
      </c>
      <c r="E985" s="40" t="inlineStr">
        <is>
          <t>ALT</t>
        </is>
      </c>
      <c r="F985" s="40" t="inlineStr">
        <is>
          <t>604100</t>
        </is>
      </c>
      <c r="G985" s="39" t="inlineStr">
        <is>
          <t>Vacations &amp; sous-traitance pédagogique</t>
        </is>
      </c>
      <c r="H985" s="40" t="inlineStr">
        <is>
          <t>COMPTABLE</t>
        </is>
      </c>
      <c r="I985" s="41" t="inlineStr">
        <is>
          <t>2025FCST_V4</t>
        </is>
      </c>
      <c r="J985" s="41" t="n">
        <v>2025</v>
      </c>
      <c r="K985" s="41" t="inlineStr">
        <is>
          <t>EUR</t>
        </is>
      </c>
      <c r="L985" s="42" t="n">
        <v>61600</v>
      </c>
    </row>
    <row r="986">
      <c r="B986" s="39" t="inlineStr">
        <is>
          <t>MBWAY_BOR</t>
        </is>
      </c>
      <c r="C986" s="40" t="inlineStr">
        <is>
          <t>MAS_MGT</t>
        </is>
      </c>
      <c r="D986" s="40" t="inlineStr">
        <is>
          <t>M2</t>
        </is>
      </c>
      <c r="E986" s="40" t="inlineStr">
        <is>
          <t>ALT</t>
        </is>
      </c>
      <c r="F986" s="40" t="inlineStr">
        <is>
          <t>606300</t>
        </is>
      </c>
      <c r="G986" s="39" t="inlineStr">
        <is>
          <t>Fournitures &amp; ressources pédagogiques</t>
        </is>
      </c>
      <c r="H986" s="40" t="inlineStr">
        <is>
          <t>COMPTABLE</t>
        </is>
      </c>
      <c r="I986" s="41" t="inlineStr">
        <is>
          <t>2023ACT_VDEF</t>
        </is>
      </c>
      <c r="J986" s="41" t="n">
        <v>2023</v>
      </c>
      <c r="K986" s="41" t="inlineStr">
        <is>
          <t>EUR</t>
        </is>
      </c>
      <c r="L986" s="42" t="n">
        <v>13104</v>
      </c>
    </row>
    <row r="987">
      <c r="B987" s="39" t="inlineStr">
        <is>
          <t>MBWAY_BOR</t>
        </is>
      </c>
      <c r="C987" s="40" t="inlineStr">
        <is>
          <t>MAS_MGT</t>
        </is>
      </c>
      <c r="D987" s="40" t="inlineStr">
        <is>
          <t>M2</t>
        </is>
      </c>
      <c r="E987" s="40" t="inlineStr">
        <is>
          <t>ALT</t>
        </is>
      </c>
      <c r="F987" s="40" t="inlineStr">
        <is>
          <t>606300</t>
        </is>
      </c>
      <c r="G987" s="39" t="inlineStr">
        <is>
          <t>Fournitures &amp; ressources pédagogiques</t>
        </is>
      </c>
      <c r="H987" s="40" t="inlineStr">
        <is>
          <t>COMPTABLE</t>
        </is>
      </c>
      <c r="I987" s="41" t="inlineStr">
        <is>
          <t>2024ACT_VDEF</t>
        </is>
      </c>
      <c r="J987" s="41" t="n">
        <v>2024</v>
      </c>
      <c r="K987" s="41" t="inlineStr">
        <is>
          <t>EUR</t>
        </is>
      </c>
      <c r="L987" s="42" t="n">
        <v>13832</v>
      </c>
    </row>
    <row r="988">
      <c r="B988" s="39" t="inlineStr">
        <is>
          <t>MBWAY_BOR</t>
        </is>
      </c>
      <c r="C988" s="40" t="inlineStr">
        <is>
          <t>MAS_MGT</t>
        </is>
      </c>
      <c r="D988" s="40" t="inlineStr">
        <is>
          <t>M2</t>
        </is>
      </c>
      <c r="E988" s="40" t="inlineStr">
        <is>
          <t>ALT</t>
        </is>
      </c>
      <c r="F988" s="40" t="inlineStr">
        <is>
          <t>606300</t>
        </is>
      </c>
      <c r="G988" s="39" t="inlineStr">
        <is>
          <t>Fournitures &amp; ressources pédagogiques</t>
        </is>
      </c>
      <c r="H988" s="40" t="inlineStr">
        <is>
          <t>COMPTABLE</t>
        </is>
      </c>
      <c r="I988" s="41" t="inlineStr">
        <is>
          <t>2025FCST_V4</t>
        </is>
      </c>
      <c r="J988" s="41" t="n">
        <v>2025</v>
      </c>
      <c r="K988" s="41" t="inlineStr">
        <is>
          <t>EUR</t>
        </is>
      </c>
      <c r="L988" s="42" t="n">
        <v>14560</v>
      </c>
    </row>
    <row r="989">
      <c r="B989" s="39" t="inlineStr">
        <is>
          <t>MBWAY_BOR</t>
        </is>
      </c>
      <c r="C989" s="40" t="inlineStr">
        <is>
          <t>MAS_MGT</t>
        </is>
      </c>
      <c r="D989" s="40" t="inlineStr">
        <is>
          <t>M2</t>
        </is>
      </c>
      <c r="E989" s="40" t="inlineStr">
        <is>
          <t>ALT</t>
        </is>
      </c>
      <c r="F989" s="40" t="inlineStr">
        <is>
          <t>613200</t>
        </is>
      </c>
      <c r="G989" s="39" t="inlineStr">
        <is>
          <t>Locations immobilières (loyers)</t>
        </is>
      </c>
      <c r="H989" s="40" t="inlineStr">
        <is>
          <t>COMPTABLE</t>
        </is>
      </c>
      <c r="I989" s="41" t="inlineStr">
        <is>
          <t>2023ACT_VDEF</t>
        </is>
      </c>
      <c r="J989" s="41" t="n">
        <v>2023</v>
      </c>
      <c r="K989" s="41" t="inlineStr">
        <is>
          <t>EUR</t>
        </is>
      </c>
      <c r="L989" s="42" t="n">
        <v>32040</v>
      </c>
    </row>
    <row r="990">
      <c r="B990" s="39" t="inlineStr">
        <is>
          <t>MBWAY_BOR</t>
        </is>
      </c>
      <c r="C990" s="40" t="inlineStr">
        <is>
          <t>MAS_MGT</t>
        </is>
      </c>
      <c r="D990" s="40" t="inlineStr">
        <is>
          <t>M2</t>
        </is>
      </c>
      <c r="E990" s="40" t="inlineStr">
        <is>
          <t>ALT</t>
        </is>
      </c>
      <c r="F990" s="40" t="inlineStr">
        <is>
          <t>613200</t>
        </is>
      </c>
      <c r="G990" s="39" t="inlineStr">
        <is>
          <t>Locations immobilières (loyers)</t>
        </is>
      </c>
      <c r="H990" s="40" t="inlineStr">
        <is>
          <t>COMPTABLE</t>
        </is>
      </c>
      <c r="I990" s="41" t="inlineStr">
        <is>
          <t>2024ACT_VDEF</t>
        </is>
      </c>
      <c r="J990" s="41" t="n">
        <v>2024</v>
      </c>
      <c r="K990" s="41" t="inlineStr">
        <is>
          <t>EUR</t>
        </is>
      </c>
      <c r="L990" s="42" t="n">
        <v>33820</v>
      </c>
    </row>
    <row r="991">
      <c r="B991" s="39" t="inlineStr">
        <is>
          <t>MBWAY_BOR</t>
        </is>
      </c>
      <c r="C991" s="40" t="inlineStr">
        <is>
          <t>MAS_MGT</t>
        </is>
      </c>
      <c r="D991" s="40" t="inlineStr">
        <is>
          <t>M2</t>
        </is>
      </c>
      <c r="E991" s="40" t="inlineStr">
        <is>
          <t>ALT</t>
        </is>
      </c>
      <c r="F991" s="40" t="inlineStr">
        <is>
          <t>613200</t>
        </is>
      </c>
      <c r="G991" s="39" t="inlineStr">
        <is>
          <t>Locations immobilières (loyers)</t>
        </is>
      </c>
      <c r="H991" s="40" t="inlineStr">
        <is>
          <t>COMPTABLE</t>
        </is>
      </c>
      <c r="I991" s="41" t="inlineStr">
        <is>
          <t>2025FCST_V4</t>
        </is>
      </c>
      <c r="J991" s="41" t="n">
        <v>2025</v>
      </c>
      <c r="K991" s="41" t="inlineStr">
        <is>
          <t>EUR</t>
        </is>
      </c>
      <c r="L991" s="42" t="n">
        <v>35600</v>
      </c>
    </row>
    <row r="992">
      <c r="B992" s="39" t="inlineStr">
        <is>
          <t>MBWAY_BOR</t>
        </is>
      </c>
      <c r="C992" s="40" t="inlineStr">
        <is>
          <t>MAS_MGT</t>
        </is>
      </c>
      <c r="D992" s="40" t="inlineStr">
        <is>
          <t>M2</t>
        </is>
      </c>
      <c r="E992" s="40" t="inlineStr">
        <is>
          <t>ALT</t>
        </is>
      </c>
      <c r="F992" s="40" t="inlineStr">
        <is>
          <t>641100</t>
        </is>
      </c>
      <c r="G992" s="39" t="inlineStr">
        <is>
          <t>Rémunérations du personnel permanent</t>
        </is>
      </c>
      <c r="H992" s="40" t="inlineStr">
        <is>
          <t>COMPTABLE</t>
        </is>
      </c>
      <c r="I992" s="41" t="inlineStr">
        <is>
          <t>2023ACT_VDEF</t>
        </is>
      </c>
      <c r="J992" s="41" t="n">
        <v>2023</v>
      </c>
      <c r="K992" s="41" t="inlineStr">
        <is>
          <t>EUR</t>
        </is>
      </c>
      <c r="L992" s="42" t="n">
        <v>73080</v>
      </c>
    </row>
    <row r="993">
      <c r="B993" s="39" t="inlineStr">
        <is>
          <t>MBWAY_BOR</t>
        </is>
      </c>
      <c r="C993" s="40" t="inlineStr">
        <is>
          <t>MAS_MGT</t>
        </is>
      </c>
      <c r="D993" s="40" t="inlineStr">
        <is>
          <t>M2</t>
        </is>
      </c>
      <c r="E993" s="40" t="inlineStr">
        <is>
          <t>ALT</t>
        </is>
      </c>
      <c r="F993" s="40" t="inlineStr">
        <is>
          <t>641100</t>
        </is>
      </c>
      <c r="G993" s="39" t="inlineStr">
        <is>
          <t>Rémunérations du personnel permanent</t>
        </is>
      </c>
      <c r="H993" s="40" t="inlineStr">
        <is>
          <t>COMPTABLE</t>
        </is>
      </c>
      <c r="I993" s="41" t="inlineStr">
        <is>
          <t>2024ACT_VDEF</t>
        </is>
      </c>
      <c r="J993" s="41" t="n">
        <v>2024</v>
      </c>
      <c r="K993" s="41" t="inlineStr">
        <is>
          <t>EUR</t>
        </is>
      </c>
      <c r="L993" s="42" t="n">
        <v>77140</v>
      </c>
    </row>
    <row r="994">
      <c r="B994" s="39" t="inlineStr">
        <is>
          <t>MBWAY_BOR</t>
        </is>
      </c>
      <c r="C994" s="40" t="inlineStr">
        <is>
          <t>MAS_MGT</t>
        </is>
      </c>
      <c r="D994" s="40" t="inlineStr">
        <is>
          <t>M2</t>
        </is>
      </c>
      <c r="E994" s="40" t="inlineStr">
        <is>
          <t>ALT</t>
        </is>
      </c>
      <c r="F994" s="40" t="inlineStr">
        <is>
          <t>641100</t>
        </is>
      </c>
      <c r="G994" s="39" t="inlineStr">
        <is>
          <t>Rémunérations du personnel permanent</t>
        </is>
      </c>
      <c r="H994" s="40" t="inlineStr">
        <is>
          <t>COMPTABLE</t>
        </is>
      </c>
      <c r="I994" s="41" t="inlineStr">
        <is>
          <t>2025FCST_V4</t>
        </is>
      </c>
      <c r="J994" s="41" t="n">
        <v>2025</v>
      </c>
      <c r="K994" s="41" t="inlineStr">
        <is>
          <t>EUR</t>
        </is>
      </c>
      <c r="L994" s="42" t="n">
        <v>81200</v>
      </c>
    </row>
    <row r="995">
      <c r="B995" s="39" t="inlineStr">
        <is>
          <t>MBWAY_BOR</t>
        </is>
      </c>
      <c r="C995" s="40" t="inlineStr">
        <is>
          <t>MAS_MGT</t>
        </is>
      </c>
      <c r="D995" s="40" t="inlineStr">
        <is>
          <t>M2</t>
        </is>
      </c>
      <c r="E995" s="40" t="inlineStr">
        <is>
          <t>ALT</t>
        </is>
      </c>
      <c r="F995" s="40" t="inlineStr">
        <is>
          <t>622600</t>
        </is>
      </c>
      <c r="G995" s="39" t="inlineStr">
        <is>
          <t>Honoraires &amp; frais de siège (structure groupe)</t>
        </is>
      </c>
      <c r="H995" s="40" t="inlineStr">
        <is>
          <t>COMPTABLE</t>
        </is>
      </c>
      <c r="I995" s="41" t="inlineStr">
        <is>
          <t>2023ACT_VDEF</t>
        </is>
      </c>
      <c r="J995" s="41" t="n">
        <v>2023</v>
      </c>
      <c r="K995" s="41" t="inlineStr">
        <is>
          <t>EUR</t>
        </is>
      </c>
      <c r="L995" s="42" t="n">
        <v>29167</v>
      </c>
    </row>
    <row r="996">
      <c r="B996" s="39" t="inlineStr">
        <is>
          <t>MBWAY_BOR</t>
        </is>
      </c>
      <c r="C996" s="40" t="inlineStr">
        <is>
          <t>MAS_MGT</t>
        </is>
      </c>
      <c r="D996" s="40" t="inlineStr">
        <is>
          <t>M2</t>
        </is>
      </c>
      <c r="E996" s="40" t="inlineStr">
        <is>
          <t>ALT</t>
        </is>
      </c>
      <c r="F996" s="40" t="inlineStr">
        <is>
          <t>622600</t>
        </is>
      </c>
      <c r="G996" s="39" t="inlineStr">
        <is>
          <t>Honoraires &amp; frais de siège (structure groupe)</t>
        </is>
      </c>
      <c r="H996" s="40" t="inlineStr">
        <is>
          <t>COMPTABLE</t>
        </is>
      </c>
      <c r="I996" s="41" t="inlineStr">
        <is>
          <t>2024ACT_VDEF</t>
        </is>
      </c>
      <c r="J996" s="41" t="n">
        <v>2024</v>
      </c>
      <c r="K996" s="41" t="inlineStr">
        <is>
          <t>EUR</t>
        </is>
      </c>
      <c r="L996" s="42" t="n">
        <v>30788</v>
      </c>
    </row>
    <row r="997">
      <c r="B997" s="39" t="inlineStr">
        <is>
          <t>MBWAY_BOR</t>
        </is>
      </c>
      <c r="C997" s="40" t="inlineStr">
        <is>
          <t>MAS_MGT</t>
        </is>
      </c>
      <c r="D997" s="40" t="inlineStr">
        <is>
          <t>M2</t>
        </is>
      </c>
      <c r="E997" s="40" t="inlineStr">
        <is>
          <t>ALT</t>
        </is>
      </c>
      <c r="F997" s="40" t="inlineStr">
        <is>
          <t>622600</t>
        </is>
      </c>
      <c r="G997" s="39" t="inlineStr">
        <is>
          <t>Honoraires &amp; frais de siège (structure groupe)</t>
        </is>
      </c>
      <c r="H997" s="40" t="inlineStr">
        <is>
          <t>COMPTABLE</t>
        </is>
      </c>
      <c r="I997" s="41" t="inlineStr">
        <is>
          <t>2025FCST_V4</t>
        </is>
      </c>
      <c r="J997" s="41" t="n">
        <v>2025</v>
      </c>
      <c r="K997" s="41" t="inlineStr">
        <is>
          <t>EUR</t>
        </is>
      </c>
      <c r="L997" s="42" t="n">
        <v>32408</v>
      </c>
    </row>
    <row r="998">
      <c r="B998" s="39" t="inlineStr">
        <is>
          <t>MBWAY_BOR</t>
        </is>
      </c>
      <c r="C998" s="40" t="inlineStr">
        <is>
          <t>MAS_MGT</t>
        </is>
      </c>
      <c r="D998" s="40" t="inlineStr">
        <is>
          <t>M2</t>
        </is>
      </c>
      <c r="E998" s="40" t="inlineStr">
        <is>
          <t>ALT</t>
        </is>
      </c>
      <c r="F998" s="40" t="inlineStr">
        <is>
          <t>606800</t>
        </is>
      </c>
      <c r="G998" s="39" t="inlineStr">
        <is>
          <t>Autres achats &amp; charges externes</t>
        </is>
      </c>
      <c r="H998" s="40" t="inlineStr">
        <is>
          <t>COMPTABLE</t>
        </is>
      </c>
      <c r="I998" s="41" t="inlineStr">
        <is>
          <t>2023ACT_VDEF</t>
        </is>
      </c>
      <c r="J998" s="41" t="n">
        <v>2023</v>
      </c>
      <c r="K998" s="41" t="inlineStr">
        <is>
          <t>EUR</t>
        </is>
      </c>
      <c r="L998" s="42" t="n">
        <v>23537</v>
      </c>
    </row>
    <row r="999">
      <c r="B999" s="39" t="inlineStr">
        <is>
          <t>MBWAY_BOR</t>
        </is>
      </c>
      <c r="C999" s="40" t="inlineStr">
        <is>
          <t>MAS_MGT</t>
        </is>
      </c>
      <c r="D999" s="40" t="inlineStr">
        <is>
          <t>M2</t>
        </is>
      </c>
      <c r="E999" s="40" t="inlineStr">
        <is>
          <t>ALT</t>
        </is>
      </c>
      <c r="F999" s="40" t="inlineStr">
        <is>
          <t>606800</t>
        </is>
      </c>
      <c r="G999" s="39" t="inlineStr">
        <is>
          <t>Autres achats &amp; charges externes</t>
        </is>
      </c>
      <c r="H999" s="40" t="inlineStr">
        <is>
          <t>COMPTABLE</t>
        </is>
      </c>
      <c r="I999" s="41" t="inlineStr">
        <is>
          <t>2024ACT_VDEF</t>
        </is>
      </c>
      <c r="J999" s="41" t="n">
        <v>2024</v>
      </c>
      <c r="K999" s="41" t="inlineStr">
        <is>
          <t>EUR</t>
        </is>
      </c>
      <c r="L999" s="42" t="n">
        <v>24844</v>
      </c>
    </row>
    <row r="1000">
      <c r="B1000" s="39" t="inlineStr">
        <is>
          <t>MBWAY_BOR</t>
        </is>
      </c>
      <c r="C1000" s="40" t="inlineStr">
        <is>
          <t>MAS_MGT</t>
        </is>
      </c>
      <c r="D1000" s="40" t="inlineStr">
        <is>
          <t>M2</t>
        </is>
      </c>
      <c r="E1000" s="40" t="inlineStr">
        <is>
          <t>ALT</t>
        </is>
      </c>
      <c r="F1000" s="40" t="inlineStr">
        <is>
          <t>606800</t>
        </is>
      </c>
      <c r="G1000" s="39" t="inlineStr">
        <is>
          <t>Autres achats &amp; charges externes</t>
        </is>
      </c>
      <c r="H1000" s="40" t="inlineStr">
        <is>
          <t>COMPTABLE</t>
        </is>
      </c>
      <c r="I1000" s="41" t="inlineStr">
        <is>
          <t>2025FCST_V4</t>
        </is>
      </c>
      <c r="J1000" s="41" t="n">
        <v>2025</v>
      </c>
      <c r="K1000" s="41" t="inlineStr">
        <is>
          <t>EUR</t>
        </is>
      </c>
      <c r="L1000" s="42" t="n">
        <v>26152</v>
      </c>
    </row>
    <row r="1001">
      <c r="B1001" s="39" t="inlineStr">
        <is>
          <t>MBWAY_BOR</t>
        </is>
      </c>
      <c r="C1001" s="40" t="inlineStr">
        <is>
          <t>MAS_MGT</t>
        </is>
      </c>
      <c r="D1001" s="40" t="inlineStr">
        <is>
          <t>M2</t>
        </is>
      </c>
      <c r="E1001" s="40" t="inlineStr">
        <is>
          <t>ALT</t>
        </is>
      </c>
      <c r="F1001" s="40" t="inlineStr">
        <is>
          <t>681100</t>
        </is>
      </c>
      <c r="G1001" s="39" t="inlineStr">
        <is>
          <t>Dotations aux amortissements</t>
        </is>
      </c>
      <c r="H1001" s="40" t="inlineStr">
        <is>
          <t>COMPTABLE</t>
        </is>
      </c>
      <c r="I1001" s="41" t="inlineStr">
        <is>
          <t>2023ACT_VDEF</t>
        </is>
      </c>
      <c r="J1001" s="41" t="n">
        <v>2023</v>
      </c>
      <c r="K1001" s="41" t="inlineStr">
        <is>
          <t>EUR</t>
        </is>
      </c>
      <c r="L1001" s="42" t="n">
        <v>17460</v>
      </c>
    </row>
    <row r="1002">
      <c r="B1002" s="39" t="inlineStr">
        <is>
          <t>MBWAY_BOR</t>
        </is>
      </c>
      <c r="C1002" s="40" t="inlineStr">
        <is>
          <t>MAS_MGT</t>
        </is>
      </c>
      <c r="D1002" s="40" t="inlineStr">
        <is>
          <t>M2</t>
        </is>
      </c>
      <c r="E1002" s="40" t="inlineStr">
        <is>
          <t>ALT</t>
        </is>
      </c>
      <c r="F1002" s="40" t="inlineStr">
        <is>
          <t>681100</t>
        </is>
      </c>
      <c r="G1002" s="39" t="inlineStr">
        <is>
          <t>Dotations aux amortissements</t>
        </is>
      </c>
      <c r="H1002" s="40" t="inlineStr">
        <is>
          <t>COMPTABLE</t>
        </is>
      </c>
      <c r="I1002" s="41" t="inlineStr">
        <is>
          <t>2024ACT_VDEF</t>
        </is>
      </c>
      <c r="J1002" s="41" t="n">
        <v>2024</v>
      </c>
      <c r="K1002" s="41" t="inlineStr">
        <is>
          <t>EUR</t>
        </is>
      </c>
      <c r="L1002" s="42" t="n">
        <v>18430</v>
      </c>
    </row>
    <row r="1003">
      <c r="B1003" s="39" t="inlineStr">
        <is>
          <t>MBWAY_BOR</t>
        </is>
      </c>
      <c r="C1003" s="40" t="inlineStr">
        <is>
          <t>MAS_MGT</t>
        </is>
      </c>
      <c r="D1003" s="40" t="inlineStr">
        <is>
          <t>M2</t>
        </is>
      </c>
      <c r="E1003" s="40" t="inlineStr">
        <is>
          <t>ALT</t>
        </is>
      </c>
      <c r="F1003" s="40" t="inlineStr">
        <is>
          <t>681100</t>
        </is>
      </c>
      <c r="G1003" s="39" t="inlineStr">
        <is>
          <t>Dotations aux amortissements</t>
        </is>
      </c>
      <c r="H1003" s="40" t="inlineStr">
        <is>
          <t>COMPTABLE</t>
        </is>
      </c>
      <c r="I1003" s="41" t="inlineStr">
        <is>
          <t>2025FCST_V4</t>
        </is>
      </c>
      <c r="J1003" s="41" t="n">
        <v>2025</v>
      </c>
      <c r="K1003" s="41" t="inlineStr">
        <is>
          <t>EUR</t>
        </is>
      </c>
      <c r="L1003" s="42" t="n">
        <v>19400</v>
      </c>
    </row>
    <row r="1004">
      <c r="B1004" s="39" t="inlineStr">
        <is>
          <t>MBWAY_BOR</t>
        </is>
      </c>
      <c r="C1004" s="40" t="inlineStr">
        <is>
          <t>MAS_MGT</t>
        </is>
      </c>
      <c r="D1004" s="40" t="inlineStr">
        <is>
          <t>M2</t>
        </is>
      </c>
      <c r="E1004" s="40" t="inlineStr">
        <is>
          <t>ALT</t>
        </is>
      </c>
      <c r="F1004" s="40" t="inlineStr">
        <is>
          <t>STA_EFF</t>
        </is>
      </c>
      <c r="G1004" s="39" t="inlineStr">
        <is>
          <t>Effectif inscrit</t>
        </is>
      </c>
      <c r="H1004" s="40" t="inlineStr">
        <is>
          <t>TECHNIQUE</t>
        </is>
      </c>
      <c r="I1004" s="41" t="inlineStr">
        <is>
          <t>2023ACT_VDEF</t>
        </is>
      </c>
      <c r="J1004" s="41" t="n">
        <v>2023</v>
      </c>
      <c r="K1004" s="41" t="inlineStr">
        <is>
          <t>NB</t>
        </is>
      </c>
      <c r="L1004" s="43" t="n">
        <v>25</v>
      </c>
    </row>
    <row r="1005">
      <c r="B1005" s="39" t="inlineStr">
        <is>
          <t>MBWAY_BOR</t>
        </is>
      </c>
      <c r="C1005" s="40" t="inlineStr">
        <is>
          <t>MAS_MGT</t>
        </is>
      </c>
      <c r="D1005" s="40" t="inlineStr">
        <is>
          <t>M2</t>
        </is>
      </c>
      <c r="E1005" s="40" t="inlineStr">
        <is>
          <t>ALT</t>
        </is>
      </c>
      <c r="F1005" s="40" t="inlineStr">
        <is>
          <t>STA_EFF</t>
        </is>
      </c>
      <c r="G1005" s="39" t="inlineStr">
        <is>
          <t>Effectif inscrit</t>
        </is>
      </c>
      <c r="H1005" s="40" t="inlineStr">
        <is>
          <t>TECHNIQUE</t>
        </is>
      </c>
      <c r="I1005" s="41" t="inlineStr">
        <is>
          <t>2024ACT_VDEF</t>
        </is>
      </c>
      <c r="J1005" s="41" t="n">
        <v>2024</v>
      </c>
      <c r="K1005" s="41" t="inlineStr">
        <is>
          <t>NB</t>
        </is>
      </c>
      <c r="L1005" s="43" t="n">
        <v>27</v>
      </c>
    </row>
    <row r="1006">
      <c r="B1006" s="39" t="inlineStr">
        <is>
          <t>MBWAY_BOR</t>
        </is>
      </c>
      <c r="C1006" s="40" t="inlineStr">
        <is>
          <t>MAS_MGT</t>
        </is>
      </c>
      <c r="D1006" s="40" t="inlineStr">
        <is>
          <t>M2</t>
        </is>
      </c>
      <c r="E1006" s="40" t="inlineStr">
        <is>
          <t>ALT</t>
        </is>
      </c>
      <c r="F1006" s="40" t="inlineStr">
        <is>
          <t>STA_EFF</t>
        </is>
      </c>
      <c r="G1006" s="39" t="inlineStr">
        <is>
          <t>Effectif inscrit</t>
        </is>
      </c>
      <c r="H1006" s="40" t="inlineStr">
        <is>
          <t>TECHNIQUE</t>
        </is>
      </c>
      <c r="I1006" s="41" t="inlineStr">
        <is>
          <t>2025FCST_V4</t>
        </is>
      </c>
      <c r="J1006" s="41" t="n">
        <v>2025</v>
      </c>
      <c r="K1006" s="41" t="inlineStr">
        <is>
          <t>NB</t>
        </is>
      </c>
      <c r="L1006" s="43" t="n">
        <v>28</v>
      </c>
    </row>
    <row r="1007">
      <c r="B1007" s="39" t="inlineStr">
        <is>
          <t>MBWAY_BOR</t>
        </is>
      </c>
      <c r="C1007" s="40" t="inlineStr">
        <is>
          <t>MAS_MGT</t>
        </is>
      </c>
      <c r="D1007" s="40" t="inlineStr">
        <is>
          <t>M2</t>
        </is>
      </c>
      <c r="E1007" s="40" t="inlineStr">
        <is>
          <t>ALT</t>
        </is>
      </c>
      <c r="F1007" s="40" t="inlineStr">
        <is>
          <t>STA_REINS</t>
        </is>
      </c>
      <c r="G1007" s="39" t="inlineStr">
        <is>
          <t>Réinscrits</t>
        </is>
      </c>
      <c r="H1007" s="40" t="inlineStr">
        <is>
          <t>TECHNIQUE</t>
        </is>
      </c>
      <c r="I1007" s="41" t="inlineStr">
        <is>
          <t>2023ACT_VDEF</t>
        </is>
      </c>
      <c r="J1007" s="41" t="n">
        <v>2023</v>
      </c>
      <c r="K1007" s="41" t="inlineStr">
        <is>
          <t>NB</t>
        </is>
      </c>
      <c r="L1007" s="43" t="n">
        <v>25</v>
      </c>
    </row>
    <row r="1008">
      <c r="B1008" s="39" t="inlineStr">
        <is>
          <t>MBWAY_BOR</t>
        </is>
      </c>
      <c r="C1008" s="40" t="inlineStr">
        <is>
          <t>MAS_MGT</t>
        </is>
      </c>
      <c r="D1008" s="40" t="inlineStr">
        <is>
          <t>M2</t>
        </is>
      </c>
      <c r="E1008" s="40" t="inlineStr">
        <is>
          <t>ALT</t>
        </is>
      </c>
      <c r="F1008" s="40" t="inlineStr">
        <is>
          <t>STA_REINS</t>
        </is>
      </c>
      <c r="G1008" s="39" t="inlineStr">
        <is>
          <t>Réinscrits</t>
        </is>
      </c>
      <c r="H1008" s="40" t="inlineStr">
        <is>
          <t>TECHNIQUE</t>
        </is>
      </c>
      <c r="I1008" s="41" t="inlineStr">
        <is>
          <t>2024ACT_VDEF</t>
        </is>
      </c>
      <c r="J1008" s="41" t="n">
        <v>2024</v>
      </c>
      <c r="K1008" s="41" t="inlineStr">
        <is>
          <t>NB</t>
        </is>
      </c>
      <c r="L1008" s="43" t="n">
        <v>27</v>
      </c>
    </row>
    <row r="1009">
      <c r="B1009" s="39" t="inlineStr">
        <is>
          <t>MBWAY_BOR</t>
        </is>
      </c>
      <c r="C1009" s="40" t="inlineStr">
        <is>
          <t>MAS_MGT</t>
        </is>
      </c>
      <c r="D1009" s="40" t="inlineStr">
        <is>
          <t>M2</t>
        </is>
      </c>
      <c r="E1009" s="40" t="inlineStr">
        <is>
          <t>ALT</t>
        </is>
      </c>
      <c r="F1009" s="40" t="inlineStr">
        <is>
          <t>STA_REINS</t>
        </is>
      </c>
      <c r="G1009" s="39" t="inlineStr">
        <is>
          <t>Réinscrits</t>
        </is>
      </c>
      <c r="H1009" s="40" t="inlineStr">
        <is>
          <t>TECHNIQUE</t>
        </is>
      </c>
      <c r="I1009" s="41" t="inlineStr">
        <is>
          <t>2025FCST_V4</t>
        </is>
      </c>
      <c r="J1009" s="41" t="n">
        <v>2025</v>
      </c>
      <c r="K1009" s="41" t="inlineStr">
        <is>
          <t>NB</t>
        </is>
      </c>
      <c r="L1009" s="43" t="n">
        <v>28</v>
      </c>
    </row>
    <row r="1010">
      <c r="B1010" s="39" t="inlineStr">
        <is>
          <t>MBWAY_BOR</t>
        </is>
      </c>
      <c r="C1010" s="40" t="inlineStr">
        <is>
          <t>MAS_MGT</t>
        </is>
      </c>
      <c r="D1010" s="40" t="inlineStr">
        <is>
          <t>M2</t>
        </is>
      </c>
      <c r="E1010" s="40" t="inlineStr">
        <is>
          <t>ALT</t>
        </is>
      </c>
      <c r="F1010" s="40" t="inlineStr">
        <is>
          <t>STA_CLASS</t>
        </is>
      </c>
      <c r="G1010" s="39" t="inlineStr">
        <is>
          <t>Nombre de classes</t>
        </is>
      </c>
      <c r="H1010" s="40" t="inlineStr">
        <is>
          <t>TECHNIQUE</t>
        </is>
      </c>
      <c r="I1010" s="41" t="inlineStr">
        <is>
          <t>2023ACT_VDEF</t>
        </is>
      </c>
      <c r="J1010" s="41" t="n">
        <v>2023</v>
      </c>
      <c r="K1010" s="41" t="inlineStr">
        <is>
          <t>NB</t>
        </is>
      </c>
      <c r="L1010" s="43" t="n">
        <v>2</v>
      </c>
    </row>
    <row r="1011">
      <c r="B1011" s="39" t="inlineStr">
        <is>
          <t>MBWAY_BOR</t>
        </is>
      </c>
      <c r="C1011" s="40" t="inlineStr">
        <is>
          <t>MAS_MGT</t>
        </is>
      </c>
      <c r="D1011" s="40" t="inlineStr">
        <is>
          <t>M2</t>
        </is>
      </c>
      <c r="E1011" s="40" t="inlineStr">
        <is>
          <t>ALT</t>
        </is>
      </c>
      <c r="F1011" s="40" t="inlineStr">
        <is>
          <t>STA_CLASS</t>
        </is>
      </c>
      <c r="G1011" s="39" t="inlineStr">
        <is>
          <t>Nombre de classes</t>
        </is>
      </c>
      <c r="H1011" s="40" t="inlineStr">
        <is>
          <t>TECHNIQUE</t>
        </is>
      </c>
      <c r="I1011" s="41" t="inlineStr">
        <is>
          <t>2024ACT_VDEF</t>
        </is>
      </c>
      <c r="J1011" s="41" t="n">
        <v>2024</v>
      </c>
      <c r="K1011" s="41" t="inlineStr">
        <is>
          <t>NB</t>
        </is>
      </c>
      <c r="L1011" s="43" t="n">
        <v>2</v>
      </c>
    </row>
    <row r="1012">
      <c r="B1012" s="39" t="inlineStr">
        <is>
          <t>MBWAY_BOR</t>
        </is>
      </c>
      <c r="C1012" s="40" t="inlineStr">
        <is>
          <t>MAS_MGT</t>
        </is>
      </c>
      <c r="D1012" s="40" t="inlineStr">
        <is>
          <t>M2</t>
        </is>
      </c>
      <c r="E1012" s="40" t="inlineStr">
        <is>
          <t>ALT</t>
        </is>
      </c>
      <c r="F1012" s="40" t="inlineStr">
        <is>
          <t>STA_CLASS</t>
        </is>
      </c>
      <c r="G1012" s="39" t="inlineStr">
        <is>
          <t>Nombre de classes</t>
        </is>
      </c>
      <c r="H1012" s="40" t="inlineStr">
        <is>
          <t>TECHNIQUE</t>
        </is>
      </c>
      <c r="I1012" s="41" t="inlineStr">
        <is>
          <t>2025FCST_V4</t>
        </is>
      </c>
      <c r="J1012" s="41" t="n">
        <v>2025</v>
      </c>
      <c r="K1012" s="41" t="inlineStr">
        <is>
          <t>NB</t>
        </is>
      </c>
      <c r="L1012" s="43" t="n">
        <v>2</v>
      </c>
    </row>
    <row r="1013">
      <c r="B1013" s="39" t="inlineStr">
        <is>
          <t>MBWAY_BOR</t>
        </is>
      </c>
      <c r="C1013" s="40" t="inlineStr">
        <is>
          <t>MAS_MGT</t>
        </is>
      </c>
      <c r="D1013" s="40" t="inlineStr">
        <is>
          <t>M2</t>
        </is>
      </c>
      <c r="E1013" s="40" t="inlineStr">
        <is>
          <t>ALT</t>
        </is>
      </c>
      <c r="F1013" s="40" t="inlineStr">
        <is>
          <t>STA_HEURE</t>
        </is>
      </c>
      <c r="G1013" s="39" t="inlineStr">
        <is>
          <t>Heures d'enseignement</t>
        </is>
      </c>
      <c r="H1013" s="40" t="inlineStr">
        <is>
          <t>TECHNIQUE</t>
        </is>
      </c>
      <c r="I1013" s="41" t="inlineStr">
        <is>
          <t>2023ACT_VDEF</t>
        </is>
      </c>
      <c r="J1013" s="41" t="n">
        <v>2023</v>
      </c>
      <c r="K1013" s="41" t="inlineStr">
        <is>
          <t>NB</t>
        </is>
      </c>
      <c r="L1013" s="43" t="n">
        <v>792</v>
      </c>
    </row>
    <row r="1014">
      <c r="B1014" s="39" t="inlineStr">
        <is>
          <t>MBWAY_BOR</t>
        </is>
      </c>
      <c r="C1014" s="40" t="inlineStr">
        <is>
          <t>MAS_MGT</t>
        </is>
      </c>
      <c r="D1014" s="40" t="inlineStr">
        <is>
          <t>M2</t>
        </is>
      </c>
      <c r="E1014" s="40" t="inlineStr">
        <is>
          <t>ALT</t>
        </is>
      </c>
      <c r="F1014" s="40" t="inlineStr">
        <is>
          <t>STA_HEURE</t>
        </is>
      </c>
      <c r="G1014" s="39" t="inlineStr">
        <is>
          <t>Heures d'enseignement</t>
        </is>
      </c>
      <c r="H1014" s="40" t="inlineStr">
        <is>
          <t>TECHNIQUE</t>
        </is>
      </c>
      <c r="I1014" s="41" t="inlineStr">
        <is>
          <t>2024ACT_VDEF</t>
        </is>
      </c>
      <c r="J1014" s="41" t="n">
        <v>2024</v>
      </c>
      <c r="K1014" s="41" t="inlineStr">
        <is>
          <t>NB</t>
        </is>
      </c>
      <c r="L1014" s="43" t="n">
        <v>836</v>
      </c>
    </row>
    <row r="1015">
      <c r="B1015" s="39" t="inlineStr">
        <is>
          <t>MBWAY_BOR</t>
        </is>
      </c>
      <c r="C1015" s="40" t="inlineStr">
        <is>
          <t>MAS_MGT</t>
        </is>
      </c>
      <c r="D1015" s="40" t="inlineStr">
        <is>
          <t>M2</t>
        </is>
      </c>
      <c r="E1015" s="40" t="inlineStr">
        <is>
          <t>ALT</t>
        </is>
      </c>
      <c r="F1015" s="40" t="inlineStr">
        <is>
          <t>STA_HEURE</t>
        </is>
      </c>
      <c r="G1015" s="39" t="inlineStr">
        <is>
          <t>Heures d'enseignement</t>
        </is>
      </c>
      <c r="H1015" s="40" t="inlineStr">
        <is>
          <t>TECHNIQUE</t>
        </is>
      </c>
      <c r="I1015" s="41" t="inlineStr">
        <is>
          <t>2025FCST_V4</t>
        </is>
      </c>
      <c r="J1015" s="41" t="n">
        <v>2025</v>
      </c>
      <c r="K1015" s="41" t="inlineStr">
        <is>
          <t>NB</t>
        </is>
      </c>
      <c r="L1015" s="43" t="n">
        <v>880</v>
      </c>
    </row>
    <row r="1016">
      <c r="B1016" s="39" t="inlineStr">
        <is>
          <t>MBWAY_BOR</t>
        </is>
      </c>
      <c r="C1016" s="40" t="inlineStr">
        <is>
          <t>MAS_MGT</t>
        </is>
      </c>
      <c r="D1016" s="40" t="inlineStr">
        <is>
          <t>M2</t>
        </is>
      </c>
      <c r="E1016" s="40" t="inlineStr">
        <is>
          <t>ALT</t>
        </is>
      </c>
      <c r="F1016" s="40" t="inlineStr">
        <is>
          <t>STA_CAPA</t>
        </is>
      </c>
      <c r="G1016" s="39" t="inlineStr">
        <is>
          <t>Capacité par classe</t>
        </is>
      </c>
      <c r="H1016" s="40" t="inlineStr">
        <is>
          <t>TECHNIQUE</t>
        </is>
      </c>
      <c r="I1016" s="41" t="inlineStr">
        <is>
          <t>2023ACT_VDEF</t>
        </is>
      </c>
      <c r="J1016" s="41" t="n">
        <v>2023</v>
      </c>
      <c r="K1016" s="41" t="inlineStr">
        <is>
          <t>NB</t>
        </is>
      </c>
      <c r="L1016" s="43" t="n">
        <v>26</v>
      </c>
    </row>
    <row r="1017">
      <c r="B1017" s="39" t="inlineStr">
        <is>
          <t>MBWAY_BOR</t>
        </is>
      </c>
      <c r="C1017" s="40" t="inlineStr">
        <is>
          <t>MAS_MGT</t>
        </is>
      </c>
      <c r="D1017" s="40" t="inlineStr">
        <is>
          <t>M2</t>
        </is>
      </c>
      <c r="E1017" s="40" t="inlineStr">
        <is>
          <t>ALT</t>
        </is>
      </c>
      <c r="F1017" s="40" t="inlineStr">
        <is>
          <t>STA_CAPA</t>
        </is>
      </c>
      <c r="G1017" s="39" t="inlineStr">
        <is>
          <t>Capacité par classe</t>
        </is>
      </c>
      <c r="H1017" s="40" t="inlineStr">
        <is>
          <t>TECHNIQUE</t>
        </is>
      </c>
      <c r="I1017" s="41" t="inlineStr">
        <is>
          <t>2024ACT_VDEF</t>
        </is>
      </c>
      <c r="J1017" s="41" t="n">
        <v>2024</v>
      </c>
      <c r="K1017" s="41" t="inlineStr">
        <is>
          <t>NB</t>
        </is>
      </c>
      <c r="L1017" s="43" t="n">
        <v>26</v>
      </c>
    </row>
    <row r="1018">
      <c r="B1018" s="39" t="inlineStr">
        <is>
          <t>MBWAY_BOR</t>
        </is>
      </c>
      <c r="C1018" s="40" t="inlineStr">
        <is>
          <t>MAS_MGT</t>
        </is>
      </c>
      <c r="D1018" s="40" t="inlineStr">
        <is>
          <t>M2</t>
        </is>
      </c>
      <c r="E1018" s="40" t="inlineStr">
        <is>
          <t>ALT</t>
        </is>
      </c>
      <c r="F1018" s="40" t="inlineStr">
        <is>
          <t>STA_CAPA</t>
        </is>
      </c>
      <c r="G1018" s="39" t="inlineStr">
        <is>
          <t>Capacité par classe</t>
        </is>
      </c>
      <c r="H1018" s="40" t="inlineStr">
        <is>
          <t>TECHNIQUE</t>
        </is>
      </c>
      <c r="I1018" s="41" t="inlineStr">
        <is>
          <t>2025FCST_V4</t>
        </is>
      </c>
      <c r="J1018" s="41" t="n">
        <v>2025</v>
      </c>
      <c r="K1018" s="41" t="inlineStr">
        <is>
          <t>NB</t>
        </is>
      </c>
      <c r="L1018" s="43" t="n">
        <v>26</v>
      </c>
    </row>
    <row r="1019">
      <c r="B1019" s="39" t="inlineStr">
        <is>
          <t>MBWAY_BOR</t>
        </is>
      </c>
      <c r="C1019" s="40" t="inlineStr">
        <is>
          <t>MAS_MGT</t>
        </is>
      </c>
      <c r="D1019" s="40" t="inlineStr">
        <is>
          <t>M2</t>
        </is>
      </c>
      <c r="E1019" s="40" t="inlineStr">
        <is>
          <t>ALT</t>
        </is>
      </c>
      <c r="F1019" s="40" t="inlineStr">
        <is>
          <t>DRV_PASS</t>
        </is>
      </c>
      <c r="G1019" s="39" t="inlineStr">
        <is>
          <t>Taux de passage (réinscription)</t>
        </is>
      </c>
      <c r="H1019" s="40" t="inlineStr">
        <is>
          <t>TECHNIQUE</t>
        </is>
      </c>
      <c r="I1019" s="41" t="inlineStr">
        <is>
          <t>2023ACT_VDEF</t>
        </is>
      </c>
      <c r="J1019" s="41" t="n">
        <v>2023</v>
      </c>
      <c r="K1019" s="41" t="inlineStr">
        <is>
          <t>PCT</t>
        </is>
      </c>
      <c r="L1019" s="44" t="n">
        <v>0.96</v>
      </c>
    </row>
    <row r="1020">
      <c r="B1020" s="39" t="inlineStr">
        <is>
          <t>MBWAY_BOR</t>
        </is>
      </c>
      <c r="C1020" s="40" t="inlineStr">
        <is>
          <t>MAS_MGT</t>
        </is>
      </c>
      <c r="D1020" s="40" t="inlineStr">
        <is>
          <t>M2</t>
        </is>
      </c>
      <c r="E1020" s="40" t="inlineStr">
        <is>
          <t>ALT</t>
        </is>
      </c>
      <c r="F1020" s="40" t="inlineStr">
        <is>
          <t>DRV_PASS</t>
        </is>
      </c>
      <c r="G1020" s="39" t="inlineStr">
        <is>
          <t>Taux de passage (réinscription)</t>
        </is>
      </c>
      <c r="H1020" s="40" t="inlineStr">
        <is>
          <t>TECHNIQUE</t>
        </is>
      </c>
      <c r="I1020" s="41" t="inlineStr">
        <is>
          <t>2024ACT_VDEF</t>
        </is>
      </c>
      <c r="J1020" s="41" t="n">
        <v>2024</v>
      </c>
      <c r="K1020" s="41" t="inlineStr">
        <is>
          <t>PCT</t>
        </is>
      </c>
      <c r="L1020" s="44" t="n">
        <v>0.96</v>
      </c>
    </row>
    <row r="1021">
      <c r="B1021" s="39" t="inlineStr">
        <is>
          <t>MBWAY_BOR</t>
        </is>
      </c>
      <c r="C1021" s="40" t="inlineStr">
        <is>
          <t>MAS_MGT</t>
        </is>
      </c>
      <c r="D1021" s="40" t="inlineStr">
        <is>
          <t>M2</t>
        </is>
      </c>
      <c r="E1021" s="40" t="inlineStr">
        <is>
          <t>ALT</t>
        </is>
      </c>
      <c r="F1021" s="40" t="inlineStr">
        <is>
          <t>DRV_PASS</t>
        </is>
      </c>
      <c r="G1021" s="39" t="inlineStr">
        <is>
          <t>Taux de passage (réinscription)</t>
        </is>
      </c>
      <c r="H1021" s="40" t="inlineStr">
        <is>
          <t>TECHNIQUE</t>
        </is>
      </c>
      <c r="I1021" s="41" t="inlineStr">
        <is>
          <t>2025FCST_V4</t>
        </is>
      </c>
      <c r="J1021" s="41" t="n">
        <v>2025</v>
      </c>
      <c r="K1021" s="41" t="inlineStr">
        <is>
          <t>PCT</t>
        </is>
      </c>
      <c r="L1021" s="44" t="n">
        <v>0.96</v>
      </c>
    </row>
    <row r="1022">
      <c r="B1022" s="39" t="inlineStr">
        <is>
          <t>MBWAY_BOR</t>
        </is>
      </c>
      <c r="C1022" s="40" t="inlineStr">
        <is>
          <t>MAS_MGT</t>
        </is>
      </c>
      <c r="D1022" s="40" t="inlineStr">
        <is>
          <t>M2</t>
        </is>
      </c>
      <c r="E1022" s="40" t="inlineStr">
        <is>
          <t>ALT</t>
        </is>
      </c>
      <c r="F1022" s="40" t="inlineStr">
        <is>
          <t>PRX_TARIF</t>
        </is>
      </c>
      <c r="G1022" s="39" t="inlineStr">
        <is>
          <t>Tarif moyen scolarité</t>
        </is>
      </c>
      <c r="H1022" s="40" t="inlineStr">
        <is>
          <t>TECHNIQUE</t>
        </is>
      </c>
      <c r="I1022" s="41" t="inlineStr">
        <is>
          <t>2023ACT_VDEF</t>
        </is>
      </c>
      <c r="J1022" s="41" t="n">
        <v>2023</v>
      </c>
      <c r="K1022" s="41" t="inlineStr">
        <is>
          <t>EUR</t>
        </is>
      </c>
      <c r="L1022" s="42" t="n">
        <v>9000</v>
      </c>
    </row>
    <row r="1023">
      <c r="B1023" s="39" t="inlineStr">
        <is>
          <t>MBWAY_BOR</t>
        </is>
      </c>
      <c r="C1023" s="40" t="inlineStr">
        <is>
          <t>MAS_MGT</t>
        </is>
      </c>
      <c r="D1023" s="40" t="inlineStr">
        <is>
          <t>M2</t>
        </is>
      </c>
      <c r="E1023" s="40" t="inlineStr">
        <is>
          <t>ALT</t>
        </is>
      </c>
      <c r="F1023" s="40" t="inlineStr">
        <is>
          <t>PRX_TARIF</t>
        </is>
      </c>
      <c r="G1023" s="39" t="inlineStr">
        <is>
          <t>Tarif moyen scolarité</t>
        </is>
      </c>
      <c r="H1023" s="40" t="inlineStr">
        <is>
          <t>TECHNIQUE</t>
        </is>
      </c>
      <c r="I1023" s="41" t="inlineStr">
        <is>
          <t>2024ACT_VDEF</t>
        </is>
      </c>
      <c r="J1023" s="41" t="n">
        <v>2024</v>
      </c>
      <c r="K1023" s="41" t="inlineStr">
        <is>
          <t>EUR</t>
        </is>
      </c>
      <c r="L1023" s="42" t="n">
        <v>9000</v>
      </c>
    </row>
    <row r="1024">
      <c r="B1024" s="39" t="inlineStr">
        <is>
          <t>MBWAY_BOR</t>
        </is>
      </c>
      <c r="C1024" s="40" t="inlineStr">
        <is>
          <t>MAS_MGT</t>
        </is>
      </c>
      <c r="D1024" s="40" t="inlineStr">
        <is>
          <t>M2</t>
        </is>
      </c>
      <c r="E1024" s="40" t="inlineStr">
        <is>
          <t>ALT</t>
        </is>
      </c>
      <c r="F1024" s="40" t="inlineStr">
        <is>
          <t>PRX_TARIF</t>
        </is>
      </c>
      <c r="G1024" s="39" t="inlineStr">
        <is>
          <t>Tarif moyen scolarité</t>
        </is>
      </c>
      <c r="H1024" s="40" t="inlineStr">
        <is>
          <t>TECHNIQUE</t>
        </is>
      </c>
      <c r="I1024" s="41" t="inlineStr">
        <is>
          <t>2025FCST_V4</t>
        </is>
      </c>
      <c r="J1024" s="41" t="n">
        <v>2025</v>
      </c>
      <c r="K1024" s="41" t="inlineStr">
        <is>
          <t>EUR</t>
        </is>
      </c>
      <c r="L1024" s="42" t="n">
        <v>9000</v>
      </c>
    </row>
    <row r="1025">
      <c r="B1025" s="39" t="inlineStr">
        <is>
          <t>ISCOM_PAR</t>
        </is>
      </c>
      <c r="C1025" s="40" t="inlineStr">
        <is>
          <t>BAC_COM</t>
        </is>
      </c>
      <c r="D1025" s="40" t="inlineStr">
        <is>
          <t>B1</t>
        </is>
      </c>
      <c r="E1025" s="40" t="inlineStr">
        <is>
          <t>INIT</t>
        </is>
      </c>
      <c r="F1025" s="40" t="inlineStr">
        <is>
          <t>706100</t>
        </is>
      </c>
      <c r="G1025" s="39" t="inlineStr">
        <is>
          <t>Droits de scolarité</t>
        </is>
      </c>
      <c r="H1025" s="40" t="inlineStr">
        <is>
          <t>COMPTABLE</t>
        </is>
      </c>
      <c r="I1025" s="41" t="inlineStr">
        <is>
          <t>2023ACT_VDEF</t>
        </is>
      </c>
      <c r="J1025" s="41" t="n">
        <v>2023</v>
      </c>
      <c r="K1025" s="41" t="inlineStr">
        <is>
          <t>EUR</t>
        </is>
      </c>
      <c r="L1025" s="42" t="n">
        <v>550800</v>
      </c>
    </row>
    <row r="1026">
      <c r="B1026" s="39" t="inlineStr">
        <is>
          <t>ISCOM_PAR</t>
        </is>
      </c>
      <c r="C1026" s="40" t="inlineStr">
        <is>
          <t>BAC_COM</t>
        </is>
      </c>
      <c r="D1026" s="40" t="inlineStr">
        <is>
          <t>B1</t>
        </is>
      </c>
      <c r="E1026" s="40" t="inlineStr">
        <is>
          <t>INIT</t>
        </is>
      </c>
      <c r="F1026" s="40" t="inlineStr">
        <is>
          <t>706100</t>
        </is>
      </c>
      <c r="G1026" s="39" t="inlineStr">
        <is>
          <t>Droits de scolarité</t>
        </is>
      </c>
      <c r="H1026" s="40" t="inlineStr">
        <is>
          <t>COMPTABLE</t>
        </is>
      </c>
      <c r="I1026" s="41" t="inlineStr">
        <is>
          <t>2024ACT_VDEF</t>
        </is>
      </c>
      <c r="J1026" s="41" t="n">
        <v>2024</v>
      </c>
      <c r="K1026" s="41" t="inlineStr">
        <is>
          <t>EUR</t>
        </is>
      </c>
      <c r="L1026" s="42" t="n">
        <v>581400</v>
      </c>
    </row>
    <row r="1027">
      <c r="B1027" s="39" t="inlineStr">
        <is>
          <t>ISCOM_PAR</t>
        </is>
      </c>
      <c r="C1027" s="40" t="inlineStr">
        <is>
          <t>BAC_COM</t>
        </is>
      </c>
      <c r="D1027" s="40" t="inlineStr">
        <is>
          <t>B1</t>
        </is>
      </c>
      <c r="E1027" s="40" t="inlineStr">
        <is>
          <t>INIT</t>
        </is>
      </c>
      <c r="F1027" s="40" t="inlineStr">
        <is>
          <t>706100</t>
        </is>
      </c>
      <c r="G1027" s="39" t="inlineStr">
        <is>
          <t>Droits de scolarité</t>
        </is>
      </c>
      <c r="H1027" s="40" t="inlineStr">
        <is>
          <t>COMPTABLE</t>
        </is>
      </c>
      <c r="I1027" s="41" t="inlineStr">
        <is>
          <t>2025FCST_V4</t>
        </is>
      </c>
      <c r="J1027" s="41" t="n">
        <v>2025</v>
      </c>
      <c r="K1027" s="41" t="inlineStr">
        <is>
          <t>EUR</t>
        </is>
      </c>
      <c r="L1027" s="42" t="n">
        <v>612000</v>
      </c>
    </row>
    <row r="1028">
      <c r="B1028" s="39" t="inlineStr">
        <is>
          <t>ISCOM_PAR</t>
        </is>
      </c>
      <c r="C1028" s="40" t="inlineStr">
        <is>
          <t>BAC_COM</t>
        </is>
      </c>
      <c r="D1028" s="40" t="inlineStr">
        <is>
          <t>B1</t>
        </is>
      </c>
      <c r="E1028" s="40" t="inlineStr">
        <is>
          <t>INIT</t>
        </is>
      </c>
      <c r="F1028" s="40" t="inlineStr">
        <is>
          <t>708500</t>
        </is>
      </c>
      <c r="G1028" s="39" t="inlineStr">
        <is>
          <t>Frais de dossier / inscription</t>
        </is>
      </c>
      <c r="H1028" s="40" t="inlineStr">
        <is>
          <t>COMPTABLE</t>
        </is>
      </c>
      <c r="I1028" s="41" t="inlineStr">
        <is>
          <t>2023ACT_VDEF</t>
        </is>
      </c>
      <c r="J1028" s="41" t="n">
        <v>2023</v>
      </c>
      <c r="K1028" s="41" t="inlineStr">
        <is>
          <t>EUR</t>
        </is>
      </c>
      <c r="L1028" s="42" t="n">
        <v>5832</v>
      </c>
    </row>
    <row r="1029">
      <c r="B1029" s="39" t="inlineStr">
        <is>
          <t>ISCOM_PAR</t>
        </is>
      </c>
      <c r="C1029" s="40" t="inlineStr">
        <is>
          <t>BAC_COM</t>
        </is>
      </c>
      <c r="D1029" s="40" t="inlineStr">
        <is>
          <t>B1</t>
        </is>
      </c>
      <c r="E1029" s="40" t="inlineStr">
        <is>
          <t>INIT</t>
        </is>
      </c>
      <c r="F1029" s="40" t="inlineStr">
        <is>
          <t>708500</t>
        </is>
      </c>
      <c r="G1029" s="39" t="inlineStr">
        <is>
          <t>Frais de dossier / inscription</t>
        </is>
      </c>
      <c r="H1029" s="40" t="inlineStr">
        <is>
          <t>COMPTABLE</t>
        </is>
      </c>
      <c r="I1029" s="41" t="inlineStr">
        <is>
          <t>2024ACT_VDEF</t>
        </is>
      </c>
      <c r="J1029" s="41" t="n">
        <v>2024</v>
      </c>
      <c r="K1029" s="41" t="inlineStr">
        <is>
          <t>EUR</t>
        </is>
      </c>
      <c r="L1029" s="42" t="n">
        <v>6156</v>
      </c>
    </row>
    <row r="1030">
      <c r="B1030" s="39" t="inlineStr">
        <is>
          <t>ISCOM_PAR</t>
        </is>
      </c>
      <c r="C1030" s="40" t="inlineStr">
        <is>
          <t>BAC_COM</t>
        </is>
      </c>
      <c r="D1030" s="40" t="inlineStr">
        <is>
          <t>B1</t>
        </is>
      </c>
      <c r="E1030" s="40" t="inlineStr">
        <is>
          <t>INIT</t>
        </is>
      </c>
      <c r="F1030" s="40" t="inlineStr">
        <is>
          <t>708500</t>
        </is>
      </c>
      <c r="G1030" s="39" t="inlineStr">
        <is>
          <t>Frais de dossier / inscription</t>
        </is>
      </c>
      <c r="H1030" s="40" t="inlineStr">
        <is>
          <t>COMPTABLE</t>
        </is>
      </c>
      <c r="I1030" s="41" t="inlineStr">
        <is>
          <t>2025FCST_V4</t>
        </is>
      </c>
      <c r="J1030" s="41" t="n">
        <v>2025</v>
      </c>
      <c r="K1030" s="41" t="inlineStr">
        <is>
          <t>EUR</t>
        </is>
      </c>
      <c r="L1030" s="42" t="n">
        <v>6480</v>
      </c>
    </row>
    <row r="1031">
      <c r="B1031" s="39" t="inlineStr">
        <is>
          <t>ISCOM_PAR</t>
        </is>
      </c>
      <c r="C1031" s="40" t="inlineStr">
        <is>
          <t>BAC_COM</t>
        </is>
      </c>
      <c r="D1031" s="40" t="inlineStr">
        <is>
          <t>B1</t>
        </is>
      </c>
      <c r="E1031" s="40" t="inlineStr">
        <is>
          <t>INIT</t>
        </is>
      </c>
      <c r="F1031" s="40" t="inlineStr">
        <is>
          <t>604100</t>
        </is>
      </c>
      <c r="G1031" s="39" t="inlineStr">
        <is>
          <t>Vacations &amp; sous-traitance pédagogique</t>
        </is>
      </c>
      <c r="H1031" s="40" t="inlineStr">
        <is>
          <t>COMPTABLE</t>
        </is>
      </c>
      <c r="I1031" s="41" t="inlineStr">
        <is>
          <t>2023ACT_VDEF</t>
        </is>
      </c>
      <c r="J1031" s="41" t="n">
        <v>2023</v>
      </c>
      <c r="K1031" s="41" t="inlineStr">
        <is>
          <t>EUR</t>
        </is>
      </c>
      <c r="L1031" s="42" t="n">
        <v>100440</v>
      </c>
    </row>
    <row r="1032">
      <c r="B1032" s="39" t="inlineStr">
        <is>
          <t>ISCOM_PAR</t>
        </is>
      </c>
      <c r="C1032" s="40" t="inlineStr">
        <is>
          <t>BAC_COM</t>
        </is>
      </c>
      <c r="D1032" s="40" t="inlineStr">
        <is>
          <t>B1</t>
        </is>
      </c>
      <c r="E1032" s="40" t="inlineStr">
        <is>
          <t>INIT</t>
        </is>
      </c>
      <c r="F1032" s="40" t="inlineStr">
        <is>
          <t>604100</t>
        </is>
      </c>
      <c r="G1032" s="39" t="inlineStr">
        <is>
          <t>Vacations &amp; sous-traitance pédagogique</t>
        </is>
      </c>
      <c r="H1032" s="40" t="inlineStr">
        <is>
          <t>COMPTABLE</t>
        </is>
      </c>
      <c r="I1032" s="41" t="inlineStr">
        <is>
          <t>2024ACT_VDEF</t>
        </is>
      </c>
      <c r="J1032" s="41" t="n">
        <v>2024</v>
      </c>
      <c r="K1032" s="41" t="inlineStr">
        <is>
          <t>EUR</t>
        </is>
      </c>
      <c r="L1032" s="42" t="n">
        <v>106020</v>
      </c>
    </row>
    <row r="1033">
      <c r="B1033" s="39" t="inlineStr">
        <is>
          <t>ISCOM_PAR</t>
        </is>
      </c>
      <c r="C1033" s="40" t="inlineStr">
        <is>
          <t>BAC_COM</t>
        </is>
      </c>
      <c r="D1033" s="40" t="inlineStr">
        <is>
          <t>B1</t>
        </is>
      </c>
      <c r="E1033" s="40" t="inlineStr">
        <is>
          <t>INIT</t>
        </is>
      </c>
      <c r="F1033" s="40" t="inlineStr">
        <is>
          <t>604100</t>
        </is>
      </c>
      <c r="G1033" s="39" t="inlineStr">
        <is>
          <t>Vacations &amp; sous-traitance pédagogique</t>
        </is>
      </c>
      <c r="H1033" s="40" t="inlineStr">
        <is>
          <t>COMPTABLE</t>
        </is>
      </c>
      <c r="I1033" s="41" t="inlineStr">
        <is>
          <t>2025FCST_V4</t>
        </is>
      </c>
      <c r="J1033" s="41" t="n">
        <v>2025</v>
      </c>
      <c r="K1033" s="41" t="inlineStr">
        <is>
          <t>EUR</t>
        </is>
      </c>
      <c r="L1033" s="42" t="n">
        <v>111600</v>
      </c>
    </row>
    <row r="1034">
      <c r="B1034" s="39" t="inlineStr">
        <is>
          <t>ISCOM_PAR</t>
        </is>
      </c>
      <c r="C1034" s="40" t="inlineStr">
        <is>
          <t>BAC_COM</t>
        </is>
      </c>
      <c r="D1034" s="40" t="inlineStr">
        <is>
          <t>B1</t>
        </is>
      </c>
      <c r="E1034" s="40" t="inlineStr">
        <is>
          <t>INIT</t>
        </is>
      </c>
      <c r="F1034" s="40" t="inlineStr">
        <is>
          <t>606300</t>
        </is>
      </c>
      <c r="G1034" s="39" t="inlineStr">
        <is>
          <t>Fournitures &amp; ressources pédagogiques</t>
        </is>
      </c>
      <c r="H1034" s="40" t="inlineStr">
        <is>
          <t>COMPTABLE</t>
        </is>
      </c>
      <c r="I1034" s="41" t="inlineStr">
        <is>
          <t>2023ACT_VDEF</t>
        </is>
      </c>
      <c r="J1034" s="41" t="n">
        <v>2023</v>
      </c>
      <c r="K1034" s="41" t="inlineStr">
        <is>
          <t>EUR</t>
        </is>
      </c>
      <c r="L1034" s="42" t="n">
        <v>35640</v>
      </c>
    </row>
    <row r="1035">
      <c r="B1035" s="39" t="inlineStr">
        <is>
          <t>ISCOM_PAR</t>
        </is>
      </c>
      <c r="C1035" s="40" t="inlineStr">
        <is>
          <t>BAC_COM</t>
        </is>
      </c>
      <c r="D1035" s="40" t="inlineStr">
        <is>
          <t>B1</t>
        </is>
      </c>
      <c r="E1035" s="40" t="inlineStr">
        <is>
          <t>INIT</t>
        </is>
      </c>
      <c r="F1035" s="40" t="inlineStr">
        <is>
          <t>606300</t>
        </is>
      </c>
      <c r="G1035" s="39" t="inlineStr">
        <is>
          <t>Fournitures &amp; ressources pédagogiques</t>
        </is>
      </c>
      <c r="H1035" s="40" t="inlineStr">
        <is>
          <t>COMPTABLE</t>
        </is>
      </c>
      <c r="I1035" s="41" t="inlineStr">
        <is>
          <t>2024ACT_VDEF</t>
        </is>
      </c>
      <c r="J1035" s="41" t="n">
        <v>2024</v>
      </c>
      <c r="K1035" s="41" t="inlineStr">
        <is>
          <t>EUR</t>
        </is>
      </c>
      <c r="L1035" s="42" t="n">
        <v>37620</v>
      </c>
    </row>
    <row r="1036">
      <c r="B1036" s="39" t="inlineStr">
        <is>
          <t>ISCOM_PAR</t>
        </is>
      </c>
      <c r="C1036" s="40" t="inlineStr">
        <is>
          <t>BAC_COM</t>
        </is>
      </c>
      <c r="D1036" s="40" t="inlineStr">
        <is>
          <t>B1</t>
        </is>
      </c>
      <c r="E1036" s="40" t="inlineStr">
        <is>
          <t>INIT</t>
        </is>
      </c>
      <c r="F1036" s="40" t="inlineStr">
        <is>
          <t>606300</t>
        </is>
      </c>
      <c r="G1036" s="39" t="inlineStr">
        <is>
          <t>Fournitures &amp; ressources pédagogiques</t>
        </is>
      </c>
      <c r="H1036" s="40" t="inlineStr">
        <is>
          <t>COMPTABLE</t>
        </is>
      </c>
      <c r="I1036" s="41" t="inlineStr">
        <is>
          <t>2025FCST_V4</t>
        </is>
      </c>
      <c r="J1036" s="41" t="n">
        <v>2025</v>
      </c>
      <c r="K1036" s="41" t="inlineStr">
        <is>
          <t>EUR</t>
        </is>
      </c>
      <c r="L1036" s="42" t="n">
        <v>39600</v>
      </c>
    </row>
    <row r="1037">
      <c r="B1037" s="39" t="inlineStr">
        <is>
          <t>ISCOM_PAR</t>
        </is>
      </c>
      <c r="C1037" s="40" t="inlineStr">
        <is>
          <t>BAC_COM</t>
        </is>
      </c>
      <c r="D1037" s="40" t="inlineStr">
        <is>
          <t>B1</t>
        </is>
      </c>
      <c r="E1037" s="40" t="inlineStr">
        <is>
          <t>INIT</t>
        </is>
      </c>
      <c r="F1037" s="40" t="inlineStr">
        <is>
          <t>623000</t>
        </is>
      </c>
      <c r="G1037" s="39" t="inlineStr">
        <is>
          <t>Publicité &amp; marketing (acquisition)</t>
        </is>
      </c>
      <c r="H1037" s="40" t="inlineStr">
        <is>
          <t>COMPTABLE</t>
        </is>
      </c>
      <c r="I1037" s="41" t="inlineStr">
        <is>
          <t>2023ACT_VDEF</t>
        </is>
      </c>
      <c r="J1037" s="41" t="n">
        <v>2023</v>
      </c>
      <c r="K1037" s="41" t="inlineStr">
        <is>
          <t>EUR</t>
        </is>
      </c>
      <c r="L1037" s="42" t="n">
        <v>20736</v>
      </c>
    </row>
    <row r="1038">
      <c r="B1038" s="39" t="inlineStr">
        <is>
          <t>ISCOM_PAR</t>
        </is>
      </c>
      <c r="C1038" s="40" t="inlineStr">
        <is>
          <t>BAC_COM</t>
        </is>
      </c>
      <c r="D1038" s="40" t="inlineStr">
        <is>
          <t>B1</t>
        </is>
      </c>
      <c r="E1038" s="40" t="inlineStr">
        <is>
          <t>INIT</t>
        </is>
      </c>
      <c r="F1038" s="40" t="inlineStr">
        <is>
          <t>623000</t>
        </is>
      </c>
      <c r="G1038" s="39" t="inlineStr">
        <is>
          <t>Publicité &amp; marketing (acquisition)</t>
        </is>
      </c>
      <c r="H1038" s="40" t="inlineStr">
        <is>
          <t>COMPTABLE</t>
        </is>
      </c>
      <c r="I1038" s="41" t="inlineStr">
        <is>
          <t>2024ACT_VDEF</t>
        </is>
      </c>
      <c r="J1038" s="41" t="n">
        <v>2024</v>
      </c>
      <c r="K1038" s="41" t="inlineStr">
        <is>
          <t>EUR</t>
        </is>
      </c>
      <c r="L1038" s="42" t="n">
        <v>21888</v>
      </c>
    </row>
    <row r="1039">
      <c r="B1039" s="39" t="inlineStr">
        <is>
          <t>ISCOM_PAR</t>
        </is>
      </c>
      <c r="C1039" s="40" t="inlineStr">
        <is>
          <t>BAC_COM</t>
        </is>
      </c>
      <c r="D1039" s="40" t="inlineStr">
        <is>
          <t>B1</t>
        </is>
      </c>
      <c r="E1039" s="40" t="inlineStr">
        <is>
          <t>INIT</t>
        </is>
      </c>
      <c r="F1039" s="40" t="inlineStr">
        <is>
          <t>623000</t>
        </is>
      </c>
      <c r="G1039" s="39" t="inlineStr">
        <is>
          <t>Publicité &amp; marketing (acquisition)</t>
        </is>
      </c>
      <c r="H1039" s="40" t="inlineStr">
        <is>
          <t>COMPTABLE</t>
        </is>
      </c>
      <c r="I1039" s="41" t="inlineStr">
        <is>
          <t>2025FCST_V4</t>
        </is>
      </c>
      <c r="J1039" s="41" t="n">
        <v>2025</v>
      </c>
      <c r="K1039" s="41" t="inlineStr">
        <is>
          <t>EUR</t>
        </is>
      </c>
      <c r="L1039" s="42" t="n">
        <v>23040</v>
      </c>
    </row>
    <row r="1040">
      <c r="B1040" s="39" t="inlineStr">
        <is>
          <t>ISCOM_PAR</t>
        </is>
      </c>
      <c r="C1040" s="40" t="inlineStr">
        <is>
          <t>BAC_COM</t>
        </is>
      </c>
      <c r="D1040" s="40" t="inlineStr">
        <is>
          <t>B1</t>
        </is>
      </c>
      <c r="E1040" s="40" t="inlineStr">
        <is>
          <t>INIT</t>
        </is>
      </c>
      <c r="F1040" s="40" t="inlineStr">
        <is>
          <t>613200</t>
        </is>
      </c>
      <c r="G1040" s="39" t="inlineStr">
        <is>
          <t>Locations immobilières (loyers)</t>
        </is>
      </c>
      <c r="H1040" s="40" t="inlineStr">
        <is>
          <t>COMPTABLE</t>
        </is>
      </c>
      <c r="I1040" s="41" t="inlineStr">
        <is>
          <t>2023ACT_VDEF</t>
        </is>
      </c>
      <c r="J1040" s="41" t="n">
        <v>2023</v>
      </c>
      <c r="K1040" s="41" t="inlineStr">
        <is>
          <t>EUR</t>
        </is>
      </c>
      <c r="L1040" s="42" t="n">
        <v>61610</v>
      </c>
    </row>
    <row r="1041">
      <c r="B1041" s="39" t="inlineStr">
        <is>
          <t>ISCOM_PAR</t>
        </is>
      </c>
      <c r="C1041" s="40" t="inlineStr">
        <is>
          <t>BAC_COM</t>
        </is>
      </c>
      <c r="D1041" s="40" t="inlineStr">
        <is>
          <t>B1</t>
        </is>
      </c>
      <c r="E1041" s="40" t="inlineStr">
        <is>
          <t>INIT</t>
        </is>
      </c>
      <c r="F1041" s="40" t="inlineStr">
        <is>
          <t>613200</t>
        </is>
      </c>
      <c r="G1041" s="39" t="inlineStr">
        <is>
          <t>Locations immobilières (loyers)</t>
        </is>
      </c>
      <c r="H1041" s="40" t="inlineStr">
        <is>
          <t>COMPTABLE</t>
        </is>
      </c>
      <c r="I1041" s="41" t="inlineStr">
        <is>
          <t>2024ACT_VDEF</t>
        </is>
      </c>
      <c r="J1041" s="41" t="n">
        <v>2024</v>
      </c>
      <c r="K1041" s="41" t="inlineStr">
        <is>
          <t>EUR</t>
        </is>
      </c>
      <c r="L1041" s="42" t="n">
        <v>65032</v>
      </c>
    </row>
    <row r="1042">
      <c r="B1042" s="39" t="inlineStr">
        <is>
          <t>ISCOM_PAR</t>
        </is>
      </c>
      <c r="C1042" s="40" t="inlineStr">
        <is>
          <t>BAC_COM</t>
        </is>
      </c>
      <c r="D1042" s="40" t="inlineStr">
        <is>
          <t>B1</t>
        </is>
      </c>
      <c r="E1042" s="40" t="inlineStr">
        <is>
          <t>INIT</t>
        </is>
      </c>
      <c r="F1042" s="40" t="inlineStr">
        <is>
          <t>613200</t>
        </is>
      </c>
      <c r="G1042" s="39" t="inlineStr">
        <is>
          <t>Locations immobilières (loyers)</t>
        </is>
      </c>
      <c r="H1042" s="40" t="inlineStr">
        <is>
          <t>COMPTABLE</t>
        </is>
      </c>
      <c r="I1042" s="41" t="inlineStr">
        <is>
          <t>2025FCST_V4</t>
        </is>
      </c>
      <c r="J1042" s="41" t="n">
        <v>2025</v>
      </c>
      <c r="K1042" s="41" t="inlineStr">
        <is>
          <t>EUR</t>
        </is>
      </c>
      <c r="L1042" s="42" t="n">
        <v>68455</v>
      </c>
    </row>
    <row r="1043">
      <c r="B1043" s="39" t="inlineStr">
        <is>
          <t>ISCOM_PAR</t>
        </is>
      </c>
      <c r="C1043" s="40" t="inlineStr">
        <is>
          <t>BAC_COM</t>
        </is>
      </c>
      <c r="D1043" s="40" t="inlineStr">
        <is>
          <t>B1</t>
        </is>
      </c>
      <c r="E1043" s="40" t="inlineStr">
        <is>
          <t>INIT</t>
        </is>
      </c>
      <c r="F1043" s="40" t="inlineStr">
        <is>
          <t>641100</t>
        </is>
      </c>
      <c r="G1043" s="39" t="inlineStr">
        <is>
          <t>Rémunérations du personnel permanent</t>
        </is>
      </c>
      <c r="H1043" s="40" t="inlineStr">
        <is>
          <t>COMPTABLE</t>
        </is>
      </c>
      <c r="I1043" s="41" t="inlineStr">
        <is>
          <t>2023ACT_VDEF</t>
        </is>
      </c>
      <c r="J1043" s="41" t="n">
        <v>2023</v>
      </c>
      <c r="K1043" s="41" t="inlineStr">
        <is>
          <t>EUR</t>
        </is>
      </c>
      <c r="L1043" s="42" t="n">
        <v>142364</v>
      </c>
    </row>
    <row r="1044">
      <c r="B1044" s="39" t="inlineStr">
        <is>
          <t>ISCOM_PAR</t>
        </is>
      </c>
      <c r="C1044" s="40" t="inlineStr">
        <is>
          <t>BAC_COM</t>
        </is>
      </c>
      <c r="D1044" s="40" t="inlineStr">
        <is>
          <t>B1</t>
        </is>
      </c>
      <c r="E1044" s="40" t="inlineStr">
        <is>
          <t>INIT</t>
        </is>
      </c>
      <c r="F1044" s="40" t="inlineStr">
        <is>
          <t>641100</t>
        </is>
      </c>
      <c r="G1044" s="39" t="inlineStr">
        <is>
          <t>Rémunérations du personnel permanent</t>
        </is>
      </c>
      <c r="H1044" s="40" t="inlineStr">
        <is>
          <t>COMPTABLE</t>
        </is>
      </c>
      <c r="I1044" s="41" t="inlineStr">
        <is>
          <t>2024ACT_VDEF</t>
        </is>
      </c>
      <c r="J1044" s="41" t="n">
        <v>2024</v>
      </c>
      <c r="K1044" s="41" t="inlineStr">
        <is>
          <t>EUR</t>
        </is>
      </c>
      <c r="L1044" s="42" t="n">
        <v>150273</v>
      </c>
    </row>
    <row r="1045">
      <c r="B1045" s="39" t="inlineStr">
        <is>
          <t>ISCOM_PAR</t>
        </is>
      </c>
      <c r="C1045" s="40" t="inlineStr">
        <is>
          <t>BAC_COM</t>
        </is>
      </c>
      <c r="D1045" s="40" t="inlineStr">
        <is>
          <t>B1</t>
        </is>
      </c>
      <c r="E1045" s="40" t="inlineStr">
        <is>
          <t>INIT</t>
        </is>
      </c>
      <c r="F1045" s="40" t="inlineStr">
        <is>
          <t>641100</t>
        </is>
      </c>
      <c r="G1045" s="39" t="inlineStr">
        <is>
          <t>Rémunérations du personnel permanent</t>
        </is>
      </c>
      <c r="H1045" s="40" t="inlineStr">
        <is>
          <t>COMPTABLE</t>
        </is>
      </c>
      <c r="I1045" s="41" t="inlineStr">
        <is>
          <t>2025FCST_V4</t>
        </is>
      </c>
      <c r="J1045" s="41" t="n">
        <v>2025</v>
      </c>
      <c r="K1045" s="41" t="inlineStr">
        <is>
          <t>EUR</t>
        </is>
      </c>
      <c r="L1045" s="42" t="n">
        <v>158182</v>
      </c>
    </row>
    <row r="1046">
      <c r="B1046" s="39" t="inlineStr">
        <is>
          <t>ISCOM_PAR</t>
        </is>
      </c>
      <c r="C1046" s="40" t="inlineStr">
        <is>
          <t>BAC_COM</t>
        </is>
      </c>
      <c r="D1046" s="40" t="inlineStr">
        <is>
          <t>B1</t>
        </is>
      </c>
      <c r="E1046" s="40" t="inlineStr">
        <is>
          <t>INIT</t>
        </is>
      </c>
      <c r="F1046" s="40" t="inlineStr">
        <is>
          <t>622600</t>
        </is>
      </c>
      <c r="G1046" s="39" t="inlineStr">
        <is>
          <t>Honoraires &amp; frais de siège (structure groupe)</t>
        </is>
      </c>
      <c r="H1046" s="40" t="inlineStr">
        <is>
          <t>COMPTABLE</t>
        </is>
      </c>
      <c r="I1046" s="41" t="inlineStr">
        <is>
          <t>2023ACT_VDEF</t>
        </is>
      </c>
      <c r="J1046" s="41" t="n">
        <v>2023</v>
      </c>
      <c r="K1046" s="41" t="inlineStr">
        <is>
          <t>EUR</t>
        </is>
      </c>
      <c r="L1046" s="42" t="n">
        <v>56006</v>
      </c>
    </row>
    <row r="1047">
      <c r="B1047" s="39" t="inlineStr">
        <is>
          <t>ISCOM_PAR</t>
        </is>
      </c>
      <c r="C1047" s="40" t="inlineStr">
        <is>
          <t>BAC_COM</t>
        </is>
      </c>
      <c r="D1047" s="40" t="inlineStr">
        <is>
          <t>B1</t>
        </is>
      </c>
      <c r="E1047" s="40" t="inlineStr">
        <is>
          <t>INIT</t>
        </is>
      </c>
      <c r="F1047" s="40" t="inlineStr">
        <is>
          <t>622600</t>
        </is>
      </c>
      <c r="G1047" s="39" t="inlineStr">
        <is>
          <t>Honoraires &amp; frais de siège (structure groupe)</t>
        </is>
      </c>
      <c r="H1047" s="40" t="inlineStr">
        <is>
          <t>COMPTABLE</t>
        </is>
      </c>
      <c r="I1047" s="41" t="inlineStr">
        <is>
          <t>2024ACT_VDEF</t>
        </is>
      </c>
      <c r="J1047" s="41" t="n">
        <v>2024</v>
      </c>
      <c r="K1047" s="41" t="inlineStr">
        <is>
          <t>EUR</t>
        </is>
      </c>
      <c r="L1047" s="42" t="n">
        <v>59118</v>
      </c>
    </row>
    <row r="1048">
      <c r="B1048" s="39" t="inlineStr">
        <is>
          <t>ISCOM_PAR</t>
        </is>
      </c>
      <c r="C1048" s="40" t="inlineStr">
        <is>
          <t>BAC_COM</t>
        </is>
      </c>
      <c r="D1048" s="40" t="inlineStr">
        <is>
          <t>B1</t>
        </is>
      </c>
      <c r="E1048" s="40" t="inlineStr">
        <is>
          <t>INIT</t>
        </is>
      </c>
      <c r="F1048" s="40" t="inlineStr">
        <is>
          <t>622600</t>
        </is>
      </c>
      <c r="G1048" s="39" t="inlineStr">
        <is>
          <t>Honoraires &amp; frais de siège (structure groupe)</t>
        </is>
      </c>
      <c r="H1048" s="40" t="inlineStr">
        <is>
          <t>COMPTABLE</t>
        </is>
      </c>
      <c r="I1048" s="41" t="inlineStr">
        <is>
          <t>2025FCST_V4</t>
        </is>
      </c>
      <c r="J1048" s="41" t="n">
        <v>2025</v>
      </c>
      <c r="K1048" s="41" t="inlineStr">
        <is>
          <t>EUR</t>
        </is>
      </c>
      <c r="L1048" s="42" t="n">
        <v>62229</v>
      </c>
    </row>
    <row r="1049">
      <c r="B1049" s="39" t="inlineStr">
        <is>
          <t>ISCOM_PAR</t>
        </is>
      </c>
      <c r="C1049" s="40" t="inlineStr">
        <is>
          <t>BAC_COM</t>
        </is>
      </c>
      <c r="D1049" s="40" t="inlineStr">
        <is>
          <t>B1</t>
        </is>
      </c>
      <c r="E1049" s="40" t="inlineStr">
        <is>
          <t>INIT</t>
        </is>
      </c>
      <c r="F1049" s="40" t="inlineStr">
        <is>
          <t>606800</t>
        </is>
      </c>
      <c r="G1049" s="39" t="inlineStr">
        <is>
          <t>Autres achats &amp; charges externes</t>
        </is>
      </c>
      <c r="H1049" s="40" t="inlineStr">
        <is>
          <t>COMPTABLE</t>
        </is>
      </c>
      <c r="I1049" s="41" t="inlineStr">
        <is>
          <t>2023ACT_VDEF</t>
        </is>
      </c>
      <c r="J1049" s="41" t="n">
        <v>2023</v>
      </c>
      <c r="K1049" s="41" t="inlineStr">
        <is>
          <t>EUR</t>
        </is>
      </c>
      <c r="L1049" s="42" t="n">
        <v>60523</v>
      </c>
    </row>
    <row r="1050">
      <c r="B1050" s="39" t="inlineStr">
        <is>
          <t>ISCOM_PAR</t>
        </is>
      </c>
      <c r="C1050" s="40" t="inlineStr">
        <is>
          <t>BAC_COM</t>
        </is>
      </c>
      <c r="D1050" s="40" t="inlineStr">
        <is>
          <t>B1</t>
        </is>
      </c>
      <c r="E1050" s="40" t="inlineStr">
        <is>
          <t>INIT</t>
        </is>
      </c>
      <c r="F1050" s="40" t="inlineStr">
        <is>
          <t>606800</t>
        </is>
      </c>
      <c r="G1050" s="39" t="inlineStr">
        <is>
          <t>Autres achats &amp; charges externes</t>
        </is>
      </c>
      <c r="H1050" s="40" t="inlineStr">
        <is>
          <t>COMPTABLE</t>
        </is>
      </c>
      <c r="I1050" s="41" t="inlineStr">
        <is>
          <t>2024ACT_VDEF</t>
        </is>
      </c>
      <c r="J1050" s="41" t="n">
        <v>2024</v>
      </c>
      <c r="K1050" s="41" t="inlineStr">
        <is>
          <t>EUR</t>
        </is>
      </c>
      <c r="L1050" s="42" t="n">
        <v>63886</v>
      </c>
    </row>
    <row r="1051">
      <c r="B1051" s="39" t="inlineStr">
        <is>
          <t>ISCOM_PAR</t>
        </is>
      </c>
      <c r="C1051" s="40" t="inlineStr">
        <is>
          <t>BAC_COM</t>
        </is>
      </c>
      <c r="D1051" s="40" t="inlineStr">
        <is>
          <t>B1</t>
        </is>
      </c>
      <c r="E1051" s="40" t="inlineStr">
        <is>
          <t>INIT</t>
        </is>
      </c>
      <c r="F1051" s="40" t="inlineStr">
        <is>
          <t>606800</t>
        </is>
      </c>
      <c r="G1051" s="39" t="inlineStr">
        <is>
          <t>Autres achats &amp; charges externes</t>
        </is>
      </c>
      <c r="H1051" s="40" t="inlineStr">
        <is>
          <t>COMPTABLE</t>
        </is>
      </c>
      <c r="I1051" s="41" t="inlineStr">
        <is>
          <t>2025FCST_V4</t>
        </is>
      </c>
      <c r="J1051" s="41" t="n">
        <v>2025</v>
      </c>
      <c r="K1051" s="41" t="inlineStr">
        <is>
          <t>EUR</t>
        </is>
      </c>
      <c r="L1051" s="42" t="n">
        <v>67248</v>
      </c>
    </row>
    <row r="1052">
      <c r="B1052" s="39" t="inlineStr">
        <is>
          <t>ISCOM_PAR</t>
        </is>
      </c>
      <c r="C1052" s="40" t="inlineStr">
        <is>
          <t>BAC_COM</t>
        </is>
      </c>
      <c r="D1052" s="40" t="inlineStr">
        <is>
          <t>B1</t>
        </is>
      </c>
      <c r="E1052" s="40" t="inlineStr">
        <is>
          <t>INIT</t>
        </is>
      </c>
      <c r="F1052" s="40" t="inlineStr">
        <is>
          <t>681100</t>
        </is>
      </c>
      <c r="G1052" s="39" t="inlineStr">
        <is>
          <t>Dotations aux amortissements</t>
        </is>
      </c>
      <c r="H1052" s="40" t="inlineStr">
        <is>
          <t>COMPTABLE</t>
        </is>
      </c>
      <c r="I1052" s="41" t="inlineStr">
        <is>
          <t>2023ACT_VDEF</t>
        </is>
      </c>
      <c r="J1052" s="41" t="n">
        <v>2023</v>
      </c>
      <c r="K1052" s="41" t="inlineStr">
        <is>
          <t>EUR</t>
        </is>
      </c>
      <c r="L1052" s="42" t="n">
        <v>33628</v>
      </c>
    </row>
    <row r="1053">
      <c r="B1053" s="39" t="inlineStr">
        <is>
          <t>ISCOM_PAR</t>
        </is>
      </c>
      <c r="C1053" s="40" t="inlineStr">
        <is>
          <t>BAC_COM</t>
        </is>
      </c>
      <c r="D1053" s="40" t="inlineStr">
        <is>
          <t>B1</t>
        </is>
      </c>
      <c r="E1053" s="40" t="inlineStr">
        <is>
          <t>INIT</t>
        </is>
      </c>
      <c r="F1053" s="40" t="inlineStr">
        <is>
          <t>681100</t>
        </is>
      </c>
      <c r="G1053" s="39" t="inlineStr">
        <is>
          <t>Dotations aux amortissements</t>
        </is>
      </c>
      <c r="H1053" s="40" t="inlineStr">
        <is>
          <t>COMPTABLE</t>
        </is>
      </c>
      <c r="I1053" s="41" t="inlineStr">
        <is>
          <t>2024ACT_VDEF</t>
        </is>
      </c>
      <c r="J1053" s="41" t="n">
        <v>2024</v>
      </c>
      <c r="K1053" s="41" t="inlineStr">
        <is>
          <t>EUR</t>
        </is>
      </c>
      <c r="L1053" s="42" t="n">
        <v>35496</v>
      </c>
    </row>
    <row r="1054">
      <c r="B1054" s="39" t="inlineStr">
        <is>
          <t>ISCOM_PAR</t>
        </is>
      </c>
      <c r="C1054" s="40" t="inlineStr">
        <is>
          <t>BAC_COM</t>
        </is>
      </c>
      <c r="D1054" s="40" t="inlineStr">
        <is>
          <t>B1</t>
        </is>
      </c>
      <c r="E1054" s="40" t="inlineStr">
        <is>
          <t>INIT</t>
        </is>
      </c>
      <c r="F1054" s="40" t="inlineStr">
        <is>
          <t>681100</t>
        </is>
      </c>
      <c r="G1054" s="39" t="inlineStr">
        <is>
          <t>Dotations aux amortissements</t>
        </is>
      </c>
      <c r="H1054" s="40" t="inlineStr">
        <is>
          <t>COMPTABLE</t>
        </is>
      </c>
      <c r="I1054" s="41" t="inlineStr">
        <is>
          <t>2025FCST_V4</t>
        </is>
      </c>
      <c r="J1054" s="41" t="n">
        <v>2025</v>
      </c>
      <c r="K1054" s="41" t="inlineStr">
        <is>
          <t>EUR</t>
        </is>
      </c>
      <c r="L1054" s="42" t="n">
        <v>37364</v>
      </c>
    </row>
    <row r="1055">
      <c r="B1055" s="39" t="inlineStr">
        <is>
          <t>ISCOM_PAR</t>
        </is>
      </c>
      <c r="C1055" s="40" t="inlineStr">
        <is>
          <t>BAC_COM</t>
        </is>
      </c>
      <c r="D1055" s="40" t="inlineStr">
        <is>
          <t>B1</t>
        </is>
      </c>
      <c r="E1055" s="40" t="inlineStr">
        <is>
          <t>INIT</t>
        </is>
      </c>
      <c r="F1055" s="40" t="inlineStr">
        <is>
          <t>STA_EFF</t>
        </is>
      </c>
      <c r="G1055" s="39" t="inlineStr">
        <is>
          <t>Effectif inscrit</t>
        </is>
      </c>
      <c r="H1055" s="40" t="inlineStr">
        <is>
          <t>TECHNIQUE</t>
        </is>
      </c>
      <c r="I1055" s="41" t="inlineStr">
        <is>
          <t>2023ACT_VDEF</t>
        </is>
      </c>
      <c r="J1055" s="41" t="n">
        <v>2023</v>
      </c>
      <c r="K1055" s="41" t="inlineStr">
        <is>
          <t>NB</t>
        </is>
      </c>
      <c r="L1055" s="43" t="n">
        <v>65</v>
      </c>
    </row>
    <row r="1056">
      <c r="B1056" s="39" t="inlineStr">
        <is>
          <t>ISCOM_PAR</t>
        </is>
      </c>
      <c r="C1056" s="40" t="inlineStr">
        <is>
          <t>BAC_COM</t>
        </is>
      </c>
      <c r="D1056" s="40" t="inlineStr">
        <is>
          <t>B1</t>
        </is>
      </c>
      <c r="E1056" s="40" t="inlineStr">
        <is>
          <t>INIT</t>
        </is>
      </c>
      <c r="F1056" s="40" t="inlineStr">
        <is>
          <t>STA_EFF</t>
        </is>
      </c>
      <c r="G1056" s="39" t="inlineStr">
        <is>
          <t>Effectif inscrit</t>
        </is>
      </c>
      <c r="H1056" s="40" t="inlineStr">
        <is>
          <t>TECHNIQUE</t>
        </is>
      </c>
      <c r="I1056" s="41" t="inlineStr">
        <is>
          <t>2024ACT_VDEF</t>
        </is>
      </c>
      <c r="J1056" s="41" t="n">
        <v>2024</v>
      </c>
      <c r="K1056" s="41" t="inlineStr">
        <is>
          <t>NB</t>
        </is>
      </c>
      <c r="L1056" s="43" t="n">
        <v>68</v>
      </c>
    </row>
    <row r="1057">
      <c r="B1057" s="39" t="inlineStr">
        <is>
          <t>ISCOM_PAR</t>
        </is>
      </c>
      <c r="C1057" s="40" t="inlineStr">
        <is>
          <t>BAC_COM</t>
        </is>
      </c>
      <c r="D1057" s="40" t="inlineStr">
        <is>
          <t>B1</t>
        </is>
      </c>
      <c r="E1057" s="40" t="inlineStr">
        <is>
          <t>INIT</t>
        </is>
      </c>
      <c r="F1057" s="40" t="inlineStr">
        <is>
          <t>STA_EFF</t>
        </is>
      </c>
      <c r="G1057" s="39" t="inlineStr">
        <is>
          <t>Effectif inscrit</t>
        </is>
      </c>
      <c r="H1057" s="40" t="inlineStr">
        <is>
          <t>TECHNIQUE</t>
        </is>
      </c>
      <c r="I1057" s="41" t="inlineStr">
        <is>
          <t>2025FCST_V4</t>
        </is>
      </c>
      <c r="J1057" s="41" t="n">
        <v>2025</v>
      </c>
      <c r="K1057" s="41" t="inlineStr">
        <is>
          <t>NB</t>
        </is>
      </c>
      <c r="L1057" s="43" t="n">
        <v>72</v>
      </c>
    </row>
    <row r="1058">
      <c r="B1058" s="39" t="inlineStr">
        <is>
          <t>ISCOM_PAR</t>
        </is>
      </c>
      <c r="C1058" s="40" t="inlineStr">
        <is>
          <t>BAC_COM</t>
        </is>
      </c>
      <c r="D1058" s="40" t="inlineStr">
        <is>
          <t>B1</t>
        </is>
      </c>
      <c r="E1058" s="40" t="inlineStr">
        <is>
          <t>INIT</t>
        </is>
      </c>
      <c r="F1058" s="40" t="inlineStr">
        <is>
          <t>STA_CAND</t>
        </is>
      </c>
      <c r="G1058" s="39" t="inlineStr">
        <is>
          <t>Candidatures reçues</t>
        </is>
      </c>
      <c r="H1058" s="40" t="inlineStr">
        <is>
          <t>TECHNIQUE</t>
        </is>
      </c>
      <c r="I1058" s="41" t="inlineStr">
        <is>
          <t>2023ACT_VDEF</t>
        </is>
      </c>
      <c r="J1058" s="41" t="n">
        <v>2023</v>
      </c>
      <c r="K1058" s="41" t="inlineStr">
        <is>
          <t>NB</t>
        </is>
      </c>
      <c r="L1058" s="43" t="n">
        <v>175</v>
      </c>
    </row>
    <row r="1059">
      <c r="B1059" s="39" t="inlineStr">
        <is>
          <t>ISCOM_PAR</t>
        </is>
      </c>
      <c r="C1059" s="40" t="inlineStr">
        <is>
          <t>BAC_COM</t>
        </is>
      </c>
      <c r="D1059" s="40" t="inlineStr">
        <is>
          <t>B1</t>
        </is>
      </c>
      <c r="E1059" s="40" t="inlineStr">
        <is>
          <t>INIT</t>
        </is>
      </c>
      <c r="F1059" s="40" t="inlineStr">
        <is>
          <t>STA_CAND</t>
        </is>
      </c>
      <c r="G1059" s="39" t="inlineStr">
        <is>
          <t>Candidatures reçues</t>
        </is>
      </c>
      <c r="H1059" s="40" t="inlineStr">
        <is>
          <t>TECHNIQUE</t>
        </is>
      </c>
      <c r="I1059" s="41" t="inlineStr">
        <is>
          <t>2024ACT_VDEF</t>
        </is>
      </c>
      <c r="J1059" s="41" t="n">
        <v>2024</v>
      </c>
      <c r="K1059" s="41" t="inlineStr">
        <is>
          <t>NB</t>
        </is>
      </c>
      <c r="L1059" s="43" t="n">
        <v>184</v>
      </c>
    </row>
    <row r="1060">
      <c r="B1060" s="39" t="inlineStr">
        <is>
          <t>ISCOM_PAR</t>
        </is>
      </c>
      <c r="C1060" s="40" t="inlineStr">
        <is>
          <t>BAC_COM</t>
        </is>
      </c>
      <c r="D1060" s="40" t="inlineStr">
        <is>
          <t>B1</t>
        </is>
      </c>
      <c r="E1060" s="40" t="inlineStr">
        <is>
          <t>INIT</t>
        </is>
      </c>
      <c r="F1060" s="40" t="inlineStr">
        <is>
          <t>STA_CAND</t>
        </is>
      </c>
      <c r="G1060" s="39" t="inlineStr">
        <is>
          <t>Candidatures reçues</t>
        </is>
      </c>
      <c r="H1060" s="40" t="inlineStr">
        <is>
          <t>TECHNIQUE</t>
        </is>
      </c>
      <c r="I1060" s="41" t="inlineStr">
        <is>
          <t>2025FCST_V4</t>
        </is>
      </c>
      <c r="J1060" s="41" t="n">
        <v>2025</v>
      </c>
      <c r="K1060" s="41" t="inlineStr">
        <is>
          <t>NB</t>
        </is>
      </c>
      <c r="L1060" s="43" t="n">
        <v>194</v>
      </c>
    </row>
    <row r="1061">
      <c r="B1061" s="39" t="inlineStr">
        <is>
          <t>ISCOM_PAR</t>
        </is>
      </c>
      <c r="C1061" s="40" t="inlineStr">
        <is>
          <t>BAC_COM</t>
        </is>
      </c>
      <c r="D1061" s="40" t="inlineStr">
        <is>
          <t>B1</t>
        </is>
      </c>
      <c r="E1061" s="40" t="inlineStr">
        <is>
          <t>INIT</t>
        </is>
      </c>
      <c r="F1061" s="40" t="inlineStr">
        <is>
          <t>STA_ADMIS</t>
        </is>
      </c>
      <c r="G1061" s="39" t="inlineStr">
        <is>
          <t>Candidats admis</t>
        </is>
      </c>
      <c r="H1061" s="40" t="inlineStr">
        <is>
          <t>TECHNIQUE</t>
        </is>
      </c>
      <c r="I1061" s="41" t="inlineStr">
        <is>
          <t>2023ACT_VDEF</t>
        </is>
      </c>
      <c r="J1061" s="41" t="n">
        <v>2023</v>
      </c>
      <c r="K1061" s="41" t="inlineStr">
        <is>
          <t>NB</t>
        </is>
      </c>
      <c r="L1061" s="43" t="n">
        <v>108</v>
      </c>
    </row>
    <row r="1062">
      <c r="B1062" s="39" t="inlineStr">
        <is>
          <t>ISCOM_PAR</t>
        </is>
      </c>
      <c r="C1062" s="40" t="inlineStr">
        <is>
          <t>BAC_COM</t>
        </is>
      </c>
      <c r="D1062" s="40" t="inlineStr">
        <is>
          <t>B1</t>
        </is>
      </c>
      <c r="E1062" s="40" t="inlineStr">
        <is>
          <t>INIT</t>
        </is>
      </c>
      <c r="F1062" s="40" t="inlineStr">
        <is>
          <t>STA_ADMIS</t>
        </is>
      </c>
      <c r="G1062" s="39" t="inlineStr">
        <is>
          <t>Candidats admis</t>
        </is>
      </c>
      <c r="H1062" s="40" t="inlineStr">
        <is>
          <t>TECHNIQUE</t>
        </is>
      </c>
      <c r="I1062" s="41" t="inlineStr">
        <is>
          <t>2024ACT_VDEF</t>
        </is>
      </c>
      <c r="J1062" s="41" t="n">
        <v>2024</v>
      </c>
      <c r="K1062" s="41" t="inlineStr">
        <is>
          <t>NB</t>
        </is>
      </c>
      <c r="L1062" s="43" t="n">
        <v>114</v>
      </c>
    </row>
    <row r="1063">
      <c r="B1063" s="39" t="inlineStr">
        <is>
          <t>ISCOM_PAR</t>
        </is>
      </c>
      <c r="C1063" s="40" t="inlineStr">
        <is>
          <t>BAC_COM</t>
        </is>
      </c>
      <c r="D1063" s="40" t="inlineStr">
        <is>
          <t>B1</t>
        </is>
      </c>
      <c r="E1063" s="40" t="inlineStr">
        <is>
          <t>INIT</t>
        </is>
      </c>
      <c r="F1063" s="40" t="inlineStr">
        <is>
          <t>STA_ADMIS</t>
        </is>
      </c>
      <c r="G1063" s="39" t="inlineStr">
        <is>
          <t>Candidats admis</t>
        </is>
      </c>
      <c r="H1063" s="40" t="inlineStr">
        <is>
          <t>TECHNIQUE</t>
        </is>
      </c>
      <c r="I1063" s="41" t="inlineStr">
        <is>
          <t>2025FCST_V4</t>
        </is>
      </c>
      <c r="J1063" s="41" t="n">
        <v>2025</v>
      </c>
      <c r="K1063" s="41" t="inlineStr">
        <is>
          <t>NB</t>
        </is>
      </c>
      <c r="L1063" s="43" t="n">
        <v>120</v>
      </c>
    </row>
    <row r="1064">
      <c r="B1064" s="39" t="inlineStr">
        <is>
          <t>ISCOM_PAR</t>
        </is>
      </c>
      <c r="C1064" s="40" t="inlineStr">
        <is>
          <t>BAC_COM</t>
        </is>
      </c>
      <c r="D1064" s="40" t="inlineStr">
        <is>
          <t>B1</t>
        </is>
      </c>
      <c r="E1064" s="40" t="inlineStr">
        <is>
          <t>INIT</t>
        </is>
      </c>
      <c r="F1064" s="40" t="inlineStr">
        <is>
          <t>STA_NOUV</t>
        </is>
      </c>
      <c r="G1064" s="39" t="inlineStr">
        <is>
          <t>Nouveaux inscrits</t>
        </is>
      </c>
      <c r="H1064" s="40" t="inlineStr">
        <is>
          <t>TECHNIQUE</t>
        </is>
      </c>
      <c r="I1064" s="41" t="inlineStr">
        <is>
          <t>2023ACT_VDEF</t>
        </is>
      </c>
      <c r="J1064" s="41" t="n">
        <v>2023</v>
      </c>
      <c r="K1064" s="41" t="inlineStr">
        <is>
          <t>NB</t>
        </is>
      </c>
      <c r="L1064" s="43" t="n">
        <v>65</v>
      </c>
    </row>
    <row r="1065">
      <c r="B1065" s="39" t="inlineStr">
        <is>
          <t>ISCOM_PAR</t>
        </is>
      </c>
      <c r="C1065" s="40" t="inlineStr">
        <is>
          <t>BAC_COM</t>
        </is>
      </c>
      <c r="D1065" s="40" t="inlineStr">
        <is>
          <t>B1</t>
        </is>
      </c>
      <c r="E1065" s="40" t="inlineStr">
        <is>
          <t>INIT</t>
        </is>
      </c>
      <c r="F1065" s="40" t="inlineStr">
        <is>
          <t>STA_NOUV</t>
        </is>
      </c>
      <c r="G1065" s="39" t="inlineStr">
        <is>
          <t>Nouveaux inscrits</t>
        </is>
      </c>
      <c r="H1065" s="40" t="inlineStr">
        <is>
          <t>TECHNIQUE</t>
        </is>
      </c>
      <c r="I1065" s="41" t="inlineStr">
        <is>
          <t>2024ACT_VDEF</t>
        </is>
      </c>
      <c r="J1065" s="41" t="n">
        <v>2024</v>
      </c>
      <c r="K1065" s="41" t="inlineStr">
        <is>
          <t>NB</t>
        </is>
      </c>
      <c r="L1065" s="43" t="n">
        <v>68</v>
      </c>
    </row>
    <row r="1066">
      <c r="B1066" s="39" t="inlineStr">
        <is>
          <t>ISCOM_PAR</t>
        </is>
      </c>
      <c r="C1066" s="40" t="inlineStr">
        <is>
          <t>BAC_COM</t>
        </is>
      </c>
      <c r="D1066" s="40" t="inlineStr">
        <is>
          <t>B1</t>
        </is>
      </c>
      <c r="E1066" s="40" t="inlineStr">
        <is>
          <t>INIT</t>
        </is>
      </c>
      <c r="F1066" s="40" t="inlineStr">
        <is>
          <t>STA_NOUV</t>
        </is>
      </c>
      <c r="G1066" s="39" t="inlineStr">
        <is>
          <t>Nouveaux inscrits</t>
        </is>
      </c>
      <c r="H1066" s="40" t="inlineStr">
        <is>
          <t>TECHNIQUE</t>
        </is>
      </c>
      <c r="I1066" s="41" t="inlineStr">
        <is>
          <t>2025FCST_V4</t>
        </is>
      </c>
      <c r="J1066" s="41" t="n">
        <v>2025</v>
      </c>
      <c r="K1066" s="41" t="inlineStr">
        <is>
          <t>NB</t>
        </is>
      </c>
      <c r="L1066" s="43" t="n">
        <v>72</v>
      </c>
    </row>
    <row r="1067">
      <c r="B1067" s="39" t="inlineStr">
        <is>
          <t>ISCOM_PAR</t>
        </is>
      </c>
      <c r="C1067" s="40" t="inlineStr">
        <is>
          <t>BAC_COM</t>
        </is>
      </c>
      <c r="D1067" s="40" t="inlineStr">
        <is>
          <t>B1</t>
        </is>
      </c>
      <c r="E1067" s="40" t="inlineStr">
        <is>
          <t>INIT</t>
        </is>
      </c>
      <c r="F1067" s="40" t="inlineStr">
        <is>
          <t>STA_CLASS</t>
        </is>
      </c>
      <c r="G1067" s="39" t="inlineStr">
        <is>
          <t>Nombre de classes</t>
        </is>
      </c>
      <c r="H1067" s="40" t="inlineStr">
        <is>
          <t>TECHNIQUE</t>
        </is>
      </c>
      <c r="I1067" s="41" t="inlineStr">
        <is>
          <t>2023ACT_VDEF</t>
        </is>
      </c>
      <c r="J1067" s="41" t="n">
        <v>2023</v>
      </c>
      <c r="K1067" s="41" t="inlineStr">
        <is>
          <t>NB</t>
        </is>
      </c>
      <c r="L1067" s="43" t="n">
        <v>3</v>
      </c>
    </row>
    <row r="1068">
      <c r="B1068" s="39" t="inlineStr">
        <is>
          <t>ISCOM_PAR</t>
        </is>
      </c>
      <c r="C1068" s="40" t="inlineStr">
        <is>
          <t>BAC_COM</t>
        </is>
      </c>
      <c r="D1068" s="40" t="inlineStr">
        <is>
          <t>B1</t>
        </is>
      </c>
      <c r="E1068" s="40" t="inlineStr">
        <is>
          <t>INIT</t>
        </is>
      </c>
      <c r="F1068" s="40" t="inlineStr">
        <is>
          <t>STA_CLASS</t>
        </is>
      </c>
      <c r="G1068" s="39" t="inlineStr">
        <is>
          <t>Nombre de classes</t>
        </is>
      </c>
      <c r="H1068" s="40" t="inlineStr">
        <is>
          <t>TECHNIQUE</t>
        </is>
      </c>
      <c r="I1068" s="41" t="inlineStr">
        <is>
          <t>2024ACT_VDEF</t>
        </is>
      </c>
      <c r="J1068" s="41" t="n">
        <v>2024</v>
      </c>
      <c r="K1068" s="41" t="inlineStr">
        <is>
          <t>NB</t>
        </is>
      </c>
      <c r="L1068" s="43" t="n">
        <v>3</v>
      </c>
    </row>
    <row r="1069">
      <c r="B1069" s="39" t="inlineStr">
        <is>
          <t>ISCOM_PAR</t>
        </is>
      </c>
      <c r="C1069" s="40" t="inlineStr">
        <is>
          <t>BAC_COM</t>
        </is>
      </c>
      <c r="D1069" s="40" t="inlineStr">
        <is>
          <t>B1</t>
        </is>
      </c>
      <c r="E1069" s="40" t="inlineStr">
        <is>
          <t>INIT</t>
        </is>
      </c>
      <c r="F1069" s="40" t="inlineStr">
        <is>
          <t>STA_CLASS</t>
        </is>
      </c>
      <c r="G1069" s="39" t="inlineStr">
        <is>
          <t>Nombre de classes</t>
        </is>
      </c>
      <c r="H1069" s="40" t="inlineStr">
        <is>
          <t>TECHNIQUE</t>
        </is>
      </c>
      <c r="I1069" s="41" t="inlineStr">
        <is>
          <t>2025FCST_V4</t>
        </is>
      </c>
      <c r="J1069" s="41" t="n">
        <v>2025</v>
      </c>
      <c r="K1069" s="41" t="inlineStr">
        <is>
          <t>NB</t>
        </is>
      </c>
      <c r="L1069" s="43" t="n">
        <v>3</v>
      </c>
    </row>
    <row r="1070">
      <c r="B1070" s="39" t="inlineStr">
        <is>
          <t>ISCOM_PAR</t>
        </is>
      </c>
      <c r="C1070" s="40" t="inlineStr">
        <is>
          <t>BAC_COM</t>
        </is>
      </c>
      <c r="D1070" s="40" t="inlineStr">
        <is>
          <t>B1</t>
        </is>
      </c>
      <c r="E1070" s="40" t="inlineStr">
        <is>
          <t>INIT</t>
        </is>
      </c>
      <c r="F1070" s="40" t="inlineStr">
        <is>
          <t>STA_HEURE</t>
        </is>
      </c>
      <c r="G1070" s="39" t="inlineStr">
        <is>
          <t>Heures d'enseignement</t>
        </is>
      </c>
      <c r="H1070" s="40" t="inlineStr">
        <is>
          <t>TECHNIQUE</t>
        </is>
      </c>
      <c r="I1070" s="41" t="inlineStr">
        <is>
          <t>2023ACT_VDEF</t>
        </is>
      </c>
      <c r="J1070" s="41" t="n">
        <v>2023</v>
      </c>
      <c r="K1070" s="41" t="inlineStr">
        <is>
          <t>NB</t>
        </is>
      </c>
      <c r="L1070" s="43" t="n">
        <v>1620</v>
      </c>
    </row>
    <row r="1071">
      <c r="B1071" s="39" t="inlineStr">
        <is>
          <t>ISCOM_PAR</t>
        </is>
      </c>
      <c r="C1071" s="40" t="inlineStr">
        <is>
          <t>BAC_COM</t>
        </is>
      </c>
      <c r="D1071" s="40" t="inlineStr">
        <is>
          <t>B1</t>
        </is>
      </c>
      <c r="E1071" s="40" t="inlineStr">
        <is>
          <t>INIT</t>
        </is>
      </c>
      <c r="F1071" s="40" t="inlineStr">
        <is>
          <t>STA_HEURE</t>
        </is>
      </c>
      <c r="G1071" s="39" t="inlineStr">
        <is>
          <t>Heures d'enseignement</t>
        </is>
      </c>
      <c r="H1071" s="40" t="inlineStr">
        <is>
          <t>TECHNIQUE</t>
        </is>
      </c>
      <c r="I1071" s="41" t="inlineStr">
        <is>
          <t>2024ACT_VDEF</t>
        </is>
      </c>
      <c r="J1071" s="41" t="n">
        <v>2024</v>
      </c>
      <c r="K1071" s="41" t="inlineStr">
        <is>
          <t>NB</t>
        </is>
      </c>
      <c r="L1071" s="43" t="n">
        <v>1710</v>
      </c>
    </row>
    <row r="1072">
      <c r="B1072" s="39" t="inlineStr">
        <is>
          <t>ISCOM_PAR</t>
        </is>
      </c>
      <c r="C1072" s="40" t="inlineStr">
        <is>
          <t>BAC_COM</t>
        </is>
      </c>
      <c r="D1072" s="40" t="inlineStr">
        <is>
          <t>B1</t>
        </is>
      </c>
      <c r="E1072" s="40" t="inlineStr">
        <is>
          <t>INIT</t>
        </is>
      </c>
      <c r="F1072" s="40" t="inlineStr">
        <is>
          <t>STA_HEURE</t>
        </is>
      </c>
      <c r="G1072" s="39" t="inlineStr">
        <is>
          <t>Heures d'enseignement</t>
        </is>
      </c>
      <c r="H1072" s="40" t="inlineStr">
        <is>
          <t>TECHNIQUE</t>
        </is>
      </c>
      <c r="I1072" s="41" t="inlineStr">
        <is>
          <t>2025FCST_V4</t>
        </is>
      </c>
      <c r="J1072" s="41" t="n">
        <v>2025</v>
      </c>
      <c r="K1072" s="41" t="inlineStr">
        <is>
          <t>NB</t>
        </is>
      </c>
      <c r="L1072" s="43" t="n">
        <v>1800</v>
      </c>
    </row>
    <row r="1073">
      <c r="B1073" s="39" t="inlineStr">
        <is>
          <t>ISCOM_PAR</t>
        </is>
      </c>
      <c r="C1073" s="40" t="inlineStr">
        <is>
          <t>BAC_COM</t>
        </is>
      </c>
      <c r="D1073" s="40" t="inlineStr">
        <is>
          <t>B1</t>
        </is>
      </c>
      <c r="E1073" s="40" t="inlineStr">
        <is>
          <t>INIT</t>
        </is>
      </c>
      <c r="F1073" s="40" t="inlineStr">
        <is>
          <t>STA_CAPA</t>
        </is>
      </c>
      <c r="G1073" s="39" t="inlineStr">
        <is>
          <t>Capacité par classe</t>
        </is>
      </c>
      <c r="H1073" s="40" t="inlineStr">
        <is>
          <t>TECHNIQUE</t>
        </is>
      </c>
      <c r="I1073" s="41" t="inlineStr">
        <is>
          <t>2023ACT_VDEF</t>
        </is>
      </c>
      <c r="J1073" s="41" t="n">
        <v>2023</v>
      </c>
      <c r="K1073" s="41" t="inlineStr">
        <is>
          <t>NB</t>
        </is>
      </c>
      <c r="L1073" s="43" t="n">
        <v>32</v>
      </c>
    </row>
    <row r="1074">
      <c r="B1074" s="39" t="inlineStr">
        <is>
          <t>ISCOM_PAR</t>
        </is>
      </c>
      <c r="C1074" s="40" t="inlineStr">
        <is>
          <t>BAC_COM</t>
        </is>
      </c>
      <c r="D1074" s="40" t="inlineStr">
        <is>
          <t>B1</t>
        </is>
      </c>
      <c r="E1074" s="40" t="inlineStr">
        <is>
          <t>INIT</t>
        </is>
      </c>
      <c r="F1074" s="40" t="inlineStr">
        <is>
          <t>STA_CAPA</t>
        </is>
      </c>
      <c r="G1074" s="39" t="inlineStr">
        <is>
          <t>Capacité par classe</t>
        </is>
      </c>
      <c r="H1074" s="40" t="inlineStr">
        <is>
          <t>TECHNIQUE</t>
        </is>
      </c>
      <c r="I1074" s="41" t="inlineStr">
        <is>
          <t>2024ACT_VDEF</t>
        </is>
      </c>
      <c r="J1074" s="41" t="n">
        <v>2024</v>
      </c>
      <c r="K1074" s="41" t="inlineStr">
        <is>
          <t>NB</t>
        </is>
      </c>
      <c r="L1074" s="43" t="n">
        <v>32</v>
      </c>
    </row>
    <row r="1075">
      <c r="B1075" s="39" t="inlineStr">
        <is>
          <t>ISCOM_PAR</t>
        </is>
      </c>
      <c r="C1075" s="40" t="inlineStr">
        <is>
          <t>BAC_COM</t>
        </is>
      </c>
      <c r="D1075" s="40" t="inlineStr">
        <is>
          <t>B1</t>
        </is>
      </c>
      <c r="E1075" s="40" t="inlineStr">
        <is>
          <t>INIT</t>
        </is>
      </c>
      <c r="F1075" s="40" t="inlineStr">
        <is>
          <t>STA_CAPA</t>
        </is>
      </c>
      <c r="G1075" s="39" t="inlineStr">
        <is>
          <t>Capacité par classe</t>
        </is>
      </c>
      <c r="H1075" s="40" t="inlineStr">
        <is>
          <t>TECHNIQUE</t>
        </is>
      </c>
      <c r="I1075" s="41" t="inlineStr">
        <is>
          <t>2025FCST_V4</t>
        </is>
      </c>
      <c r="J1075" s="41" t="n">
        <v>2025</v>
      </c>
      <c r="K1075" s="41" t="inlineStr">
        <is>
          <t>NB</t>
        </is>
      </c>
      <c r="L1075" s="43" t="n">
        <v>32</v>
      </c>
    </row>
    <row r="1076">
      <c r="B1076" s="39" t="inlineStr">
        <is>
          <t>ISCOM_PAR</t>
        </is>
      </c>
      <c r="C1076" s="40" t="inlineStr">
        <is>
          <t>BAC_COM</t>
        </is>
      </c>
      <c r="D1076" s="40" t="inlineStr">
        <is>
          <t>B1</t>
        </is>
      </c>
      <c r="E1076" s="40" t="inlineStr">
        <is>
          <t>INIT</t>
        </is>
      </c>
      <c r="F1076" s="40" t="inlineStr">
        <is>
          <t>DRV_CONV</t>
        </is>
      </c>
      <c r="G1076" s="39" t="inlineStr">
        <is>
          <t>Taux de conversion candidat→inscrit</t>
        </is>
      </c>
      <c r="H1076" s="40" t="inlineStr">
        <is>
          <t>TECHNIQUE</t>
        </is>
      </c>
      <c r="I1076" s="41" t="inlineStr">
        <is>
          <t>2023ACT_VDEF</t>
        </is>
      </c>
      <c r="J1076" s="41" t="n">
        <v>2023</v>
      </c>
      <c r="K1076" s="41" t="inlineStr">
        <is>
          <t>PCT</t>
        </is>
      </c>
      <c r="L1076" s="44" t="n">
        <v>0.3711</v>
      </c>
    </row>
    <row r="1077">
      <c r="B1077" s="39" t="inlineStr">
        <is>
          <t>ISCOM_PAR</t>
        </is>
      </c>
      <c r="C1077" s="40" t="inlineStr">
        <is>
          <t>BAC_COM</t>
        </is>
      </c>
      <c r="D1077" s="40" t="inlineStr">
        <is>
          <t>B1</t>
        </is>
      </c>
      <c r="E1077" s="40" t="inlineStr">
        <is>
          <t>INIT</t>
        </is>
      </c>
      <c r="F1077" s="40" t="inlineStr">
        <is>
          <t>DRV_CONV</t>
        </is>
      </c>
      <c r="G1077" s="39" t="inlineStr">
        <is>
          <t>Taux de conversion candidat→inscrit</t>
        </is>
      </c>
      <c r="H1077" s="40" t="inlineStr">
        <is>
          <t>TECHNIQUE</t>
        </is>
      </c>
      <c r="I1077" s="41" t="inlineStr">
        <is>
          <t>2024ACT_VDEF</t>
        </is>
      </c>
      <c r="J1077" s="41" t="n">
        <v>2024</v>
      </c>
      <c r="K1077" s="41" t="inlineStr">
        <is>
          <t>PCT</t>
        </is>
      </c>
      <c r="L1077" s="44" t="n">
        <v>0.3711</v>
      </c>
    </row>
    <row r="1078">
      <c r="B1078" s="39" t="inlineStr">
        <is>
          <t>ISCOM_PAR</t>
        </is>
      </c>
      <c r="C1078" s="40" t="inlineStr">
        <is>
          <t>BAC_COM</t>
        </is>
      </c>
      <c r="D1078" s="40" t="inlineStr">
        <is>
          <t>B1</t>
        </is>
      </c>
      <c r="E1078" s="40" t="inlineStr">
        <is>
          <t>INIT</t>
        </is>
      </c>
      <c r="F1078" s="40" t="inlineStr">
        <is>
          <t>DRV_CONV</t>
        </is>
      </c>
      <c r="G1078" s="39" t="inlineStr">
        <is>
          <t>Taux de conversion candidat→inscrit</t>
        </is>
      </c>
      <c r="H1078" s="40" t="inlineStr">
        <is>
          <t>TECHNIQUE</t>
        </is>
      </c>
      <c r="I1078" s="41" t="inlineStr">
        <is>
          <t>2025FCST_V4</t>
        </is>
      </c>
      <c r="J1078" s="41" t="n">
        <v>2025</v>
      </c>
      <c r="K1078" s="41" t="inlineStr">
        <is>
          <t>PCT</t>
        </is>
      </c>
      <c r="L1078" s="44" t="n">
        <v>0.3711</v>
      </c>
    </row>
    <row r="1079">
      <c r="B1079" s="39" t="inlineStr">
        <is>
          <t>ISCOM_PAR</t>
        </is>
      </c>
      <c r="C1079" s="40" t="inlineStr">
        <is>
          <t>BAC_COM</t>
        </is>
      </c>
      <c r="D1079" s="40" t="inlineStr">
        <is>
          <t>B1</t>
        </is>
      </c>
      <c r="E1079" s="40" t="inlineStr">
        <is>
          <t>INIT</t>
        </is>
      </c>
      <c r="F1079" s="40" t="inlineStr">
        <is>
          <t>PRX_TARIF</t>
        </is>
      </c>
      <c r="G1079" s="39" t="inlineStr">
        <is>
          <t>Tarif moyen scolarité</t>
        </is>
      </c>
      <c r="H1079" s="40" t="inlineStr">
        <is>
          <t>TECHNIQUE</t>
        </is>
      </c>
      <c r="I1079" s="41" t="inlineStr">
        <is>
          <t>2023ACT_VDEF</t>
        </is>
      </c>
      <c r="J1079" s="41" t="n">
        <v>2023</v>
      </c>
      <c r="K1079" s="41" t="inlineStr">
        <is>
          <t>EUR</t>
        </is>
      </c>
      <c r="L1079" s="42" t="n">
        <v>8500</v>
      </c>
    </row>
    <row r="1080">
      <c r="B1080" s="39" t="inlineStr">
        <is>
          <t>ISCOM_PAR</t>
        </is>
      </c>
      <c r="C1080" s="40" t="inlineStr">
        <is>
          <t>BAC_COM</t>
        </is>
      </c>
      <c r="D1080" s="40" t="inlineStr">
        <is>
          <t>B1</t>
        </is>
      </c>
      <c r="E1080" s="40" t="inlineStr">
        <is>
          <t>INIT</t>
        </is>
      </c>
      <c r="F1080" s="40" t="inlineStr">
        <is>
          <t>PRX_TARIF</t>
        </is>
      </c>
      <c r="G1080" s="39" t="inlineStr">
        <is>
          <t>Tarif moyen scolarité</t>
        </is>
      </c>
      <c r="H1080" s="40" t="inlineStr">
        <is>
          <t>TECHNIQUE</t>
        </is>
      </c>
      <c r="I1080" s="41" t="inlineStr">
        <is>
          <t>2024ACT_VDEF</t>
        </is>
      </c>
      <c r="J1080" s="41" t="n">
        <v>2024</v>
      </c>
      <c r="K1080" s="41" t="inlineStr">
        <is>
          <t>EUR</t>
        </is>
      </c>
      <c r="L1080" s="42" t="n">
        <v>8500</v>
      </c>
    </row>
    <row r="1081">
      <c r="B1081" s="39" t="inlineStr">
        <is>
          <t>ISCOM_PAR</t>
        </is>
      </c>
      <c r="C1081" s="40" t="inlineStr">
        <is>
          <t>BAC_COM</t>
        </is>
      </c>
      <c r="D1081" s="40" t="inlineStr">
        <is>
          <t>B1</t>
        </is>
      </c>
      <c r="E1081" s="40" t="inlineStr">
        <is>
          <t>INIT</t>
        </is>
      </c>
      <c r="F1081" s="40" t="inlineStr">
        <is>
          <t>PRX_TARIF</t>
        </is>
      </c>
      <c r="G1081" s="39" t="inlineStr">
        <is>
          <t>Tarif moyen scolarité</t>
        </is>
      </c>
      <c r="H1081" s="40" t="inlineStr">
        <is>
          <t>TECHNIQUE</t>
        </is>
      </c>
      <c r="I1081" s="41" t="inlineStr">
        <is>
          <t>2025FCST_V4</t>
        </is>
      </c>
      <c r="J1081" s="41" t="n">
        <v>2025</v>
      </c>
      <c r="K1081" s="41" t="inlineStr">
        <is>
          <t>EUR</t>
        </is>
      </c>
      <c r="L1081" s="42" t="n">
        <v>8500</v>
      </c>
    </row>
    <row r="1082">
      <c r="B1082" s="39" t="inlineStr">
        <is>
          <t>ISCOM_PAR</t>
        </is>
      </c>
      <c r="C1082" s="40" t="inlineStr">
        <is>
          <t>BAC_COM</t>
        </is>
      </c>
      <c r="D1082" s="40" t="inlineStr">
        <is>
          <t>B1</t>
        </is>
      </c>
      <c r="E1082" s="40" t="inlineStr">
        <is>
          <t>INIT</t>
        </is>
      </c>
      <c r="F1082" s="40" t="inlineStr">
        <is>
          <t>CAC_LEAD</t>
        </is>
      </c>
      <c r="G1082" s="39" t="inlineStr">
        <is>
          <t>Coût d'acquisition par lead</t>
        </is>
      </c>
      <c r="H1082" s="40" t="inlineStr">
        <is>
          <t>TECHNIQUE</t>
        </is>
      </c>
      <c r="I1082" s="41" t="inlineStr">
        <is>
          <t>2023ACT_VDEF</t>
        </is>
      </c>
      <c r="J1082" s="41" t="n">
        <v>2023</v>
      </c>
      <c r="K1082" s="41" t="inlineStr">
        <is>
          <t>EUR</t>
        </is>
      </c>
      <c r="L1082" s="42" t="n">
        <v>320</v>
      </c>
    </row>
    <row r="1083">
      <c r="B1083" s="39" t="inlineStr">
        <is>
          <t>ISCOM_PAR</t>
        </is>
      </c>
      <c r="C1083" s="40" t="inlineStr">
        <is>
          <t>BAC_COM</t>
        </is>
      </c>
      <c r="D1083" s="40" t="inlineStr">
        <is>
          <t>B1</t>
        </is>
      </c>
      <c r="E1083" s="40" t="inlineStr">
        <is>
          <t>INIT</t>
        </is>
      </c>
      <c r="F1083" s="40" t="inlineStr">
        <is>
          <t>CAC_LEAD</t>
        </is>
      </c>
      <c r="G1083" s="39" t="inlineStr">
        <is>
          <t>Coût d'acquisition par lead</t>
        </is>
      </c>
      <c r="H1083" s="40" t="inlineStr">
        <is>
          <t>TECHNIQUE</t>
        </is>
      </c>
      <c r="I1083" s="41" t="inlineStr">
        <is>
          <t>2024ACT_VDEF</t>
        </is>
      </c>
      <c r="J1083" s="41" t="n">
        <v>2024</v>
      </c>
      <c r="K1083" s="41" t="inlineStr">
        <is>
          <t>EUR</t>
        </is>
      </c>
      <c r="L1083" s="42" t="n">
        <v>320</v>
      </c>
    </row>
    <row r="1084">
      <c r="B1084" s="39" t="inlineStr">
        <is>
          <t>ISCOM_PAR</t>
        </is>
      </c>
      <c r="C1084" s="40" t="inlineStr">
        <is>
          <t>BAC_COM</t>
        </is>
      </c>
      <c r="D1084" s="40" t="inlineStr">
        <is>
          <t>B1</t>
        </is>
      </c>
      <c r="E1084" s="40" t="inlineStr">
        <is>
          <t>INIT</t>
        </is>
      </c>
      <c r="F1084" s="40" t="inlineStr">
        <is>
          <t>CAC_LEAD</t>
        </is>
      </c>
      <c r="G1084" s="39" t="inlineStr">
        <is>
          <t>Coût d'acquisition par lead</t>
        </is>
      </c>
      <c r="H1084" s="40" t="inlineStr">
        <is>
          <t>TECHNIQUE</t>
        </is>
      </c>
      <c r="I1084" s="41" t="inlineStr">
        <is>
          <t>2025FCST_V4</t>
        </is>
      </c>
      <c r="J1084" s="41" t="n">
        <v>2025</v>
      </c>
      <c r="K1084" s="41" t="inlineStr">
        <is>
          <t>EUR</t>
        </is>
      </c>
      <c r="L1084" s="42" t="n">
        <v>320</v>
      </c>
    </row>
    <row r="1085">
      <c r="B1085" s="39" t="inlineStr">
        <is>
          <t>ISCOM_PAR</t>
        </is>
      </c>
      <c r="C1085" s="40" t="inlineStr">
        <is>
          <t>BAC_COM</t>
        </is>
      </c>
      <c r="D1085" s="40" t="inlineStr">
        <is>
          <t>B2</t>
        </is>
      </c>
      <c r="E1085" s="40" t="inlineStr">
        <is>
          <t>ALT</t>
        </is>
      </c>
      <c r="F1085" s="40" t="inlineStr">
        <is>
          <t>706100</t>
        </is>
      </c>
      <c r="G1085" s="39" t="inlineStr">
        <is>
          <t>Droits de scolarité</t>
        </is>
      </c>
      <c r="H1085" s="40" t="inlineStr">
        <is>
          <t>COMPTABLE</t>
        </is>
      </c>
      <c r="I1085" s="41" t="inlineStr">
        <is>
          <t>2023ACT_VDEF</t>
        </is>
      </c>
      <c r="J1085" s="41" t="n">
        <v>2023</v>
      </c>
      <c r="K1085" s="41" t="inlineStr">
        <is>
          <t>EUR</t>
        </is>
      </c>
      <c r="L1085" s="42" t="n">
        <v>439200</v>
      </c>
    </row>
    <row r="1086">
      <c r="B1086" s="39" t="inlineStr">
        <is>
          <t>ISCOM_PAR</t>
        </is>
      </c>
      <c r="C1086" s="40" t="inlineStr">
        <is>
          <t>BAC_COM</t>
        </is>
      </c>
      <c r="D1086" s="40" t="inlineStr">
        <is>
          <t>B2</t>
        </is>
      </c>
      <c r="E1086" s="40" t="inlineStr">
        <is>
          <t>ALT</t>
        </is>
      </c>
      <c r="F1086" s="40" t="inlineStr">
        <is>
          <t>706100</t>
        </is>
      </c>
      <c r="G1086" s="39" t="inlineStr">
        <is>
          <t>Droits de scolarité</t>
        </is>
      </c>
      <c r="H1086" s="40" t="inlineStr">
        <is>
          <t>COMPTABLE</t>
        </is>
      </c>
      <c r="I1086" s="41" t="inlineStr">
        <is>
          <t>2024ACT_VDEF</t>
        </is>
      </c>
      <c r="J1086" s="41" t="n">
        <v>2024</v>
      </c>
      <c r="K1086" s="41" t="inlineStr">
        <is>
          <t>EUR</t>
        </is>
      </c>
      <c r="L1086" s="42" t="n">
        <v>463600</v>
      </c>
    </row>
    <row r="1087">
      <c r="B1087" s="39" t="inlineStr">
        <is>
          <t>ISCOM_PAR</t>
        </is>
      </c>
      <c r="C1087" s="40" t="inlineStr">
        <is>
          <t>BAC_COM</t>
        </is>
      </c>
      <c r="D1087" s="40" t="inlineStr">
        <is>
          <t>B2</t>
        </is>
      </c>
      <c r="E1087" s="40" t="inlineStr">
        <is>
          <t>ALT</t>
        </is>
      </c>
      <c r="F1087" s="40" t="inlineStr">
        <is>
          <t>706100</t>
        </is>
      </c>
      <c r="G1087" s="39" t="inlineStr">
        <is>
          <t>Droits de scolarité</t>
        </is>
      </c>
      <c r="H1087" s="40" t="inlineStr">
        <is>
          <t>COMPTABLE</t>
        </is>
      </c>
      <c r="I1087" s="41" t="inlineStr">
        <is>
          <t>2025FCST_V4</t>
        </is>
      </c>
      <c r="J1087" s="41" t="n">
        <v>2025</v>
      </c>
      <c r="K1087" s="41" t="inlineStr">
        <is>
          <t>EUR</t>
        </is>
      </c>
      <c r="L1087" s="42" t="n">
        <v>488000</v>
      </c>
    </row>
    <row r="1088">
      <c r="B1088" s="39" t="inlineStr">
        <is>
          <t>ISCOM_PAR</t>
        </is>
      </c>
      <c r="C1088" s="40" t="inlineStr">
        <is>
          <t>BAC_COM</t>
        </is>
      </c>
      <c r="D1088" s="40" t="inlineStr">
        <is>
          <t>B2</t>
        </is>
      </c>
      <c r="E1088" s="40" t="inlineStr">
        <is>
          <t>ALT</t>
        </is>
      </c>
      <c r="F1088" s="40" t="inlineStr">
        <is>
          <t>604100</t>
        </is>
      </c>
      <c r="G1088" s="39" t="inlineStr">
        <is>
          <t>Vacations &amp; sous-traitance pédagogique</t>
        </is>
      </c>
      <c r="H1088" s="40" t="inlineStr">
        <is>
          <t>COMPTABLE</t>
        </is>
      </c>
      <c r="I1088" s="41" t="inlineStr">
        <is>
          <t>2023ACT_VDEF</t>
        </is>
      </c>
      <c r="J1088" s="41" t="n">
        <v>2023</v>
      </c>
      <c r="K1088" s="41" t="inlineStr">
        <is>
          <t>EUR</t>
        </is>
      </c>
      <c r="L1088" s="42" t="n">
        <v>62496</v>
      </c>
    </row>
    <row r="1089">
      <c r="B1089" s="39" t="inlineStr">
        <is>
          <t>ISCOM_PAR</t>
        </is>
      </c>
      <c r="C1089" s="40" t="inlineStr">
        <is>
          <t>BAC_COM</t>
        </is>
      </c>
      <c r="D1089" s="40" t="inlineStr">
        <is>
          <t>B2</t>
        </is>
      </c>
      <c r="E1089" s="40" t="inlineStr">
        <is>
          <t>ALT</t>
        </is>
      </c>
      <c r="F1089" s="40" t="inlineStr">
        <is>
          <t>604100</t>
        </is>
      </c>
      <c r="G1089" s="39" t="inlineStr">
        <is>
          <t>Vacations &amp; sous-traitance pédagogique</t>
        </is>
      </c>
      <c r="H1089" s="40" t="inlineStr">
        <is>
          <t>COMPTABLE</t>
        </is>
      </c>
      <c r="I1089" s="41" t="inlineStr">
        <is>
          <t>2024ACT_VDEF</t>
        </is>
      </c>
      <c r="J1089" s="41" t="n">
        <v>2024</v>
      </c>
      <c r="K1089" s="41" t="inlineStr">
        <is>
          <t>EUR</t>
        </is>
      </c>
      <c r="L1089" s="42" t="n">
        <v>65968</v>
      </c>
    </row>
    <row r="1090">
      <c r="B1090" s="39" t="inlineStr">
        <is>
          <t>ISCOM_PAR</t>
        </is>
      </c>
      <c r="C1090" s="40" t="inlineStr">
        <is>
          <t>BAC_COM</t>
        </is>
      </c>
      <c r="D1090" s="40" t="inlineStr">
        <is>
          <t>B2</t>
        </is>
      </c>
      <c r="E1090" s="40" t="inlineStr">
        <is>
          <t>ALT</t>
        </is>
      </c>
      <c r="F1090" s="40" t="inlineStr">
        <is>
          <t>604100</t>
        </is>
      </c>
      <c r="G1090" s="39" t="inlineStr">
        <is>
          <t>Vacations &amp; sous-traitance pédagogique</t>
        </is>
      </c>
      <c r="H1090" s="40" t="inlineStr">
        <is>
          <t>COMPTABLE</t>
        </is>
      </c>
      <c r="I1090" s="41" t="inlineStr">
        <is>
          <t>2025FCST_V4</t>
        </is>
      </c>
      <c r="J1090" s="41" t="n">
        <v>2025</v>
      </c>
      <c r="K1090" s="41" t="inlineStr">
        <is>
          <t>EUR</t>
        </is>
      </c>
      <c r="L1090" s="42" t="n">
        <v>69440</v>
      </c>
    </row>
    <row r="1091">
      <c r="B1091" s="39" t="inlineStr">
        <is>
          <t>ISCOM_PAR</t>
        </is>
      </c>
      <c r="C1091" s="40" t="inlineStr">
        <is>
          <t>BAC_COM</t>
        </is>
      </c>
      <c r="D1091" s="40" t="inlineStr">
        <is>
          <t>B2</t>
        </is>
      </c>
      <c r="E1091" s="40" t="inlineStr">
        <is>
          <t>ALT</t>
        </is>
      </c>
      <c r="F1091" s="40" t="inlineStr">
        <is>
          <t>606300</t>
        </is>
      </c>
      <c r="G1091" s="39" t="inlineStr">
        <is>
          <t>Fournitures &amp; ressources pédagogiques</t>
        </is>
      </c>
      <c r="H1091" s="40" t="inlineStr">
        <is>
          <t>COMPTABLE</t>
        </is>
      </c>
      <c r="I1091" s="41" t="inlineStr">
        <is>
          <t>2023ACT_VDEF</t>
        </is>
      </c>
      <c r="J1091" s="41" t="n">
        <v>2023</v>
      </c>
      <c r="K1091" s="41" t="inlineStr">
        <is>
          <t>EUR</t>
        </is>
      </c>
      <c r="L1091" s="42" t="n">
        <v>30195</v>
      </c>
    </row>
    <row r="1092">
      <c r="B1092" s="39" t="inlineStr">
        <is>
          <t>ISCOM_PAR</t>
        </is>
      </c>
      <c r="C1092" s="40" t="inlineStr">
        <is>
          <t>BAC_COM</t>
        </is>
      </c>
      <c r="D1092" s="40" t="inlineStr">
        <is>
          <t>B2</t>
        </is>
      </c>
      <c r="E1092" s="40" t="inlineStr">
        <is>
          <t>ALT</t>
        </is>
      </c>
      <c r="F1092" s="40" t="inlineStr">
        <is>
          <t>606300</t>
        </is>
      </c>
      <c r="G1092" s="39" t="inlineStr">
        <is>
          <t>Fournitures &amp; ressources pédagogiques</t>
        </is>
      </c>
      <c r="H1092" s="40" t="inlineStr">
        <is>
          <t>COMPTABLE</t>
        </is>
      </c>
      <c r="I1092" s="41" t="inlineStr">
        <is>
          <t>2024ACT_VDEF</t>
        </is>
      </c>
      <c r="J1092" s="41" t="n">
        <v>2024</v>
      </c>
      <c r="K1092" s="41" t="inlineStr">
        <is>
          <t>EUR</t>
        </is>
      </c>
      <c r="L1092" s="42" t="n">
        <v>31872</v>
      </c>
    </row>
    <row r="1093">
      <c r="B1093" s="39" t="inlineStr">
        <is>
          <t>ISCOM_PAR</t>
        </is>
      </c>
      <c r="C1093" s="40" t="inlineStr">
        <is>
          <t>BAC_COM</t>
        </is>
      </c>
      <c r="D1093" s="40" t="inlineStr">
        <is>
          <t>B2</t>
        </is>
      </c>
      <c r="E1093" s="40" t="inlineStr">
        <is>
          <t>ALT</t>
        </is>
      </c>
      <c r="F1093" s="40" t="inlineStr">
        <is>
          <t>606300</t>
        </is>
      </c>
      <c r="G1093" s="39" t="inlineStr">
        <is>
          <t>Fournitures &amp; ressources pédagogiques</t>
        </is>
      </c>
      <c r="H1093" s="40" t="inlineStr">
        <is>
          <t>COMPTABLE</t>
        </is>
      </c>
      <c r="I1093" s="41" t="inlineStr">
        <is>
          <t>2025FCST_V4</t>
        </is>
      </c>
      <c r="J1093" s="41" t="n">
        <v>2025</v>
      </c>
      <c r="K1093" s="41" t="inlineStr">
        <is>
          <t>EUR</t>
        </is>
      </c>
      <c r="L1093" s="42" t="n">
        <v>33550</v>
      </c>
    </row>
    <row r="1094">
      <c r="B1094" s="39" t="inlineStr">
        <is>
          <t>ISCOM_PAR</t>
        </is>
      </c>
      <c r="C1094" s="40" t="inlineStr">
        <is>
          <t>BAC_COM</t>
        </is>
      </c>
      <c r="D1094" s="40" t="inlineStr">
        <is>
          <t>B2</t>
        </is>
      </c>
      <c r="E1094" s="40" t="inlineStr">
        <is>
          <t>ALT</t>
        </is>
      </c>
      <c r="F1094" s="40" t="inlineStr">
        <is>
          <t>613200</t>
        </is>
      </c>
      <c r="G1094" s="39" t="inlineStr">
        <is>
          <t>Locations immobilières (loyers)</t>
        </is>
      </c>
      <c r="H1094" s="40" t="inlineStr">
        <is>
          <t>COMPTABLE</t>
        </is>
      </c>
      <c r="I1094" s="41" t="inlineStr">
        <is>
          <t>2023ACT_VDEF</t>
        </is>
      </c>
      <c r="J1094" s="41" t="n">
        <v>2023</v>
      </c>
      <c r="K1094" s="41" t="inlineStr">
        <is>
          <t>EUR</t>
        </is>
      </c>
      <c r="L1094" s="42" t="n">
        <v>41072</v>
      </c>
    </row>
    <row r="1095">
      <c r="B1095" s="39" t="inlineStr">
        <is>
          <t>ISCOM_PAR</t>
        </is>
      </c>
      <c r="C1095" s="40" t="inlineStr">
        <is>
          <t>BAC_COM</t>
        </is>
      </c>
      <c r="D1095" s="40" t="inlineStr">
        <is>
          <t>B2</t>
        </is>
      </c>
      <c r="E1095" s="40" t="inlineStr">
        <is>
          <t>ALT</t>
        </is>
      </c>
      <c r="F1095" s="40" t="inlineStr">
        <is>
          <t>613200</t>
        </is>
      </c>
      <c r="G1095" s="39" t="inlineStr">
        <is>
          <t>Locations immobilières (loyers)</t>
        </is>
      </c>
      <c r="H1095" s="40" t="inlineStr">
        <is>
          <t>COMPTABLE</t>
        </is>
      </c>
      <c r="I1095" s="41" t="inlineStr">
        <is>
          <t>2024ACT_VDEF</t>
        </is>
      </c>
      <c r="J1095" s="41" t="n">
        <v>2024</v>
      </c>
      <c r="K1095" s="41" t="inlineStr">
        <is>
          <t>EUR</t>
        </is>
      </c>
      <c r="L1095" s="42" t="n">
        <v>43354</v>
      </c>
    </row>
    <row r="1096">
      <c r="B1096" s="39" t="inlineStr">
        <is>
          <t>ISCOM_PAR</t>
        </is>
      </c>
      <c r="C1096" s="40" t="inlineStr">
        <is>
          <t>BAC_COM</t>
        </is>
      </c>
      <c r="D1096" s="40" t="inlineStr">
        <is>
          <t>B2</t>
        </is>
      </c>
      <c r="E1096" s="40" t="inlineStr">
        <is>
          <t>ALT</t>
        </is>
      </c>
      <c r="F1096" s="40" t="inlineStr">
        <is>
          <t>613200</t>
        </is>
      </c>
      <c r="G1096" s="39" t="inlineStr">
        <is>
          <t>Locations immobilières (loyers)</t>
        </is>
      </c>
      <c r="H1096" s="40" t="inlineStr">
        <is>
          <t>COMPTABLE</t>
        </is>
      </c>
      <c r="I1096" s="41" t="inlineStr">
        <is>
          <t>2025FCST_V4</t>
        </is>
      </c>
      <c r="J1096" s="41" t="n">
        <v>2025</v>
      </c>
      <c r="K1096" s="41" t="inlineStr">
        <is>
          <t>EUR</t>
        </is>
      </c>
      <c r="L1096" s="42" t="n">
        <v>45636</v>
      </c>
    </row>
    <row r="1097">
      <c r="B1097" s="39" t="inlineStr">
        <is>
          <t>ISCOM_PAR</t>
        </is>
      </c>
      <c r="C1097" s="40" t="inlineStr">
        <is>
          <t>BAC_COM</t>
        </is>
      </c>
      <c r="D1097" s="40" t="inlineStr">
        <is>
          <t>B2</t>
        </is>
      </c>
      <c r="E1097" s="40" t="inlineStr">
        <is>
          <t>ALT</t>
        </is>
      </c>
      <c r="F1097" s="40" t="inlineStr">
        <is>
          <t>641100</t>
        </is>
      </c>
      <c r="G1097" s="39" t="inlineStr">
        <is>
          <t>Rémunérations du personnel permanent</t>
        </is>
      </c>
      <c r="H1097" s="40" t="inlineStr">
        <is>
          <t>COMPTABLE</t>
        </is>
      </c>
      <c r="I1097" s="41" t="inlineStr">
        <is>
          <t>2023ACT_VDEF</t>
        </is>
      </c>
      <c r="J1097" s="41" t="n">
        <v>2023</v>
      </c>
      <c r="K1097" s="41" t="inlineStr">
        <is>
          <t>EUR</t>
        </is>
      </c>
      <c r="L1097" s="42" t="n">
        <v>94910</v>
      </c>
    </row>
    <row r="1098">
      <c r="B1098" s="39" t="inlineStr">
        <is>
          <t>ISCOM_PAR</t>
        </is>
      </c>
      <c r="C1098" s="40" t="inlineStr">
        <is>
          <t>BAC_COM</t>
        </is>
      </c>
      <c r="D1098" s="40" t="inlineStr">
        <is>
          <t>B2</t>
        </is>
      </c>
      <c r="E1098" s="40" t="inlineStr">
        <is>
          <t>ALT</t>
        </is>
      </c>
      <c r="F1098" s="40" t="inlineStr">
        <is>
          <t>641100</t>
        </is>
      </c>
      <c r="G1098" s="39" t="inlineStr">
        <is>
          <t>Rémunérations du personnel permanent</t>
        </is>
      </c>
      <c r="H1098" s="40" t="inlineStr">
        <is>
          <t>COMPTABLE</t>
        </is>
      </c>
      <c r="I1098" s="41" t="inlineStr">
        <is>
          <t>2024ACT_VDEF</t>
        </is>
      </c>
      <c r="J1098" s="41" t="n">
        <v>2024</v>
      </c>
      <c r="K1098" s="41" t="inlineStr">
        <is>
          <t>EUR</t>
        </is>
      </c>
      <c r="L1098" s="42" t="n">
        <v>100182</v>
      </c>
    </row>
    <row r="1099">
      <c r="B1099" s="39" t="inlineStr">
        <is>
          <t>ISCOM_PAR</t>
        </is>
      </c>
      <c r="C1099" s="40" t="inlineStr">
        <is>
          <t>BAC_COM</t>
        </is>
      </c>
      <c r="D1099" s="40" t="inlineStr">
        <is>
          <t>B2</t>
        </is>
      </c>
      <c r="E1099" s="40" t="inlineStr">
        <is>
          <t>ALT</t>
        </is>
      </c>
      <c r="F1099" s="40" t="inlineStr">
        <is>
          <t>641100</t>
        </is>
      </c>
      <c r="G1099" s="39" t="inlineStr">
        <is>
          <t>Rémunérations du personnel permanent</t>
        </is>
      </c>
      <c r="H1099" s="40" t="inlineStr">
        <is>
          <t>COMPTABLE</t>
        </is>
      </c>
      <c r="I1099" s="41" t="inlineStr">
        <is>
          <t>2025FCST_V4</t>
        </is>
      </c>
      <c r="J1099" s="41" t="n">
        <v>2025</v>
      </c>
      <c r="K1099" s="41" t="inlineStr">
        <is>
          <t>EUR</t>
        </is>
      </c>
      <c r="L1099" s="42" t="n">
        <v>105455</v>
      </c>
    </row>
    <row r="1100">
      <c r="B1100" s="39" t="inlineStr">
        <is>
          <t>ISCOM_PAR</t>
        </is>
      </c>
      <c r="C1100" s="40" t="inlineStr">
        <is>
          <t>BAC_COM</t>
        </is>
      </c>
      <c r="D1100" s="40" t="inlineStr">
        <is>
          <t>B2</t>
        </is>
      </c>
      <c r="E1100" s="40" t="inlineStr">
        <is>
          <t>ALT</t>
        </is>
      </c>
      <c r="F1100" s="40" t="inlineStr">
        <is>
          <t>622600</t>
        </is>
      </c>
      <c r="G1100" s="39" t="inlineStr">
        <is>
          <t>Honoraires &amp; frais de siège (structure groupe)</t>
        </is>
      </c>
      <c r="H1100" s="40" t="inlineStr">
        <is>
          <t>COMPTABLE</t>
        </is>
      </c>
      <c r="I1100" s="41" t="inlineStr">
        <is>
          <t>2023ACT_VDEF</t>
        </is>
      </c>
      <c r="J1100" s="41" t="n">
        <v>2023</v>
      </c>
      <c r="K1100" s="41" t="inlineStr">
        <is>
          <t>EUR</t>
        </is>
      </c>
      <c r="L1100" s="42" t="n">
        <v>37337</v>
      </c>
    </row>
    <row r="1101">
      <c r="B1101" s="39" t="inlineStr">
        <is>
          <t>ISCOM_PAR</t>
        </is>
      </c>
      <c r="C1101" s="40" t="inlineStr">
        <is>
          <t>BAC_COM</t>
        </is>
      </c>
      <c r="D1101" s="40" t="inlineStr">
        <is>
          <t>B2</t>
        </is>
      </c>
      <c r="E1101" s="40" t="inlineStr">
        <is>
          <t>ALT</t>
        </is>
      </c>
      <c r="F1101" s="40" t="inlineStr">
        <is>
          <t>622600</t>
        </is>
      </c>
      <c r="G1101" s="39" t="inlineStr">
        <is>
          <t>Honoraires &amp; frais de siège (structure groupe)</t>
        </is>
      </c>
      <c r="H1101" s="40" t="inlineStr">
        <is>
          <t>COMPTABLE</t>
        </is>
      </c>
      <c r="I1101" s="41" t="inlineStr">
        <is>
          <t>2024ACT_VDEF</t>
        </is>
      </c>
      <c r="J1101" s="41" t="n">
        <v>2024</v>
      </c>
      <c r="K1101" s="41" t="inlineStr">
        <is>
          <t>EUR</t>
        </is>
      </c>
      <c r="L1101" s="42" t="n">
        <v>39412</v>
      </c>
    </row>
    <row r="1102">
      <c r="B1102" s="39" t="inlineStr">
        <is>
          <t>ISCOM_PAR</t>
        </is>
      </c>
      <c r="C1102" s="40" t="inlineStr">
        <is>
          <t>BAC_COM</t>
        </is>
      </c>
      <c r="D1102" s="40" t="inlineStr">
        <is>
          <t>B2</t>
        </is>
      </c>
      <c r="E1102" s="40" t="inlineStr">
        <is>
          <t>ALT</t>
        </is>
      </c>
      <c r="F1102" s="40" t="inlineStr">
        <is>
          <t>622600</t>
        </is>
      </c>
      <c r="G1102" s="39" t="inlineStr">
        <is>
          <t>Honoraires &amp; frais de siège (structure groupe)</t>
        </is>
      </c>
      <c r="H1102" s="40" t="inlineStr">
        <is>
          <t>COMPTABLE</t>
        </is>
      </c>
      <c r="I1102" s="41" t="inlineStr">
        <is>
          <t>2025FCST_V4</t>
        </is>
      </c>
      <c r="J1102" s="41" t="n">
        <v>2025</v>
      </c>
      <c r="K1102" s="41" t="inlineStr">
        <is>
          <t>EUR</t>
        </is>
      </c>
      <c r="L1102" s="42" t="n">
        <v>41486</v>
      </c>
    </row>
    <row r="1103">
      <c r="B1103" s="39" t="inlineStr">
        <is>
          <t>ISCOM_PAR</t>
        </is>
      </c>
      <c r="C1103" s="40" t="inlineStr">
        <is>
          <t>BAC_COM</t>
        </is>
      </c>
      <c r="D1103" s="40" t="inlineStr">
        <is>
          <t>B2</t>
        </is>
      </c>
      <c r="E1103" s="40" t="inlineStr">
        <is>
          <t>ALT</t>
        </is>
      </c>
      <c r="F1103" s="40" t="inlineStr">
        <is>
          <t>606800</t>
        </is>
      </c>
      <c r="G1103" s="39" t="inlineStr">
        <is>
          <t>Autres achats &amp; charges externes</t>
        </is>
      </c>
      <c r="H1103" s="40" t="inlineStr">
        <is>
          <t>COMPTABLE</t>
        </is>
      </c>
      <c r="I1103" s="41" t="inlineStr">
        <is>
          <t>2023ACT_VDEF</t>
        </is>
      </c>
      <c r="J1103" s="41" t="n">
        <v>2023</v>
      </c>
      <c r="K1103" s="41" t="inlineStr">
        <is>
          <t>EUR</t>
        </is>
      </c>
      <c r="L1103" s="42" t="n">
        <v>51277</v>
      </c>
    </row>
    <row r="1104">
      <c r="B1104" s="39" t="inlineStr">
        <is>
          <t>ISCOM_PAR</t>
        </is>
      </c>
      <c r="C1104" s="40" t="inlineStr">
        <is>
          <t>BAC_COM</t>
        </is>
      </c>
      <c r="D1104" s="40" t="inlineStr">
        <is>
          <t>B2</t>
        </is>
      </c>
      <c r="E1104" s="40" t="inlineStr">
        <is>
          <t>ALT</t>
        </is>
      </c>
      <c r="F1104" s="40" t="inlineStr">
        <is>
          <t>606800</t>
        </is>
      </c>
      <c r="G1104" s="39" t="inlineStr">
        <is>
          <t>Autres achats &amp; charges externes</t>
        </is>
      </c>
      <c r="H1104" s="40" t="inlineStr">
        <is>
          <t>COMPTABLE</t>
        </is>
      </c>
      <c r="I1104" s="41" t="inlineStr">
        <is>
          <t>2024ACT_VDEF</t>
        </is>
      </c>
      <c r="J1104" s="41" t="n">
        <v>2024</v>
      </c>
      <c r="K1104" s="41" t="inlineStr">
        <is>
          <t>EUR</t>
        </is>
      </c>
      <c r="L1104" s="42" t="n">
        <v>54125</v>
      </c>
    </row>
    <row r="1105">
      <c r="B1105" s="39" t="inlineStr">
        <is>
          <t>ISCOM_PAR</t>
        </is>
      </c>
      <c r="C1105" s="40" t="inlineStr">
        <is>
          <t>BAC_COM</t>
        </is>
      </c>
      <c r="D1105" s="40" t="inlineStr">
        <is>
          <t>B2</t>
        </is>
      </c>
      <c r="E1105" s="40" t="inlineStr">
        <is>
          <t>ALT</t>
        </is>
      </c>
      <c r="F1105" s="40" t="inlineStr">
        <is>
          <t>606800</t>
        </is>
      </c>
      <c r="G1105" s="39" t="inlineStr">
        <is>
          <t>Autres achats &amp; charges externes</t>
        </is>
      </c>
      <c r="H1105" s="40" t="inlineStr">
        <is>
          <t>COMPTABLE</t>
        </is>
      </c>
      <c r="I1105" s="41" t="inlineStr">
        <is>
          <t>2025FCST_V4</t>
        </is>
      </c>
      <c r="J1105" s="41" t="n">
        <v>2025</v>
      </c>
      <c r="K1105" s="41" t="inlineStr">
        <is>
          <t>EUR</t>
        </is>
      </c>
      <c r="L1105" s="42" t="n">
        <v>56974</v>
      </c>
    </row>
    <row r="1106">
      <c r="B1106" s="39" t="inlineStr">
        <is>
          <t>ISCOM_PAR</t>
        </is>
      </c>
      <c r="C1106" s="40" t="inlineStr">
        <is>
          <t>BAC_COM</t>
        </is>
      </c>
      <c r="D1106" s="40" t="inlineStr">
        <is>
          <t>B2</t>
        </is>
      </c>
      <c r="E1106" s="40" t="inlineStr">
        <is>
          <t>ALT</t>
        </is>
      </c>
      <c r="F1106" s="40" t="inlineStr">
        <is>
          <t>681100</t>
        </is>
      </c>
      <c r="G1106" s="39" t="inlineStr">
        <is>
          <t>Dotations aux amortissements</t>
        </is>
      </c>
      <c r="H1106" s="40" t="inlineStr">
        <is>
          <t>COMPTABLE</t>
        </is>
      </c>
      <c r="I1106" s="41" t="inlineStr">
        <is>
          <t>2023ACT_VDEF</t>
        </is>
      </c>
      <c r="J1106" s="41" t="n">
        <v>2023</v>
      </c>
      <c r="K1106" s="41" t="inlineStr">
        <is>
          <t>EUR</t>
        </is>
      </c>
      <c r="L1106" s="42" t="n">
        <v>22418</v>
      </c>
    </row>
    <row r="1107">
      <c r="B1107" s="39" t="inlineStr">
        <is>
          <t>ISCOM_PAR</t>
        </is>
      </c>
      <c r="C1107" s="40" t="inlineStr">
        <is>
          <t>BAC_COM</t>
        </is>
      </c>
      <c r="D1107" s="40" t="inlineStr">
        <is>
          <t>B2</t>
        </is>
      </c>
      <c r="E1107" s="40" t="inlineStr">
        <is>
          <t>ALT</t>
        </is>
      </c>
      <c r="F1107" s="40" t="inlineStr">
        <is>
          <t>681100</t>
        </is>
      </c>
      <c r="G1107" s="39" t="inlineStr">
        <is>
          <t>Dotations aux amortissements</t>
        </is>
      </c>
      <c r="H1107" s="40" t="inlineStr">
        <is>
          <t>COMPTABLE</t>
        </is>
      </c>
      <c r="I1107" s="41" t="inlineStr">
        <is>
          <t>2024ACT_VDEF</t>
        </is>
      </c>
      <c r="J1107" s="41" t="n">
        <v>2024</v>
      </c>
      <c r="K1107" s="41" t="inlineStr">
        <is>
          <t>EUR</t>
        </is>
      </c>
      <c r="L1107" s="42" t="n">
        <v>23664</v>
      </c>
    </row>
    <row r="1108">
      <c r="B1108" s="39" t="inlineStr">
        <is>
          <t>ISCOM_PAR</t>
        </is>
      </c>
      <c r="C1108" s="40" t="inlineStr">
        <is>
          <t>BAC_COM</t>
        </is>
      </c>
      <c r="D1108" s="40" t="inlineStr">
        <is>
          <t>B2</t>
        </is>
      </c>
      <c r="E1108" s="40" t="inlineStr">
        <is>
          <t>ALT</t>
        </is>
      </c>
      <c r="F1108" s="40" t="inlineStr">
        <is>
          <t>681100</t>
        </is>
      </c>
      <c r="G1108" s="39" t="inlineStr">
        <is>
          <t>Dotations aux amortissements</t>
        </is>
      </c>
      <c r="H1108" s="40" t="inlineStr">
        <is>
          <t>COMPTABLE</t>
        </is>
      </c>
      <c r="I1108" s="41" t="inlineStr">
        <is>
          <t>2025FCST_V4</t>
        </is>
      </c>
      <c r="J1108" s="41" t="n">
        <v>2025</v>
      </c>
      <c r="K1108" s="41" t="inlineStr">
        <is>
          <t>EUR</t>
        </is>
      </c>
      <c r="L1108" s="42" t="n">
        <v>24909</v>
      </c>
    </row>
    <row r="1109">
      <c r="B1109" s="39" t="inlineStr">
        <is>
          <t>ISCOM_PAR</t>
        </is>
      </c>
      <c r="C1109" s="40" t="inlineStr">
        <is>
          <t>BAC_COM</t>
        </is>
      </c>
      <c r="D1109" s="40" t="inlineStr">
        <is>
          <t>B2</t>
        </is>
      </c>
      <c r="E1109" s="40" t="inlineStr">
        <is>
          <t>ALT</t>
        </is>
      </c>
      <c r="F1109" s="40" t="inlineStr">
        <is>
          <t>STA_EFF</t>
        </is>
      </c>
      <c r="G1109" s="39" t="inlineStr">
        <is>
          <t>Effectif inscrit</t>
        </is>
      </c>
      <c r="H1109" s="40" t="inlineStr">
        <is>
          <t>TECHNIQUE</t>
        </is>
      </c>
      <c r="I1109" s="41" t="inlineStr">
        <is>
          <t>2023ACT_VDEF</t>
        </is>
      </c>
      <c r="J1109" s="41" t="n">
        <v>2023</v>
      </c>
      <c r="K1109" s="41" t="inlineStr">
        <is>
          <t>NB</t>
        </is>
      </c>
      <c r="L1109" s="43" t="n">
        <v>55</v>
      </c>
    </row>
    <row r="1110">
      <c r="B1110" s="39" t="inlineStr">
        <is>
          <t>ISCOM_PAR</t>
        </is>
      </c>
      <c r="C1110" s="40" t="inlineStr">
        <is>
          <t>BAC_COM</t>
        </is>
      </c>
      <c r="D1110" s="40" t="inlineStr">
        <is>
          <t>B2</t>
        </is>
      </c>
      <c r="E1110" s="40" t="inlineStr">
        <is>
          <t>ALT</t>
        </is>
      </c>
      <c r="F1110" s="40" t="inlineStr">
        <is>
          <t>STA_EFF</t>
        </is>
      </c>
      <c r="G1110" s="39" t="inlineStr">
        <is>
          <t>Effectif inscrit</t>
        </is>
      </c>
      <c r="H1110" s="40" t="inlineStr">
        <is>
          <t>TECHNIQUE</t>
        </is>
      </c>
      <c r="I1110" s="41" t="inlineStr">
        <is>
          <t>2024ACT_VDEF</t>
        </is>
      </c>
      <c r="J1110" s="41" t="n">
        <v>2024</v>
      </c>
      <c r="K1110" s="41" t="inlineStr">
        <is>
          <t>NB</t>
        </is>
      </c>
      <c r="L1110" s="43" t="n">
        <v>58</v>
      </c>
    </row>
    <row r="1111">
      <c r="B1111" s="39" t="inlineStr">
        <is>
          <t>ISCOM_PAR</t>
        </is>
      </c>
      <c r="C1111" s="40" t="inlineStr">
        <is>
          <t>BAC_COM</t>
        </is>
      </c>
      <c r="D1111" s="40" t="inlineStr">
        <is>
          <t>B2</t>
        </is>
      </c>
      <c r="E1111" s="40" t="inlineStr">
        <is>
          <t>ALT</t>
        </is>
      </c>
      <c r="F1111" s="40" t="inlineStr">
        <is>
          <t>STA_EFF</t>
        </is>
      </c>
      <c r="G1111" s="39" t="inlineStr">
        <is>
          <t>Effectif inscrit</t>
        </is>
      </c>
      <c r="H1111" s="40" t="inlineStr">
        <is>
          <t>TECHNIQUE</t>
        </is>
      </c>
      <c r="I1111" s="41" t="inlineStr">
        <is>
          <t>2025FCST_V4</t>
        </is>
      </c>
      <c r="J1111" s="41" t="n">
        <v>2025</v>
      </c>
      <c r="K1111" s="41" t="inlineStr">
        <is>
          <t>NB</t>
        </is>
      </c>
      <c r="L1111" s="43" t="n">
        <v>61</v>
      </c>
    </row>
    <row r="1112">
      <c r="B1112" s="39" t="inlineStr">
        <is>
          <t>ISCOM_PAR</t>
        </is>
      </c>
      <c r="C1112" s="40" t="inlineStr">
        <is>
          <t>BAC_COM</t>
        </is>
      </c>
      <c r="D1112" s="40" t="inlineStr">
        <is>
          <t>B2</t>
        </is>
      </c>
      <c r="E1112" s="40" t="inlineStr">
        <is>
          <t>ALT</t>
        </is>
      </c>
      <c r="F1112" s="40" t="inlineStr">
        <is>
          <t>STA_REINS</t>
        </is>
      </c>
      <c r="G1112" s="39" t="inlineStr">
        <is>
          <t>Réinscrits</t>
        </is>
      </c>
      <c r="H1112" s="40" t="inlineStr">
        <is>
          <t>TECHNIQUE</t>
        </is>
      </c>
      <c r="I1112" s="41" t="inlineStr">
        <is>
          <t>2023ACT_VDEF</t>
        </is>
      </c>
      <c r="J1112" s="41" t="n">
        <v>2023</v>
      </c>
      <c r="K1112" s="41" t="inlineStr">
        <is>
          <t>NB</t>
        </is>
      </c>
      <c r="L1112" s="43" t="n">
        <v>55</v>
      </c>
    </row>
    <row r="1113">
      <c r="B1113" s="39" t="inlineStr">
        <is>
          <t>ISCOM_PAR</t>
        </is>
      </c>
      <c r="C1113" s="40" t="inlineStr">
        <is>
          <t>BAC_COM</t>
        </is>
      </c>
      <c r="D1113" s="40" t="inlineStr">
        <is>
          <t>B2</t>
        </is>
      </c>
      <c r="E1113" s="40" t="inlineStr">
        <is>
          <t>ALT</t>
        </is>
      </c>
      <c r="F1113" s="40" t="inlineStr">
        <is>
          <t>STA_REINS</t>
        </is>
      </c>
      <c r="G1113" s="39" t="inlineStr">
        <is>
          <t>Réinscrits</t>
        </is>
      </c>
      <c r="H1113" s="40" t="inlineStr">
        <is>
          <t>TECHNIQUE</t>
        </is>
      </c>
      <c r="I1113" s="41" t="inlineStr">
        <is>
          <t>2024ACT_VDEF</t>
        </is>
      </c>
      <c r="J1113" s="41" t="n">
        <v>2024</v>
      </c>
      <c r="K1113" s="41" t="inlineStr">
        <is>
          <t>NB</t>
        </is>
      </c>
      <c r="L1113" s="43" t="n">
        <v>58</v>
      </c>
    </row>
    <row r="1114">
      <c r="B1114" s="39" t="inlineStr">
        <is>
          <t>ISCOM_PAR</t>
        </is>
      </c>
      <c r="C1114" s="40" t="inlineStr">
        <is>
          <t>BAC_COM</t>
        </is>
      </c>
      <c r="D1114" s="40" t="inlineStr">
        <is>
          <t>B2</t>
        </is>
      </c>
      <c r="E1114" s="40" t="inlineStr">
        <is>
          <t>ALT</t>
        </is>
      </c>
      <c r="F1114" s="40" t="inlineStr">
        <is>
          <t>STA_REINS</t>
        </is>
      </c>
      <c r="G1114" s="39" t="inlineStr">
        <is>
          <t>Réinscrits</t>
        </is>
      </c>
      <c r="H1114" s="40" t="inlineStr">
        <is>
          <t>TECHNIQUE</t>
        </is>
      </c>
      <c r="I1114" s="41" t="inlineStr">
        <is>
          <t>2025FCST_V4</t>
        </is>
      </c>
      <c r="J1114" s="41" t="n">
        <v>2025</v>
      </c>
      <c r="K1114" s="41" t="inlineStr">
        <is>
          <t>NB</t>
        </is>
      </c>
      <c r="L1114" s="43" t="n">
        <v>61</v>
      </c>
    </row>
    <row r="1115">
      <c r="B1115" s="39" t="inlineStr">
        <is>
          <t>ISCOM_PAR</t>
        </is>
      </c>
      <c r="C1115" s="40" t="inlineStr">
        <is>
          <t>BAC_COM</t>
        </is>
      </c>
      <c r="D1115" s="40" t="inlineStr">
        <is>
          <t>B2</t>
        </is>
      </c>
      <c r="E1115" s="40" t="inlineStr">
        <is>
          <t>ALT</t>
        </is>
      </c>
      <c r="F1115" s="40" t="inlineStr">
        <is>
          <t>STA_CLASS</t>
        </is>
      </c>
      <c r="G1115" s="39" t="inlineStr">
        <is>
          <t>Nombre de classes</t>
        </is>
      </c>
      <c r="H1115" s="40" t="inlineStr">
        <is>
          <t>TECHNIQUE</t>
        </is>
      </c>
      <c r="I1115" s="41" t="inlineStr">
        <is>
          <t>2023ACT_VDEF</t>
        </is>
      </c>
      <c r="J1115" s="41" t="n">
        <v>2023</v>
      </c>
      <c r="K1115" s="41" t="inlineStr">
        <is>
          <t>NB</t>
        </is>
      </c>
      <c r="L1115" s="43" t="n">
        <v>2</v>
      </c>
    </row>
    <row r="1116">
      <c r="B1116" s="39" t="inlineStr">
        <is>
          <t>ISCOM_PAR</t>
        </is>
      </c>
      <c r="C1116" s="40" t="inlineStr">
        <is>
          <t>BAC_COM</t>
        </is>
      </c>
      <c r="D1116" s="40" t="inlineStr">
        <is>
          <t>B2</t>
        </is>
      </c>
      <c r="E1116" s="40" t="inlineStr">
        <is>
          <t>ALT</t>
        </is>
      </c>
      <c r="F1116" s="40" t="inlineStr">
        <is>
          <t>STA_CLASS</t>
        </is>
      </c>
      <c r="G1116" s="39" t="inlineStr">
        <is>
          <t>Nombre de classes</t>
        </is>
      </c>
      <c r="H1116" s="40" t="inlineStr">
        <is>
          <t>TECHNIQUE</t>
        </is>
      </c>
      <c r="I1116" s="41" t="inlineStr">
        <is>
          <t>2024ACT_VDEF</t>
        </is>
      </c>
      <c r="J1116" s="41" t="n">
        <v>2024</v>
      </c>
      <c r="K1116" s="41" t="inlineStr">
        <is>
          <t>NB</t>
        </is>
      </c>
      <c r="L1116" s="43" t="n">
        <v>2</v>
      </c>
    </row>
    <row r="1117">
      <c r="B1117" s="39" t="inlineStr">
        <is>
          <t>ISCOM_PAR</t>
        </is>
      </c>
      <c r="C1117" s="40" t="inlineStr">
        <is>
          <t>BAC_COM</t>
        </is>
      </c>
      <c r="D1117" s="40" t="inlineStr">
        <is>
          <t>B2</t>
        </is>
      </c>
      <c r="E1117" s="40" t="inlineStr">
        <is>
          <t>ALT</t>
        </is>
      </c>
      <c r="F1117" s="40" t="inlineStr">
        <is>
          <t>STA_CLASS</t>
        </is>
      </c>
      <c r="G1117" s="39" t="inlineStr">
        <is>
          <t>Nombre de classes</t>
        </is>
      </c>
      <c r="H1117" s="40" t="inlineStr">
        <is>
          <t>TECHNIQUE</t>
        </is>
      </c>
      <c r="I1117" s="41" t="inlineStr">
        <is>
          <t>2025FCST_V4</t>
        </is>
      </c>
      <c r="J1117" s="41" t="n">
        <v>2025</v>
      </c>
      <c r="K1117" s="41" t="inlineStr">
        <is>
          <t>NB</t>
        </is>
      </c>
      <c r="L1117" s="43" t="n">
        <v>2</v>
      </c>
    </row>
    <row r="1118">
      <c r="B1118" s="39" t="inlineStr">
        <is>
          <t>ISCOM_PAR</t>
        </is>
      </c>
      <c r="C1118" s="40" t="inlineStr">
        <is>
          <t>BAC_COM</t>
        </is>
      </c>
      <c r="D1118" s="40" t="inlineStr">
        <is>
          <t>B2</t>
        </is>
      </c>
      <c r="E1118" s="40" t="inlineStr">
        <is>
          <t>ALT</t>
        </is>
      </c>
      <c r="F1118" s="40" t="inlineStr">
        <is>
          <t>STA_HEURE</t>
        </is>
      </c>
      <c r="G1118" s="39" t="inlineStr">
        <is>
          <t>Heures d'enseignement</t>
        </is>
      </c>
      <c r="H1118" s="40" t="inlineStr">
        <is>
          <t>TECHNIQUE</t>
        </is>
      </c>
      <c r="I1118" s="41" t="inlineStr">
        <is>
          <t>2023ACT_VDEF</t>
        </is>
      </c>
      <c r="J1118" s="41" t="n">
        <v>2023</v>
      </c>
      <c r="K1118" s="41" t="inlineStr">
        <is>
          <t>NB</t>
        </is>
      </c>
      <c r="L1118" s="43" t="n">
        <v>1008</v>
      </c>
    </row>
    <row r="1119">
      <c r="B1119" s="39" t="inlineStr">
        <is>
          <t>ISCOM_PAR</t>
        </is>
      </c>
      <c r="C1119" s="40" t="inlineStr">
        <is>
          <t>BAC_COM</t>
        </is>
      </c>
      <c r="D1119" s="40" t="inlineStr">
        <is>
          <t>B2</t>
        </is>
      </c>
      <c r="E1119" s="40" t="inlineStr">
        <is>
          <t>ALT</t>
        </is>
      </c>
      <c r="F1119" s="40" t="inlineStr">
        <is>
          <t>STA_HEURE</t>
        </is>
      </c>
      <c r="G1119" s="39" t="inlineStr">
        <is>
          <t>Heures d'enseignement</t>
        </is>
      </c>
      <c r="H1119" s="40" t="inlineStr">
        <is>
          <t>TECHNIQUE</t>
        </is>
      </c>
      <c r="I1119" s="41" t="inlineStr">
        <is>
          <t>2024ACT_VDEF</t>
        </is>
      </c>
      <c r="J1119" s="41" t="n">
        <v>2024</v>
      </c>
      <c r="K1119" s="41" t="inlineStr">
        <is>
          <t>NB</t>
        </is>
      </c>
      <c r="L1119" s="43" t="n">
        <v>1064</v>
      </c>
    </row>
    <row r="1120">
      <c r="B1120" s="39" t="inlineStr">
        <is>
          <t>ISCOM_PAR</t>
        </is>
      </c>
      <c r="C1120" s="40" t="inlineStr">
        <is>
          <t>BAC_COM</t>
        </is>
      </c>
      <c r="D1120" s="40" t="inlineStr">
        <is>
          <t>B2</t>
        </is>
      </c>
      <c r="E1120" s="40" t="inlineStr">
        <is>
          <t>ALT</t>
        </is>
      </c>
      <c r="F1120" s="40" t="inlineStr">
        <is>
          <t>STA_HEURE</t>
        </is>
      </c>
      <c r="G1120" s="39" t="inlineStr">
        <is>
          <t>Heures d'enseignement</t>
        </is>
      </c>
      <c r="H1120" s="40" t="inlineStr">
        <is>
          <t>TECHNIQUE</t>
        </is>
      </c>
      <c r="I1120" s="41" t="inlineStr">
        <is>
          <t>2025FCST_V4</t>
        </is>
      </c>
      <c r="J1120" s="41" t="n">
        <v>2025</v>
      </c>
      <c r="K1120" s="41" t="inlineStr">
        <is>
          <t>NB</t>
        </is>
      </c>
      <c r="L1120" s="43" t="n">
        <v>1120</v>
      </c>
    </row>
    <row r="1121">
      <c r="B1121" s="39" t="inlineStr">
        <is>
          <t>ISCOM_PAR</t>
        </is>
      </c>
      <c r="C1121" s="40" t="inlineStr">
        <is>
          <t>BAC_COM</t>
        </is>
      </c>
      <c r="D1121" s="40" t="inlineStr">
        <is>
          <t>B2</t>
        </is>
      </c>
      <c r="E1121" s="40" t="inlineStr">
        <is>
          <t>ALT</t>
        </is>
      </c>
      <c r="F1121" s="40" t="inlineStr">
        <is>
          <t>STA_CAPA</t>
        </is>
      </c>
      <c r="G1121" s="39" t="inlineStr">
        <is>
          <t>Capacité par classe</t>
        </is>
      </c>
      <c r="H1121" s="40" t="inlineStr">
        <is>
          <t>TECHNIQUE</t>
        </is>
      </c>
      <c r="I1121" s="41" t="inlineStr">
        <is>
          <t>2023ACT_VDEF</t>
        </is>
      </c>
      <c r="J1121" s="41" t="n">
        <v>2023</v>
      </c>
      <c r="K1121" s="41" t="inlineStr">
        <is>
          <t>NB</t>
        </is>
      </c>
      <c r="L1121" s="43" t="n">
        <v>32</v>
      </c>
    </row>
    <row r="1122">
      <c r="B1122" s="39" t="inlineStr">
        <is>
          <t>ISCOM_PAR</t>
        </is>
      </c>
      <c r="C1122" s="40" t="inlineStr">
        <is>
          <t>BAC_COM</t>
        </is>
      </c>
      <c r="D1122" s="40" t="inlineStr">
        <is>
          <t>B2</t>
        </is>
      </c>
      <c r="E1122" s="40" t="inlineStr">
        <is>
          <t>ALT</t>
        </is>
      </c>
      <c r="F1122" s="40" t="inlineStr">
        <is>
          <t>STA_CAPA</t>
        </is>
      </c>
      <c r="G1122" s="39" t="inlineStr">
        <is>
          <t>Capacité par classe</t>
        </is>
      </c>
      <c r="H1122" s="40" t="inlineStr">
        <is>
          <t>TECHNIQUE</t>
        </is>
      </c>
      <c r="I1122" s="41" t="inlineStr">
        <is>
          <t>2024ACT_VDEF</t>
        </is>
      </c>
      <c r="J1122" s="41" t="n">
        <v>2024</v>
      </c>
      <c r="K1122" s="41" t="inlineStr">
        <is>
          <t>NB</t>
        </is>
      </c>
      <c r="L1122" s="43" t="n">
        <v>32</v>
      </c>
    </row>
    <row r="1123">
      <c r="B1123" s="39" t="inlineStr">
        <is>
          <t>ISCOM_PAR</t>
        </is>
      </c>
      <c r="C1123" s="40" t="inlineStr">
        <is>
          <t>BAC_COM</t>
        </is>
      </c>
      <c r="D1123" s="40" t="inlineStr">
        <is>
          <t>B2</t>
        </is>
      </c>
      <c r="E1123" s="40" t="inlineStr">
        <is>
          <t>ALT</t>
        </is>
      </c>
      <c r="F1123" s="40" t="inlineStr">
        <is>
          <t>STA_CAPA</t>
        </is>
      </c>
      <c r="G1123" s="39" t="inlineStr">
        <is>
          <t>Capacité par classe</t>
        </is>
      </c>
      <c r="H1123" s="40" t="inlineStr">
        <is>
          <t>TECHNIQUE</t>
        </is>
      </c>
      <c r="I1123" s="41" t="inlineStr">
        <is>
          <t>2025FCST_V4</t>
        </is>
      </c>
      <c r="J1123" s="41" t="n">
        <v>2025</v>
      </c>
      <c r="K1123" s="41" t="inlineStr">
        <is>
          <t>NB</t>
        </is>
      </c>
      <c r="L1123" s="43" t="n">
        <v>32</v>
      </c>
    </row>
    <row r="1124">
      <c r="B1124" s="39" t="inlineStr">
        <is>
          <t>ISCOM_PAR</t>
        </is>
      </c>
      <c r="C1124" s="40" t="inlineStr">
        <is>
          <t>BAC_COM</t>
        </is>
      </c>
      <c r="D1124" s="40" t="inlineStr">
        <is>
          <t>B2</t>
        </is>
      </c>
      <c r="E1124" s="40" t="inlineStr">
        <is>
          <t>ALT</t>
        </is>
      </c>
      <c r="F1124" s="40" t="inlineStr">
        <is>
          <t>DRV_PASS</t>
        </is>
      </c>
      <c r="G1124" s="39" t="inlineStr">
        <is>
          <t>Taux de passage (réinscription)</t>
        </is>
      </c>
      <c r="H1124" s="40" t="inlineStr">
        <is>
          <t>TECHNIQUE</t>
        </is>
      </c>
      <c r="I1124" s="41" t="inlineStr">
        <is>
          <t>2023ACT_VDEF</t>
        </is>
      </c>
      <c r="J1124" s="41" t="n">
        <v>2023</v>
      </c>
      <c r="K1124" s="41" t="inlineStr">
        <is>
          <t>PCT</t>
        </is>
      </c>
      <c r="L1124" s="44" t="n">
        <v>0.93</v>
      </c>
    </row>
    <row r="1125">
      <c r="B1125" s="39" t="inlineStr">
        <is>
          <t>ISCOM_PAR</t>
        </is>
      </c>
      <c r="C1125" s="40" t="inlineStr">
        <is>
          <t>BAC_COM</t>
        </is>
      </c>
      <c r="D1125" s="40" t="inlineStr">
        <is>
          <t>B2</t>
        </is>
      </c>
      <c r="E1125" s="40" t="inlineStr">
        <is>
          <t>ALT</t>
        </is>
      </c>
      <c r="F1125" s="40" t="inlineStr">
        <is>
          <t>DRV_PASS</t>
        </is>
      </c>
      <c r="G1125" s="39" t="inlineStr">
        <is>
          <t>Taux de passage (réinscription)</t>
        </is>
      </c>
      <c r="H1125" s="40" t="inlineStr">
        <is>
          <t>TECHNIQUE</t>
        </is>
      </c>
      <c r="I1125" s="41" t="inlineStr">
        <is>
          <t>2024ACT_VDEF</t>
        </is>
      </c>
      <c r="J1125" s="41" t="n">
        <v>2024</v>
      </c>
      <c r="K1125" s="41" t="inlineStr">
        <is>
          <t>PCT</t>
        </is>
      </c>
      <c r="L1125" s="44" t="n">
        <v>0.93</v>
      </c>
    </row>
    <row r="1126">
      <c r="B1126" s="39" t="inlineStr">
        <is>
          <t>ISCOM_PAR</t>
        </is>
      </c>
      <c r="C1126" s="40" t="inlineStr">
        <is>
          <t>BAC_COM</t>
        </is>
      </c>
      <c r="D1126" s="40" t="inlineStr">
        <is>
          <t>B2</t>
        </is>
      </c>
      <c r="E1126" s="40" t="inlineStr">
        <is>
          <t>ALT</t>
        </is>
      </c>
      <c r="F1126" s="40" t="inlineStr">
        <is>
          <t>DRV_PASS</t>
        </is>
      </c>
      <c r="G1126" s="39" t="inlineStr">
        <is>
          <t>Taux de passage (réinscription)</t>
        </is>
      </c>
      <c r="H1126" s="40" t="inlineStr">
        <is>
          <t>TECHNIQUE</t>
        </is>
      </c>
      <c r="I1126" s="41" t="inlineStr">
        <is>
          <t>2025FCST_V4</t>
        </is>
      </c>
      <c r="J1126" s="41" t="n">
        <v>2025</v>
      </c>
      <c r="K1126" s="41" t="inlineStr">
        <is>
          <t>PCT</t>
        </is>
      </c>
      <c r="L1126" s="44" t="n">
        <v>0.93</v>
      </c>
    </row>
    <row r="1127">
      <c r="B1127" s="39" t="inlineStr">
        <is>
          <t>ISCOM_PAR</t>
        </is>
      </c>
      <c r="C1127" s="40" t="inlineStr">
        <is>
          <t>BAC_COM</t>
        </is>
      </c>
      <c r="D1127" s="40" t="inlineStr">
        <is>
          <t>B2</t>
        </is>
      </c>
      <c r="E1127" s="40" t="inlineStr">
        <is>
          <t>ALT</t>
        </is>
      </c>
      <c r="F1127" s="40" t="inlineStr">
        <is>
          <t>PRX_TARIF</t>
        </is>
      </c>
      <c r="G1127" s="39" t="inlineStr">
        <is>
          <t>Tarif moyen scolarité</t>
        </is>
      </c>
      <c r="H1127" s="40" t="inlineStr">
        <is>
          <t>TECHNIQUE</t>
        </is>
      </c>
      <c r="I1127" s="41" t="inlineStr">
        <is>
          <t>2023ACT_VDEF</t>
        </is>
      </c>
      <c r="J1127" s="41" t="n">
        <v>2023</v>
      </c>
      <c r="K1127" s="41" t="inlineStr">
        <is>
          <t>EUR</t>
        </is>
      </c>
      <c r="L1127" s="42" t="n">
        <v>8000</v>
      </c>
    </row>
    <row r="1128">
      <c r="B1128" s="39" t="inlineStr">
        <is>
          <t>ISCOM_PAR</t>
        </is>
      </c>
      <c r="C1128" s="40" t="inlineStr">
        <is>
          <t>BAC_COM</t>
        </is>
      </c>
      <c r="D1128" s="40" t="inlineStr">
        <is>
          <t>B2</t>
        </is>
      </c>
      <c r="E1128" s="40" t="inlineStr">
        <is>
          <t>ALT</t>
        </is>
      </c>
      <c r="F1128" s="40" t="inlineStr">
        <is>
          <t>PRX_TARIF</t>
        </is>
      </c>
      <c r="G1128" s="39" t="inlineStr">
        <is>
          <t>Tarif moyen scolarité</t>
        </is>
      </c>
      <c r="H1128" s="40" t="inlineStr">
        <is>
          <t>TECHNIQUE</t>
        </is>
      </c>
      <c r="I1128" s="41" t="inlineStr">
        <is>
          <t>2024ACT_VDEF</t>
        </is>
      </c>
      <c r="J1128" s="41" t="n">
        <v>2024</v>
      </c>
      <c r="K1128" s="41" t="inlineStr">
        <is>
          <t>EUR</t>
        </is>
      </c>
      <c r="L1128" s="42" t="n">
        <v>8000</v>
      </c>
    </row>
    <row r="1129">
      <c r="B1129" s="39" t="inlineStr">
        <is>
          <t>ISCOM_PAR</t>
        </is>
      </c>
      <c r="C1129" s="40" t="inlineStr">
        <is>
          <t>BAC_COM</t>
        </is>
      </c>
      <c r="D1129" s="40" t="inlineStr">
        <is>
          <t>B2</t>
        </is>
      </c>
      <c r="E1129" s="40" t="inlineStr">
        <is>
          <t>ALT</t>
        </is>
      </c>
      <c r="F1129" s="40" t="inlineStr">
        <is>
          <t>PRX_TARIF</t>
        </is>
      </c>
      <c r="G1129" s="39" t="inlineStr">
        <is>
          <t>Tarif moyen scolarité</t>
        </is>
      </c>
      <c r="H1129" s="40" t="inlineStr">
        <is>
          <t>TECHNIQUE</t>
        </is>
      </c>
      <c r="I1129" s="41" t="inlineStr">
        <is>
          <t>2025FCST_V4</t>
        </is>
      </c>
      <c r="J1129" s="41" t="n">
        <v>2025</v>
      </c>
      <c r="K1129" s="41" t="inlineStr">
        <is>
          <t>EUR</t>
        </is>
      </c>
      <c r="L1129" s="42" t="n">
        <v>8000</v>
      </c>
    </row>
    <row r="1130">
      <c r="B1130" s="39" t="inlineStr">
        <is>
          <t>ISCOM_PAR</t>
        </is>
      </c>
      <c r="C1130" s="40" t="inlineStr">
        <is>
          <t>BAC_COM</t>
        </is>
      </c>
      <c r="D1130" s="40" t="inlineStr">
        <is>
          <t>B3</t>
        </is>
      </c>
      <c r="E1130" s="40" t="inlineStr">
        <is>
          <t>ALT</t>
        </is>
      </c>
      <c r="F1130" s="40" t="inlineStr">
        <is>
          <t>706100</t>
        </is>
      </c>
      <c r="G1130" s="39" t="inlineStr">
        <is>
          <t>Droits de scolarité</t>
        </is>
      </c>
      <c r="H1130" s="40" t="inlineStr">
        <is>
          <t>COMPTABLE</t>
        </is>
      </c>
      <c r="I1130" s="41" t="inlineStr">
        <is>
          <t>2023ACT_VDEF</t>
        </is>
      </c>
      <c r="J1130" s="41" t="n">
        <v>2023</v>
      </c>
      <c r="K1130" s="41" t="inlineStr">
        <is>
          <t>EUR</t>
        </is>
      </c>
      <c r="L1130" s="42" t="n">
        <v>388800</v>
      </c>
    </row>
    <row r="1131">
      <c r="B1131" s="39" t="inlineStr">
        <is>
          <t>ISCOM_PAR</t>
        </is>
      </c>
      <c r="C1131" s="40" t="inlineStr">
        <is>
          <t>BAC_COM</t>
        </is>
      </c>
      <c r="D1131" s="40" t="inlineStr">
        <is>
          <t>B3</t>
        </is>
      </c>
      <c r="E1131" s="40" t="inlineStr">
        <is>
          <t>ALT</t>
        </is>
      </c>
      <c r="F1131" s="40" t="inlineStr">
        <is>
          <t>706100</t>
        </is>
      </c>
      <c r="G1131" s="39" t="inlineStr">
        <is>
          <t>Droits de scolarité</t>
        </is>
      </c>
      <c r="H1131" s="40" t="inlineStr">
        <is>
          <t>COMPTABLE</t>
        </is>
      </c>
      <c r="I1131" s="41" t="inlineStr">
        <is>
          <t>2024ACT_VDEF</t>
        </is>
      </c>
      <c r="J1131" s="41" t="n">
        <v>2024</v>
      </c>
      <c r="K1131" s="41" t="inlineStr">
        <is>
          <t>EUR</t>
        </is>
      </c>
      <c r="L1131" s="42" t="n">
        <v>410400</v>
      </c>
    </row>
    <row r="1132">
      <c r="B1132" s="39" t="inlineStr">
        <is>
          <t>ISCOM_PAR</t>
        </is>
      </c>
      <c r="C1132" s="40" t="inlineStr">
        <is>
          <t>BAC_COM</t>
        </is>
      </c>
      <c r="D1132" s="40" t="inlineStr">
        <is>
          <t>B3</t>
        </is>
      </c>
      <c r="E1132" s="40" t="inlineStr">
        <is>
          <t>ALT</t>
        </is>
      </c>
      <c r="F1132" s="40" t="inlineStr">
        <is>
          <t>706100</t>
        </is>
      </c>
      <c r="G1132" s="39" t="inlineStr">
        <is>
          <t>Droits de scolarité</t>
        </is>
      </c>
      <c r="H1132" s="40" t="inlineStr">
        <is>
          <t>COMPTABLE</t>
        </is>
      </c>
      <c r="I1132" s="41" t="inlineStr">
        <is>
          <t>2025FCST_V4</t>
        </is>
      </c>
      <c r="J1132" s="41" t="n">
        <v>2025</v>
      </c>
      <c r="K1132" s="41" t="inlineStr">
        <is>
          <t>EUR</t>
        </is>
      </c>
      <c r="L1132" s="42" t="n">
        <v>432000</v>
      </c>
    </row>
    <row r="1133">
      <c r="B1133" s="39" t="inlineStr">
        <is>
          <t>ISCOM_PAR</t>
        </is>
      </c>
      <c r="C1133" s="40" t="inlineStr">
        <is>
          <t>BAC_COM</t>
        </is>
      </c>
      <c r="D1133" s="40" t="inlineStr">
        <is>
          <t>B3</t>
        </is>
      </c>
      <c r="E1133" s="40" t="inlineStr">
        <is>
          <t>ALT</t>
        </is>
      </c>
      <c r="F1133" s="40" t="inlineStr">
        <is>
          <t>604100</t>
        </is>
      </c>
      <c r="G1133" s="39" t="inlineStr">
        <is>
          <t>Vacations &amp; sous-traitance pédagogique</t>
        </is>
      </c>
      <c r="H1133" s="40" t="inlineStr">
        <is>
          <t>COMPTABLE</t>
        </is>
      </c>
      <c r="I1133" s="41" t="inlineStr">
        <is>
          <t>2023ACT_VDEF</t>
        </is>
      </c>
      <c r="J1133" s="41" t="n">
        <v>2023</v>
      </c>
      <c r="K1133" s="41" t="inlineStr">
        <is>
          <t>EUR</t>
        </is>
      </c>
      <c r="L1133" s="42" t="n">
        <v>58032</v>
      </c>
    </row>
    <row r="1134">
      <c r="B1134" s="39" t="inlineStr">
        <is>
          <t>ISCOM_PAR</t>
        </is>
      </c>
      <c r="C1134" s="40" t="inlineStr">
        <is>
          <t>BAC_COM</t>
        </is>
      </c>
      <c r="D1134" s="40" t="inlineStr">
        <is>
          <t>B3</t>
        </is>
      </c>
      <c r="E1134" s="40" t="inlineStr">
        <is>
          <t>ALT</t>
        </is>
      </c>
      <c r="F1134" s="40" t="inlineStr">
        <is>
          <t>604100</t>
        </is>
      </c>
      <c r="G1134" s="39" t="inlineStr">
        <is>
          <t>Vacations &amp; sous-traitance pédagogique</t>
        </is>
      </c>
      <c r="H1134" s="40" t="inlineStr">
        <is>
          <t>COMPTABLE</t>
        </is>
      </c>
      <c r="I1134" s="41" t="inlineStr">
        <is>
          <t>2024ACT_VDEF</t>
        </is>
      </c>
      <c r="J1134" s="41" t="n">
        <v>2024</v>
      </c>
      <c r="K1134" s="41" t="inlineStr">
        <is>
          <t>EUR</t>
        </is>
      </c>
      <c r="L1134" s="42" t="n">
        <v>61256</v>
      </c>
    </row>
    <row r="1135">
      <c r="B1135" s="39" t="inlineStr">
        <is>
          <t>ISCOM_PAR</t>
        </is>
      </c>
      <c r="C1135" s="40" t="inlineStr">
        <is>
          <t>BAC_COM</t>
        </is>
      </c>
      <c r="D1135" s="40" t="inlineStr">
        <is>
          <t>B3</t>
        </is>
      </c>
      <c r="E1135" s="40" t="inlineStr">
        <is>
          <t>ALT</t>
        </is>
      </c>
      <c r="F1135" s="40" t="inlineStr">
        <is>
          <t>604100</t>
        </is>
      </c>
      <c r="G1135" s="39" t="inlineStr">
        <is>
          <t>Vacations &amp; sous-traitance pédagogique</t>
        </is>
      </c>
      <c r="H1135" s="40" t="inlineStr">
        <is>
          <t>COMPTABLE</t>
        </is>
      </c>
      <c r="I1135" s="41" t="inlineStr">
        <is>
          <t>2025FCST_V4</t>
        </is>
      </c>
      <c r="J1135" s="41" t="n">
        <v>2025</v>
      </c>
      <c r="K1135" s="41" t="inlineStr">
        <is>
          <t>EUR</t>
        </is>
      </c>
      <c r="L1135" s="42" t="n">
        <v>64480</v>
      </c>
    </row>
    <row r="1136">
      <c r="B1136" s="39" t="inlineStr">
        <is>
          <t>ISCOM_PAR</t>
        </is>
      </c>
      <c r="C1136" s="40" t="inlineStr">
        <is>
          <t>BAC_COM</t>
        </is>
      </c>
      <c r="D1136" s="40" t="inlineStr">
        <is>
          <t>B3</t>
        </is>
      </c>
      <c r="E1136" s="40" t="inlineStr">
        <is>
          <t>ALT</t>
        </is>
      </c>
      <c r="F1136" s="40" t="inlineStr">
        <is>
          <t>606300</t>
        </is>
      </c>
      <c r="G1136" s="39" t="inlineStr">
        <is>
          <t>Fournitures &amp; ressources pédagogiques</t>
        </is>
      </c>
      <c r="H1136" s="40" t="inlineStr">
        <is>
          <t>COMPTABLE</t>
        </is>
      </c>
      <c r="I1136" s="41" t="inlineStr">
        <is>
          <t>2023ACT_VDEF</t>
        </is>
      </c>
      <c r="J1136" s="41" t="n">
        <v>2023</v>
      </c>
      <c r="K1136" s="41" t="inlineStr">
        <is>
          <t>EUR</t>
        </is>
      </c>
      <c r="L1136" s="42" t="n">
        <v>26730</v>
      </c>
    </row>
    <row r="1137">
      <c r="B1137" s="39" t="inlineStr">
        <is>
          <t>ISCOM_PAR</t>
        </is>
      </c>
      <c r="C1137" s="40" t="inlineStr">
        <is>
          <t>BAC_COM</t>
        </is>
      </c>
      <c r="D1137" s="40" t="inlineStr">
        <is>
          <t>B3</t>
        </is>
      </c>
      <c r="E1137" s="40" t="inlineStr">
        <is>
          <t>ALT</t>
        </is>
      </c>
      <c r="F1137" s="40" t="inlineStr">
        <is>
          <t>606300</t>
        </is>
      </c>
      <c r="G1137" s="39" t="inlineStr">
        <is>
          <t>Fournitures &amp; ressources pédagogiques</t>
        </is>
      </c>
      <c r="H1137" s="40" t="inlineStr">
        <is>
          <t>COMPTABLE</t>
        </is>
      </c>
      <c r="I1137" s="41" t="inlineStr">
        <is>
          <t>2024ACT_VDEF</t>
        </is>
      </c>
      <c r="J1137" s="41" t="n">
        <v>2024</v>
      </c>
      <c r="K1137" s="41" t="inlineStr">
        <is>
          <t>EUR</t>
        </is>
      </c>
      <c r="L1137" s="42" t="n">
        <v>28215</v>
      </c>
    </row>
    <row r="1138">
      <c r="B1138" s="39" t="inlineStr">
        <is>
          <t>ISCOM_PAR</t>
        </is>
      </c>
      <c r="C1138" s="40" t="inlineStr">
        <is>
          <t>BAC_COM</t>
        </is>
      </c>
      <c r="D1138" s="40" t="inlineStr">
        <is>
          <t>B3</t>
        </is>
      </c>
      <c r="E1138" s="40" t="inlineStr">
        <is>
          <t>ALT</t>
        </is>
      </c>
      <c r="F1138" s="40" t="inlineStr">
        <is>
          <t>606300</t>
        </is>
      </c>
      <c r="G1138" s="39" t="inlineStr">
        <is>
          <t>Fournitures &amp; ressources pédagogiques</t>
        </is>
      </c>
      <c r="H1138" s="40" t="inlineStr">
        <is>
          <t>COMPTABLE</t>
        </is>
      </c>
      <c r="I1138" s="41" t="inlineStr">
        <is>
          <t>2025FCST_V4</t>
        </is>
      </c>
      <c r="J1138" s="41" t="n">
        <v>2025</v>
      </c>
      <c r="K1138" s="41" t="inlineStr">
        <is>
          <t>EUR</t>
        </is>
      </c>
      <c r="L1138" s="42" t="n">
        <v>29700</v>
      </c>
    </row>
    <row r="1139">
      <c r="B1139" s="39" t="inlineStr">
        <is>
          <t>ISCOM_PAR</t>
        </is>
      </c>
      <c r="C1139" s="40" t="inlineStr">
        <is>
          <t>BAC_COM</t>
        </is>
      </c>
      <c r="D1139" s="40" t="inlineStr">
        <is>
          <t>B3</t>
        </is>
      </c>
      <c r="E1139" s="40" t="inlineStr">
        <is>
          <t>ALT</t>
        </is>
      </c>
      <c r="F1139" s="40" t="inlineStr">
        <is>
          <t>613200</t>
        </is>
      </c>
      <c r="G1139" s="39" t="inlineStr">
        <is>
          <t>Locations immobilières (loyers)</t>
        </is>
      </c>
      <c r="H1139" s="40" t="inlineStr">
        <is>
          <t>COMPTABLE</t>
        </is>
      </c>
      <c r="I1139" s="41" t="inlineStr">
        <is>
          <t>2023ACT_VDEF</t>
        </is>
      </c>
      <c r="J1139" s="41" t="n">
        <v>2023</v>
      </c>
      <c r="K1139" s="41" t="inlineStr">
        <is>
          <t>EUR</t>
        </is>
      </c>
      <c r="L1139" s="42" t="n">
        <v>41072</v>
      </c>
    </row>
    <row r="1140">
      <c r="B1140" s="39" t="inlineStr">
        <is>
          <t>ISCOM_PAR</t>
        </is>
      </c>
      <c r="C1140" s="40" t="inlineStr">
        <is>
          <t>BAC_COM</t>
        </is>
      </c>
      <c r="D1140" s="40" t="inlineStr">
        <is>
          <t>B3</t>
        </is>
      </c>
      <c r="E1140" s="40" t="inlineStr">
        <is>
          <t>ALT</t>
        </is>
      </c>
      <c r="F1140" s="40" t="inlineStr">
        <is>
          <t>613200</t>
        </is>
      </c>
      <c r="G1140" s="39" t="inlineStr">
        <is>
          <t>Locations immobilières (loyers)</t>
        </is>
      </c>
      <c r="H1140" s="40" t="inlineStr">
        <is>
          <t>COMPTABLE</t>
        </is>
      </c>
      <c r="I1140" s="41" t="inlineStr">
        <is>
          <t>2024ACT_VDEF</t>
        </is>
      </c>
      <c r="J1140" s="41" t="n">
        <v>2024</v>
      </c>
      <c r="K1140" s="41" t="inlineStr">
        <is>
          <t>EUR</t>
        </is>
      </c>
      <c r="L1140" s="42" t="n">
        <v>43354</v>
      </c>
    </row>
    <row r="1141">
      <c r="B1141" s="39" t="inlineStr">
        <is>
          <t>ISCOM_PAR</t>
        </is>
      </c>
      <c r="C1141" s="40" t="inlineStr">
        <is>
          <t>BAC_COM</t>
        </is>
      </c>
      <c r="D1141" s="40" t="inlineStr">
        <is>
          <t>B3</t>
        </is>
      </c>
      <c r="E1141" s="40" t="inlineStr">
        <is>
          <t>ALT</t>
        </is>
      </c>
      <c r="F1141" s="40" t="inlineStr">
        <is>
          <t>613200</t>
        </is>
      </c>
      <c r="G1141" s="39" t="inlineStr">
        <is>
          <t>Locations immobilières (loyers)</t>
        </is>
      </c>
      <c r="H1141" s="40" t="inlineStr">
        <is>
          <t>COMPTABLE</t>
        </is>
      </c>
      <c r="I1141" s="41" t="inlineStr">
        <is>
          <t>2025FCST_V4</t>
        </is>
      </c>
      <c r="J1141" s="41" t="n">
        <v>2025</v>
      </c>
      <c r="K1141" s="41" t="inlineStr">
        <is>
          <t>EUR</t>
        </is>
      </c>
      <c r="L1141" s="42" t="n">
        <v>45636</v>
      </c>
    </row>
    <row r="1142">
      <c r="B1142" s="39" t="inlineStr">
        <is>
          <t>ISCOM_PAR</t>
        </is>
      </c>
      <c r="C1142" s="40" t="inlineStr">
        <is>
          <t>BAC_COM</t>
        </is>
      </c>
      <c r="D1142" s="40" t="inlineStr">
        <is>
          <t>B3</t>
        </is>
      </c>
      <c r="E1142" s="40" t="inlineStr">
        <is>
          <t>ALT</t>
        </is>
      </c>
      <c r="F1142" s="40" t="inlineStr">
        <is>
          <t>641100</t>
        </is>
      </c>
      <c r="G1142" s="39" t="inlineStr">
        <is>
          <t>Rémunérations du personnel permanent</t>
        </is>
      </c>
      <c r="H1142" s="40" t="inlineStr">
        <is>
          <t>COMPTABLE</t>
        </is>
      </c>
      <c r="I1142" s="41" t="inlineStr">
        <is>
          <t>2023ACT_VDEF</t>
        </is>
      </c>
      <c r="J1142" s="41" t="n">
        <v>2023</v>
      </c>
      <c r="K1142" s="41" t="inlineStr">
        <is>
          <t>EUR</t>
        </is>
      </c>
      <c r="L1142" s="42" t="n">
        <v>94910</v>
      </c>
    </row>
    <row r="1143">
      <c r="B1143" s="39" t="inlineStr">
        <is>
          <t>ISCOM_PAR</t>
        </is>
      </c>
      <c r="C1143" s="40" t="inlineStr">
        <is>
          <t>BAC_COM</t>
        </is>
      </c>
      <c r="D1143" s="40" t="inlineStr">
        <is>
          <t>B3</t>
        </is>
      </c>
      <c r="E1143" s="40" t="inlineStr">
        <is>
          <t>ALT</t>
        </is>
      </c>
      <c r="F1143" s="40" t="inlineStr">
        <is>
          <t>641100</t>
        </is>
      </c>
      <c r="G1143" s="39" t="inlineStr">
        <is>
          <t>Rémunérations du personnel permanent</t>
        </is>
      </c>
      <c r="H1143" s="40" t="inlineStr">
        <is>
          <t>COMPTABLE</t>
        </is>
      </c>
      <c r="I1143" s="41" t="inlineStr">
        <is>
          <t>2024ACT_VDEF</t>
        </is>
      </c>
      <c r="J1143" s="41" t="n">
        <v>2024</v>
      </c>
      <c r="K1143" s="41" t="inlineStr">
        <is>
          <t>EUR</t>
        </is>
      </c>
      <c r="L1143" s="42" t="n">
        <v>100182</v>
      </c>
    </row>
    <row r="1144">
      <c r="B1144" s="39" t="inlineStr">
        <is>
          <t>ISCOM_PAR</t>
        </is>
      </c>
      <c r="C1144" s="40" t="inlineStr">
        <is>
          <t>BAC_COM</t>
        </is>
      </c>
      <c r="D1144" s="40" t="inlineStr">
        <is>
          <t>B3</t>
        </is>
      </c>
      <c r="E1144" s="40" t="inlineStr">
        <is>
          <t>ALT</t>
        </is>
      </c>
      <c r="F1144" s="40" t="inlineStr">
        <is>
          <t>641100</t>
        </is>
      </c>
      <c r="G1144" s="39" t="inlineStr">
        <is>
          <t>Rémunérations du personnel permanent</t>
        </is>
      </c>
      <c r="H1144" s="40" t="inlineStr">
        <is>
          <t>COMPTABLE</t>
        </is>
      </c>
      <c r="I1144" s="41" t="inlineStr">
        <is>
          <t>2025FCST_V4</t>
        </is>
      </c>
      <c r="J1144" s="41" t="n">
        <v>2025</v>
      </c>
      <c r="K1144" s="41" t="inlineStr">
        <is>
          <t>EUR</t>
        </is>
      </c>
      <c r="L1144" s="42" t="n">
        <v>105455</v>
      </c>
    </row>
    <row r="1145">
      <c r="B1145" s="39" t="inlineStr">
        <is>
          <t>ISCOM_PAR</t>
        </is>
      </c>
      <c r="C1145" s="40" t="inlineStr">
        <is>
          <t>BAC_COM</t>
        </is>
      </c>
      <c r="D1145" s="40" t="inlineStr">
        <is>
          <t>B3</t>
        </is>
      </c>
      <c r="E1145" s="40" t="inlineStr">
        <is>
          <t>ALT</t>
        </is>
      </c>
      <c r="F1145" s="40" t="inlineStr">
        <is>
          <t>622600</t>
        </is>
      </c>
      <c r="G1145" s="39" t="inlineStr">
        <is>
          <t>Honoraires &amp; frais de siège (structure groupe)</t>
        </is>
      </c>
      <c r="H1145" s="40" t="inlineStr">
        <is>
          <t>COMPTABLE</t>
        </is>
      </c>
      <c r="I1145" s="41" t="inlineStr">
        <is>
          <t>2023ACT_VDEF</t>
        </is>
      </c>
      <c r="J1145" s="41" t="n">
        <v>2023</v>
      </c>
      <c r="K1145" s="41" t="inlineStr">
        <is>
          <t>EUR</t>
        </is>
      </c>
      <c r="L1145" s="42" t="n">
        <v>37337</v>
      </c>
    </row>
    <row r="1146">
      <c r="B1146" s="39" t="inlineStr">
        <is>
          <t>ISCOM_PAR</t>
        </is>
      </c>
      <c r="C1146" s="40" t="inlineStr">
        <is>
          <t>BAC_COM</t>
        </is>
      </c>
      <c r="D1146" s="40" t="inlineStr">
        <is>
          <t>B3</t>
        </is>
      </c>
      <c r="E1146" s="40" t="inlineStr">
        <is>
          <t>ALT</t>
        </is>
      </c>
      <c r="F1146" s="40" t="inlineStr">
        <is>
          <t>622600</t>
        </is>
      </c>
      <c r="G1146" s="39" t="inlineStr">
        <is>
          <t>Honoraires &amp; frais de siège (structure groupe)</t>
        </is>
      </c>
      <c r="H1146" s="40" t="inlineStr">
        <is>
          <t>COMPTABLE</t>
        </is>
      </c>
      <c r="I1146" s="41" t="inlineStr">
        <is>
          <t>2024ACT_VDEF</t>
        </is>
      </c>
      <c r="J1146" s="41" t="n">
        <v>2024</v>
      </c>
      <c r="K1146" s="41" t="inlineStr">
        <is>
          <t>EUR</t>
        </is>
      </c>
      <c r="L1146" s="42" t="n">
        <v>39412</v>
      </c>
    </row>
    <row r="1147">
      <c r="B1147" s="39" t="inlineStr">
        <is>
          <t>ISCOM_PAR</t>
        </is>
      </c>
      <c r="C1147" s="40" t="inlineStr">
        <is>
          <t>BAC_COM</t>
        </is>
      </c>
      <c r="D1147" s="40" t="inlineStr">
        <is>
          <t>B3</t>
        </is>
      </c>
      <c r="E1147" s="40" t="inlineStr">
        <is>
          <t>ALT</t>
        </is>
      </c>
      <c r="F1147" s="40" t="inlineStr">
        <is>
          <t>622600</t>
        </is>
      </c>
      <c r="G1147" s="39" t="inlineStr">
        <is>
          <t>Honoraires &amp; frais de siège (structure groupe)</t>
        </is>
      </c>
      <c r="H1147" s="40" t="inlineStr">
        <is>
          <t>COMPTABLE</t>
        </is>
      </c>
      <c r="I1147" s="41" t="inlineStr">
        <is>
          <t>2025FCST_V4</t>
        </is>
      </c>
      <c r="J1147" s="41" t="n">
        <v>2025</v>
      </c>
      <c r="K1147" s="41" t="inlineStr">
        <is>
          <t>EUR</t>
        </is>
      </c>
      <c r="L1147" s="42" t="n">
        <v>41486</v>
      </c>
    </row>
    <row r="1148">
      <c r="B1148" s="39" t="inlineStr">
        <is>
          <t>ISCOM_PAR</t>
        </is>
      </c>
      <c r="C1148" s="40" t="inlineStr">
        <is>
          <t>BAC_COM</t>
        </is>
      </c>
      <c r="D1148" s="40" t="inlineStr">
        <is>
          <t>B3</t>
        </is>
      </c>
      <c r="E1148" s="40" t="inlineStr">
        <is>
          <t>ALT</t>
        </is>
      </c>
      <c r="F1148" s="40" t="inlineStr">
        <is>
          <t>606800</t>
        </is>
      </c>
      <c r="G1148" s="39" t="inlineStr">
        <is>
          <t>Autres achats &amp; charges externes</t>
        </is>
      </c>
      <c r="H1148" s="40" t="inlineStr">
        <is>
          <t>COMPTABLE</t>
        </is>
      </c>
      <c r="I1148" s="41" t="inlineStr">
        <is>
          <t>2023ACT_VDEF</t>
        </is>
      </c>
      <c r="J1148" s="41" t="n">
        <v>2023</v>
      </c>
      <c r="K1148" s="41" t="inlineStr">
        <is>
          <t>EUR</t>
        </is>
      </c>
      <c r="L1148" s="42" t="n">
        <v>45392</v>
      </c>
    </row>
    <row r="1149">
      <c r="B1149" s="39" t="inlineStr">
        <is>
          <t>ISCOM_PAR</t>
        </is>
      </c>
      <c r="C1149" s="40" t="inlineStr">
        <is>
          <t>BAC_COM</t>
        </is>
      </c>
      <c r="D1149" s="40" t="inlineStr">
        <is>
          <t>B3</t>
        </is>
      </c>
      <c r="E1149" s="40" t="inlineStr">
        <is>
          <t>ALT</t>
        </is>
      </c>
      <c r="F1149" s="40" t="inlineStr">
        <is>
          <t>606800</t>
        </is>
      </c>
      <c r="G1149" s="39" t="inlineStr">
        <is>
          <t>Autres achats &amp; charges externes</t>
        </is>
      </c>
      <c r="H1149" s="40" t="inlineStr">
        <is>
          <t>COMPTABLE</t>
        </is>
      </c>
      <c r="I1149" s="41" t="inlineStr">
        <is>
          <t>2024ACT_VDEF</t>
        </is>
      </c>
      <c r="J1149" s="41" t="n">
        <v>2024</v>
      </c>
      <c r="K1149" s="41" t="inlineStr">
        <is>
          <t>EUR</t>
        </is>
      </c>
      <c r="L1149" s="42" t="n">
        <v>47914</v>
      </c>
    </row>
    <row r="1150">
      <c r="B1150" s="39" t="inlineStr">
        <is>
          <t>ISCOM_PAR</t>
        </is>
      </c>
      <c r="C1150" s="40" t="inlineStr">
        <is>
          <t>BAC_COM</t>
        </is>
      </c>
      <c r="D1150" s="40" t="inlineStr">
        <is>
          <t>B3</t>
        </is>
      </c>
      <c r="E1150" s="40" t="inlineStr">
        <is>
          <t>ALT</t>
        </is>
      </c>
      <c r="F1150" s="40" t="inlineStr">
        <is>
          <t>606800</t>
        </is>
      </c>
      <c r="G1150" s="39" t="inlineStr">
        <is>
          <t>Autres achats &amp; charges externes</t>
        </is>
      </c>
      <c r="H1150" s="40" t="inlineStr">
        <is>
          <t>COMPTABLE</t>
        </is>
      </c>
      <c r="I1150" s="41" t="inlineStr">
        <is>
          <t>2025FCST_V4</t>
        </is>
      </c>
      <c r="J1150" s="41" t="n">
        <v>2025</v>
      </c>
      <c r="K1150" s="41" t="inlineStr">
        <is>
          <t>EUR</t>
        </is>
      </c>
      <c r="L1150" s="42" t="n">
        <v>50436</v>
      </c>
    </row>
    <row r="1151">
      <c r="B1151" s="39" t="inlineStr">
        <is>
          <t>ISCOM_PAR</t>
        </is>
      </c>
      <c r="C1151" s="40" t="inlineStr">
        <is>
          <t>BAC_COM</t>
        </is>
      </c>
      <c r="D1151" s="40" t="inlineStr">
        <is>
          <t>B3</t>
        </is>
      </c>
      <c r="E1151" s="40" t="inlineStr">
        <is>
          <t>ALT</t>
        </is>
      </c>
      <c r="F1151" s="40" t="inlineStr">
        <is>
          <t>681100</t>
        </is>
      </c>
      <c r="G1151" s="39" t="inlineStr">
        <is>
          <t>Dotations aux amortissements</t>
        </is>
      </c>
      <c r="H1151" s="40" t="inlineStr">
        <is>
          <t>COMPTABLE</t>
        </is>
      </c>
      <c r="I1151" s="41" t="inlineStr">
        <is>
          <t>2023ACT_VDEF</t>
        </is>
      </c>
      <c r="J1151" s="41" t="n">
        <v>2023</v>
      </c>
      <c r="K1151" s="41" t="inlineStr">
        <is>
          <t>EUR</t>
        </is>
      </c>
      <c r="L1151" s="42" t="n">
        <v>22418</v>
      </c>
    </row>
    <row r="1152">
      <c r="B1152" s="39" t="inlineStr">
        <is>
          <t>ISCOM_PAR</t>
        </is>
      </c>
      <c r="C1152" s="40" t="inlineStr">
        <is>
          <t>BAC_COM</t>
        </is>
      </c>
      <c r="D1152" s="40" t="inlineStr">
        <is>
          <t>B3</t>
        </is>
      </c>
      <c r="E1152" s="40" t="inlineStr">
        <is>
          <t>ALT</t>
        </is>
      </c>
      <c r="F1152" s="40" t="inlineStr">
        <is>
          <t>681100</t>
        </is>
      </c>
      <c r="G1152" s="39" t="inlineStr">
        <is>
          <t>Dotations aux amortissements</t>
        </is>
      </c>
      <c r="H1152" s="40" t="inlineStr">
        <is>
          <t>COMPTABLE</t>
        </is>
      </c>
      <c r="I1152" s="41" t="inlineStr">
        <is>
          <t>2024ACT_VDEF</t>
        </is>
      </c>
      <c r="J1152" s="41" t="n">
        <v>2024</v>
      </c>
      <c r="K1152" s="41" t="inlineStr">
        <is>
          <t>EUR</t>
        </is>
      </c>
      <c r="L1152" s="42" t="n">
        <v>23664</v>
      </c>
    </row>
    <row r="1153">
      <c r="B1153" s="39" t="inlineStr">
        <is>
          <t>ISCOM_PAR</t>
        </is>
      </c>
      <c r="C1153" s="40" t="inlineStr">
        <is>
          <t>BAC_COM</t>
        </is>
      </c>
      <c r="D1153" s="40" t="inlineStr">
        <is>
          <t>B3</t>
        </is>
      </c>
      <c r="E1153" s="40" t="inlineStr">
        <is>
          <t>ALT</t>
        </is>
      </c>
      <c r="F1153" s="40" t="inlineStr">
        <is>
          <t>681100</t>
        </is>
      </c>
      <c r="G1153" s="39" t="inlineStr">
        <is>
          <t>Dotations aux amortissements</t>
        </is>
      </c>
      <c r="H1153" s="40" t="inlineStr">
        <is>
          <t>COMPTABLE</t>
        </is>
      </c>
      <c r="I1153" s="41" t="inlineStr">
        <is>
          <t>2025FCST_V4</t>
        </is>
      </c>
      <c r="J1153" s="41" t="n">
        <v>2025</v>
      </c>
      <c r="K1153" s="41" t="inlineStr">
        <is>
          <t>EUR</t>
        </is>
      </c>
      <c r="L1153" s="42" t="n">
        <v>24909</v>
      </c>
    </row>
    <row r="1154">
      <c r="B1154" s="39" t="inlineStr">
        <is>
          <t>ISCOM_PAR</t>
        </is>
      </c>
      <c r="C1154" s="40" t="inlineStr">
        <is>
          <t>BAC_COM</t>
        </is>
      </c>
      <c r="D1154" s="40" t="inlineStr">
        <is>
          <t>B3</t>
        </is>
      </c>
      <c r="E1154" s="40" t="inlineStr">
        <is>
          <t>ALT</t>
        </is>
      </c>
      <c r="F1154" s="40" t="inlineStr">
        <is>
          <t>STA_EFF</t>
        </is>
      </c>
      <c r="G1154" s="39" t="inlineStr">
        <is>
          <t>Effectif inscrit</t>
        </is>
      </c>
      <c r="H1154" s="40" t="inlineStr">
        <is>
          <t>TECHNIQUE</t>
        </is>
      </c>
      <c r="I1154" s="41" t="inlineStr">
        <is>
          <t>2023ACT_VDEF</t>
        </is>
      </c>
      <c r="J1154" s="41" t="n">
        <v>2023</v>
      </c>
      <c r="K1154" s="41" t="inlineStr">
        <is>
          <t>NB</t>
        </is>
      </c>
      <c r="L1154" s="43" t="n">
        <v>49</v>
      </c>
    </row>
    <row r="1155">
      <c r="B1155" s="39" t="inlineStr">
        <is>
          <t>ISCOM_PAR</t>
        </is>
      </c>
      <c r="C1155" s="40" t="inlineStr">
        <is>
          <t>BAC_COM</t>
        </is>
      </c>
      <c r="D1155" s="40" t="inlineStr">
        <is>
          <t>B3</t>
        </is>
      </c>
      <c r="E1155" s="40" t="inlineStr">
        <is>
          <t>ALT</t>
        </is>
      </c>
      <c r="F1155" s="40" t="inlineStr">
        <is>
          <t>STA_EFF</t>
        </is>
      </c>
      <c r="G1155" s="39" t="inlineStr">
        <is>
          <t>Effectif inscrit</t>
        </is>
      </c>
      <c r="H1155" s="40" t="inlineStr">
        <is>
          <t>TECHNIQUE</t>
        </is>
      </c>
      <c r="I1155" s="41" t="inlineStr">
        <is>
          <t>2024ACT_VDEF</t>
        </is>
      </c>
      <c r="J1155" s="41" t="n">
        <v>2024</v>
      </c>
      <c r="K1155" s="41" t="inlineStr">
        <is>
          <t>NB</t>
        </is>
      </c>
      <c r="L1155" s="43" t="n">
        <v>51</v>
      </c>
    </row>
    <row r="1156">
      <c r="B1156" s="39" t="inlineStr">
        <is>
          <t>ISCOM_PAR</t>
        </is>
      </c>
      <c r="C1156" s="40" t="inlineStr">
        <is>
          <t>BAC_COM</t>
        </is>
      </c>
      <c r="D1156" s="40" t="inlineStr">
        <is>
          <t>B3</t>
        </is>
      </c>
      <c r="E1156" s="40" t="inlineStr">
        <is>
          <t>ALT</t>
        </is>
      </c>
      <c r="F1156" s="40" t="inlineStr">
        <is>
          <t>STA_EFF</t>
        </is>
      </c>
      <c r="G1156" s="39" t="inlineStr">
        <is>
          <t>Effectif inscrit</t>
        </is>
      </c>
      <c r="H1156" s="40" t="inlineStr">
        <is>
          <t>TECHNIQUE</t>
        </is>
      </c>
      <c r="I1156" s="41" t="inlineStr">
        <is>
          <t>2025FCST_V4</t>
        </is>
      </c>
      <c r="J1156" s="41" t="n">
        <v>2025</v>
      </c>
      <c r="K1156" s="41" t="inlineStr">
        <is>
          <t>NB</t>
        </is>
      </c>
      <c r="L1156" s="43" t="n">
        <v>54</v>
      </c>
    </row>
    <row r="1157">
      <c r="B1157" s="39" t="inlineStr">
        <is>
          <t>ISCOM_PAR</t>
        </is>
      </c>
      <c r="C1157" s="40" t="inlineStr">
        <is>
          <t>BAC_COM</t>
        </is>
      </c>
      <c r="D1157" s="40" t="inlineStr">
        <is>
          <t>B3</t>
        </is>
      </c>
      <c r="E1157" s="40" t="inlineStr">
        <is>
          <t>ALT</t>
        </is>
      </c>
      <c r="F1157" s="40" t="inlineStr">
        <is>
          <t>STA_REINS</t>
        </is>
      </c>
      <c r="G1157" s="39" t="inlineStr">
        <is>
          <t>Réinscrits</t>
        </is>
      </c>
      <c r="H1157" s="40" t="inlineStr">
        <is>
          <t>TECHNIQUE</t>
        </is>
      </c>
      <c r="I1157" s="41" t="inlineStr">
        <is>
          <t>2023ACT_VDEF</t>
        </is>
      </c>
      <c r="J1157" s="41" t="n">
        <v>2023</v>
      </c>
      <c r="K1157" s="41" t="inlineStr">
        <is>
          <t>NB</t>
        </is>
      </c>
      <c r="L1157" s="43" t="n">
        <v>49</v>
      </c>
    </row>
    <row r="1158">
      <c r="B1158" s="39" t="inlineStr">
        <is>
          <t>ISCOM_PAR</t>
        </is>
      </c>
      <c r="C1158" s="40" t="inlineStr">
        <is>
          <t>BAC_COM</t>
        </is>
      </c>
      <c r="D1158" s="40" t="inlineStr">
        <is>
          <t>B3</t>
        </is>
      </c>
      <c r="E1158" s="40" t="inlineStr">
        <is>
          <t>ALT</t>
        </is>
      </c>
      <c r="F1158" s="40" t="inlineStr">
        <is>
          <t>STA_REINS</t>
        </is>
      </c>
      <c r="G1158" s="39" t="inlineStr">
        <is>
          <t>Réinscrits</t>
        </is>
      </c>
      <c r="H1158" s="40" t="inlineStr">
        <is>
          <t>TECHNIQUE</t>
        </is>
      </c>
      <c r="I1158" s="41" t="inlineStr">
        <is>
          <t>2024ACT_VDEF</t>
        </is>
      </c>
      <c r="J1158" s="41" t="n">
        <v>2024</v>
      </c>
      <c r="K1158" s="41" t="inlineStr">
        <is>
          <t>NB</t>
        </is>
      </c>
      <c r="L1158" s="43" t="n">
        <v>51</v>
      </c>
    </row>
    <row r="1159">
      <c r="B1159" s="39" t="inlineStr">
        <is>
          <t>ISCOM_PAR</t>
        </is>
      </c>
      <c r="C1159" s="40" t="inlineStr">
        <is>
          <t>BAC_COM</t>
        </is>
      </c>
      <c r="D1159" s="40" t="inlineStr">
        <is>
          <t>B3</t>
        </is>
      </c>
      <c r="E1159" s="40" t="inlineStr">
        <is>
          <t>ALT</t>
        </is>
      </c>
      <c r="F1159" s="40" t="inlineStr">
        <is>
          <t>STA_REINS</t>
        </is>
      </c>
      <c r="G1159" s="39" t="inlineStr">
        <is>
          <t>Réinscrits</t>
        </is>
      </c>
      <c r="H1159" s="40" t="inlineStr">
        <is>
          <t>TECHNIQUE</t>
        </is>
      </c>
      <c r="I1159" s="41" t="inlineStr">
        <is>
          <t>2025FCST_V4</t>
        </is>
      </c>
      <c r="J1159" s="41" t="n">
        <v>2025</v>
      </c>
      <c r="K1159" s="41" t="inlineStr">
        <is>
          <t>NB</t>
        </is>
      </c>
      <c r="L1159" s="43" t="n">
        <v>54</v>
      </c>
    </row>
    <row r="1160">
      <c r="B1160" s="39" t="inlineStr">
        <is>
          <t>ISCOM_PAR</t>
        </is>
      </c>
      <c r="C1160" s="40" t="inlineStr">
        <is>
          <t>BAC_COM</t>
        </is>
      </c>
      <c r="D1160" s="40" t="inlineStr">
        <is>
          <t>B3</t>
        </is>
      </c>
      <c r="E1160" s="40" t="inlineStr">
        <is>
          <t>ALT</t>
        </is>
      </c>
      <c r="F1160" s="40" t="inlineStr">
        <is>
          <t>STA_CLASS</t>
        </is>
      </c>
      <c r="G1160" s="39" t="inlineStr">
        <is>
          <t>Nombre de classes</t>
        </is>
      </c>
      <c r="H1160" s="40" t="inlineStr">
        <is>
          <t>TECHNIQUE</t>
        </is>
      </c>
      <c r="I1160" s="41" t="inlineStr">
        <is>
          <t>2023ACT_VDEF</t>
        </is>
      </c>
      <c r="J1160" s="41" t="n">
        <v>2023</v>
      </c>
      <c r="K1160" s="41" t="inlineStr">
        <is>
          <t>NB</t>
        </is>
      </c>
      <c r="L1160" s="43" t="n">
        <v>2</v>
      </c>
    </row>
    <row r="1161">
      <c r="B1161" s="39" t="inlineStr">
        <is>
          <t>ISCOM_PAR</t>
        </is>
      </c>
      <c r="C1161" s="40" t="inlineStr">
        <is>
          <t>BAC_COM</t>
        </is>
      </c>
      <c r="D1161" s="40" t="inlineStr">
        <is>
          <t>B3</t>
        </is>
      </c>
      <c r="E1161" s="40" t="inlineStr">
        <is>
          <t>ALT</t>
        </is>
      </c>
      <c r="F1161" s="40" t="inlineStr">
        <is>
          <t>STA_CLASS</t>
        </is>
      </c>
      <c r="G1161" s="39" t="inlineStr">
        <is>
          <t>Nombre de classes</t>
        </is>
      </c>
      <c r="H1161" s="40" t="inlineStr">
        <is>
          <t>TECHNIQUE</t>
        </is>
      </c>
      <c r="I1161" s="41" t="inlineStr">
        <is>
          <t>2024ACT_VDEF</t>
        </is>
      </c>
      <c r="J1161" s="41" t="n">
        <v>2024</v>
      </c>
      <c r="K1161" s="41" t="inlineStr">
        <is>
          <t>NB</t>
        </is>
      </c>
      <c r="L1161" s="43" t="n">
        <v>2</v>
      </c>
    </row>
    <row r="1162">
      <c r="B1162" s="39" t="inlineStr">
        <is>
          <t>ISCOM_PAR</t>
        </is>
      </c>
      <c r="C1162" s="40" t="inlineStr">
        <is>
          <t>BAC_COM</t>
        </is>
      </c>
      <c r="D1162" s="40" t="inlineStr">
        <is>
          <t>B3</t>
        </is>
      </c>
      <c r="E1162" s="40" t="inlineStr">
        <is>
          <t>ALT</t>
        </is>
      </c>
      <c r="F1162" s="40" t="inlineStr">
        <is>
          <t>STA_CLASS</t>
        </is>
      </c>
      <c r="G1162" s="39" t="inlineStr">
        <is>
          <t>Nombre de classes</t>
        </is>
      </c>
      <c r="H1162" s="40" t="inlineStr">
        <is>
          <t>TECHNIQUE</t>
        </is>
      </c>
      <c r="I1162" s="41" t="inlineStr">
        <is>
          <t>2025FCST_V4</t>
        </is>
      </c>
      <c r="J1162" s="41" t="n">
        <v>2025</v>
      </c>
      <c r="K1162" s="41" t="inlineStr">
        <is>
          <t>NB</t>
        </is>
      </c>
      <c r="L1162" s="43" t="n">
        <v>2</v>
      </c>
    </row>
    <row r="1163">
      <c r="B1163" s="39" t="inlineStr">
        <is>
          <t>ISCOM_PAR</t>
        </is>
      </c>
      <c r="C1163" s="40" t="inlineStr">
        <is>
          <t>BAC_COM</t>
        </is>
      </c>
      <c r="D1163" s="40" t="inlineStr">
        <is>
          <t>B3</t>
        </is>
      </c>
      <c r="E1163" s="40" t="inlineStr">
        <is>
          <t>ALT</t>
        </is>
      </c>
      <c r="F1163" s="40" t="inlineStr">
        <is>
          <t>STA_HEURE</t>
        </is>
      </c>
      <c r="G1163" s="39" t="inlineStr">
        <is>
          <t>Heures d'enseignement</t>
        </is>
      </c>
      <c r="H1163" s="40" t="inlineStr">
        <is>
          <t>TECHNIQUE</t>
        </is>
      </c>
      <c r="I1163" s="41" t="inlineStr">
        <is>
          <t>2023ACT_VDEF</t>
        </is>
      </c>
      <c r="J1163" s="41" t="n">
        <v>2023</v>
      </c>
      <c r="K1163" s="41" t="inlineStr">
        <is>
          <t>NB</t>
        </is>
      </c>
      <c r="L1163" s="43" t="n">
        <v>936</v>
      </c>
    </row>
    <row r="1164">
      <c r="B1164" s="39" t="inlineStr">
        <is>
          <t>ISCOM_PAR</t>
        </is>
      </c>
      <c r="C1164" s="40" t="inlineStr">
        <is>
          <t>BAC_COM</t>
        </is>
      </c>
      <c r="D1164" s="40" t="inlineStr">
        <is>
          <t>B3</t>
        </is>
      </c>
      <c r="E1164" s="40" t="inlineStr">
        <is>
          <t>ALT</t>
        </is>
      </c>
      <c r="F1164" s="40" t="inlineStr">
        <is>
          <t>STA_HEURE</t>
        </is>
      </c>
      <c r="G1164" s="39" t="inlineStr">
        <is>
          <t>Heures d'enseignement</t>
        </is>
      </c>
      <c r="H1164" s="40" t="inlineStr">
        <is>
          <t>TECHNIQUE</t>
        </is>
      </c>
      <c r="I1164" s="41" t="inlineStr">
        <is>
          <t>2024ACT_VDEF</t>
        </is>
      </c>
      <c r="J1164" s="41" t="n">
        <v>2024</v>
      </c>
      <c r="K1164" s="41" t="inlineStr">
        <is>
          <t>NB</t>
        </is>
      </c>
      <c r="L1164" s="43" t="n">
        <v>988</v>
      </c>
    </row>
    <row r="1165">
      <c r="B1165" s="39" t="inlineStr">
        <is>
          <t>ISCOM_PAR</t>
        </is>
      </c>
      <c r="C1165" s="40" t="inlineStr">
        <is>
          <t>BAC_COM</t>
        </is>
      </c>
      <c r="D1165" s="40" t="inlineStr">
        <is>
          <t>B3</t>
        </is>
      </c>
      <c r="E1165" s="40" t="inlineStr">
        <is>
          <t>ALT</t>
        </is>
      </c>
      <c r="F1165" s="40" t="inlineStr">
        <is>
          <t>STA_HEURE</t>
        </is>
      </c>
      <c r="G1165" s="39" t="inlineStr">
        <is>
          <t>Heures d'enseignement</t>
        </is>
      </c>
      <c r="H1165" s="40" t="inlineStr">
        <is>
          <t>TECHNIQUE</t>
        </is>
      </c>
      <c r="I1165" s="41" t="inlineStr">
        <is>
          <t>2025FCST_V4</t>
        </is>
      </c>
      <c r="J1165" s="41" t="n">
        <v>2025</v>
      </c>
      <c r="K1165" s="41" t="inlineStr">
        <is>
          <t>NB</t>
        </is>
      </c>
      <c r="L1165" s="43" t="n">
        <v>1040</v>
      </c>
    </row>
    <row r="1166">
      <c r="B1166" s="39" t="inlineStr">
        <is>
          <t>ISCOM_PAR</t>
        </is>
      </c>
      <c r="C1166" s="40" t="inlineStr">
        <is>
          <t>BAC_COM</t>
        </is>
      </c>
      <c r="D1166" s="40" t="inlineStr">
        <is>
          <t>B3</t>
        </is>
      </c>
      <c r="E1166" s="40" t="inlineStr">
        <is>
          <t>ALT</t>
        </is>
      </c>
      <c r="F1166" s="40" t="inlineStr">
        <is>
          <t>STA_CAPA</t>
        </is>
      </c>
      <c r="G1166" s="39" t="inlineStr">
        <is>
          <t>Capacité par classe</t>
        </is>
      </c>
      <c r="H1166" s="40" t="inlineStr">
        <is>
          <t>TECHNIQUE</t>
        </is>
      </c>
      <c r="I1166" s="41" t="inlineStr">
        <is>
          <t>2023ACT_VDEF</t>
        </is>
      </c>
      <c r="J1166" s="41" t="n">
        <v>2023</v>
      </c>
      <c r="K1166" s="41" t="inlineStr">
        <is>
          <t>NB</t>
        </is>
      </c>
      <c r="L1166" s="43" t="n">
        <v>32</v>
      </c>
    </row>
    <row r="1167">
      <c r="B1167" s="39" t="inlineStr">
        <is>
          <t>ISCOM_PAR</t>
        </is>
      </c>
      <c r="C1167" s="40" t="inlineStr">
        <is>
          <t>BAC_COM</t>
        </is>
      </c>
      <c r="D1167" s="40" t="inlineStr">
        <is>
          <t>B3</t>
        </is>
      </c>
      <c r="E1167" s="40" t="inlineStr">
        <is>
          <t>ALT</t>
        </is>
      </c>
      <c r="F1167" s="40" t="inlineStr">
        <is>
          <t>STA_CAPA</t>
        </is>
      </c>
      <c r="G1167" s="39" t="inlineStr">
        <is>
          <t>Capacité par classe</t>
        </is>
      </c>
      <c r="H1167" s="40" t="inlineStr">
        <is>
          <t>TECHNIQUE</t>
        </is>
      </c>
      <c r="I1167" s="41" t="inlineStr">
        <is>
          <t>2024ACT_VDEF</t>
        </is>
      </c>
      <c r="J1167" s="41" t="n">
        <v>2024</v>
      </c>
      <c r="K1167" s="41" t="inlineStr">
        <is>
          <t>NB</t>
        </is>
      </c>
      <c r="L1167" s="43" t="n">
        <v>32</v>
      </c>
    </row>
    <row r="1168">
      <c r="B1168" s="39" t="inlineStr">
        <is>
          <t>ISCOM_PAR</t>
        </is>
      </c>
      <c r="C1168" s="40" t="inlineStr">
        <is>
          <t>BAC_COM</t>
        </is>
      </c>
      <c r="D1168" s="40" t="inlineStr">
        <is>
          <t>B3</t>
        </is>
      </c>
      <c r="E1168" s="40" t="inlineStr">
        <is>
          <t>ALT</t>
        </is>
      </c>
      <c r="F1168" s="40" t="inlineStr">
        <is>
          <t>STA_CAPA</t>
        </is>
      </c>
      <c r="G1168" s="39" t="inlineStr">
        <is>
          <t>Capacité par classe</t>
        </is>
      </c>
      <c r="H1168" s="40" t="inlineStr">
        <is>
          <t>TECHNIQUE</t>
        </is>
      </c>
      <c r="I1168" s="41" t="inlineStr">
        <is>
          <t>2025FCST_V4</t>
        </is>
      </c>
      <c r="J1168" s="41" t="n">
        <v>2025</v>
      </c>
      <c r="K1168" s="41" t="inlineStr">
        <is>
          <t>NB</t>
        </is>
      </c>
      <c r="L1168" s="43" t="n">
        <v>32</v>
      </c>
    </row>
    <row r="1169">
      <c r="B1169" s="39" t="inlineStr">
        <is>
          <t>ISCOM_PAR</t>
        </is>
      </c>
      <c r="C1169" s="40" t="inlineStr">
        <is>
          <t>BAC_COM</t>
        </is>
      </c>
      <c r="D1169" s="40" t="inlineStr">
        <is>
          <t>B3</t>
        </is>
      </c>
      <c r="E1169" s="40" t="inlineStr">
        <is>
          <t>ALT</t>
        </is>
      </c>
      <c r="F1169" s="40" t="inlineStr">
        <is>
          <t>DRV_PASS</t>
        </is>
      </c>
      <c r="G1169" s="39" t="inlineStr">
        <is>
          <t>Taux de passage (réinscription)</t>
        </is>
      </c>
      <c r="H1169" s="40" t="inlineStr">
        <is>
          <t>TECHNIQUE</t>
        </is>
      </c>
      <c r="I1169" s="41" t="inlineStr">
        <is>
          <t>2023ACT_VDEF</t>
        </is>
      </c>
      <c r="J1169" s="41" t="n">
        <v>2023</v>
      </c>
      <c r="K1169" s="41" t="inlineStr">
        <is>
          <t>PCT</t>
        </is>
      </c>
      <c r="L1169" s="44" t="n">
        <v>0.95</v>
      </c>
    </row>
    <row r="1170">
      <c r="B1170" s="39" t="inlineStr">
        <is>
          <t>ISCOM_PAR</t>
        </is>
      </c>
      <c r="C1170" s="40" t="inlineStr">
        <is>
          <t>BAC_COM</t>
        </is>
      </c>
      <c r="D1170" s="40" t="inlineStr">
        <is>
          <t>B3</t>
        </is>
      </c>
      <c r="E1170" s="40" t="inlineStr">
        <is>
          <t>ALT</t>
        </is>
      </c>
      <c r="F1170" s="40" t="inlineStr">
        <is>
          <t>DRV_PASS</t>
        </is>
      </c>
      <c r="G1170" s="39" t="inlineStr">
        <is>
          <t>Taux de passage (réinscription)</t>
        </is>
      </c>
      <c r="H1170" s="40" t="inlineStr">
        <is>
          <t>TECHNIQUE</t>
        </is>
      </c>
      <c r="I1170" s="41" t="inlineStr">
        <is>
          <t>2024ACT_VDEF</t>
        </is>
      </c>
      <c r="J1170" s="41" t="n">
        <v>2024</v>
      </c>
      <c r="K1170" s="41" t="inlineStr">
        <is>
          <t>PCT</t>
        </is>
      </c>
      <c r="L1170" s="44" t="n">
        <v>0.95</v>
      </c>
    </row>
    <row r="1171">
      <c r="B1171" s="39" t="inlineStr">
        <is>
          <t>ISCOM_PAR</t>
        </is>
      </c>
      <c r="C1171" s="40" t="inlineStr">
        <is>
          <t>BAC_COM</t>
        </is>
      </c>
      <c r="D1171" s="40" t="inlineStr">
        <is>
          <t>B3</t>
        </is>
      </c>
      <c r="E1171" s="40" t="inlineStr">
        <is>
          <t>ALT</t>
        </is>
      </c>
      <c r="F1171" s="40" t="inlineStr">
        <is>
          <t>DRV_PASS</t>
        </is>
      </c>
      <c r="G1171" s="39" t="inlineStr">
        <is>
          <t>Taux de passage (réinscription)</t>
        </is>
      </c>
      <c r="H1171" s="40" t="inlineStr">
        <is>
          <t>TECHNIQUE</t>
        </is>
      </c>
      <c r="I1171" s="41" t="inlineStr">
        <is>
          <t>2025FCST_V4</t>
        </is>
      </c>
      <c r="J1171" s="41" t="n">
        <v>2025</v>
      </c>
      <c r="K1171" s="41" t="inlineStr">
        <is>
          <t>PCT</t>
        </is>
      </c>
      <c r="L1171" s="44" t="n">
        <v>0.95</v>
      </c>
    </row>
    <row r="1172">
      <c r="B1172" s="39" t="inlineStr">
        <is>
          <t>ISCOM_PAR</t>
        </is>
      </c>
      <c r="C1172" s="40" t="inlineStr">
        <is>
          <t>BAC_COM</t>
        </is>
      </c>
      <c r="D1172" s="40" t="inlineStr">
        <is>
          <t>B3</t>
        </is>
      </c>
      <c r="E1172" s="40" t="inlineStr">
        <is>
          <t>ALT</t>
        </is>
      </c>
      <c r="F1172" s="40" t="inlineStr">
        <is>
          <t>PRX_TARIF</t>
        </is>
      </c>
      <c r="G1172" s="39" t="inlineStr">
        <is>
          <t>Tarif moyen scolarité</t>
        </is>
      </c>
      <c r="H1172" s="40" t="inlineStr">
        <is>
          <t>TECHNIQUE</t>
        </is>
      </c>
      <c r="I1172" s="41" t="inlineStr">
        <is>
          <t>2023ACT_VDEF</t>
        </is>
      </c>
      <c r="J1172" s="41" t="n">
        <v>2023</v>
      </c>
      <c r="K1172" s="41" t="inlineStr">
        <is>
          <t>EUR</t>
        </is>
      </c>
      <c r="L1172" s="42" t="n">
        <v>8000</v>
      </c>
    </row>
    <row r="1173">
      <c r="B1173" s="39" t="inlineStr">
        <is>
          <t>ISCOM_PAR</t>
        </is>
      </c>
      <c r="C1173" s="40" t="inlineStr">
        <is>
          <t>BAC_COM</t>
        </is>
      </c>
      <c r="D1173" s="40" t="inlineStr">
        <is>
          <t>B3</t>
        </is>
      </c>
      <c r="E1173" s="40" t="inlineStr">
        <is>
          <t>ALT</t>
        </is>
      </c>
      <c r="F1173" s="40" t="inlineStr">
        <is>
          <t>PRX_TARIF</t>
        </is>
      </c>
      <c r="G1173" s="39" t="inlineStr">
        <is>
          <t>Tarif moyen scolarité</t>
        </is>
      </c>
      <c r="H1173" s="40" t="inlineStr">
        <is>
          <t>TECHNIQUE</t>
        </is>
      </c>
      <c r="I1173" s="41" t="inlineStr">
        <is>
          <t>2024ACT_VDEF</t>
        </is>
      </c>
      <c r="J1173" s="41" t="n">
        <v>2024</v>
      </c>
      <c r="K1173" s="41" t="inlineStr">
        <is>
          <t>EUR</t>
        </is>
      </c>
      <c r="L1173" s="42" t="n">
        <v>8000</v>
      </c>
    </row>
    <row r="1174">
      <c r="B1174" s="39" t="inlineStr">
        <is>
          <t>ISCOM_PAR</t>
        </is>
      </c>
      <c r="C1174" s="40" t="inlineStr">
        <is>
          <t>BAC_COM</t>
        </is>
      </c>
      <c r="D1174" s="40" t="inlineStr">
        <is>
          <t>B3</t>
        </is>
      </c>
      <c r="E1174" s="40" t="inlineStr">
        <is>
          <t>ALT</t>
        </is>
      </c>
      <c r="F1174" s="40" t="inlineStr">
        <is>
          <t>PRX_TARIF</t>
        </is>
      </c>
      <c r="G1174" s="39" t="inlineStr">
        <is>
          <t>Tarif moyen scolarité</t>
        </is>
      </c>
      <c r="H1174" s="40" t="inlineStr">
        <is>
          <t>TECHNIQUE</t>
        </is>
      </c>
      <c r="I1174" s="41" t="inlineStr">
        <is>
          <t>2025FCST_V4</t>
        </is>
      </c>
      <c r="J1174" s="41" t="n">
        <v>2025</v>
      </c>
      <c r="K1174" s="41" t="inlineStr">
        <is>
          <t>EUR</t>
        </is>
      </c>
      <c r="L1174" s="42" t="n">
        <v>8000</v>
      </c>
    </row>
    <row r="1175">
      <c r="B1175" s="39" t="inlineStr">
        <is>
          <t>ISCOM_PAR</t>
        </is>
      </c>
      <c r="C1175" s="40" t="inlineStr">
        <is>
          <t>MAS_COM</t>
        </is>
      </c>
      <c r="D1175" s="40" t="inlineStr">
        <is>
          <t>M1</t>
        </is>
      </c>
      <c r="E1175" s="40" t="inlineStr">
        <is>
          <t>ALT</t>
        </is>
      </c>
      <c r="F1175" s="40" t="inlineStr">
        <is>
          <t>706100</t>
        </is>
      </c>
      <c r="G1175" s="39" t="inlineStr">
        <is>
          <t>Droits de scolarité</t>
        </is>
      </c>
      <c r="H1175" s="40" t="inlineStr">
        <is>
          <t>COMPTABLE</t>
        </is>
      </c>
      <c r="I1175" s="41" t="inlineStr">
        <is>
          <t>2023ACT_VDEF</t>
        </is>
      </c>
      <c r="J1175" s="41" t="n">
        <v>2023</v>
      </c>
      <c r="K1175" s="41" t="inlineStr">
        <is>
          <t>EUR</t>
        </is>
      </c>
      <c r="L1175" s="42" t="n">
        <v>348300</v>
      </c>
    </row>
    <row r="1176">
      <c r="B1176" s="39" t="inlineStr">
        <is>
          <t>ISCOM_PAR</t>
        </is>
      </c>
      <c r="C1176" s="40" t="inlineStr">
        <is>
          <t>MAS_COM</t>
        </is>
      </c>
      <c r="D1176" s="40" t="inlineStr">
        <is>
          <t>M1</t>
        </is>
      </c>
      <c r="E1176" s="40" t="inlineStr">
        <is>
          <t>ALT</t>
        </is>
      </c>
      <c r="F1176" s="40" t="inlineStr">
        <is>
          <t>706100</t>
        </is>
      </c>
      <c r="G1176" s="39" t="inlineStr">
        <is>
          <t>Droits de scolarité</t>
        </is>
      </c>
      <c r="H1176" s="40" t="inlineStr">
        <is>
          <t>COMPTABLE</t>
        </is>
      </c>
      <c r="I1176" s="41" t="inlineStr">
        <is>
          <t>2024ACT_VDEF</t>
        </is>
      </c>
      <c r="J1176" s="41" t="n">
        <v>2024</v>
      </c>
      <c r="K1176" s="41" t="inlineStr">
        <is>
          <t>EUR</t>
        </is>
      </c>
      <c r="L1176" s="42" t="n">
        <v>367650</v>
      </c>
    </row>
    <row r="1177">
      <c r="B1177" s="39" t="inlineStr">
        <is>
          <t>ISCOM_PAR</t>
        </is>
      </c>
      <c r="C1177" s="40" t="inlineStr">
        <is>
          <t>MAS_COM</t>
        </is>
      </c>
      <c r="D1177" s="40" t="inlineStr">
        <is>
          <t>M1</t>
        </is>
      </c>
      <c r="E1177" s="40" t="inlineStr">
        <is>
          <t>ALT</t>
        </is>
      </c>
      <c r="F1177" s="40" t="inlineStr">
        <is>
          <t>706100</t>
        </is>
      </c>
      <c r="G1177" s="39" t="inlineStr">
        <is>
          <t>Droits de scolarité</t>
        </is>
      </c>
      <c r="H1177" s="40" t="inlineStr">
        <is>
          <t>COMPTABLE</t>
        </is>
      </c>
      <c r="I1177" s="41" t="inlineStr">
        <is>
          <t>2025FCST_V4</t>
        </is>
      </c>
      <c r="J1177" s="41" t="n">
        <v>2025</v>
      </c>
      <c r="K1177" s="41" t="inlineStr">
        <is>
          <t>EUR</t>
        </is>
      </c>
      <c r="L1177" s="42" t="n">
        <v>387000</v>
      </c>
    </row>
    <row r="1178">
      <c r="B1178" s="39" t="inlineStr">
        <is>
          <t>ISCOM_PAR</t>
        </is>
      </c>
      <c r="C1178" s="40" t="inlineStr">
        <is>
          <t>MAS_COM</t>
        </is>
      </c>
      <c r="D1178" s="40" t="inlineStr">
        <is>
          <t>M1</t>
        </is>
      </c>
      <c r="E1178" s="40" t="inlineStr">
        <is>
          <t>ALT</t>
        </is>
      </c>
      <c r="F1178" s="40" t="inlineStr">
        <is>
          <t>708500</t>
        </is>
      </c>
      <c r="G1178" s="39" t="inlineStr">
        <is>
          <t>Frais de dossier / inscription</t>
        </is>
      </c>
      <c r="H1178" s="40" t="inlineStr">
        <is>
          <t>COMPTABLE</t>
        </is>
      </c>
      <c r="I1178" s="41" t="inlineStr">
        <is>
          <t>2023ACT_VDEF</t>
        </is>
      </c>
      <c r="J1178" s="41" t="n">
        <v>2023</v>
      </c>
      <c r="K1178" s="41" t="inlineStr">
        <is>
          <t>EUR</t>
        </is>
      </c>
      <c r="L1178" s="42" t="n">
        <v>3483</v>
      </c>
    </row>
    <row r="1179">
      <c r="B1179" s="39" t="inlineStr">
        <is>
          <t>ISCOM_PAR</t>
        </is>
      </c>
      <c r="C1179" s="40" t="inlineStr">
        <is>
          <t>MAS_COM</t>
        </is>
      </c>
      <c r="D1179" s="40" t="inlineStr">
        <is>
          <t>M1</t>
        </is>
      </c>
      <c r="E1179" s="40" t="inlineStr">
        <is>
          <t>ALT</t>
        </is>
      </c>
      <c r="F1179" s="40" t="inlineStr">
        <is>
          <t>708500</t>
        </is>
      </c>
      <c r="G1179" s="39" t="inlineStr">
        <is>
          <t>Frais de dossier / inscription</t>
        </is>
      </c>
      <c r="H1179" s="40" t="inlineStr">
        <is>
          <t>COMPTABLE</t>
        </is>
      </c>
      <c r="I1179" s="41" t="inlineStr">
        <is>
          <t>2024ACT_VDEF</t>
        </is>
      </c>
      <c r="J1179" s="41" t="n">
        <v>2024</v>
      </c>
      <c r="K1179" s="41" t="inlineStr">
        <is>
          <t>EUR</t>
        </is>
      </c>
      <c r="L1179" s="42" t="n">
        <v>3676</v>
      </c>
    </row>
    <row r="1180">
      <c r="B1180" s="39" t="inlineStr">
        <is>
          <t>ISCOM_PAR</t>
        </is>
      </c>
      <c r="C1180" s="40" t="inlineStr">
        <is>
          <t>MAS_COM</t>
        </is>
      </c>
      <c r="D1180" s="40" t="inlineStr">
        <is>
          <t>M1</t>
        </is>
      </c>
      <c r="E1180" s="40" t="inlineStr">
        <is>
          <t>ALT</t>
        </is>
      </c>
      <c r="F1180" s="40" t="inlineStr">
        <is>
          <t>708500</t>
        </is>
      </c>
      <c r="G1180" s="39" t="inlineStr">
        <is>
          <t>Frais de dossier / inscription</t>
        </is>
      </c>
      <c r="H1180" s="40" t="inlineStr">
        <is>
          <t>COMPTABLE</t>
        </is>
      </c>
      <c r="I1180" s="41" t="inlineStr">
        <is>
          <t>2025FCST_V4</t>
        </is>
      </c>
      <c r="J1180" s="41" t="n">
        <v>2025</v>
      </c>
      <c r="K1180" s="41" t="inlineStr">
        <is>
          <t>EUR</t>
        </is>
      </c>
      <c r="L1180" s="42" t="n">
        <v>3870</v>
      </c>
    </row>
    <row r="1181">
      <c r="B1181" s="39" t="inlineStr">
        <is>
          <t>ISCOM_PAR</t>
        </is>
      </c>
      <c r="C1181" s="40" t="inlineStr">
        <is>
          <t>MAS_COM</t>
        </is>
      </c>
      <c r="D1181" s="40" t="inlineStr">
        <is>
          <t>M1</t>
        </is>
      </c>
      <c r="E1181" s="40" t="inlineStr">
        <is>
          <t>ALT</t>
        </is>
      </c>
      <c r="F1181" s="40" t="inlineStr">
        <is>
          <t>604100</t>
        </is>
      </c>
      <c r="G1181" s="39" t="inlineStr">
        <is>
          <t>Vacations &amp; sous-traitance pédagogique</t>
        </is>
      </c>
      <c r="H1181" s="40" t="inlineStr">
        <is>
          <t>COMPTABLE</t>
        </is>
      </c>
      <c r="I1181" s="41" t="inlineStr">
        <is>
          <t>2023ACT_VDEF</t>
        </is>
      </c>
      <c r="J1181" s="41" t="n">
        <v>2023</v>
      </c>
      <c r="K1181" s="41" t="inlineStr">
        <is>
          <t>EUR</t>
        </is>
      </c>
      <c r="L1181" s="42" t="n">
        <v>63936</v>
      </c>
    </row>
    <row r="1182">
      <c r="B1182" s="39" t="inlineStr">
        <is>
          <t>ISCOM_PAR</t>
        </is>
      </c>
      <c r="C1182" s="40" t="inlineStr">
        <is>
          <t>MAS_COM</t>
        </is>
      </c>
      <c r="D1182" s="40" t="inlineStr">
        <is>
          <t>M1</t>
        </is>
      </c>
      <c r="E1182" s="40" t="inlineStr">
        <is>
          <t>ALT</t>
        </is>
      </c>
      <c r="F1182" s="40" t="inlineStr">
        <is>
          <t>604100</t>
        </is>
      </c>
      <c r="G1182" s="39" t="inlineStr">
        <is>
          <t>Vacations &amp; sous-traitance pédagogique</t>
        </is>
      </c>
      <c r="H1182" s="40" t="inlineStr">
        <is>
          <t>COMPTABLE</t>
        </is>
      </c>
      <c r="I1182" s="41" t="inlineStr">
        <is>
          <t>2024ACT_VDEF</t>
        </is>
      </c>
      <c r="J1182" s="41" t="n">
        <v>2024</v>
      </c>
      <c r="K1182" s="41" t="inlineStr">
        <is>
          <t>EUR</t>
        </is>
      </c>
      <c r="L1182" s="42" t="n">
        <v>67488</v>
      </c>
    </row>
    <row r="1183">
      <c r="B1183" s="39" t="inlineStr">
        <is>
          <t>ISCOM_PAR</t>
        </is>
      </c>
      <c r="C1183" s="40" t="inlineStr">
        <is>
          <t>MAS_COM</t>
        </is>
      </c>
      <c r="D1183" s="40" t="inlineStr">
        <is>
          <t>M1</t>
        </is>
      </c>
      <c r="E1183" s="40" t="inlineStr">
        <is>
          <t>ALT</t>
        </is>
      </c>
      <c r="F1183" s="40" t="inlineStr">
        <is>
          <t>604100</t>
        </is>
      </c>
      <c r="G1183" s="39" t="inlineStr">
        <is>
          <t>Vacations &amp; sous-traitance pédagogique</t>
        </is>
      </c>
      <c r="H1183" s="40" t="inlineStr">
        <is>
          <t>COMPTABLE</t>
        </is>
      </c>
      <c r="I1183" s="41" t="inlineStr">
        <is>
          <t>2025FCST_V4</t>
        </is>
      </c>
      <c r="J1183" s="41" t="n">
        <v>2025</v>
      </c>
      <c r="K1183" s="41" t="inlineStr">
        <is>
          <t>EUR</t>
        </is>
      </c>
      <c r="L1183" s="42" t="n">
        <v>71040</v>
      </c>
    </row>
    <row r="1184">
      <c r="B1184" s="39" t="inlineStr">
        <is>
          <t>ISCOM_PAR</t>
        </is>
      </c>
      <c r="C1184" s="40" t="inlineStr">
        <is>
          <t>MAS_COM</t>
        </is>
      </c>
      <c r="D1184" s="40" t="inlineStr">
        <is>
          <t>M1</t>
        </is>
      </c>
      <c r="E1184" s="40" t="inlineStr">
        <is>
          <t>ALT</t>
        </is>
      </c>
      <c r="F1184" s="40" t="inlineStr">
        <is>
          <t>606300</t>
        </is>
      </c>
      <c r="G1184" s="39" t="inlineStr">
        <is>
          <t>Fournitures &amp; ressources pédagogiques</t>
        </is>
      </c>
      <c r="H1184" s="40" t="inlineStr">
        <is>
          <t>COMPTABLE</t>
        </is>
      </c>
      <c r="I1184" s="41" t="inlineStr">
        <is>
          <t>2023ACT_VDEF</t>
        </is>
      </c>
      <c r="J1184" s="41" t="n">
        <v>2023</v>
      </c>
      <c r="K1184" s="41" t="inlineStr">
        <is>
          <t>EUR</t>
        </is>
      </c>
      <c r="L1184" s="42" t="n">
        <v>25929</v>
      </c>
    </row>
    <row r="1185">
      <c r="B1185" s="39" t="inlineStr">
        <is>
          <t>ISCOM_PAR</t>
        </is>
      </c>
      <c r="C1185" s="40" t="inlineStr">
        <is>
          <t>MAS_COM</t>
        </is>
      </c>
      <c r="D1185" s="40" t="inlineStr">
        <is>
          <t>M1</t>
        </is>
      </c>
      <c r="E1185" s="40" t="inlineStr">
        <is>
          <t>ALT</t>
        </is>
      </c>
      <c r="F1185" s="40" t="inlineStr">
        <is>
          <t>606300</t>
        </is>
      </c>
      <c r="G1185" s="39" t="inlineStr">
        <is>
          <t>Fournitures &amp; ressources pédagogiques</t>
        </is>
      </c>
      <c r="H1185" s="40" t="inlineStr">
        <is>
          <t>COMPTABLE</t>
        </is>
      </c>
      <c r="I1185" s="41" t="inlineStr">
        <is>
          <t>2024ACT_VDEF</t>
        </is>
      </c>
      <c r="J1185" s="41" t="n">
        <v>2024</v>
      </c>
      <c r="K1185" s="41" t="inlineStr">
        <is>
          <t>EUR</t>
        </is>
      </c>
      <c r="L1185" s="42" t="n">
        <v>27370</v>
      </c>
    </row>
    <row r="1186">
      <c r="B1186" s="39" t="inlineStr">
        <is>
          <t>ISCOM_PAR</t>
        </is>
      </c>
      <c r="C1186" s="40" t="inlineStr">
        <is>
          <t>MAS_COM</t>
        </is>
      </c>
      <c r="D1186" s="40" t="inlineStr">
        <is>
          <t>M1</t>
        </is>
      </c>
      <c r="E1186" s="40" t="inlineStr">
        <is>
          <t>ALT</t>
        </is>
      </c>
      <c r="F1186" s="40" t="inlineStr">
        <is>
          <t>606300</t>
        </is>
      </c>
      <c r="G1186" s="39" t="inlineStr">
        <is>
          <t>Fournitures &amp; ressources pédagogiques</t>
        </is>
      </c>
      <c r="H1186" s="40" t="inlineStr">
        <is>
          <t>COMPTABLE</t>
        </is>
      </c>
      <c r="I1186" s="41" t="inlineStr">
        <is>
          <t>2025FCST_V4</t>
        </is>
      </c>
      <c r="J1186" s="41" t="n">
        <v>2025</v>
      </c>
      <c r="K1186" s="41" t="inlineStr">
        <is>
          <t>EUR</t>
        </is>
      </c>
      <c r="L1186" s="42" t="n">
        <v>28810</v>
      </c>
    </row>
    <row r="1187">
      <c r="B1187" s="39" t="inlineStr">
        <is>
          <t>ISCOM_PAR</t>
        </is>
      </c>
      <c r="C1187" s="40" t="inlineStr">
        <is>
          <t>MAS_COM</t>
        </is>
      </c>
      <c r="D1187" s="40" t="inlineStr">
        <is>
          <t>M1</t>
        </is>
      </c>
      <c r="E1187" s="40" t="inlineStr">
        <is>
          <t>ALT</t>
        </is>
      </c>
      <c r="F1187" s="40" t="inlineStr">
        <is>
          <t>623000</t>
        </is>
      </c>
      <c r="G1187" s="39" t="inlineStr">
        <is>
          <t>Publicité &amp; marketing (acquisition)</t>
        </is>
      </c>
      <c r="H1187" s="40" t="inlineStr">
        <is>
          <t>COMPTABLE</t>
        </is>
      </c>
      <c r="I1187" s="41" t="inlineStr">
        <is>
          <t>2023ACT_VDEF</t>
        </is>
      </c>
      <c r="J1187" s="41" t="n">
        <v>2023</v>
      </c>
      <c r="K1187" s="41" t="inlineStr">
        <is>
          <t>EUR</t>
        </is>
      </c>
      <c r="L1187" s="42" t="n">
        <v>23220</v>
      </c>
    </row>
    <row r="1188">
      <c r="B1188" s="39" t="inlineStr">
        <is>
          <t>ISCOM_PAR</t>
        </is>
      </c>
      <c r="C1188" s="40" t="inlineStr">
        <is>
          <t>MAS_COM</t>
        </is>
      </c>
      <c r="D1188" s="40" t="inlineStr">
        <is>
          <t>M1</t>
        </is>
      </c>
      <c r="E1188" s="40" t="inlineStr">
        <is>
          <t>ALT</t>
        </is>
      </c>
      <c r="F1188" s="40" t="inlineStr">
        <is>
          <t>623000</t>
        </is>
      </c>
      <c r="G1188" s="39" t="inlineStr">
        <is>
          <t>Publicité &amp; marketing (acquisition)</t>
        </is>
      </c>
      <c r="H1188" s="40" t="inlineStr">
        <is>
          <t>COMPTABLE</t>
        </is>
      </c>
      <c r="I1188" s="41" t="inlineStr">
        <is>
          <t>2024ACT_VDEF</t>
        </is>
      </c>
      <c r="J1188" s="41" t="n">
        <v>2024</v>
      </c>
      <c r="K1188" s="41" t="inlineStr">
        <is>
          <t>EUR</t>
        </is>
      </c>
      <c r="L1188" s="42" t="n">
        <v>24510</v>
      </c>
    </row>
    <row r="1189">
      <c r="B1189" s="39" t="inlineStr">
        <is>
          <t>ISCOM_PAR</t>
        </is>
      </c>
      <c r="C1189" s="40" t="inlineStr">
        <is>
          <t>MAS_COM</t>
        </is>
      </c>
      <c r="D1189" s="40" t="inlineStr">
        <is>
          <t>M1</t>
        </is>
      </c>
      <c r="E1189" s="40" t="inlineStr">
        <is>
          <t>ALT</t>
        </is>
      </c>
      <c r="F1189" s="40" t="inlineStr">
        <is>
          <t>623000</t>
        </is>
      </c>
      <c r="G1189" s="39" t="inlineStr">
        <is>
          <t>Publicité &amp; marketing (acquisition)</t>
        </is>
      </c>
      <c r="H1189" s="40" t="inlineStr">
        <is>
          <t>COMPTABLE</t>
        </is>
      </c>
      <c r="I1189" s="41" t="inlineStr">
        <is>
          <t>2025FCST_V4</t>
        </is>
      </c>
      <c r="J1189" s="41" t="n">
        <v>2025</v>
      </c>
      <c r="K1189" s="41" t="inlineStr">
        <is>
          <t>EUR</t>
        </is>
      </c>
      <c r="L1189" s="42" t="n">
        <v>25800</v>
      </c>
    </row>
    <row r="1190">
      <c r="B1190" s="39" t="inlineStr">
        <is>
          <t>ISCOM_PAR</t>
        </is>
      </c>
      <c r="C1190" s="40" t="inlineStr">
        <is>
          <t>MAS_COM</t>
        </is>
      </c>
      <c r="D1190" s="40" t="inlineStr">
        <is>
          <t>M1</t>
        </is>
      </c>
      <c r="E1190" s="40" t="inlineStr">
        <is>
          <t>ALT</t>
        </is>
      </c>
      <c r="F1190" s="40" t="inlineStr">
        <is>
          <t>613200</t>
        </is>
      </c>
      <c r="G1190" s="39" t="inlineStr">
        <is>
          <t>Locations immobilières (loyers)</t>
        </is>
      </c>
      <c r="H1190" s="40" t="inlineStr">
        <is>
          <t>COMPTABLE</t>
        </is>
      </c>
      <c r="I1190" s="41" t="inlineStr">
        <is>
          <t>2023ACT_VDEF</t>
        </is>
      </c>
      <c r="J1190" s="41" t="n">
        <v>2023</v>
      </c>
      <c r="K1190" s="41" t="inlineStr">
        <is>
          <t>EUR</t>
        </is>
      </c>
      <c r="L1190" s="42" t="n">
        <v>41072</v>
      </c>
    </row>
    <row r="1191">
      <c r="B1191" s="39" t="inlineStr">
        <is>
          <t>ISCOM_PAR</t>
        </is>
      </c>
      <c r="C1191" s="40" t="inlineStr">
        <is>
          <t>MAS_COM</t>
        </is>
      </c>
      <c r="D1191" s="40" t="inlineStr">
        <is>
          <t>M1</t>
        </is>
      </c>
      <c r="E1191" s="40" t="inlineStr">
        <is>
          <t>ALT</t>
        </is>
      </c>
      <c r="F1191" s="40" t="inlineStr">
        <is>
          <t>613200</t>
        </is>
      </c>
      <c r="G1191" s="39" t="inlineStr">
        <is>
          <t>Locations immobilières (loyers)</t>
        </is>
      </c>
      <c r="H1191" s="40" t="inlineStr">
        <is>
          <t>COMPTABLE</t>
        </is>
      </c>
      <c r="I1191" s="41" t="inlineStr">
        <is>
          <t>2024ACT_VDEF</t>
        </is>
      </c>
      <c r="J1191" s="41" t="n">
        <v>2024</v>
      </c>
      <c r="K1191" s="41" t="inlineStr">
        <is>
          <t>EUR</t>
        </is>
      </c>
      <c r="L1191" s="42" t="n">
        <v>43354</v>
      </c>
    </row>
    <row r="1192">
      <c r="B1192" s="39" t="inlineStr">
        <is>
          <t>ISCOM_PAR</t>
        </is>
      </c>
      <c r="C1192" s="40" t="inlineStr">
        <is>
          <t>MAS_COM</t>
        </is>
      </c>
      <c r="D1192" s="40" t="inlineStr">
        <is>
          <t>M1</t>
        </is>
      </c>
      <c r="E1192" s="40" t="inlineStr">
        <is>
          <t>ALT</t>
        </is>
      </c>
      <c r="F1192" s="40" t="inlineStr">
        <is>
          <t>613200</t>
        </is>
      </c>
      <c r="G1192" s="39" t="inlineStr">
        <is>
          <t>Locations immobilières (loyers)</t>
        </is>
      </c>
      <c r="H1192" s="40" t="inlineStr">
        <is>
          <t>COMPTABLE</t>
        </is>
      </c>
      <c r="I1192" s="41" t="inlineStr">
        <is>
          <t>2025FCST_V4</t>
        </is>
      </c>
      <c r="J1192" s="41" t="n">
        <v>2025</v>
      </c>
      <c r="K1192" s="41" t="inlineStr">
        <is>
          <t>EUR</t>
        </is>
      </c>
      <c r="L1192" s="42" t="n">
        <v>45636</v>
      </c>
    </row>
    <row r="1193">
      <c r="B1193" s="39" t="inlineStr">
        <is>
          <t>ISCOM_PAR</t>
        </is>
      </c>
      <c r="C1193" s="40" t="inlineStr">
        <is>
          <t>MAS_COM</t>
        </is>
      </c>
      <c r="D1193" s="40" t="inlineStr">
        <is>
          <t>M1</t>
        </is>
      </c>
      <c r="E1193" s="40" t="inlineStr">
        <is>
          <t>ALT</t>
        </is>
      </c>
      <c r="F1193" s="40" t="inlineStr">
        <is>
          <t>641100</t>
        </is>
      </c>
      <c r="G1193" s="39" t="inlineStr">
        <is>
          <t>Rémunérations du personnel permanent</t>
        </is>
      </c>
      <c r="H1193" s="40" t="inlineStr">
        <is>
          <t>COMPTABLE</t>
        </is>
      </c>
      <c r="I1193" s="41" t="inlineStr">
        <is>
          <t>2023ACT_VDEF</t>
        </is>
      </c>
      <c r="J1193" s="41" t="n">
        <v>2023</v>
      </c>
      <c r="K1193" s="41" t="inlineStr">
        <is>
          <t>EUR</t>
        </is>
      </c>
      <c r="L1193" s="42" t="n">
        <v>94910</v>
      </c>
    </row>
    <row r="1194">
      <c r="B1194" s="39" t="inlineStr">
        <is>
          <t>ISCOM_PAR</t>
        </is>
      </c>
      <c r="C1194" s="40" t="inlineStr">
        <is>
          <t>MAS_COM</t>
        </is>
      </c>
      <c r="D1194" s="40" t="inlineStr">
        <is>
          <t>M1</t>
        </is>
      </c>
      <c r="E1194" s="40" t="inlineStr">
        <is>
          <t>ALT</t>
        </is>
      </c>
      <c r="F1194" s="40" t="inlineStr">
        <is>
          <t>641100</t>
        </is>
      </c>
      <c r="G1194" s="39" t="inlineStr">
        <is>
          <t>Rémunérations du personnel permanent</t>
        </is>
      </c>
      <c r="H1194" s="40" t="inlineStr">
        <is>
          <t>COMPTABLE</t>
        </is>
      </c>
      <c r="I1194" s="41" t="inlineStr">
        <is>
          <t>2024ACT_VDEF</t>
        </is>
      </c>
      <c r="J1194" s="41" t="n">
        <v>2024</v>
      </c>
      <c r="K1194" s="41" t="inlineStr">
        <is>
          <t>EUR</t>
        </is>
      </c>
      <c r="L1194" s="42" t="n">
        <v>100182</v>
      </c>
    </row>
    <row r="1195">
      <c r="B1195" s="39" t="inlineStr">
        <is>
          <t>ISCOM_PAR</t>
        </is>
      </c>
      <c r="C1195" s="40" t="inlineStr">
        <is>
          <t>MAS_COM</t>
        </is>
      </c>
      <c r="D1195" s="40" t="inlineStr">
        <is>
          <t>M1</t>
        </is>
      </c>
      <c r="E1195" s="40" t="inlineStr">
        <is>
          <t>ALT</t>
        </is>
      </c>
      <c r="F1195" s="40" t="inlineStr">
        <is>
          <t>641100</t>
        </is>
      </c>
      <c r="G1195" s="39" t="inlineStr">
        <is>
          <t>Rémunérations du personnel permanent</t>
        </is>
      </c>
      <c r="H1195" s="40" t="inlineStr">
        <is>
          <t>COMPTABLE</t>
        </is>
      </c>
      <c r="I1195" s="41" t="inlineStr">
        <is>
          <t>2025FCST_V4</t>
        </is>
      </c>
      <c r="J1195" s="41" t="n">
        <v>2025</v>
      </c>
      <c r="K1195" s="41" t="inlineStr">
        <is>
          <t>EUR</t>
        </is>
      </c>
      <c r="L1195" s="42" t="n">
        <v>105455</v>
      </c>
    </row>
    <row r="1196">
      <c r="B1196" s="39" t="inlineStr">
        <is>
          <t>ISCOM_PAR</t>
        </is>
      </c>
      <c r="C1196" s="40" t="inlineStr">
        <is>
          <t>MAS_COM</t>
        </is>
      </c>
      <c r="D1196" s="40" t="inlineStr">
        <is>
          <t>M1</t>
        </is>
      </c>
      <c r="E1196" s="40" t="inlineStr">
        <is>
          <t>ALT</t>
        </is>
      </c>
      <c r="F1196" s="40" t="inlineStr">
        <is>
          <t>622600</t>
        </is>
      </c>
      <c r="G1196" s="39" t="inlineStr">
        <is>
          <t>Honoraires &amp; frais de siège (structure groupe)</t>
        </is>
      </c>
      <c r="H1196" s="40" t="inlineStr">
        <is>
          <t>COMPTABLE</t>
        </is>
      </c>
      <c r="I1196" s="41" t="inlineStr">
        <is>
          <t>2023ACT_VDEF</t>
        </is>
      </c>
      <c r="J1196" s="41" t="n">
        <v>2023</v>
      </c>
      <c r="K1196" s="41" t="inlineStr">
        <is>
          <t>EUR</t>
        </is>
      </c>
      <c r="L1196" s="42" t="n">
        <v>37337</v>
      </c>
    </row>
    <row r="1197">
      <c r="B1197" s="39" t="inlineStr">
        <is>
          <t>ISCOM_PAR</t>
        </is>
      </c>
      <c r="C1197" s="40" t="inlineStr">
        <is>
          <t>MAS_COM</t>
        </is>
      </c>
      <c r="D1197" s="40" t="inlineStr">
        <is>
          <t>M1</t>
        </is>
      </c>
      <c r="E1197" s="40" t="inlineStr">
        <is>
          <t>ALT</t>
        </is>
      </c>
      <c r="F1197" s="40" t="inlineStr">
        <is>
          <t>622600</t>
        </is>
      </c>
      <c r="G1197" s="39" t="inlineStr">
        <is>
          <t>Honoraires &amp; frais de siège (structure groupe)</t>
        </is>
      </c>
      <c r="H1197" s="40" t="inlineStr">
        <is>
          <t>COMPTABLE</t>
        </is>
      </c>
      <c r="I1197" s="41" t="inlineStr">
        <is>
          <t>2024ACT_VDEF</t>
        </is>
      </c>
      <c r="J1197" s="41" t="n">
        <v>2024</v>
      </c>
      <c r="K1197" s="41" t="inlineStr">
        <is>
          <t>EUR</t>
        </is>
      </c>
      <c r="L1197" s="42" t="n">
        <v>39412</v>
      </c>
    </row>
    <row r="1198">
      <c r="B1198" s="39" t="inlineStr">
        <is>
          <t>ISCOM_PAR</t>
        </is>
      </c>
      <c r="C1198" s="40" t="inlineStr">
        <is>
          <t>MAS_COM</t>
        </is>
      </c>
      <c r="D1198" s="40" t="inlineStr">
        <is>
          <t>M1</t>
        </is>
      </c>
      <c r="E1198" s="40" t="inlineStr">
        <is>
          <t>ALT</t>
        </is>
      </c>
      <c r="F1198" s="40" t="inlineStr">
        <is>
          <t>622600</t>
        </is>
      </c>
      <c r="G1198" s="39" t="inlineStr">
        <is>
          <t>Honoraires &amp; frais de siège (structure groupe)</t>
        </is>
      </c>
      <c r="H1198" s="40" t="inlineStr">
        <is>
          <t>COMPTABLE</t>
        </is>
      </c>
      <c r="I1198" s="41" t="inlineStr">
        <is>
          <t>2025FCST_V4</t>
        </is>
      </c>
      <c r="J1198" s="41" t="n">
        <v>2025</v>
      </c>
      <c r="K1198" s="41" t="inlineStr">
        <is>
          <t>EUR</t>
        </is>
      </c>
      <c r="L1198" s="42" t="n">
        <v>41486</v>
      </c>
    </row>
    <row r="1199">
      <c r="B1199" s="39" t="inlineStr">
        <is>
          <t>ISCOM_PAR</t>
        </is>
      </c>
      <c r="C1199" s="40" t="inlineStr">
        <is>
          <t>MAS_COM</t>
        </is>
      </c>
      <c r="D1199" s="40" t="inlineStr">
        <is>
          <t>M1</t>
        </is>
      </c>
      <c r="E1199" s="40" t="inlineStr">
        <is>
          <t>ALT</t>
        </is>
      </c>
      <c r="F1199" s="40" t="inlineStr">
        <is>
          <t>606800</t>
        </is>
      </c>
      <c r="G1199" s="39" t="inlineStr">
        <is>
          <t>Autres achats &amp; charges externes</t>
        </is>
      </c>
      <c r="H1199" s="40" t="inlineStr">
        <is>
          <t>COMPTABLE</t>
        </is>
      </c>
      <c r="I1199" s="41" t="inlineStr">
        <is>
          <t>2023ACT_VDEF</t>
        </is>
      </c>
      <c r="J1199" s="41" t="n">
        <v>2023</v>
      </c>
      <c r="K1199" s="41" t="inlineStr">
        <is>
          <t>EUR</t>
        </is>
      </c>
      <c r="L1199" s="42" t="n">
        <v>36146</v>
      </c>
    </row>
    <row r="1200">
      <c r="B1200" s="39" t="inlineStr">
        <is>
          <t>ISCOM_PAR</t>
        </is>
      </c>
      <c r="C1200" s="40" t="inlineStr">
        <is>
          <t>MAS_COM</t>
        </is>
      </c>
      <c r="D1200" s="40" t="inlineStr">
        <is>
          <t>M1</t>
        </is>
      </c>
      <c r="E1200" s="40" t="inlineStr">
        <is>
          <t>ALT</t>
        </is>
      </c>
      <c r="F1200" s="40" t="inlineStr">
        <is>
          <t>606800</t>
        </is>
      </c>
      <c r="G1200" s="39" t="inlineStr">
        <is>
          <t>Autres achats &amp; charges externes</t>
        </is>
      </c>
      <c r="H1200" s="40" t="inlineStr">
        <is>
          <t>COMPTABLE</t>
        </is>
      </c>
      <c r="I1200" s="41" t="inlineStr">
        <is>
          <t>2024ACT_VDEF</t>
        </is>
      </c>
      <c r="J1200" s="41" t="n">
        <v>2024</v>
      </c>
      <c r="K1200" s="41" t="inlineStr">
        <is>
          <t>EUR</t>
        </is>
      </c>
      <c r="L1200" s="42" t="n">
        <v>38154</v>
      </c>
    </row>
    <row r="1201">
      <c r="B1201" s="39" t="inlineStr">
        <is>
          <t>ISCOM_PAR</t>
        </is>
      </c>
      <c r="C1201" s="40" t="inlineStr">
        <is>
          <t>MAS_COM</t>
        </is>
      </c>
      <c r="D1201" s="40" t="inlineStr">
        <is>
          <t>M1</t>
        </is>
      </c>
      <c r="E1201" s="40" t="inlineStr">
        <is>
          <t>ALT</t>
        </is>
      </c>
      <c r="F1201" s="40" t="inlineStr">
        <is>
          <t>606800</t>
        </is>
      </c>
      <c r="G1201" s="39" t="inlineStr">
        <is>
          <t>Autres achats &amp; charges externes</t>
        </is>
      </c>
      <c r="H1201" s="40" t="inlineStr">
        <is>
          <t>COMPTABLE</t>
        </is>
      </c>
      <c r="I1201" s="41" t="inlineStr">
        <is>
          <t>2025FCST_V4</t>
        </is>
      </c>
      <c r="J1201" s="41" t="n">
        <v>2025</v>
      </c>
      <c r="K1201" s="41" t="inlineStr">
        <is>
          <t>EUR</t>
        </is>
      </c>
      <c r="L1201" s="42" t="n">
        <v>40162</v>
      </c>
    </row>
    <row r="1202">
      <c r="B1202" s="39" t="inlineStr">
        <is>
          <t>ISCOM_PAR</t>
        </is>
      </c>
      <c r="C1202" s="40" t="inlineStr">
        <is>
          <t>MAS_COM</t>
        </is>
      </c>
      <c r="D1202" s="40" t="inlineStr">
        <is>
          <t>M1</t>
        </is>
      </c>
      <c r="E1202" s="40" t="inlineStr">
        <is>
          <t>ALT</t>
        </is>
      </c>
      <c r="F1202" s="40" t="inlineStr">
        <is>
          <t>681100</t>
        </is>
      </c>
      <c r="G1202" s="39" t="inlineStr">
        <is>
          <t>Dotations aux amortissements</t>
        </is>
      </c>
      <c r="H1202" s="40" t="inlineStr">
        <is>
          <t>COMPTABLE</t>
        </is>
      </c>
      <c r="I1202" s="41" t="inlineStr">
        <is>
          <t>2023ACT_VDEF</t>
        </is>
      </c>
      <c r="J1202" s="41" t="n">
        <v>2023</v>
      </c>
      <c r="K1202" s="41" t="inlineStr">
        <is>
          <t>EUR</t>
        </is>
      </c>
      <c r="L1202" s="42" t="n">
        <v>22418</v>
      </c>
    </row>
    <row r="1203">
      <c r="B1203" s="39" t="inlineStr">
        <is>
          <t>ISCOM_PAR</t>
        </is>
      </c>
      <c r="C1203" s="40" t="inlineStr">
        <is>
          <t>MAS_COM</t>
        </is>
      </c>
      <c r="D1203" s="40" t="inlineStr">
        <is>
          <t>M1</t>
        </is>
      </c>
      <c r="E1203" s="40" t="inlineStr">
        <is>
          <t>ALT</t>
        </is>
      </c>
      <c r="F1203" s="40" t="inlineStr">
        <is>
          <t>681100</t>
        </is>
      </c>
      <c r="G1203" s="39" t="inlineStr">
        <is>
          <t>Dotations aux amortissements</t>
        </is>
      </c>
      <c r="H1203" s="40" t="inlineStr">
        <is>
          <t>COMPTABLE</t>
        </is>
      </c>
      <c r="I1203" s="41" t="inlineStr">
        <is>
          <t>2024ACT_VDEF</t>
        </is>
      </c>
      <c r="J1203" s="41" t="n">
        <v>2024</v>
      </c>
      <c r="K1203" s="41" t="inlineStr">
        <is>
          <t>EUR</t>
        </is>
      </c>
      <c r="L1203" s="42" t="n">
        <v>23664</v>
      </c>
    </row>
    <row r="1204">
      <c r="B1204" s="39" t="inlineStr">
        <is>
          <t>ISCOM_PAR</t>
        </is>
      </c>
      <c r="C1204" s="40" t="inlineStr">
        <is>
          <t>MAS_COM</t>
        </is>
      </c>
      <c r="D1204" s="40" t="inlineStr">
        <is>
          <t>M1</t>
        </is>
      </c>
      <c r="E1204" s="40" t="inlineStr">
        <is>
          <t>ALT</t>
        </is>
      </c>
      <c r="F1204" s="40" t="inlineStr">
        <is>
          <t>681100</t>
        </is>
      </c>
      <c r="G1204" s="39" t="inlineStr">
        <is>
          <t>Dotations aux amortissements</t>
        </is>
      </c>
      <c r="H1204" s="40" t="inlineStr">
        <is>
          <t>COMPTABLE</t>
        </is>
      </c>
      <c r="I1204" s="41" t="inlineStr">
        <is>
          <t>2025FCST_V4</t>
        </is>
      </c>
      <c r="J1204" s="41" t="n">
        <v>2025</v>
      </c>
      <c r="K1204" s="41" t="inlineStr">
        <is>
          <t>EUR</t>
        </is>
      </c>
      <c r="L1204" s="42" t="n">
        <v>24909</v>
      </c>
    </row>
    <row r="1205">
      <c r="B1205" s="39" t="inlineStr">
        <is>
          <t>ISCOM_PAR</t>
        </is>
      </c>
      <c r="C1205" s="40" t="inlineStr">
        <is>
          <t>MAS_COM</t>
        </is>
      </c>
      <c r="D1205" s="40" t="inlineStr">
        <is>
          <t>M1</t>
        </is>
      </c>
      <c r="E1205" s="40" t="inlineStr">
        <is>
          <t>ALT</t>
        </is>
      </c>
      <c r="F1205" s="40" t="inlineStr">
        <is>
          <t>STA_EFF</t>
        </is>
      </c>
      <c r="G1205" s="39" t="inlineStr">
        <is>
          <t>Effectif inscrit</t>
        </is>
      </c>
      <c r="H1205" s="40" t="inlineStr">
        <is>
          <t>TECHNIQUE</t>
        </is>
      </c>
      <c r="I1205" s="41" t="inlineStr">
        <is>
          <t>2023ACT_VDEF</t>
        </is>
      </c>
      <c r="J1205" s="41" t="n">
        <v>2023</v>
      </c>
      <c r="K1205" s="41" t="inlineStr">
        <is>
          <t>NB</t>
        </is>
      </c>
      <c r="L1205" s="43" t="n">
        <v>39</v>
      </c>
    </row>
    <row r="1206">
      <c r="B1206" s="39" t="inlineStr">
        <is>
          <t>ISCOM_PAR</t>
        </is>
      </c>
      <c r="C1206" s="40" t="inlineStr">
        <is>
          <t>MAS_COM</t>
        </is>
      </c>
      <c r="D1206" s="40" t="inlineStr">
        <is>
          <t>M1</t>
        </is>
      </c>
      <c r="E1206" s="40" t="inlineStr">
        <is>
          <t>ALT</t>
        </is>
      </c>
      <c r="F1206" s="40" t="inlineStr">
        <is>
          <t>STA_EFF</t>
        </is>
      </c>
      <c r="G1206" s="39" t="inlineStr">
        <is>
          <t>Effectif inscrit</t>
        </is>
      </c>
      <c r="H1206" s="40" t="inlineStr">
        <is>
          <t>TECHNIQUE</t>
        </is>
      </c>
      <c r="I1206" s="41" t="inlineStr">
        <is>
          <t>2024ACT_VDEF</t>
        </is>
      </c>
      <c r="J1206" s="41" t="n">
        <v>2024</v>
      </c>
      <c r="K1206" s="41" t="inlineStr">
        <is>
          <t>NB</t>
        </is>
      </c>
      <c r="L1206" s="43" t="n">
        <v>41</v>
      </c>
    </row>
    <row r="1207">
      <c r="B1207" s="39" t="inlineStr">
        <is>
          <t>ISCOM_PAR</t>
        </is>
      </c>
      <c r="C1207" s="40" t="inlineStr">
        <is>
          <t>MAS_COM</t>
        </is>
      </c>
      <c r="D1207" s="40" t="inlineStr">
        <is>
          <t>M1</t>
        </is>
      </c>
      <c r="E1207" s="40" t="inlineStr">
        <is>
          <t>ALT</t>
        </is>
      </c>
      <c r="F1207" s="40" t="inlineStr">
        <is>
          <t>STA_EFF</t>
        </is>
      </c>
      <c r="G1207" s="39" t="inlineStr">
        <is>
          <t>Effectif inscrit</t>
        </is>
      </c>
      <c r="H1207" s="40" t="inlineStr">
        <is>
          <t>TECHNIQUE</t>
        </is>
      </c>
      <c r="I1207" s="41" t="inlineStr">
        <is>
          <t>2025FCST_V4</t>
        </is>
      </c>
      <c r="J1207" s="41" t="n">
        <v>2025</v>
      </c>
      <c r="K1207" s="41" t="inlineStr">
        <is>
          <t>NB</t>
        </is>
      </c>
      <c r="L1207" s="43" t="n">
        <v>43</v>
      </c>
    </row>
    <row r="1208">
      <c r="B1208" s="39" t="inlineStr">
        <is>
          <t>ISCOM_PAR</t>
        </is>
      </c>
      <c r="C1208" s="40" t="inlineStr">
        <is>
          <t>MAS_COM</t>
        </is>
      </c>
      <c r="D1208" s="40" t="inlineStr">
        <is>
          <t>M1</t>
        </is>
      </c>
      <c r="E1208" s="40" t="inlineStr">
        <is>
          <t>ALT</t>
        </is>
      </c>
      <c r="F1208" s="40" t="inlineStr">
        <is>
          <t>STA_CAND</t>
        </is>
      </c>
      <c r="G1208" s="39" t="inlineStr">
        <is>
          <t>Candidatures reçues</t>
        </is>
      </c>
      <c r="H1208" s="40" t="inlineStr">
        <is>
          <t>TECHNIQUE</t>
        </is>
      </c>
      <c r="I1208" s="41" t="inlineStr">
        <is>
          <t>2023ACT_VDEF</t>
        </is>
      </c>
      <c r="J1208" s="41" t="n">
        <v>2023</v>
      </c>
      <c r="K1208" s="41" t="inlineStr">
        <is>
          <t>NB</t>
        </is>
      </c>
      <c r="L1208" s="43" t="n">
        <v>104</v>
      </c>
    </row>
    <row r="1209">
      <c r="B1209" s="39" t="inlineStr">
        <is>
          <t>ISCOM_PAR</t>
        </is>
      </c>
      <c r="C1209" s="40" t="inlineStr">
        <is>
          <t>MAS_COM</t>
        </is>
      </c>
      <c r="D1209" s="40" t="inlineStr">
        <is>
          <t>M1</t>
        </is>
      </c>
      <c r="E1209" s="40" t="inlineStr">
        <is>
          <t>ALT</t>
        </is>
      </c>
      <c r="F1209" s="40" t="inlineStr">
        <is>
          <t>STA_CAND</t>
        </is>
      </c>
      <c r="G1209" s="39" t="inlineStr">
        <is>
          <t>Candidatures reçues</t>
        </is>
      </c>
      <c r="H1209" s="40" t="inlineStr">
        <is>
          <t>TECHNIQUE</t>
        </is>
      </c>
      <c r="I1209" s="41" t="inlineStr">
        <is>
          <t>2024ACT_VDEF</t>
        </is>
      </c>
      <c r="J1209" s="41" t="n">
        <v>2024</v>
      </c>
      <c r="K1209" s="41" t="inlineStr">
        <is>
          <t>NB</t>
        </is>
      </c>
      <c r="L1209" s="43" t="n">
        <v>110</v>
      </c>
    </row>
    <row r="1210">
      <c r="B1210" s="39" t="inlineStr">
        <is>
          <t>ISCOM_PAR</t>
        </is>
      </c>
      <c r="C1210" s="40" t="inlineStr">
        <is>
          <t>MAS_COM</t>
        </is>
      </c>
      <c r="D1210" s="40" t="inlineStr">
        <is>
          <t>M1</t>
        </is>
      </c>
      <c r="E1210" s="40" t="inlineStr">
        <is>
          <t>ALT</t>
        </is>
      </c>
      <c r="F1210" s="40" t="inlineStr">
        <is>
          <t>STA_CAND</t>
        </is>
      </c>
      <c r="G1210" s="39" t="inlineStr">
        <is>
          <t>Candidatures reçues</t>
        </is>
      </c>
      <c r="H1210" s="40" t="inlineStr">
        <is>
          <t>TECHNIQUE</t>
        </is>
      </c>
      <c r="I1210" s="41" t="inlineStr">
        <is>
          <t>2025FCST_V4</t>
        </is>
      </c>
      <c r="J1210" s="41" t="n">
        <v>2025</v>
      </c>
      <c r="K1210" s="41" t="inlineStr">
        <is>
          <t>NB</t>
        </is>
      </c>
      <c r="L1210" s="43" t="n">
        <v>116</v>
      </c>
    </row>
    <row r="1211">
      <c r="B1211" s="39" t="inlineStr">
        <is>
          <t>ISCOM_PAR</t>
        </is>
      </c>
      <c r="C1211" s="40" t="inlineStr">
        <is>
          <t>MAS_COM</t>
        </is>
      </c>
      <c r="D1211" s="40" t="inlineStr">
        <is>
          <t>M1</t>
        </is>
      </c>
      <c r="E1211" s="40" t="inlineStr">
        <is>
          <t>ALT</t>
        </is>
      </c>
      <c r="F1211" s="40" t="inlineStr">
        <is>
          <t>STA_ADMIS</t>
        </is>
      </c>
      <c r="G1211" s="39" t="inlineStr">
        <is>
          <t>Candidats admis</t>
        </is>
      </c>
      <c r="H1211" s="40" t="inlineStr">
        <is>
          <t>TECHNIQUE</t>
        </is>
      </c>
      <c r="I1211" s="41" t="inlineStr">
        <is>
          <t>2023ACT_VDEF</t>
        </is>
      </c>
      <c r="J1211" s="41" t="n">
        <v>2023</v>
      </c>
      <c r="K1211" s="41" t="inlineStr">
        <is>
          <t>NB</t>
        </is>
      </c>
      <c r="L1211" s="43" t="n">
        <v>65</v>
      </c>
    </row>
    <row r="1212">
      <c r="B1212" s="39" t="inlineStr">
        <is>
          <t>ISCOM_PAR</t>
        </is>
      </c>
      <c r="C1212" s="40" t="inlineStr">
        <is>
          <t>MAS_COM</t>
        </is>
      </c>
      <c r="D1212" s="40" t="inlineStr">
        <is>
          <t>M1</t>
        </is>
      </c>
      <c r="E1212" s="40" t="inlineStr">
        <is>
          <t>ALT</t>
        </is>
      </c>
      <c r="F1212" s="40" t="inlineStr">
        <is>
          <t>STA_ADMIS</t>
        </is>
      </c>
      <c r="G1212" s="39" t="inlineStr">
        <is>
          <t>Candidats admis</t>
        </is>
      </c>
      <c r="H1212" s="40" t="inlineStr">
        <is>
          <t>TECHNIQUE</t>
        </is>
      </c>
      <c r="I1212" s="41" t="inlineStr">
        <is>
          <t>2024ACT_VDEF</t>
        </is>
      </c>
      <c r="J1212" s="41" t="n">
        <v>2024</v>
      </c>
      <c r="K1212" s="41" t="inlineStr">
        <is>
          <t>NB</t>
        </is>
      </c>
      <c r="L1212" s="43" t="n">
        <v>68</v>
      </c>
    </row>
    <row r="1213">
      <c r="B1213" s="39" t="inlineStr">
        <is>
          <t>ISCOM_PAR</t>
        </is>
      </c>
      <c r="C1213" s="40" t="inlineStr">
        <is>
          <t>MAS_COM</t>
        </is>
      </c>
      <c r="D1213" s="40" t="inlineStr">
        <is>
          <t>M1</t>
        </is>
      </c>
      <c r="E1213" s="40" t="inlineStr">
        <is>
          <t>ALT</t>
        </is>
      </c>
      <c r="F1213" s="40" t="inlineStr">
        <is>
          <t>STA_ADMIS</t>
        </is>
      </c>
      <c r="G1213" s="39" t="inlineStr">
        <is>
          <t>Candidats admis</t>
        </is>
      </c>
      <c r="H1213" s="40" t="inlineStr">
        <is>
          <t>TECHNIQUE</t>
        </is>
      </c>
      <c r="I1213" s="41" t="inlineStr">
        <is>
          <t>2025FCST_V4</t>
        </is>
      </c>
      <c r="J1213" s="41" t="n">
        <v>2025</v>
      </c>
      <c r="K1213" s="41" t="inlineStr">
        <is>
          <t>NB</t>
        </is>
      </c>
      <c r="L1213" s="43" t="n">
        <v>72</v>
      </c>
    </row>
    <row r="1214">
      <c r="B1214" s="39" t="inlineStr">
        <is>
          <t>ISCOM_PAR</t>
        </is>
      </c>
      <c r="C1214" s="40" t="inlineStr">
        <is>
          <t>MAS_COM</t>
        </is>
      </c>
      <c r="D1214" s="40" t="inlineStr">
        <is>
          <t>M1</t>
        </is>
      </c>
      <c r="E1214" s="40" t="inlineStr">
        <is>
          <t>ALT</t>
        </is>
      </c>
      <c r="F1214" s="40" t="inlineStr">
        <is>
          <t>STA_NOUV</t>
        </is>
      </c>
      <c r="G1214" s="39" t="inlineStr">
        <is>
          <t>Nouveaux inscrits</t>
        </is>
      </c>
      <c r="H1214" s="40" t="inlineStr">
        <is>
          <t>TECHNIQUE</t>
        </is>
      </c>
      <c r="I1214" s="41" t="inlineStr">
        <is>
          <t>2023ACT_VDEF</t>
        </is>
      </c>
      <c r="J1214" s="41" t="n">
        <v>2023</v>
      </c>
      <c r="K1214" s="41" t="inlineStr">
        <is>
          <t>NB</t>
        </is>
      </c>
      <c r="L1214" s="43" t="n">
        <v>39</v>
      </c>
    </row>
    <row r="1215">
      <c r="B1215" s="39" t="inlineStr">
        <is>
          <t>ISCOM_PAR</t>
        </is>
      </c>
      <c r="C1215" s="40" t="inlineStr">
        <is>
          <t>MAS_COM</t>
        </is>
      </c>
      <c r="D1215" s="40" t="inlineStr">
        <is>
          <t>M1</t>
        </is>
      </c>
      <c r="E1215" s="40" t="inlineStr">
        <is>
          <t>ALT</t>
        </is>
      </c>
      <c r="F1215" s="40" t="inlineStr">
        <is>
          <t>STA_NOUV</t>
        </is>
      </c>
      <c r="G1215" s="39" t="inlineStr">
        <is>
          <t>Nouveaux inscrits</t>
        </is>
      </c>
      <c r="H1215" s="40" t="inlineStr">
        <is>
          <t>TECHNIQUE</t>
        </is>
      </c>
      <c r="I1215" s="41" t="inlineStr">
        <is>
          <t>2024ACT_VDEF</t>
        </is>
      </c>
      <c r="J1215" s="41" t="n">
        <v>2024</v>
      </c>
      <c r="K1215" s="41" t="inlineStr">
        <is>
          <t>NB</t>
        </is>
      </c>
      <c r="L1215" s="43" t="n">
        <v>41</v>
      </c>
    </row>
    <row r="1216">
      <c r="B1216" s="39" t="inlineStr">
        <is>
          <t>ISCOM_PAR</t>
        </is>
      </c>
      <c r="C1216" s="40" t="inlineStr">
        <is>
          <t>MAS_COM</t>
        </is>
      </c>
      <c r="D1216" s="40" t="inlineStr">
        <is>
          <t>M1</t>
        </is>
      </c>
      <c r="E1216" s="40" t="inlineStr">
        <is>
          <t>ALT</t>
        </is>
      </c>
      <c r="F1216" s="40" t="inlineStr">
        <is>
          <t>STA_NOUV</t>
        </is>
      </c>
      <c r="G1216" s="39" t="inlineStr">
        <is>
          <t>Nouveaux inscrits</t>
        </is>
      </c>
      <c r="H1216" s="40" t="inlineStr">
        <is>
          <t>TECHNIQUE</t>
        </is>
      </c>
      <c r="I1216" s="41" t="inlineStr">
        <is>
          <t>2025FCST_V4</t>
        </is>
      </c>
      <c r="J1216" s="41" t="n">
        <v>2025</v>
      </c>
      <c r="K1216" s="41" t="inlineStr">
        <is>
          <t>NB</t>
        </is>
      </c>
      <c r="L1216" s="43" t="n">
        <v>43</v>
      </c>
    </row>
    <row r="1217">
      <c r="B1217" s="39" t="inlineStr">
        <is>
          <t>ISCOM_PAR</t>
        </is>
      </c>
      <c r="C1217" s="40" t="inlineStr">
        <is>
          <t>MAS_COM</t>
        </is>
      </c>
      <c r="D1217" s="40" t="inlineStr">
        <is>
          <t>M1</t>
        </is>
      </c>
      <c r="E1217" s="40" t="inlineStr">
        <is>
          <t>ALT</t>
        </is>
      </c>
      <c r="F1217" s="40" t="inlineStr">
        <is>
          <t>STA_CLASS</t>
        </is>
      </c>
      <c r="G1217" s="39" t="inlineStr">
        <is>
          <t>Nombre de classes</t>
        </is>
      </c>
      <c r="H1217" s="40" t="inlineStr">
        <is>
          <t>TECHNIQUE</t>
        </is>
      </c>
      <c r="I1217" s="41" t="inlineStr">
        <is>
          <t>2023ACT_VDEF</t>
        </is>
      </c>
      <c r="J1217" s="41" t="n">
        <v>2023</v>
      </c>
      <c r="K1217" s="41" t="inlineStr">
        <is>
          <t>NB</t>
        </is>
      </c>
      <c r="L1217" s="43" t="n">
        <v>2</v>
      </c>
    </row>
    <row r="1218">
      <c r="B1218" s="39" t="inlineStr">
        <is>
          <t>ISCOM_PAR</t>
        </is>
      </c>
      <c r="C1218" s="40" t="inlineStr">
        <is>
          <t>MAS_COM</t>
        </is>
      </c>
      <c r="D1218" s="40" t="inlineStr">
        <is>
          <t>M1</t>
        </is>
      </c>
      <c r="E1218" s="40" t="inlineStr">
        <is>
          <t>ALT</t>
        </is>
      </c>
      <c r="F1218" s="40" t="inlineStr">
        <is>
          <t>STA_CLASS</t>
        </is>
      </c>
      <c r="G1218" s="39" t="inlineStr">
        <is>
          <t>Nombre de classes</t>
        </is>
      </c>
      <c r="H1218" s="40" t="inlineStr">
        <is>
          <t>TECHNIQUE</t>
        </is>
      </c>
      <c r="I1218" s="41" t="inlineStr">
        <is>
          <t>2024ACT_VDEF</t>
        </is>
      </c>
      <c r="J1218" s="41" t="n">
        <v>2024</v>
      </c>
      <c r="K1218" s="41" t="inlineStr">
        <is>
          <t>NB</t>
        </is>
      </c>
      <c r="L1218" s="43" t="n">
        <v>2</v>
      </c>
    </row>
    <row r="1219">
      <c r="B1219" s="39" t="inlineStr">
        <is>
          <t>ISCOM_PAR</t>
        </is>
      </c>
      <c r="C1219" s="40" t="inlineStr">
        <is>
          <t>MAS_COM</t>
        </is>
      </c>
      <c r="D1219" s="40" t="inlineStr">
        <is>
          <t>M1</t>
        </is>
      </c>
      <c r="E1219" s="40" t="inlineStr">
        <is>
          <t>ALT</t>
        </is>
      </c>
      <c r="F1219" s="40" t="inlineStr">
        <is>
          <t>STA_CLASS</t>
        </is>
      </c>
      <c r="G1219" s="39" t="inlineStr">
        <is>
          <t>Nombre de classes</t>
        </is>
      </c>
      <c r="H1219" s="40" t="inlineStr">
        <is>
          <t>TECHNIQUE</t>
        </is>
      </c>
      <c r="I1219" s="41" t="inlineStr">
        <is>
          <t>2025FCST_V4</t>
        </is>
      </c>
      <c r="J1219" s="41" t="n">
        <v>2025</v>
      </c>
      <c r="K1219" s="41" t="inlineStr">
        <is>
          <t>NB</t>
        </is>
      </c>
      <c r="L1219" s="43" t="n">
        <v>2</v>
      </c>
    </row>
    <row r="1220">
      <c r="B1220" s="39" t="inlineStr">
        <is>
          <t>ISCOM_PAR</t>
        </is>
      </c>
      <c r="C1220" s="40" t="inlineStr">
        <is>
          <t>MAS_COM</t>
        </is>
      </c>
      <c r="D1220" s="40" t="inlineStr">
        <is>
          <t>M1</t>
        </is>
      </c>
      <c r="E1220" s="40" t="inlineStr">
        <is>
          <t>ALT</t>
        </is>
      </c>
      <c r="F1220" s="40" t="inlineStr">
        <is>
          <t>STA_HEURE</t>
        </is>
      </c>
      <c r="G1220" s="39" t="inlineStr">
        <is>
          <t>Heures d'enseignement</t>
        </is>
      </c>
      <c r="H1220" s="40" t="inlineStr">
        <is>
          <t>TECHNIQUE</t>
        </is>
      </c>
      <c r="I1220" s="41" t="inlineStr">
        <is>
          <t>2023ACT_VDEF</t>
        </is>
      </c>
      <c r="J1220" s="41" t="n">
        <v>2023</v>
      </c>
      <c r="K1220" s="41" t="inlineStr">
        <is>
          <t>NB</t>
        </is>
      </c>
      <c r="L1220" s="43" t="n">
        <v>864</v>
      </c>
    </row>
    <row r="1221">
      <c r="B1221" s="39" t="inlineStr">
        <is>
          <t>ISCOM_PAR</t>
        </is>
      </c>
      <c r="C1221" s="40" t="inlineStr">
        <is>
          <t>MAS_COM</t>
        </is>
      </c>
      <c r="D1221" s="40" t="inlineStr">
        <is>
          <t>M1</t>
        </is>
      </c>
      <c r="E1221" s="40" t="inlineStr">
        <is>
          <t>ALT</t>
        </is>
      </c>
      <c r="F1221" s="40" t="inlineStr">
        <is>
          <t>STA_HEURE</t>
        </is>
      </c>
      <c r="G1221" s="39" t="inlineStr">
        <is>
          <t>Heures d'enseignement</t>
        </is>
      </c>
      <c r="H1221" s="40" t="inlineStr">
        <is>
          <t>TECHNIQUE</t>
        </is>
      </c>
      <c r="I1221" s="41" t="inlineStr">
        <is>
          <t>2024ACT_VDEF</t>
        </is>
      </c>
      <c r="J1221" s="41" t="n">
        <v>2024</v>
      </c>
      <c r="K1221" s="41" t="inlineStr">
        <is>
          <t>NB</t>
        </is>
      </c>
      <c r="L1221" s="43" t="n">
        <v>912</v>
      </c>
    </row>
    <row r="1222">
      <c r="B1222" s="39" t="inlineStr">
        <is>
          <t>ISCOM_PAR</t>
        </is>
      </c>
      <c r="C1222" s="40" t="inlineStr">
        <is>
          <t>MAS_COM</t>
        </is>
      </c>
      <c r="D1222" s="40" t="inlineStr">
        <is>
          <t>M1</t>
        </is>
      </c>
      <c r="E1222" s="40" t="inlineStr">
        <is>
          <t>ALT</t>
        </is>
      </c>
      <c r="F1222" s="40" t="inlineStr">
        <is>
          <t>STA_HEURE</t>
        </is>
      </c>
      <c r="G1222" s="39" t="inlineStr">
        <is>
          <t>Heures d'enseignement</t>
        </is>
      </c>
      <c r="H1222" s="40" t="inlineStr">
        <is>
          <t>TECHNIQUE</t>
        </is>
      </c>
      <c r="I1222" s="41" t="inlineStr">
        <is>
          <t>2025FCST_V4</t>
        </is>
      </c>
      <c r="J1222" s="41" t="n">
        <v>2025</v>
      </c>
      <c r="K1222" s="41" t="inlineStr">
        <is>
          <t>NB</t>
        </is>
      </c>
      <c r="L1222" s="43" t="n">
        <v>960</v>
      </c>
    </row>
    <row r="1223">
      <c r="B1223" s="39" t="inlineStr">
        <is>
          <t>ISCOM_PAR</t>
        </is>
      </c>
      <c r="C1223" s="40" t="inlineStr">
        <is>
          <t>MAS_COM</t>
        </is>
      </c>
      <c r="D1223" s="40" t="inlineStr">
        <is>
          <t>M1</t>
        </is>
      </c>
      <c r="E1223" s="40" t="inlineStr">
        <is>
          <t>ALT</t>
        </is>
      </c>
      <c r="F1223" s="40" t="inlineStr">
        <is>
          <t>STA_CAPA</t>
        </is>
      </c>
      <c r="G1223" s="39" t="inlineStr">
        <is>
          <t>Capacité par classe</t>
        </is>
      </c>
      <c r="H1223" s="40" t="inlineStr">
        <is>
          <t>TECHNIQUE</t>
        </is>
      </c>
      <c r="I1223" s="41" t="inlineStr">
        <is>
          <t>2023ACT_VDEF</t>
        </is>
      </c>
      <c r="J1223" s="41" t="n">
        <v>2023</v>
      </c>
      <c r="K1223" s="41" t="inlineStr">
        <is>
          <t>NB</t>
        </is>
      </c>
      <c r="L1223" s="43" t="n">
        <v>26</v>
      </c>
    </row>
    <row r="1224">
      <c r="B1224" s="39" t="inlineStr">
        <is>
          <t>ISCOM_PAR</t>
        </is>
      </c>
      <c r="C1224" s="40" t="inlineStr">
        <is>
          <t>MAS_COM</t>
        </is>
      </c>
      <c r="D1224" s="40" t="inlineStr">
        <is>
          <t>M1</t>
        </is>
      </c>
      <c r="E1224" s="40" t="inlineStr">
        <is>
          <t>ALT</t>
        </is>
      </c>
      <c r="F1224" s="40" t="inlineStr">
        <is>
          <t>STA_CAPA</t>
        </is>
      </c>
      <c r="G1224" s="39" t="inlineStr">
        <is>
          <t>Capacité par classe</t>
        </is>
      </c>
      <c r="H1224" s="40" t="inlineStr">
        <is>
          <t>TECHNIQUE</t>
        </is>
      </c>
      <c r="I1224" s="41" t="inlineStr">
        <is>
          <t>2024ACT_VDEF</t>
        </is>
      </c>
      <c r="J1224" s="41" t="n">
        <v>2024</v>
      </c>
      <c r="K1224" s="41" t="inlineStr">
        <is>
          <t>NB</t>
        </is>
      </c>
      <c r="L1224" s="43" t="n">
        <v>26</v>
      </c>
    </row>
    <row r="1225">
      <c r="B1225" s="39" t="inlineStr">
        <is>
          <t>ISCOM_PAR</t>
        </is>
      </c>
      <c r="C1225" s="40" t="inlineStr">
        <is>
          <t>MAS_COM</t>
        </is>
      </c>
      <c r="D1225" s="40" t="inlineStr">
        <is>
          <t>M1</t>
        </is>
      </c>
      <c r="E1225" s="40" t="inlineStr">
        <is>
          <t>ALT</t>
        </is>
      </c>
      <c r="F1225" s="40" t="inlineStr">
        <is>
          <t>STA_CAPA</t>
        </is>
      </c>
      <c r="G1225" s="39" t="inlineStr">
        <is>
          <t>Capacité par classe</t>
        </is>
      </c>
      <c r="H1225" s="40" t="inlineStr">
        <is>
          <t>TECHNIQUE</t>
        </is>
      </c>
      <c r="I1225" s="41" t="inlineStr">
        <is>
          <t>2025FCST_V4</t>
        </is>
      </c>
      <c r="J1225" s="41" t="n">
        <v>2025</v>
      </c>
      <c r="K1225" s="41" t="inlineStr">
        <is>
          <t>NB</t>
        </is>
      </c>
      <c r="L1225" s="43" t="n">
        <v>26</v>
      </c>
    </row>
    <row r="1226">
      <c r="B1226" s="39" t="inlineStr">
        <is>
          <t>ISCOM_PAR</t>
        </is>
      </c>
      <c r="C1226" s="40" t="inlineStr">
        <is>
          <t>MAS_COM</t>
        </is>
      </c>
      <c r="D1226" s="40" t="inlineStr">
        <is>
          <t>M1</t>
        </is>
      </c>
      <c r="E1226" s="40" t="inlineStr">
        <is>
          <t>ALT</t>
        </is>
      </c>
      <c r="F1226" s="40" t="inlineStr">
        <is>
          <t>DRV_CONV</t>
        </is>
      </c>
      <c r="G1226" s="39" t="inlineStr">
        <is>
          <t>Taux de conversion candidat→inscrit</t>
        </is>
      </c>
      <c r="H1226" s="40" t="inlineStr">
        <is>
          <t>TECHNIQUE</t>
        </is>
      </c>
      <c r="I1226" s="41" t="inlineStr">
        <is>
          <t>2023ACT_VDEF</t>
        </is>
      </c>
      <c r="J1226" s="41" t="n">
        <v>2023</v>
      </c>
      <c r="K1226" s="41" t="inlineStr">
        <is>
          <t>PCT</t>
        </is>
      </c>
      <c r="L1226" s="44" t="n">
        <v>0.3707</v>
      </c>
    </row>
    <row r="1227">
      <c r="B1227" s="39" t="inlineStr">
        <is>
          <t>ISCOM_PAR</t>
        </is>
      </c>
      <c r="C1227" s="40" t="inlineStr">
        <is>
          <t>MAS_COM</t>
        </is>
      </c>
      <c r="D1227" s="40" t="inlineStr">
        <is>
          <t>M1</t>
        </is>
      </c>
      <c r="E1227" s="40" t="inlineStr">
        <is>
          <t>ALT</t>
        </is>
      </c>
      <c r="F1227" s="40" t="inlineStr">
        <is>
          <t>DRV_CONV</t>
        </is>
      </c>
      <c r="G1227" s="39" t="inlineStr">
        <is>
          <t>Taux de conversion candidat→inscrit</t>
        </is>
      </c>
      <c r="H1227" s="40" t="inlineStr">
        <is>
          <t>TECHNIQUE</t>
        </is>
      </c>
      <c r="I1227" s="41" t="inlineStr">
        <is>
          <t>2024ACT_VDEF</t>
        </is>
      </c>
      <c r="J1227" s="41" t="n">
        <v>2024</v>
      </c>
      <c r="K1227" s="41" t="inlineStr">
        <is>
          <t>PCT</t>
        </is>
      </c>
      <c r="L1227" s="44" t="n">
        <v>0.3707</v>
      </c>
    </row>
    <row r="1228">
      <c r="B1228" s="39" t="inlineStr">
        <is>
          <t>ISCOM_PAR</t>
        </is>
      </c>
      <c r="C1228" s="40" t="inlineStr">
        <is>
          <t>MAS_COM</t>
        </is>
      </c>
      <c r="D1228" s="40" t="inlineStr">
        <is>
          <t>M1</t>
        </is>
      </c>
      <c r="E1228" s="40" t="inlineStr">
        <is>
          <t>ALT</t>
        </is>
      </c>
      <c r="F1228" s="40" t="inlineStr">
        <is>
          <t>DRV_CONV</t>
        </is>
      </c>
      <c r="G1228" s="39" t="inlineStr">
        <is>
          <t>Taux de conversion candidat→inscrit</t>
        </is>
      </c>
      <c r="H1228" s="40" t="inlineStr">
        <is>
          <t>TECHNIQUE</t>
        </is>
      </c>
      <c r="I1228" s="41" t="inlineStr">
        <is>
          <t>2025FCST_V4</t>
        </is>
      </c>
      <c r="J1228" s="41" t="n">
        <v>2025</v>
      </c>
      <c r="K1228" s="41" t="inlineStr">
        <is>
          <t>PCT</t>
        </is>
      </c>
      <c r="L1228" s="44" t="n">
        <v>0.3707</v>
      </c>
    </row>
    <row r="1229">
      <c r="B1229" s="39" t="inlineStr">
        <is>
          <t>ISCOM_PAR</t>
        </is>
      </c>
      <c r="C1229" s="40" t="inlineStr">
        <is>
          <t>MAS_COM</t>
        </is>
      </c>
      <c r="D1229" s="40" t="inlineStr">
        <is>
          <t>M1</t>
        </is>
      </c>
      <c r="E1229" s="40" t="inlineStr">
        <is>
          <t>ALT</t>
        </is>
      </c>
      <c r="F1229" s="40" t="inlineStr">
        <is>
          <t>PRX_TARIF</t>
        </is>
      </c>
      <c r="G1229" s="39" t="inlineStr">
        <is>
          <t>Tarif moyen scolarité</t>
        </is>
      </c>
      <c r="H1229" s="40" t="inlineStr">
        <is>
          <t>TECHNIQUE</t>
        </is>
      </c>
      <c r="I1229" s="41" t="inlineStr">
        <is>
          <t>2023ACT_VDEF</t>
        </is>
      </c>
      <c r="J1229" s="41" t="n">
        <v>2023</v>
      </c>
      <c r="K1229" s="41" t="inlineStr">
        <is>
          <t>EUR</t>
        </is>
      </c>
      <c r="L1229" s="42" t="n">
        <v>9000</v>
      </c>
    </row>
    <row r="1230">
      <c r="B1230" s="39" t="inlineStr">
        <is>
          <t>ISCOM_PAR</t>
        </is>
      </c>
      <c r="C1230" s="40" t="inlineStr">
        <is>
          <t>MAS_COM</t>
        </is>
      </c>
      <c r="D1230" s="40" t="inlineStr">
        <is>
          <t>M1</t>
        </is>
      </c>
      <c r="E1230" s="40" t="inlineStr">
        <is>
          <t>ALT</t>
        </is>
      </c>
      <c r="F1230" s="40" t="inlineStr">
        <is>
          <t>PRX_TARIF</t>
        </is>
      </c>
      <c r="G1230" s="39" t="inlineStr">
        <is>
          <t>Tarif moyen scolarité</t>
        </is>
      </c>
      <c r="H1230" s="40" t="inlineStr">
        <is>
          <t>TECHNIQUE</t>
        </is>
      </c>
      <c r="I1230" s="41" t="inlineStr">
        <is>
          <t>2024ACT_VDEF</t>
        </is>
      </c>
      <c r="J1230" s="41" t="n">
        <v>2024</v>
      </c>
      <c r="K1230" s="41" t="inlineStr">
        <is>
          <t>EUR</t>
        </is>
      </c>
      <c r="L1230" s="42" t="n">
        <v>9000</v>
      </c>
    </row>
    <row r="1231">
      <c r="B1231" s="39" t="inlineStr">
        <is>
          <t>ISCOM_PAR</t>
        </is>
      </c>
      <c r="C1231" s="40" t="inlineStr">
        <is>
          <t>MAS_COM</t>
        </is>
      </c>
      <c r="D1231" s="40" t="inlineStr">
        <is>
          <t>M1</t>
        </is>
      </c>
      <c r="E1231" s="40" t="inlineStr">
        <is>
          <t>ALT</t>
        </is>
      </c>
      <c r="F1231" s="40" t="inlineStr">
        <is>
          <t>PRX_TARIF</t>
        </is>
      </c>
      <c r="G1231" s="39" t="inlineStr">
        <is>
          <t>Tarif moyen scolarité</t>
        </is>
      </c>
      <c r="H1231" s="40" t="inlineStr">
        <is>
          <t>TECHNIQUE</t>
        </is>
      </c>
      <c r="I1231" s="41" t="inlineStr">
        <is>
          <t>2025FCST_V4</t>
        </is>
      </c>
      <c r="J1231" s="41" t="n">
        <v>2025</v>
      </c>
      <c r="K1231" s="41" t="inlineStr">
        <is>
          <t>EUR</t>
        </is>
      </c>
      <c r="L1231" s="42" t="n">
        <v>9000</v>
      </c>
    </row>
    <row r="1232">
      <c r="B1232" s="39" t="inlineStr">
        <is>
          <t>ISCOM_PAR</t>
        </is>
      </c>
      <c r="C1232" s="40" t="inlineStr">
        <is>
          <t>MAS_COM</t>
        </is>
      </c>
      <c r="D1232" s="40" t="inlineStr">
        <is>
          <t>M1</t>
        </is>
      </c>
      <c r="E1232" s="40" t="inlineStr">
        <is>
          <t>ALT</t>
        </is>
      </c>
      <c r="F1232" s="40" t="inlineStr">
        <is>
          <t>CAC_LEAD</t>
        </is>
      </c>
      <c r="G1232" s="39" t="inlineStr">
        <is>
          <t>Coût d'acquisition par lead</t>
        </is>
      </c>
      <c r="H1232" s="40" t="inlineStr">
        <is>
          <t>TECHNIQUE</t>
        </is>
      </c>
      <c r="I1232" s="41" t="inlineStr">
        <is>
          <t>2023ACT_VDEF</t>
        </is>
      </c>
      <c r="J1232" s="41" t="n">
        <v>2023</v>
      </c>
      <c r="K1232" s="41" t="inlineStr">
        <is>
          <t>EUR</t>
        </is>
      </c>
      <c r="L1232" s="42" t="n">
        <v>600</v>
      </c>
    </row>
    <row r="1233">
      <c r="B1233" s="39" t="inlineStr">
        <is>
          <t>ISCOM_PAR</t>
        </is>
      </c>
      <c r="C1233" s="40" t="inlineStr">
        <is>
          <t>MAS_COM</t>
        </is>
      </c>
      <c r="D1233" s="40" t="inlineStr">
        <is>
          <t>M1</t>
        </is>
      </c>
      <c r="E1233" s="40" t="inlineStr">
        <is>
          <t>ALT</t>
        </is>
      </c>
      <c r="F1233" s="40" t="inlineStr">
        <is>
          <t>CAC_LEAD</t>
        </is>
      </c>
      <c r="G1233" s="39" t="inlineStr">
        <is>
          <t>Coût d'acquisition par lead</t>
        </is>
      </c>
      <c r="H1233" s="40" t="inlineStr">
        <is>
          <t>TECHNIQUE</t>
        </is>
      </c>
      <c r="I1233" s="41" t="inlineStr">
        <is>
          <t>2024ACT_VDEF</t>
        </is>
      </c>
      <c r="J1233" s="41" t="n">
        <v>2024</v>
      </c>
      <c r="K1233" s="41" t="inlineStr">
        <is>
          <t>EUR</t>
        </is>
      </c>
      <c r="L1233" s="42" t="n">
        <v>600</v>
      </c>
    </row>
    <row r="1234">
      <c r="B1234" s="39" t="inlineStr">
        <is>
          <t>ISCOM_PAR</t>
        </is>
      </c>
      <c r="C1234" s="40" t="inlineStr">
        <is>
          <t>MAS_COM</t>
        </is>
      </c>
      <c r="D1234" s="40" t="inlineStr">
        <is>
          <t>M1</t>
        </is>
      </c>
      <c r="E1234" s="40" t="inlineStr">
        <is>
          <t>ALT</t>
        </is>
      </c>
      <c r="F1234" s="40" t="inlineStr">
        <is>
          <t>CAC_LEAD</t>
        </is>
      </c>
      <c r="G1234" s="39" t="inlineStr">
        <is>
          <t>Coût d'acquisition par lead</t>
        </is>
      </c>
      <c r="H1234" s="40" t="inlineStr">
        <is>
          <t>TECHNIQUE</t>
        </is>
      </c>
      <c r="I1234" s="41" t="inlineStr">
        <is>
          <t>2025FCST_V4</t>
        </is>
      </c>
      <c r="J1234" s="41" t="n">
        <v>2025</v>
      </c>
      <c r="K1234" s="41" t="inlineStr">
        <is>
          <t>EUR</t>
        </is>
      </c>
      <c r="L1234" s="42" t="n">
        <v>600</v>
      </c>
    </row>
    <row r="1235">
      <c r="B1235" s="39" t="inlineStr">
        <is>
          <t>ISCOM_PAR</t>
        </is>
      </c>
      <c r="C1235" s="40" t="inlineStr">
        <is>
          <t>MAS_COM</t>
        </is>
      </c>
      <c r="D1235" s="40" t="inlineStr">
        <is>
          <t>M2</t>
        </is>
      </c>
      <c r="E1235" s="40" t="inlineStr">
        <is>
          <t>ALT</t>
        </is>
      </c>
      <c r="F1235" s="40" t="inlineStr">
        <is>
          <t>706100</t>
        </is>
      </c>
      <c r="G1235" s="39" t="inlineStr">
        <is>
          <t>Droits de scolarité</t>
        </is>
      </c>
      <c r="H1235" s="40" t="inlineStr">
        <is>
          <t>COMPTABLE</t>
        </is>
      </c>
      <c r="I1235" s="41" t="inlineStr">
        <is>
          <t>2023ACT_VDEF</t>
        </is>
      </c>
      <c r="J1235" s="41" t="n">
        <v>2023</v>
      </c>
      <c r="K1235" s="41" t="inlineStr">
        <is>
          <t>EUR</t>
        </is>
      </c>
      <c r="L1235" s="42" t="n">
        <v>315900</v>
      </c>
    </row>
    <row r="1236">
      <c r="B1236" s="39" t="inlineStr">
        <is>
          <t>ISCOM_PAR</t>
        </is>
      </c>
      <c r="C1236" s="40" t="inlineStr">
        <is>
          <t>MAS_COM</t>
        </is>
      </c>
      <c r="D1236" s="40" t="inlineStr">
        <is>
          <t>M2</t>
        </is>
      </c>
      <c r="E1236" s="40" t="inlineStr">
        <is>
          <t>ALT</t>
        </is>
      </c>
      <c r="F1236" s="40" t="inlineStr">
        <is>
          <t>706100</t>
        </is>
      </c>
      <c r="G1236" s="39" t="inlineStr">
        <is>
          <t>Droits de scolarité</t>
        </is>
      </c>
      <c r="H1236" s="40" t="inlineStr">
        <is>
          <t>COMPTABLE</t>
        </is>
      </c>
      <c r="I1236" s="41" t="inlineStr">
        <is>
          <t>2024ACT_VDEF</t>
        </is>
      </c>
      <c r="J1236" s="41" t="n">
        <v>2024</v>
      </c>
      <c r="K1236" s="41" t="inlineStr">
        <is>
          <t>EUR</t>
        </is>
      </c>
      <c r="L1236" s="42" t="n">
        <v>333450</v>
      </c>
    </row>
    <row r="1237">
      <c r="B1237" s="39" t="inlineStr">
        <is>
          <t>ISCOM_PAR</t>
        </is>
      </c>
      <c r="C1237" s="40" t="inlineStr">
        <is>
          <t>MAS_COM</t>
        </is>
      </c>
      <c r="D1237" s="40" t="inlineStr">
        <is>
          <t>M2</t>
        </is>
      </c>
      <c r="E1237" s="40" t="inlineStr">
        <is>
          <t>ALT</t>
        </is>
      </c>
      <c r="F1237" s="40" t="inlineStr">
        <is>
          <t>706100</t>
        </is>
      </c>
      <c r="G1237" s="39" t="inlineStr">
        <is>
          <t>Droits de scolarité</t>
        </is>
      </c>
      <c r="H1237" s="40" t="inlineStr">
        <is>
          <t>COMPTABLE</t>
        </is>
      </c>
      <c r="I1237" s="41" t="inlineStr">
        <is>
          <t>2025FCST_V4</t>
        </is>
      </c>
      <c r="J1237" s="41" t="n">
        <v>2025</v>
      </c>
      <c r="K1237" s="41" t="inlineStr">
        <is>
          <t>EUR</t>
        </is>
      </c>
      <c r="L1237" s="42" t="n">
        <v>351000</v>
      </c>
    </row>
    <row r="1238">
      <c r="B1238" s="39" t="inlineStr">
        <is>
          <t>ISCOM_PAR</t>
        </is>
      </c>
      <c r="C1238" s="40" t="inlineStr">
        <is>
          <t>MAS_COM</t>
        </is>
      </c>
      <c r="D1238" s="40" t="inlineStr">
        <is>
          <t>M2</t>
        </is>
      </c>
      <c r="E1238" s="40" t="inlineStr">
        <is>
          <t>ALT</t>
        </is>
      </c>
      <c r="F1238" s="40" t="inlineStr">
        <is>
          <t>604100</t>
        </is>
      </c>
      <c r="G1238" s="39" t="inlineStr">
        <is>
          <t>Vacations &amp; sous-traitance pédagogique</t>
        </is>
      </c>
      <c r="H1238" s="40" t="inlineStr">
        <is>
          <t>COMPTABLE</t>
        </is>
      </c>
      <c r="I1238" s="41" t="inlineStr">
        <is>
          <t>2023ACT_VDEF</t>
        </is>
      </c>
      <c r="J1238" s="41" t="n">
        <v>2023</v>
      </c>
      <c r="K1238" s="41" t="inlineStr">
        <is>
          <t>EUR</t>
        </is>
      </c>
      <c r="L1238" s="42" t="n">
        <v>58608</v>
      </c>
    </row>
    <row r="1239">
      <c r="B1239" s="39" t="inlineStr">
        <is>
          <t>ISCOM_PAR</t>
        </is>
      </c>
      <c r="C1239" s="40" t="inlineStr">
        <is>
          <t>MAS_COM</t>
        </is>
      </c>
      <c r="D1239" s="40" t="inlineStr">
        <is>
          <t>M2</t>
        </is>
      </c>
      <c r="E1239" s="40" t="inlineStr">
        <is>
          <t>ALT</t>
        </is>
      </c>
      <c r="F1239" s="40" t="inlineStr">
        <is>
          <t>604100</t>
        </is>
      </c>
      <c r="G1239" s="39" t="inlineStr">
        <is>
          <t>Vacations &amp; sous-traitance pédagogique</t>
        </is>
      </c>
      <c r="H1239" s="40" t="inlineStr">
        <is>
          <t>COMPTABLE</t>
        </is>
      </c>
      <c r="I1239" s="41" t="inlineStr">
        <is>
          <t>2024ACT_VDEF</t>
        </is>
      </c>
      <c r="J1239" s="41" t="n">
        <v>2024</v>
      </c>
      <c r="K1239" s="41" t="inlineStr">
        <is>
          <t>EUR</t>
        </is>
      </c>
      <c r="L1239" s="42" t="n">
        <v>61864</v>
      </c>
    </row>
    <row r="1240">
      <c r="B1240" s="39" t="inlineStr">
        <is>
          <t>ISCOM_PAR</t>
        </is>
      </c>
      <c r="C1240" s="40" t="inlineStr">
        <is>
          <t>MAS_COM</t>
        </is>
      </c>
      <c r="D1240" s="40" t="inlineStr">
        <is>
          <t>M2</t>
        </is>
      </c>
      <c r="E1240" s="40" t="inlineStr">
        <is>
          <t>ALT</t>
        </is>
      </c>
      <c r="F1240" s="40" t="inlineStr">
        <is>
          <t>604100</t>
        </is>
      </c>
      <c r="G1240" s="39" t="inlineStr">
        <is>
          <t>Vacations &amp; sous-traitance pédagogique</t>
        </is>
      </c>
      <c r="H1240" s="40" t="inlineStr">
        <is>
          <t>COMPTABLE</t>
        </is>
      </c>
      <c r="I1240" s="41" t="inlineStr">
        <is>
          <t>2025FCST_V4</t>
        </is>
      </c>
      <c r="J1240" s="41" t="n">
        <v>2025</v>
      </c>
      <c r="K1240" s="41" t="inlineStr">
        <is>
          <t>EUR</t>
        </is>
      </c>
      <c r="L1240" s="42" t="n">
        <v>65120</v>
      </c>
    </row>
    <row r="1241">
      <c r="B1241" s="39" t="inlineStr">
        <is>
          <t>ISCOM_PAR</t>
        </is>
      </c>
      <c r="C1241" s="40" t="inlineStr">
        <is>
          <t>MAS_COM</t>
        </is>
      </c>
      <c r="D1241" s="40" t="inlineStr">
        <is>
          <t>M2</t>
        </is>
      </c>
      <c r="E1241" s="40" t="inlineStr">
        <is>
          <t>ALT</t>
        </is>
      </c>
      <c r="F1241" s="40" t="inlineStr">
        <is>
          <t>606300</t>
        </is>
      </c>
      <c r="G1241" s="39" t="inlineStr">
        <is>
          <t>Fournitures &amp; ressources pédagogiques</t>
        </is>
      </c>
      <c r="H1241" s="40" t="inlineStr">
        <is>
          <t>COMPTABLE</t>
        </is>
      </c>
      <c r="I1241" s="41" t="inlineStr">
        <is>
          <t>2023ACT_VDEF</t>
        </is>
      </c>
      <c r="J1241" s="41" t="n">
        <v>2023</v>
      </c>
      <c r="K1241" s="41" t="inlineStr">
        <is>
          <t>EUR</t>
        </is>
      </c>
      <c r="L1241" s="42" t="n">
        <v>23517</v>
      </c>
    </row>
    <row r="1242">
      <c r="B1242" s="39" t="inlineStr">
        <is>
          <t>ISCOM_PAR</t>
        </is>
      </c>
      <c r="C1242" s="40" t="inlineStr">
        <is>
          <t>MAS_COM</t>
        </is>
      </c>
      <c r="D1242" s="40" t="inlineStr">
        <is>
          <t>M2</t>
        </is>
      </c>
      <c r="E1242" s="40" t="inlineStr">
        <is>
          <t>ALT</t>
        </is>
      </c>
      <c r="F1242" s="40" t="inlineStr">
        <is>
          <t>606300</t>
        </is>
      </c>
      <c r="G1242" s="39" t="inlineStr">
        <is>
          <t>Fournitures &amp; ressources pédagogiques</t>
        </is>
      </c>
      <c r="H1242" s="40" t="inlineStr">
        <is>
          <t>COMPTABLE</t>
        </is>
      </c>
      <c r="I1242" s="41" t="inlineStr">
        <is>
          <t>2024ACT_VDEF</t>
        </is>
      </c>
      <c r="J1242" s="41" t="n">
        <v>2024</v>
      </c>
      <c r="K1242" s="41" t="inlineStr">
        <is>
          <t>EUR</t>
        </is>
      </c>
      <c r="L1242" s="42" t="n">
        <v>24824</v>
      </c>
    </row>
    <row r="1243">
      <c r="B1243" s="39" t="inlineStr">
        <is>
          <t>ISCOM_PAR</t>
        </is>
      </c>
      <c r="C1243" s="40" t="inlineStr">
        <is>
          <t>MAS_COM</t>
        </is>
      </c>
      <c r="D1243" s="40" t="inlineStr">
        <is>
          <t>M2</t>
        </is>
      </c>
      <c r="E1243" s="40" t="inlineStr">
        <is>
          <t>ALT</t>
        </is>
      </c>
      <c r="F1243" s="40" t="inlineStr">
        <is>
          <t>606300</t>
        </is>
      </c>
      <c r="G1243" s="39" t="inlineStr">
        <is>
          <t>Fournitures &amp; ressources pédagogiques</t>
        </is>
      </c>
      <c r="H1243" s="40" t="inlineStr">
        <is>
          <t>COMPTABLE</t>
        </is>
      </c>
      <c r="I1243" s="41" t="inlineStr">
        <is>
          <t>2025FCST_V4</t>
        </is>
      </c>
      <c r="J1243" s="41" t="n">
        <v>2025</v>
      </c>
      <c r="K1243" s="41" t="inlineStr">
        <is>
          <t>EUR</t>
        </is>
      </c>
      <c r="L1243" s="42" t="n">
        <v>26130</v>
      </c>
    </row>
    <row r="1244">
      <c r="B1244" s="39" t="inlineStr">
        <is>
          <t>ISCOM_PAR</t>
        </is>
      </c>
      <c r="C1244" s="40" t="inlineStr">
        <is>
          <t>MAS_COM</t>
        </is>
      </c>
      <c r="D1244" s="40" t="inlineStr">
        <is>
          <t>M2</t>
        </is>
      </c>
      <c r="E1244" s="40" t="inlineStr">
        <is>
          <t>ALT</t>
        </is>
      </c>
      <c r="F1244" s="40" t="inlineStr">
        <is>
          <t>613200</t>
        </is>
      </c>
      <c r="G1244" s="39" t="inlineStr">
        <is>
          <t>Locations immobilières (loyers)</t>
        </is>
      </c>
      <c r="H1244" s="40" t="inlineStr">
        <is>
          <t>COMPTABLE</t>
        </is>
      </c>
      <c r="I1244" s="41" t="inlineStr">
        <is>
          <t>2023ACT_VDEF</t>
        </is>
      </c>
      <c r="J1244" s="41" t="n">
        <v>2023</v>
      </c>
      <c r="K1244" s="41" t="inlineStr">
        <is>
          <t>EUR</t>
        </is>
      </c>
      <c r="L1244" s="42" t="n">
        <v>41072</v>
      </c>
    </row>
    <row r="1245">
      <c r="B1245" s="39" t="inlineStr">
        <is>
          <t>ISCOM_PAR</t>
        </is>
      </c>
      <c r="C1245" s="40" t="inlineStr">
        <is>
          <t>MAS_COM</t>
        </is>
      </c>
      <c r="D1245" s="40" t="inlineStr">
        <is>
          <t>M2</t>
        </is>
      </c>
      <c r="E1245" s="40" t="inlineStr">
        <is>
          <t>ALT</t>
        </is>
      </c>
      <c r="F1245" s="40" t="inlineStr">
        <is>
          <t>613200</t>
        </is>
      </c>
      <c r="G1245" s="39" t="inlineStr">
        <is>
          <t>Locations immobilières (loyers)</t>
        </is>
      </c>
      <c r="H1245" s="40" t="inlineStr">
        <is>
          <t>COMPTABLE</t>
        </is>
      </c>
      <c r="I1245" s="41" t="inlineStr">
        <is>
          <t>2024ACT_VDEF</t>
        </is>
      </c>
      <c r="J1245" s="41" t="n">
        <v>2024</v>
      </c>
      <c r="K1245" s="41" t="inlineStr">
        <is>
          <t>EUR</t>
        </is>
      </c>
      <c r="L1245" s="42" t="n">
        <v>43354</v>
      </c>
    </row>
    <row r="1246">
      <c r="B1246" s="39" t="inlineStr">
        <is>
          <t>ISCOM_PAR</t>
        </is>
      </c>
      <c r="C1246" s="40" t="inlineStr">
        <is>
          <t>MAS_COM</t>
        </is>
      </c>
      <c r="D1246" s="40" t="inlineStr">
        <is>
          <t>M2</t>
        </is>
      </c>
      <c r="E1246" s="40" t="inlineStr">
        <is>
          <t>ALT</t>
        </is>
      </c>
      <c r="F1246" s="40" t="inlineStr">
        <is>
          <t>613200</t>
        </is>
      </c>
      <c r="G1246" s="39" t="inlineStr">
        <is>
          <t>Locations immobilières (loyers)</t>
        </is>
      </c>
      <c r="H1246" s="40" t="inlineStr">
        <is>
          <t>COMPTABLE</t>
        </is>
      </c>
      <c r="I1246" s="41" t="inlineStr">
        <is>
          <t>2025FCST_V4</t>
        </is>
      </c>
      <c r="J1246" s="41" t="n">
        <v>2025</v>
      </c>
      <c r="K1246" s="41" t="inlineStr">
        <is>
          <t>EUR</t>
        </is>
      </c>
      <c r="L1246" s="42" t="n">
        <v>45636</v>
      </c>
    </row>
    <row r="1247">
      <c r="B1247" s="39" t="inlineStr">
        <is>
          <t>ISCOM_PAR</t>
        </is>
      </c>
      <c r="C1247" s="40" t="inlineStr">
        <is>
          <t>MAS_COM</t>
        </is>
      </c>
      <c r="D1247" s="40" t="inlineStr">
        <is>
          <t>M2</t>
        </is>
      </c>
      <c r="E1247" s="40" t="inlineStr">
        <is>
          <t>ALT</t>
        </is>
      </c>
      <c r="F1247" s="40" t="inlineStr">
        <is>
          <t>641100</t>
        </is>
      </c>
      <c r="G1247" s="39" t="inlineStr">
        <is>
          <t>Rémunérations du personnel permanent</t>
        </is>
      </c>
      <c r="H1247" s="40" t="inlineStr">
        <is>
          <t>COMPTABLE</t>
        </is>
      </c>
      <c r="I1247" s="41" t="inlineStr">
        <is>
          <t>2023ACT_VDEF</t>
        </is>
      </c>
      <c r="J1247" s="41" t="n">
        <v>2023</v>
      </c>
      <c r="K1247" s="41" t="inlineStr">
        <is>
          <t>EUR</t>
        </is>
      </c>
      <c r="L1247" s="42" t="n">
        <v>94910</v>
      </c>
    </row>
    <row r="1248">
      <c r="B1248" s="39" t="inlineStr">
        <is>
          <t>ISCOM_PAR</t>
        </is>
      </c>
      <c r="C1248" s="40" t="inlineStr">
        <is>
          <t>MAS_COM</t>
        </is>
      </c>
      <c r="D1248" s="40" t="inlineStr">
        <is>
          <t>M2</t>
        </is>
      </c>
      <c r="E1248" s="40" t="inlineStr">
        <is>
          <t>ALT</t>
        </is>
      </c>
      <c r="F1248" s="40" t="inlineStr">
        <is>
          <t>641100</t>
        </is>
      </c>
      <c r="G1248" s="39" t="inlineStr">
        <is>
          <t>Rémunérations du personnel permanent</t>
        </is>
      </c>
      <c r="H1248" s="40" t="inlineStr">
        <is>
          <t>COMPTABLE</t>
        </is>
      </c>
      <c r="I1248" s="41" t="inlineStr">
        <is>
          <t>2024ACT_VDEF</t>
        </is>
      </c>
      <c r="J1248" s="41" t="n">
        <v>2024</v>
      </c>
      <c r="K1248" s="41" t="inlineStr">
        <is>
          <t>EUR</t>
        </is>
      </c>
      <c r="L1248" s="42" t="n">
        <v>100182</v>
      </c>
    </row>
    <row r="1249">
      <c r="B1249" s="39" t="inlineStr">
        <is>
          <t>ISCOM_PAR</t>
        </is>
      </c>
      <c r="C1249" s="40" t="inlineStr">
        <is>
          <t>MAS_COM</t>
        </is>
      </c>
      <c r="D1249" s="40" t="inlineStr">
        <is>
          <t>M2</t>
        </is>
      </c>
      <c r="E1249" s="40" t="inlineStr">
        <is>
          <t>ALT</t>
        </is>
      </c>
      <c r="F1249" s="40" t="inlineStr">
        <is>
          <t>641100</t>
        </is>
      </c>
      <c r="G1249" s="39" t="inlineStr">
        <is>
          <t>Rémunérations du personnel permanent</t>
        </is>
      </c>
      <c r="H1249" s="40" t="inlineStr">
        <is>
          <t>COMPTABLE</t>
        </is>
      </c>
      <c r="I1249" s="41" t="inlineStr">
        <is>
          <t>2025FCST_V4</t>
        </is>
      </c>
      <c r="J1249" s="41" t="n">
        <v>2025</v>
      </c>
      <c r="K1249" s="41" t="inlineStr">
        <is>
          <t>EUR</t>
        </is>
      </c>
      <c r="L1249" s="42" t="n">
        <v>105455</v>
      </c>
    </row>
    <row r="1250">
      <c r="B1250" s="39" t="inlineStr">
        <is>
          <t>ISCOM_PAR</t>
        </is>
      </c>
      <c r="C1250" s="40" t="inlineStr">
        <is>
          <t>MAS_COM</t>
        </is>
      </c>
      <c r="D1250" s="40" t="inlineStr">
        <is>
          <t>M2</t>
        </is>
      </c>
      <c r="E1250" s="40" t="inlineStr">
        <is>
          <t>ALT</t>
        </is>
      </c>
      <c r="F1250" s="40" t="inlineStr">
        <is>
          <t>622600</t>
        </is>
      </c>
      <c r="G1250" s="39" t="inlineStr">
        <is>
          <t>Honoraires &amp; frais de siège (structure groupe)</t>
        </is>
      </c>
      <c r="H1250" s="40" t="inlineStr">
        <is>
          <t>COMPTABLE</t>
        </is>
      </c>
      <c r="I1250" s="41" t="inlineStr">
        <is>
          <t>2023ACT_VDEF</t>
        </is>
      </c>
      <c r="J1250" s="41" t="n">
        <v>2023</v>
      </c>
      <c r="K1250" s="41" t="inlineStr">
        <is>
          <t>EUR</t>
        </is>
      </c>
      <c r="L1250" s="42" t="n">
        <v>37337</v>
      </c>
    </row>
    <row r="1251">
      <c r="B1251" s="39" t="inlineStr">
        <is>
          <t>ISCOM_PAR</t>
        </is>
      </c>
      <c r="C1251" s="40" t="inlineStr">
        <is>
          <t>MAS_COM</t>
        </is>
      </c>
      <c r="D1251" s="40" t="inlineStr">
        <is>
          <t>M2</t>
        </is>
      </c>
      <c r="E1251" s="40" t="inlineStr">
        <is>
          <t>ALT</t>
        </is>
      </c>
      <c r="F1251" s="40" t="inlineStr">
        <is>
          <t>622600</t>
        </is>
      </c>
      <c r="G1251" s="39" t="inlineStr">
        <is>
          <t>Honoraires &amp; frais de siège (structure groupe)</t>
        </is>
      </c>
      <c r="H1251" s="40" t="inlineStr">
        <is>
          <t>COMPTABLE</t>
        </is>
      </c>
      <c r="I1251" s="41" t="inlineStr">
        <is>
          <t>2024ACT_VDEF</t>
        </is>
      </c>
      <c r="J1251" s="41" t="n">
        <v>2024</v>
      </c>
      <c r="K1251" s="41" t="inlineStr">
        <is>
          <t>EUR</t>
        </is>
      </c>
      <c r="L1251" s="42" t="n">
        <v>39412</v>
      </c>
    </row>
    <row r="1252">
      <c r="B1252" s="39" t="inlineStr">
        <is>
          <t>ISCOM_PAR</t>
        </is>
      </c>
      <c r="C1252" s="40" t="inlineStr">
        <is>
          <t>MAS_COM</t>
        </is>
      </c>
      <c r="D1252" s="40" t="inlineStr">
        <is>
          <t>M2</t>
        </is>
      </c>
      <c r="E1252" s="40" t="inlineStr">
        <is>
          <t>ALT</t>
        </is>
      </c>
      <c r="F1252" s="40" t="inlineStr">
        <is>
          <t>622600</t>
        </is>
      </c>
      <c r="G1252" s="39" t="inlineStr">
        <is>
          <t>Honoraires &amp; frais de siège (structure groupe)</t>
        </is>
      </c>
      <c r="H1252" s="40" t="inlineStr">
        <is>
          <t>COMPTABLE</t>
        </is>
      </c>
      <c r="I1252" s="41" t="inlineStr">
        <is>
          <t>2025FCST_V4</t>
        </is>
      </c>
      <c r="J1252" s="41" t="n">
        <v>2025</v>
      </c>
      <c r="K1252" s="41" t="inlineStr">
        <is>
          <t>EUR</t>
        </is>
      </c>
      <c r="L1252" s="42" t="n">
        <v>41486</v>
      </c>
    </row>
    <row r="1253">
      <c r="B1253" s="39" t="inlineStr">
        <is>
          <t>ISCOM_PAR</t>
        </is>
      </c>
      <c r="C1253" s="40" t="inlineStr">
        <is>
          <t>MAS_COM</t>
        </is>
      </c>
      <c r="D1253" s="40" t="inlineStr">
        <is>
          <t>M2</t>
        </is>
      </c>
      <c r="E1253" s="40" t="inlineStr">
        <is>
          <t>ALT</t>
        </is>
      </c>
      <c r="F1253" s="40" t="inlineStr">
        <is>
          <t>606800</t>
        </is>
      </c>
      <c r="G1253" s="39" t="inlineStr">
        <is>
          <t>Autres achats &amp; charges externes</t>
        </is>
      </c>
      <c r="H1253" s="40" t="inlineStr">
        <is>
          <t>COMPTABLE</t>
        </is>
      </c>
      <c r="I1253" s="41" t="inlineStr">
        <is>
          <t>2023ACT_VDEF</t>
        </is>
      </c>
      <c r="J1253" s="41" t="n">
        <v>2023</v>
      </c>
      <c r="K1253" s="41" t="inlineStr">
        <is>
          <t>EUR</t>
        </is>
      </c>
      <c r="L1253" s="42" t="n">
        <v>32783</v>
      </c>
    </row>
    <row r="1254">
      <c r="B1254" s="39" t="inlineStr">
        <is>
          <t>ISCOM_PAR</t>
        </is>
      </c>
      <c r="C1254" s="40" t="inlineStr">
        <is>
          <t>MAS_COM</t>
        </is>
      </c>
      <c r="D1254" s="40" t="inlineStr">
        <is>
          <t>M2</t>
        </is>
      </c>
      <c r="E1254" s="40" t="inlineStr">
        <is>
          <t>ALT</t>
        </is>
      </c>
      <c r="F1254" s="40" t="inlineStr">
        <is>
          <t>606800</t>
        </is>
      </c>
      <c r="G1254" s="39" t="inlineStr">
        <is>
          <t>Autres achats &amp; charges externes</t>
        </is>
      </c>
      <c r="H1254" s="40" t="inlineStr">
        <is>
          <t>COMPTABLE</t>
        </is>
      </c>
      <c r="I1254" s="41" t="inlineStr">
        <is>
          <t>2024ACT_VDEF</t>
        </is>
      </c>
      <c r="J1254" s="41" t="n">
        <v>2024</v>
      </c>
      <c r="K1254" s="41" t="inlineStr">
        <is>
          <t>EUR</t>
        </is>
      </c>
      <c r="L1254" s="42" t="n">
        <v>34605</v>
      </c>
    </row>
    <row r="1255">
      <c r="B1255" s="39" t="inlineStr">
        <is>
          <t>ISCOM_PAR</t>
        </is>
      </c>
      <c r="C1255" s="40" t="inlineStr">
        <is>
          <t>MAS_COM</t>
        </is>
      </c>
      <c r="D1255" s="40" t="inlineStr">
        <is>
          <t>M2</t>
        </is>
      </c>
      <c r="E1255" s="40" t="inlineStr">
        <is>
          <t>ALT</t>
        </is>
      </c>
      <c r="F1255" s="40" t="inlineStr">
        <is>
          <t>606800</t>
        </is>
      </c>
      <c r="G1255" s="39" t="inlineStr">
        <is>
          <t>Autres achats &amp; charges externes</t>
        </is>
      </c>
      <c r="H1255" s="40" t="inlineStr">
        <is>
          <t>COMPTABLE</t>
        </is>
      </c>
      <c r="I1255" s="41" t="inlineStr">
        <is>
          <t>2025FCST_V4</t>
        </is>
      </c>
      <c r="J1255" s="41" t="n">
        <v>2025</v>
      </c>
      <c r="K1255" s="41" t="inlineStr">
        <is>
          <t>EUR</t>
        </is>
      </c>
      <c r="L1255" s="42" t="n">
        <v>36426</v>
      </c>
    </row>
    <row r="1256">
      <c r="B1256" s="39" t="inlineStr">
        <is>
          <t>ISCOM_PAR</t>
        </is>
      </c>
      <c r="C1256" s="40" t="inlineStr">
        <is>
          <t>MAS_COM</t>
        </is>
      </c>
      <c r="D1256" s="40" t="inlineStr">
        <is>
          <t>M2</t>
        </is>
      </c>
      <c r="E1256" s="40" t="inlineStr">
        <is>
          <t>ALT</t>
        </is>
      </c>
      <c r="F1256" s="40" t="inlineStr">
        <is>
          <t>681100</t>
        </is>
      </c>
      <c r="G1256" s="39" t="inlineStr">
        <is>
          <t>Dotations aux amortissements</t>
        </is>
      </c>
      <c r="H1256" s="40" t="inlineStr">
        <is>
          <t>COMPTABLE</t>
        </is>
      </c>
      <c r="I1256" s="41" t="inlineStr">
        <is>
          <t>2023ACT_VDEF</t>
        </is>
      </c>
      <c r="J1256" s="41" t="n">
        <v>2023</v>
      </c>
      <c r="K1256" s="41" t="inlineStr">
        <is>
          <t>EUR</t>
        </is>
      </c>
      <c r="L1256" s="42" t="n">
        <v>22418</v>
      </c>
    </row>
    <row r="1257">
      <c r="B1257" s="39" t="inlineStr">
        <is>
          <t>ISCOM_PAR</t>
        </is>
      </c>
      <c r="C1257" s="40" t="inlineStr">
        <is>
          <t>MAS_COM</t>
        </is>
      </c>
      <c r="D1257" s="40" t="inlineStr">
        <is>
          <t>M2</t>
        </is>
      </c>
      <c r="E1257" s="40" t="inlineStr">
        <is>
          <t>ALT</t>
        </is>
      </c>
      <c r="F1257" s="40" t="inlineStr">
        <is>
          <t>681100</t>
        </is>
      </c>
      <c r="G1257" s="39" t="inlineStr">
        <is>
          <t>Dotations aux amortissements</t>
        </is>
      </c>
      <c r="H1257" s="40" t="inlineStr">
        <is>
          <t>COMPTABLE</t>
        </is>
      </c>
      <c r="I1257" s="41" t="inlineStr">
        <is>
          <t>2024ACT_VDEF</t>
        </is>
      </c>
      <c r="J1257" s="41" t="n">
        <v>2024</v>
      </c>
      <c r="K1257" s="41" t="inlineStr">
        <is>
          <t>EUR</t>
        </is>
      </c>
      <c r="L1257" s="42" t="n">
        <v>23664</v>
      </c>
    </row>
    <row r="1258">
      <c r="B1258" s="39" t="inlineStr">
        <is>
          <t>ISCOM_PAR</t>
        </is>
      </c>
      <c r="C1258" s="40" t="inlineStr">
        <is>
          <t>MAS_COM</t>
        </is>
      </c>
      <c r="D1258" s="40" t="inlineStr">
        <is>
          <t>M2</t>
        </is>
      </c>
      <c r="E1258" s="40" t="inlineStr">
        <is>
          <t>ALT</t>
        </is>
      </c>
      <c r="F1258" s="40" t="inlineStr">
        <is>
          <t>681100</t>
        </is>
      </c>
      <c r="G1258" s="39" t="inlineStr">
        <is>
          <t>Dotations aux amortissements</t>
        </is>
      </c>
      <c r="H1258" s="40" t="inlineStr">
        <is>
          <t>COMPTABLE</t>
        </is>
      </c>
      <c r="I1258" s="41" t="inlineStr">
        <is>
          <t>2025FCST_V4</t>
        </is>
      </c>
      <c r="J1258" s="41" t="n">
        <v>2025</v>
      </c>
      <c r="K1258" s="41" t="inlineStr">
        <is>
          <t>EUR</t>
        </is>
      </c>
      <c r="L1258" s="42" t="n">
        <v>24909</v>
      </c>
    </row>
    <row r="1259">
      <c r="B1259" s="39" t="inlineStr">
        <is>
          <t>ISCOM_PAR</t>
        </is>
      </c>
      <c r="C1259" s="40" t="inlineStr">
        <is>
          <t>MAS_COM</t>
        </is>
      </c>
      <c r="D1259" s="40" t="inlineStr">
        <is>
          <t>M2</t>
        </is>
      </c>
      <c r="E1259" s="40" t="inlineStr">
        <is>
          <t>ALT</t>
        </is>
      </c>
      <c r="F1259" s="40" t="inlineStr">
        <is>
          <t>STA_EFF</t>
        </is>
      </c>
      <c r="G1259" s="39" t="inlineStr">
        <is>
          <t>Effectif inscrit</t>
        </is>
      </c>
      <c r="H1259" s="40" t="inlineStr">
        <is>
          <t>TECHNIQUE</t>
        </is>
      </c>
      <c r="I1259" s="41" t="inlineStr">
        <is>
          <t>2023ACT_VDEF</t>
        </is>
      </c>
      <c r="J1259" s="41" t="n">
        <v>2023</v>
      </c>
      <c r="K1259" s="41" t="inlineStr">
        <is>
          <t>NB</t>
        </is>
      </c>
      <c r="L1259" s="43" t="n">
        <v>35</v>
      </c>
    </row>
    <row r="1260">
      <c r="B1260" s="39" t="inlineStr">
        <is>
          <t>ISCOM_PAR</t>
        </is>
      </c>
      <c r="C1260" s="40" t="inlineStr">
        <is>
          <t>MAS_COM</t>
        </is>
      </c>
      <c r="D1260" s="40" t="inlineStr">
        <is>
          <t>M2</t>
        </is>
      </c>
      <c r="E1260" s="40" t="inlineStr">
        <is>
          <t>ALT</t>
        </is>
      </c>
      <c r="F1260" s="40" t="inlineStr">
        <is>
          <t>STA_EFF</t>
        </is>
      </c>
      <c r="G1260" s="39" t="inlineStr">
        <is>
          <t>Effectif inscrit</t>
        </is>
      </c>
      <c r="H1260" s="40" t="inlineStr">
        <is>
          <t>TECHNIQUE</t>
        </is>
      </c>
      <c r="I1260" s="41" t="inlineStr">
        <is>
          <t>2024ACT_VDEF</t>
        </is>
      </c>
      <c r="J1260" s="41" t="n">
        <v>2024</v>
      </c>
      <c r="K1260" s="41" t="inlineStr">
        <is>
          <t>NB</t>
        </is>
      </c>
      <c r="L1260" s="43" t="n">
        <v>37</v>
      </c>
    </row>
    <row r="1261">
      <c r="B1261" s="39" t="inlineStr">
        <is>
          <t>ISCOM_PAR</t>
        </is>
      </c>
      <c r="C1261" s="40" t="inlineStr">
        <is>
          <t>MAS_COM</t>
        </is>
      </c>
      <c r="D1261" s="40" t="inlineStr">
        <is>
          <t>M2</t>
        </is>
      </c>
      <c r="E1261" s="40" t="inlineStr">
        <is>
          <t>ALT</t>
        </is>
      </c>
      <c r="F1261" s="40" t="inlineStr">
        <is>
          <t>STA_EFF</t>
        </is>
      </c>
      <c r="G1261" s="39" t="inlineStr">
        <is>
          <t>Effectif inscrit</t>
        </is>
      </c>
      <c r="H1261" s="40" t="inlineStr">
        <is>
          <t>TECHNIQUE</t>
        </is>
      </c>
      <c r="I1261" s="41" t="inlineStr">
        <is>
          <t>2025FCST_V4</t>
        </is>
      </c>
      <c r="J1261" s="41" t="n">
        <v>2025</v>
      </c>
      <c r="K1261" s="41" t="inlineStr">
        <is>
          <t>NB</t>
        </is>
      </c>
      <c r="L1261" s="43" t="n">
        <v>39</v>
      </c>
    </row>
    <row r="1262">
      <c r="B1262" s="39" t="inlineStr">
        <is>
          <t>ISCOM_PAR</t>
        </is>
      </c>
      <c r="C1262" s="40" t="inlineStr">
        <is>
          <t>MAS_COM</t>
        </is>
      </c>
      <c r="D1262" s="40" t="inlineStr">
        <is>
          <t>M2</t>
        </is>
      </c>
      <c r="E1262" s="40" t="inlineStr">
        <is>
          <t>ALT</t>
        </is>
      </c>
      <c r="F1262" s="40" t="inlineStr">
        <is>
          <t>STA_REINS</t>
        </is>
      </c>
      <c r="G1262" s="39" t="inlineStr">
        <is>
          <t>Réinscrits</t>
        </is>
      </c>
      <c r="H1262" s="40" t="inlineStr">
        <is>
          <t>TECHNIQUE</t>
        </is>
      </c>
      <c r="I1262" s="41" t="inlineStr">
        <is>
          <t>2023ACT_VDEF</t>
        </is>
      </c>
      <c r="J1262" s="41" t="n">
        <v>2023</v>
      </c>
      <c r="K1262" s="41" t="inlineStr">
        <is>
          <t>NB</t>
        </is>
      </c>
      <c r="L1262" s="43" t="n">
        <v>35</v>
      </c>
    </row>
    <row r="1263">
      <c r="B1263" s="39" t="inlineStr">
        <is>
          <t>ISCOM_PAR</t>
        </is>
      </c>
      <c r="C1263" s="40" t="inlineStr">
        <is>
          <t>MAS_COM</t>
        </is>
      </c>
      <c r="D1263" s="40" t="inlineStr">
        <is>
          <t>M2</t>
        </is>
      </c>
      <c r="E1263" s="40" t="inlineStr">
        <is>
          <t>ALT</t>
        </is>
      </c>
      <c r="F1263" s="40" t="inlineStr">
        <is>
          <t>STA_REINS</t>
        </is>
      </c>
      <c r="G1263" s="39" t="inlineStr">
        <is>
          <t>Réinscrits</t>
        </is>
      </c>
      <c r="H1263" s="40" t="inlineStr">
        <is>
          <t>TECHNIQUE</t>
        </is>
      </c>
      <c r="I1263" s="41" t="inlineStr">
        <is>
          <t>2024ACT_VDEF</t>
        </is>
      </c>
      <c r="J1263" s="41" t="n">
        <v>2024</v>
      </c>
      <c r="K1263" s="41" t="inlineStr">
        <is>
          <t>NB</t>
        </is>
      </c>
      <c r="L1263" s="43" t="n">
        <v>37</v>
      </c>
    </row>
    <row r="1264">
      <c r="B1264" s="39" t="inlineStr">
        <is>
          <t>ISCOM_PAR</t>
        </is>
      </c>
      <c r="C1264" s="40" t="inlineStr">
        <is>
          <t>MAS_COM</t>
        </is>
      </c>
      <c r="D1264" s="40" t="inlineStr">
        <is>
          <t>M2</t>
        </is>
      </c>
      <c r="E1264" s="40" t="inlineStr">
        <is>
          <t>ALT</t>
        </is>
      </c>
      <c r="F1264" s="40" t="inlineStr">
        <is>
          <t>STA_REINS</t>
        </is>
      </c>
      <c r="G1264" s="39" t="inlineStr">
        <is>
          <t>Réinscrits</t>
        </is>
      </c>
      <c r="H1264" s="40" t="inlineStr">
        <is>
          <t>TECHNIQUE</t>
        </is>
      </c>
      <c r="I1264" s="41" t="inlineStr">
        <is>
          <t>2025FCST_V4</t>
        </is>
      </c>
      <c r="J1264" s="41" t="n">
        <v>2025</v>
      </c>
      <c r="K1264" s="41" t="inlineStr">
        <is>
          <t>NB</t>
        </is>
      </c>
      <c r="L1264" s="43" t="n">
        <v>39</v>
      </c>
    </row>
    <row r="1265">
      <c r="B1265" s="39" t="inlineStr">
        <is>
          <t>ISCOM_PAR</t>
        </is>
      </c>
      <c r="C1265" s="40" t="inlineStr">
        <is>
          <t>MAS_COM</t>
        </is>
      </c>
      <c r="D1265" s="40" t="inlineStr">
        <is>
          <t>M2</t>
        </is>
      </c>
      <c r="E1265" s="40" t="inlineStr">
        <is>
          <t>ALT</t>
        </is>
      </c>
      <c r="F1265" s="40" t="inlineStr">
        <is>
          <t>STA_CLASS</t>
        </is>
      </c>
      <c r="G1265" s="39" t="inlineStr">
        <is>
          <t>Nombre de classes</t>
        </is>
      </c>
      <c r="H1265" s="40" t="inlineStr">
        <is>
          <t>TECHNIQUE</t>
        </is>
      </c>
      <c r="I1265" s="41" t="inlineStr">
        <is>
          <t>2023ACT_VDEF</t>
        </is>
      </c>
      <c r="J1265" s="41" t="n">
        <v>2023</v>
      </c>
      <c r="K1265" s="41" t="inlineStr">
        <is>
          <t>NB</t>
        </is>
      </c>
      <c r="L1265" s="43" t="n">
        <v>2</v>
      </c>
    </row>
    <row r="1266">
      <c r="B1266" s="39" t="inlineStr">
        <is>
          <t>ISCOM_PAR</t>
        </is>
      </c>
      <c r="C1266" s="40" t="inlineStr">
        <is>
          <t>MAS_COM</t>
        </is>
      </c>
      <c r="D1266" s="40" t="inlineStr">
        <is>
          <t>M2</t>
        </is>
      </c>
      <c r="E1266" s="40" t="inlineStr">
        <is>
          <t>ALT</t>
        </is>
      </c>
      <c r="F1266" s="40" t="inlineStr">
        <is>
          <t>STA_CLASS</t>
        </is>
      </c>
      <c r="G1266" s="39" t="inlineStr">
        <is>
          <t>Nombre de classes</t>
        </is>
      </c>
      <c r="H1266" s="40" t="inlineStr">
        <is>
          <t>TECHNIQUE</t>
        </is>
      </c>
      <c r="I1266" s="41" t="inlineStr">
        <is>
          <t>2024ACT_VDEF</t>
        </is>
      </c>
      <c r="J1266" s="41" t="n">
        <v>2024</v>
      </c>
      <c r="K1266" s="41" t="inlineStr">
        <is>
          <t>NB</t>
        </is>
      </c>
      <c r="L1266" s="43" t="n">
        <v>2</v>
      </c>
    </row>
    <row r="1267">
      <c r="B1267" s="39" t="inlineStr">
        <is>
          <t>ISCOM_PAR</t>
        </is>
      </c>
      <c r="C1267" s="40" t="inlineStr">
        <is>
          <t>MAS_COM</t>
        </is>
      </c>
      <c r="D1267" s="40" t="inlineStr">
        <is>
          <t>M2</t>
        </is>
      </c>
      <c r="E1267" s="40" t="inlineStr">
        <is>
          <t>ALT</t>
        </is>
      </c>
      <c r="F1267" s="40" t="inlineStr">
        <is>
          <t>STA_CLASS</t>
        </is>
      </c>
      <c r="G1267" s="39" t="inlineStr">
        <is>
          <t>Nombre de classes</t>
        </is>
      </c>
      <c r="H1267" s="40" t="inlineStr">
        <is>
          <t>TECHNIQUE</t>
        </is>
      </c>
      <c r="I1267" s="41" t="inlineStr">
        <is>
          <t>2025FCST_V4</t>
        </is>
      </c>
      <c r="J1267" s="41" t="n">
        <v>2025</v>
      </c>
      <c r="K1267" s="41" t="inlineStr">
        <is>
          <t>NB</t>
        </is>
      </c>
      <c r="L1267" s="43" t="n">
        <v>2</v>
      </c>
    </row>
    <row r="1268">
      <c r="B1268" s="39" t="inlineStr">
        <is>
          <t>ISCOM_PAR</t>
        </is>
      </c>
      <c r="C1268" s="40" t="inlineStr">
        <is>
          <t>MAS_COM</t>
        </is>
      </c>
      <c r="D1268" s="40" t="inlineStr">
        <is>
          <t>M2</t>
        </is>
      </c>
      <c r="E1268" s="40" t="inlineStr">
        <is>
          <t>ALT</t>
        </is>
      </c>
      <c r="F1268" s="40" t="inlineStr">
        <is>
          <t>STA_HEURE</t>
        </is>
      </c>
      <c r="G1268" s="39" t="inlineStr">
        <is>
          <t>Heures d'enseignement</t>
        </is>
      </c>
      <c r="H1268" s="40" t="inlineStr">
        <is>
          <t>TECHNIQUE</t>
        </is>
      </c>
      <c r="I1268" s="41" t="inlineStr">
        <is>
          <t>2023ACT_VDEF</t>
        </is>
      </c>
      <c r="J1268" s="41" t="n">
        <v>2023</v>
      </c>
      <c r="K1268" s="41" t="inlineStr">
        <is>
          <t>NB</t>
        </is>
      </c>
      <c r="L1268" s="43" t="n">
        <v>792</v>
      </c>
    </row>
    <row r="1269">
      <c r="B1269" s="39" t="inlineStr">
        <is>
          <t>ISCOM_PAR</t>
        </is>
      </c>
      <c r="C1269" s="40" t="inlineStr">
        <is>
          <t>MAS_COM</t>
        </is>
      </c>
      <c r="D1269" s="40" t="inlineStr">
        <is>
          <t>M2</t>
        </is>
      </c>
      <c r="E1269" s="40" t="inlineStr">
        <is>
          <t>ALT</t>
        </is>
      </c>
      <c r="F1269" s="40" t="inlineStr">
        <is>
          <t>STA_HEURE</t>
        </is>
      </c>
      <c r="G1269" s="39" t="inlineStr">
        <is>
          <t>Heures d'enseignement</t>
        </is>
      </c>
      <c r="H1269" s="40" t="inlineStr">
        <is>
          <t>TECHNIQUE</t>
        </is>
      </c>
      <c r="I1269" s="41" t="inlineStr">
        <is>
          <t>2024ACT_VDEF</t>
        </is>
      </c>
      <c r="J1269" s="41" t="n">
        <v>2024</v>
      </c>
      <c r="K1269" s="41" t="inlineStr">
        <is>
          <t>NB</t>
        </is>
      </c>
      <c r="L1269" s="43" t="n">
        <v>836</v>
      </c>
    </row>
    <row r="1270">
      <c r="B1270" s="39" t="inlineStr">
        <is>
          <t>ISCOM_PAR</t>
        </is>
      </c>
      <c r="C1270" s="40" t="inlineStr">
        <is>
          <t>MAS_COM</t>
        </is>
      </c>
      <c r="D1270" s="40" t="inlineStr">
        <is>
          <t>M2</t>
        </is>
      </c>
      <c r="E1270" s="40" t="inlineStr">
        <is>
          <t>ALT</t>
        </is>
      </c>
      <c r="F1270" s="40" t="inlineStr">
        <is>
          <t>STA_HEURE</t>
        </is>
      </c>
      <c r="G1270" s="39" t="inlineStr">
        <is>
          <t>Heures d'enseignement</t>
        </is>
      </c>
      <c r="H1270" s="40" t="inlineStr">
        <is>
          <t>TECHNIQUE</t>
        </is>
      </c>
      <c r="I1270" s="41" t="inlineStr">
        <is>
          <t>2025FCST_V4</t>
        </is>
      </c>
      <c r="J1270" s="41" t="n">
        <v>2025</v>
      </c>
      <c r="K1270" s="41" t="inlineStr">
        <is>
          <t>NB</t>
        </is>
      </c>
      <c r="L1270" s="43" t="n">
        <v>880</v>
      </c>
    </row>
    <row r="1271">
      <c r="B1271" s="39" t="inlineStr">
        <is>
          <t>ISCOM_PAR</t>
        </is>
      </c>
      <c r="C1271" s="40" t="inlineStr">
        <is>
          <t>MAS_COM</t>
        </is>
      </c>
      <c r="D1271" s="40" t="inlineStr">
        <is>
          <t>M2</t>
        </is>
      </c>
      <c r="E1271" s="40" t="inlineStr">
        <is>
          <t>ALT</t>
        </is>
      </c>
      <c r="F1271" s="40" t="inlineStr">
        <is>
          <t>STA_CAPA</t>
        </is>
      </c>
      <c r="G1271" s="39" t="inlineStr">
        <is>
          <t>Capacité par classe</t>
        </is>
      </c>
      <c r="H1271" s="40" t="inlineStr">
        <is>
          <t>TECHNIQUE</t>
        </is>
      </c>
      <c r="I1271" s="41" t="inlineStr">
        <is>
          <t>2023ACT_VDEF</t>
        </is>
      </c>
      <c r="J1271" s="41" t="n">
        <v>2023</v>
      </c>
      <c r="K1271" s="41" t="inlineStr">
        <is>
          <t>NB</t>
        </is>
      </c>
      <c r="L1271" s="43" t="n">
        <v>26</v>
      </c>
    </row>
    <row r="1272">
      <c r="B1272" s="39" t="inlineStr">
        <is>
          <t>ISCOM_PAR</t>
        </is>
      </c>
      <c r="C1272" s="40" t="inlineStr">
        <is>
          <t>MAS_COM</t>
        </is>
      </c>
      <c r="D1272" s="40" t="inlineStr">
        <is>
          <t>M2</t>
        </is>
      </c>
      <c r="E1272" s="40" t="inlineStr">
        <is>
          <t>ALT</t>
        </is>
      </c>
      <c r="F1272" s="40" t="inlineStr">
        <is>
          <t>STA_CAPA</t>
        </is>
      </c>
      <c r="G1272" s="39" t="inlineStr">
        <is>
          <t>Capacité par classe</t>
        </is>
      </c>
      <c r="H1272" s="40" t="inlineStr">
        <is>
          <t>TECHNIQUE</t>
        </is>
      </c>
      <c r="I1272" s="41" t="inlineStr">
        <is>
          <t>2024ACT_VDEF</t>
        </is>
      </c>
      <c r="J1272" s="41" t="n">
        <v>2024</v>
      </c>
      <c r="K1272" s="41" t="inlineStr">
        <is>
          <t>NB</t>
        </is>
      </c>
      <c r="L1272" s="43" t="n">
        <v>26</v>
      </c>
    </row>
    <row r="1273">
      <c r="B1273" s="39" t="inlineStr">
        <is>
          <t>ISCOM_PAR</t>
        </is>
      </c>
      <c r="C1273" s="40" t="inlineStr">
        <is>
          <t>MAS_COM</t>
        </is>
      </c>
      <c r="D1273" s="40" t="inlineStr">
        <is>
          <t>M2</t>
        </is>
      </c>
      <c r="E1273" s="40" t="inlineStr">
        <is>
          <t>ALT</t>
        </is>
      </c>
      <c r="F1273" s="40" t="inlineStr">
        <is>
          <t>STA_CAPA</t>
        </is>
      </c>
      <c r="G1273" s="39" t="inlineStr">
        <is>
          <t>Capacité par classe</t>
        </is>
      </c>
      <c r="H1273" s="40" t="inlineStr">
        <is>
          <t>TECHNIQUE</t>
        </is>
      </c>
      <c r="I1273" s="41" t="inlineStr">
        <is>
          <t>2025FCST_V4</t>
        </is>
      </c>
      <c r="J1273" s="41" t="n">
        <v>2025</v>
      </c>
      <c r="K1273" s="41" t="inlineStr">
        <is>
          <t>NB</t>
        </is>
      </c>
      <c r="L1273" s="43" t="n">
        <v>26</v>
      </c>
    </row>
    <row r="1274">
      <c r="B1274" s="39" t="inlineStr">
        <is>
          <t>ISCOM_PAR</t>
        </is>
      </c>
      <c r="C1274" s="40" t="inlineStr">
        <is>
          <t>MAS_COM</t>
        </is>
      </c>
      <c r="D1274" s="40" t="inlineStr">
        <is>
          <t>M2</t>
        </is>
      </c>
      <c r="E1274" s="40" t="inlineStr">
        <is>
          <t>ALT</t>
        </is>
      </c>
      <c r="F1274" s="40" t="inlineStr">
        <is>
          <t>DRV_PASS</t>
        </is>
      </c>
      <c r="G1274" s="39" t="inlineStr">
        <is>
          <t>Taux de passage (réinscription)</t>
        </is>
      </c>
      <c r="H1274" s="40" t="inlineStr">
        <is>
          <t>TECHNIQUE</t>
        </is>
      </c>
      <c r="I1274" s="41" t="inlineStr">
        <is>
          <t>2023ACT_VDEF</t>
        </is>
      </c>
      <c r="J1274" s="41" t="n">
        <v>2023</v>
      </c>
      <c r="K1274" s="41" t="inlineStr">
        <is>
          <t>PCT</t>
        </is>
      </c>
      <c r="L1274" s="44" t="n">
        <v>0.96</v>
      </c>
    </row>
    <row r="1275">
      <c r="B1275" s="39" t="inlineStr">
        <is>
          <t>ISCOM_PAR</t>
        </is>
      </c>
      <c r="C1275" s="40" t="inlineStr">
        <is>
          <t>MAS_COM</t>
        </is>
      </c>
      <c r="D1275" s="40" t="inlineStr">
        <is>
          <t>M2</t>
        </is>
      </c>
      <c r="E1275" s="40" t="inlineStr">
        <is>
          <t>ALT</t>
        </is>
      </c>
      <c r="F1275" s="40" t="inlineStr">
        <is>
          <t>DRV_PASS</t>
        </is>
      </c>
      <c r="G1275" s="39" t="inlineStr">
        <is>
          <t>Taux de passage (réinscription)</t>
        </is>
      </c>
      <c r="H1275" s="40" t="inlineStr">
        <is>
          <t>TECHNIQUE</t>
        </is>
      </c>
      <c r="I1275" s="41" t="inlineStr">
        <is>
          <t>2024ACT_VDEF</t>
        </is>
      </c>
      <c r="J1275" s="41" t="n">
        <v>2024</v>
      </c>
      <c r="K1275" s="41" t="inlineStr">
        <is>
          <t>PCT</t>
        </is>
      </c>
      <c r="L1275" s="44" t="n">
        <v>0.96</v>
      </c>
    </row>
    <row r="1276">
      <c r="B1276" s="39" t="inlineStr">
        <is>
          <t>ISCOM_PAR</t>
        </is>
      </c>
      <c r="C1276" s="40" t="inlineStr">
        <is>
          <t>MAS_COM</t>
        </is>
      </c>
      <c r="D1276" s="40" t="inlineStr">
        <is>
          <t>M2</t>
        </is>
      </c>
      <c r="E1276" s="40" t="inlineStr">
        <is>
          <t>ALT</t>
        </is>
      </c>
      <c r="F1276" s="40" t="inlineStr">
        <is>
          <t>DRV_PASS</t>
        </is>
      </c>
      <c r="G1276" s="39" t="inlineStr">
        <is>
          <t>Taux de passage (réinscription)</t>
        </is>
      </c>
      <c r="H1276" s="40" t="inlineStr">
        <is>
          <t>TECHNIQUE</t>
        </is>
      </c>
      <c r="I1276" s="41" t="inlineStr">
        <is>
          <t>2025FCST_V4</t>
        </is>
      </c>
      <c r="J1276" s="41" t="n">
        <v>2025</v>
      </c>
      <c r="K1276" s="41" t="inlineStr">
        <is>
          <t>PCT</t>
        </is>
      </c>
      <c r="L1276" s="44" t="n">
        <v>0.96</v>
      </c>
    </row>
    <row r="1277">
      <c r="B1277" s="39" t="inlineStr">
        <is>
          <t>ISCOM_PAR</t>
        </is>
      </c>
      <c r="C1277" s="40" t="inlineStr">
        <is>
          <t>MAS_COM</t>
        </is>
      </c>
      <c r="D1277" s="40" t="inlineStr">
        <is>
          <t>M2</t>
        </is>
      </c>
      <c r="E1277" s="40" t="inlineStr">
        <is>
          <t>ALT</t>
        </is>
      </c>
      <c r="F1277" s="40" t="inlineStr">
        <is>
          <t>PRX_TARIF</t>
        </is>
      </c>
      <c r="G1277" s="39" t="inlineStr">
        <is>
          <t>Tarif moyen scolarité</t>
        </is>
      </c>
      <c r="H1277" s="40" t="inlineStr">
        <is>
          <t>TECHNIQUE</t>
        </is>
      </c>
      <c r="I1277" s="41" t="inlineStr">
        <is>
          <t>2023ACT_VDEF</t>
        </is>
      </c>
      <c r="J1277" s="41" t="n">
        <v>2023</v>
      </c>
      <c r="K1277" s="41" t="inlineStr">
        <is>
          <t>EUR</t>
        </is>
      </c>
      <c r="L1277" s="42" t="n">
        <v>9000</v>
      </c>
    </row>
    <row r="1278">
      <c r="B1278" s="39" t="inlineStr">
        <is>
          <t>ISCOM_PAR</t>
        </is>
      </c>
      <c r="C1278" s="40" t="inlineStr">
        <is>
          <t>MAS_COM</t>
        </is>
      </c>
      <c r="D1278" s="40" t="inlineStr">
        <is>
          <t>M2</t>
        </is>
      </c>
      <c r="E1278" s="40" t="inlineStr">
        <is>
          <t>ALT</t>
        </is>
      </c>
      <c r="F1278" s="40" t="inlineStr">
        <is>
          <t>PRX_TARIF</t>
        </is>
      </c>
      <c r="G1278" s="39" t="inlineStr">
        <is>
          <t>Tarif moyen scolarité</t>
        </is>
      </c>
      <c r="H1278" s="40" t="inlineStr">
        <is>
          <t>TECHNIQUE</t>
        </is>
      </c>
      <c r="I1278" s="41" t="inlineStr">
        <is>
          <t>2024ACT_VDEF</t>
        </is>
      </c>
      <c r="J1278" s="41" t="n">
        <v>2024</v>
      </c>
      <c r="K1278" s="41" t="inlineStr">
        <is>
          <t>EUR</t>
        </is>
      </c>
      <c r="L1278" s="42" t="n">
        <v>9000</v>
      </c>
    </row>
    <row r="1279">
      <c r="B1279" s="39" t="inlineStr">
        <is>
          <t>ISCOM_PAR</t>
        </is>
      </c>
      <c r="C1279" s="40" t="inlineStr">
        <is>
          <t>MAS_COM</t>
        </is>
      </c>
      <c r="D1279" s="40" t="inlineStr">
        <is>
          <t>M2</t>
        </is>
      </c>
      <c r="E1279" s="40" t="inlineStr">
        <is>
          <t>ALT</t>
        </is>
      </c>
      <c r="F1279" s="40" t="inlineStr">
        <is>
          <t>PRX_TARIF</t>
        </is>
      </c>
      <c r="G1279" s="39" t="inlineStr">
        <is>
          <t>Tarif moyen scolarité</t>
        </is>
      </c>
      <c r="H1279" s="40" t="inlineStr">
        <is>
          <t>TECHNIQUE</t>
        </is>
      </c>
      <c r="I1279" s="41" t="inlineStr">
        <is>
          <t>2025FCST_V4</t>
        </is>
      </c>
      <c r="J1279" s="41" t="n">
        <v>2025</v>
      </c>
      <c r="K1279" s="41" t="inlineStr">
        <is>
          <t>EUR</t>
        </is>
      </c>
      <c r="L1279" s="42" t="n">
        <v>9000</v>
      </c>
    </row>
    <row r="1280">
      <c r="B1280" s="39" t="inlineStr">
        <is>
          <t>ISCOM_LIL</t>
        </is>
      </c>
      <c r="C1280" s="40" t="inlineStr">
        <is>
          <t>BAC_COM</t>
        </is>
      </c>
      <c r="D1280" s="40" t="inlineStr">
        <is>
          <t>B1</t>
        </is>
      </c>
      <c r="E1280" s="40" t="inlineStr">
        <is>
          <t>INIT</t>
        </is>
      </c>
      <c r="F1280" s="40" t="inlineStr">
        <is>
          <t>706100</t>
        </is>
      </c>
      <c r="G1280" s="39" t="inlineStr">
        <is>
          <t>Droits de scolarité</t>
        </is>
      </c>
      <c r="H1280" s="40" t="inlineStr">
        <is>
          <t>COMPTABLE</t>
        </is>
      </c>
      <c r="I1280" s="41" t="inlineStr">
        <is>
          <t>2023ACT_VDEF</t>
        </is>
      </c>
      <c r="J1280" s="41" t="n">
        <v>2023</v>
      </c>
      <c r="K1280" s="41" t="inlineStr">
        <is>
          <t>EUR</t>
        </is>
      </c>
      <c r="L1280" s="42" t="n">
        <v>382500</v>
      </c>
    </row>
    <row r="1281">
      <c r="B1281" s="39" t="inlineStr">
        <is>
          <t>ISCOM_LIL</t>
        </is>
      </c>
      <c r="C1281" s="40" t="inlineStr">
        <is>
          <t>BAC_COM</t>
        </is>
      </c>
      <c r="D1281" s="40" t="inlineStr">
        <is>
          <t>B1</t>
        </is>
      </c>
      <c r="E1281" s="40" t="inlineStr">
        <is>
          <t>INIT</t>
        </is>
      </c>
      <c r="F1281" s="40" t="inlineStr">
        <is>
          <t>706100</t>
        </is>
      </c>
      <c r="G1281" s="39" t="inlineStr">
        <is>
          <t>Droits de scolarité</t>
        </is>
      </c>
      <c r="H1281" s="40" t="inlineStr">
        <is>
          <t>COMPTABLE</t>
        </is>
      </c>
      <c r="I1281" s="41" t="inlineStr">
        <is>
          <t>2024ACT_VDEF</t>
        </is>
      </c>
      <c r="J1281" s="41" t="n">
        <v>2024</v>
      </c>
      <c r="K1281" s="41" t="inlineStr">
        <is>
          <t>EUR</t>
        </is>
      </c>
      <c r="L1281" s="42" t="n">
        <v>403750</v>
      </c>
    </row>
    <row r="1282">
      <c r="B1282" s="39" t="inlineStr">
        <is>
          <t>ISCOM_LIL</t>
        </is>
      </c>
      <c r="C1282" s="40" t="inlineStr">
        <is>
          <t>BAC_COM</t>
        </is>
      </c>
      <c r="D1282" s="40" t="inlineStr">
        <is>
          <t>B1</t>
        </is>
      </c>
      <c r="E1282" s="40" t="inlineStr">
        <is>
          <t>INIT</t>
        </is>
      </c>
      <c r="F1282" s="40" t="inlineStr">
        <is>
          <t>706100</t>
        </is>
      </c>
      <c r="G1282" s="39" t="inlineStr">
        <is>
          <t>Droits de scolarité</t>
        </is>
      </c>
      <c r="H1282" s="40" t="inlineStr">
        <is>
          <t>COMPTABLE</t>
        </is>
      </c>
      <c r="I1282" s="41" t="inlineStr">
        <is>
          <t>2025FCST_V4</t>
        </is>
      </c>
      <c r="J1282" s="41" t="n">
        <v>2025</v>
      </c>
      <c r="K1282" s="41" t="inlineStr">
        <is>
          <t>EUR</t>
        </is>
      </c>
      <c r="L1282" s="42" t="n">
        <v>425000</v>
      </c>
    </row>
    <row r="1283">
      <c r="B1283" s="39" t="inlineStr">
        <is>
          <t>ISCOM_LIL</t>
        </is>
      </c>
      <c r="C1283" s="40" t="inlineStr">
        <is>
          <t>BAC_COM</t>
        </is>
      </c>
      <c r="D1283" s="40" t="inlineStr">
        <is>
          <t>B1</t>
        </is>
      </c>
      <c r="E1283" s="40" t="inlineStr">
        <is>
          <t>INIT</t>
        </is>
      </c>
      <c r="F1283" s="40" t="inlineStr">
        <is>
          <t>708500</t>
        </is>
      </c>
      <c r="G1283" s="39" t="inlineStr">
        <is>
          <t>Frais de dossier / inscription</t>
        </is>
      </c>
      <c r="H1283" s="40" t="inlineStr">
        <is>
          <t>COMPTABLE</t>
        </is>
      </c>
      <c r="I1283" s="41" t="inlineStr">
        <is>
          <t>2023ACT_VDEF</t>
        </is>
      </c>
      <c r="J1283" s="41" t="n">
        <v>2023</v>
      </c>
      <c r="K1283" s="41" t="inlineStr">
        <is>
          <t>EUR</t>
        </is>
      </c>
      <c r="L1283" s="42" t="n">
        <v>4050</v>
      </c>
    </row>
    <row r="1284">
      <c r="B1284" s="39" t="inlineStr">
        <is>
          <t>ISCOM_LIL</t>
        </is>
      </c>
      <c r="C1284" s="40" t="inlineStr">
        <is>
          <t>BAC_COM</t>
        </is>
      </c>
      <c r="D1284" s="40" t="inlineStr">
        <is>
          <t>B1</t>
        </is>
      </c>
      <c r="E1284" s="40" t="inlineStr">
        <is>
          <t>INIT</t>
        </is>
      </c>
      <c r="F1284" s="40" t="inlineStr">
        <is>
          <t>708500</t>
        </is>
      </c>
      <c r="G1284" s="39" t="inlineStr">
        <is>
          <t>Frais de dossier / inscription</t>
        </is>
      </c>
      <c r="H1284" s="40" t="inlineStr">
        <is>
          <t>COMPTABLE</t>
        </is>
      </c>
      <c r="I1284" s="41" t="inlineStr">
        <is>
          <t>2024ACT_VDEF</t>
        </is>
      </c>
      <c r="J1284" s="41" t="n">
        <v>2024</v>
      </c>
      <c r="K1284" s="41" t="inlineStr">
        <is>
          <t>EUR</t>
        </is>
      </c>
      <c r="L1284" s="42" t="n">
        <v>4275</v>
      </c>
    </row>
    <row r="1285">
      <c r="B1285" s="39" t="inlineStr">
        <is>
          <t>ISCOM_LIL</t>
        </is>
      </c>
      <c r="C1285" s="40" t="inlineStr">
        <is>
          <t>BAC_COM</t>
        </is>
      </c>
      <c r="D1285" s="40" t="inlineStr">
        <is>
          <t>B1</t>
        </is>
      </c>
      <c r="E1285" s="40" t="inlineStr">
        <is>
          <t>INIT</t>
        </is>
      </c>
      <c r="F1285" s="40" t="inlineStr">
        <is>
          <t>708500</t>
        </is>
      </c>
      <c r="G1285" s="39" t="inlineStr">
        <is>
          <t>Frais de dossier / inscription</t>
        </is>
      </c>
      <c r="H1285" s="40" t="inlineStr">
        <is>
          <t>COMPTABLE</t>
        </is>
      </c>
      <c r="I1285" s="41" t="inlineStr">
        <is>
          <t>2025FCST_V4</t>
        </is>
      </c>
      <c r="J1285" s="41" t="n">
        <v>2025</v>
      </c>
      <c r="K1285" s="41" t="inlineStr">
        <is>
          <t>EUR</t>
        </is>
      </c>
      <c r="L1285" s="42" t="n">
        <v>4500</v>
      </c>
    </row>
    <row r="1286">
      <c r="B1286" s="39" t="inlineStr">
        <is>
          <t>ISCOM_LIL</t>
        </is>
      </c>
      <c r="C1286" s="40" t="inlineStr">
        <is>
          <t>BAC_COM</t>
        </is>
      </c>
      <c r="D1286" s="40" t="inlineStr">
        <is>
          <t>B1</t>
        </is>
      </c>
      <c r="E1286" s="40" t="inlineStr">
        <is>
          <t>INIT</t>
        </is>
      </c>
      <c r="F1286" s="40" t="inlineStr">
        <is>
          <t>604100</t>
        </is>
      </c>
      <c r="G1286" s="39" t="inlineStr">
        <is>
          <t>Vacations &amp; sous-traitance pédagogique</t>
        </is>
      </c>
      <c r="H1286" s="40" t="inlineStr">
        <is>
          <t>COMPTABLE</t>
        </is>
      </c>
      <c r="I1286" s="41" t="inlineStr">
        <is>
          <t>2023ACT_VDEF</t>
        </is>
      </c>
      <c r="J1286" s="41" t="n">
        <v>2023</v>
      </c>
      <c r="K1286" s="41" t="inlineStr">
        <is>
          <t>EUR</t>
        </is>
      </c>
      <c r="L1286" s="42" t="n">
        <v>66960</v>
      </c>
    </row>
    <row r="1287">
      <c r="B1287" s="39" t="inlineStr">
        <is>
          <t>ISCOM_LIL</t>
        </is>
      </c>
      <c r="C1287" s="40" t="inlineStr">
        <is>
          <t>BAC_COM</t>
        </is>
      </c>
      <c r="D1287" s="40" t="inlineStr">
        <is>
          <t>B1</t>
        </is>
      </c>
      <c r="E1287" s="40" t="inlineStr">
        <is>
          <t>INIT</t>
        </is>
      </c>
      <c r="F1287" s="40" t="inlineStr">
        <is>
          <t>604100</t>
        </is>
      </c>
      <c r="G1287" s="39" t="inlineStr">
        <is>
          <t>Vacations &amp; sous-traitance pédagogique</t>
        </is>
      </c>
      <c r="H1287" s="40" t="inlineStr">
        <is>
          <t>COMPTABLE</t>
        </is>
      </c>
      <c r="I1287" s="41" t="inlineStr">
        <is>
          <t>2024ACT_VDEF</t>
        </is>
      </c>
      <c r="J1287" s="41" t="n">
        <v>2024</v>
      </c>
      <c r="K1287" s="41" t="inlineStr">
        <is>
          <t>EUR</t>
        </is>
      </c>
      <c r="L1287" s="42" t="n">
        <v>70680</v>
      </c>
    </row>
    <row r="1288">
      <c r="B1288" s="39" t="inlineStr">
        <is>
          <t>ISCOM_LIL</t>
        </is>
      </c>
      <c r="C1288" s="40" t="inlineStr">
        <is>
          <t>BAC_COM</t>
        </is>
      </c>
      <c r="D1288" s="40" t="inlineStr">
        <is>
          <t>B1</t>
        </is>
      </c>
      <c r="E1288" s="40" t="inlineStr">
        <is>
          <t>INIT</t>
        </is>
      </c>
      <c r="F1288" s="40" t="inlineStr">
        <is>
          <t>604100</t>
        </is>
      </c>
      <c r="G1288" s="39" t="inlineStr">
        <is>
          <t>Vacations &amp; sous-traitance pédagogique</t>
        </is>
      </c>
      <c r="H1288" s="40" t="inlineStr">
        <is>
          <t>COMPTABLE</t>
        </is>
      </c>
      <c r="I1288" s="41" t="inlineStr">
        <is>
          <t>2025FCST_V4</t>
        </is>
      </c>
      <c r="J1288" s="41" t="n">
        <v>2025</v>
      </c>
      <c r="K1288" s="41" t="inlineStr">
        <is>
          <t>EUR</t>
        </is>
      </c>
      <c r="L1288" s="42" t="n">
        <v>74400</v>
      </c>
    </row>
    <row r="1289">
      <c r="B1289" s="39" t="inlineStr">
        <is>
          <t>ISCOM_LIL</t>
        </is>
      </c>
      <c r="C1289" s="40" t="inlineStr">
        <is>
          <t>BAC_COM</t>
        </is>
      </c>
      <c r="D1289" s="40" t="inlineStr">
        <is>
          <t>B1</t>
        </is>
      </c>
      <c r="E1289" s="40" t="inlineStr">
        <is>
          <t>INIT</t>
        </is>
      </c>
      <c r="F1289" s="40" t="inlineStr">
        <is>
          <t>606300</t>
        </is>
      </c>
      <c r="G1289" s="39" t="inlineStr">
        <is>
          <t>Fournitures &amp; ressources pédagogiques</t>
        </is>
      </c>
      <c r="H1289" s="40" t="inlineStr">
        <is>
          <t>COMPTABLE</t>
        </is>
      </c>
      <c r="I1289" s="41" t="inlineStr">
        <is>
          <t>2023ACT_VDEF</t>
        </is>
      </c>
      <c r="J1289" s="41" t="n">
        <v>2023</v>
      </c>
      <c r="K1289" s="41" t="inlineStr">
        <is>
          <t>EUR</t>
        </is>
      </c>
      <c r="L1289" s="42" t="n">
        <v>24750</v>
      </c>
    </row>
    <row r="1290">
      <c r="B1290" s="39" t="inlineStr">
        <is>
          <t>ISCOM_LIL</t>
        </is>
      </c>
      <c r="C1290" s="40" t="inlineStr">
        <is>
          <t>BAC_COM</t>
        </is>
      </c>
      <c r="D1290" s="40" t="inlineStr">
        <is>
          <t>B1</t>
        </is>
      </c>
      <c r="E1290" s="40" t="inlineStr">
        <is>
          <t>INIT</t>
        </is>
      </c>
      <c r="F1290" s="40" t="inlineStr">
        <is>
          <t>606300</t>
        </is>
      </c>
      <c r="G1290" s="39" t="inlineStr">
        <is>
          <t>Fournitures &amp; ressources pédagogiques</t>
        </is>
      </c>
      <c r="H1290" s="40" t="inlineStr">
        <is>
          <t>COMPTABLE</t>
        </is>
      </c>
      <c r="I1290" s="41" t="inlineStr">
        <is>
          <t>2024ACT_VDEF</t>
        </is>
      </c>
      <c r="J1290" s="41" t="n">
        <v>2024</v>
      </c>
      <c r="K1290" s="41" t="inlineStr">
        <is>
          <t>EUR</t>
        </is>
      </c>
      <c r="L1290" s="42" t="n">
        <v>26125</v>
      </c>
    </row>
    <row r="1291">
      <c r="B1291" s="39" t="inlineStr">
        <is>
          <t>ISCOM_LIL</t>
        </is>
      </c>
      <c r="C1291" s="40" t="inlineStr">
        <is>
          <t>BAC_COM</t>
        </is>
      </c>
      <c r="D1291" s="40" t="inlineStr">
        <is>
          <t>B1</t>
        </is>
      </c>
      <c r="E1291" s="40" t="inlineStr">
        <is>
          <t>INIT</t>
        </is>
      </c>
      <c r="F1291" s="40" t="inlineStr">
        <is>
          <t>606300</t>
        </is>
      </c>
      <c r="G1291" s="39" t="inlineStr">
        <is>
          <t>Fournitures &amp; ressources pédagogiques</t>
        </is>
      </c>
      <c r="H1291" s="40" t="inlineStr">
        <is>
          <t>COMPTABLE</t>
        </is>
      </c>
      <c r="I1291" s="41" t="inlineStr">
        <is>
          <t>2025FCST_V4</t>
        </is>
      </c>
      <c r="J1291" s="41" t="n">
        <v>2025</v>
      </c>
      <c r="K1291" s="41" t="inlineStr">
        <is>
          <t>EUR</t>
        </is>
      </c>
      <c r="L1291" s="42" t="n">
        <v>27500</v>
      </c>
    </row>
    <row r="1292">
      <c r="B1292" s="39" t="inlineStr">
        <is>
          <t>ISCOM_LIL</t>
        </is>
      </c>
      <c r="C1292" s="40" t="inlineStr">
        <is>
          <t>BAC_COM</t>
        </is>
      </c>
      <c r="D1292" s="40" t="inlineStr">
        <is>
          <t>B1</t>
        </is>
      </c>
      <c r="E1292" s="40" t="inlineStr">
        <is>
          <t>INIT</t>
        </is>
      </c>
      <c r="F1292" s="40" t="inlineStr">
        <is>
          <t>623000</t>
        </is>
      </c>
      <c r="G1292" s="39" t="inlineStr">
        <is>
          <t>Publicité &amp; marketing (acquisition)</t>
        </is>
      </c>
      <c r="H1292" s="40" t="inlineStr">
        <is>
          <t>COMPTABLE</t>
        </is>
      </c>
      <c r="I1292" s="41" t="inlineStr">
        <is>
          <t>2023ACT_VDEF</t>
        </is>
      </c>
      <c r="J1292" s="41" t="n">
        <v>2023</v>
      </c>
      <c r="K1292" s="41" t="inlineStr">
        <is>
          <t>EUR</t>
        </is>
      </c>
      <c r="L1292" s="42" t="n">
        <v>14400</v>
      </c>
    </row>
    <row r="1293">
      <c r="B1293" s="39" t="inlineStr">
        <is>
          <t>ISCOM_LIL</t>
        </is>
      </c>
      <c r="C1293" s="40" t="inlineStr">
        <is>
          <t>BAC_COM</t>
        </is>
      </c>
      <c r="D1293" s="40" t="inlineStr">
        <is>
          <t>B1</t>
        </is>
      </c>
      <c r="E1293" s="40" t="inlineStr">
        <is>
          <t>INIT</t>
        </is>
      </c>
      <c r="F1293" s="40" t="inlineStr">
        <is>
          <t>623000</t>
        </is>
      </c>
      <c r="G1293" s="39" t="inlineStr">
        <is>
          <t>Publicité &amp; marketing (acquisition)</t>
        </is>
      </c>
      <c r="H1293" s="40" t="inlineStr">
        <is>
          <t>COMPTABLE</t>
        </is>
      </c>
      <c r="I1293" s="41" t="inlineStr">
        <is>
          <t>2024ACT_VDEF</t>
        </is>
      </c>
      <c r="J1293" s="41" t="n">
        <v>2024</v>
      </c>
      <c r="K1293" s="41" t="inlineStr">
        <is>
          <t>EUR</t>
        </is>
      </c>
      <c r="L1293" s="42" t="n">
        <v>15200</v>
      </c>
    </row>
    <row r="1294">
      <c r="B1294" s="39" t="inlineStr">
        <is>
          <t>ISCOM_LIL</t>
        </is>
      </c>
      <c r="C1294" s="40" t="inlineStr">
        <is>
          <t>BAC_COM</t>
        </is>
      </c>
      <c r="D1294" s="40" t="inlineStr">
        <is>
          <t>B1</t>
        </is>
      </c>
      <c r="E1294" s="40" t="inlineStr">
        <is>
          <t>INIT</t>
        </is>
      </c>
      <c r="F1294" s="40" t="inlineStr">
        <is>
          <t>623000</t>
        </is>
      </c>
      <c r="G1294" s="39" t="inlineStr">
        <is>
          <t>Publicité &amp; marketing (acquisition)</t>
        </is>
      </c>
      <c r="H1294" s="40" t="inlineStr">
        <is>
          <t>COMPTABLE</t>
        </is>
      </c>
      <c r="I1294" s="41" t="inlineStr">
        <is>
          <t>2025FCST_V4</t>
        </is>
      </c>
      <c r="J1294" s="41" t="n">
        <v>2025</v>
      </c>
      <c r="K1294" s="41" t="inlineStr">
        <is>
          <t>EUR</t>
        </is>
      </c>
      <c r="L1294" s="42" t="n">
        <v>16000</v>
      </c>
    </row>
    <row r="1295">
      <c r="B1295" s="39" t="inlineStr">
        <is>
          <t>ISCOM_LIL</t>
        </is>
      </c>
      <c r="C1295" s="40" t="inlineStr">
        <is>
          <t>BAC_COM</t>
        </is>
      </c>
      <c r="D1295" s="40" t="inlineStr">
        <is>
          <t>B1</t>
        </is>
      </c>
      <c r="E1295" s="40" t="inlineStr">
        <is>
          <t>INIT</t>
        </is>
      </c>
      <c r="F1295" s="40" t="inlineStr">
        <is>
          <t>613200</t>
        </is>
      </c>
      <c r="G1295" s="39" t="inlineStr">
        <is>
          <t>Locations immobilières (loyers)</t>
        </is>
      </c>
      <c r="H1295" s="40" t="inlineStr">
        <is>
          <t>COMPTABLE</t>
        </is>
      </c>
      <c r="I1295" s="41" t="inlineStr">
        <is>
          <t>2023ACT_VDEF</t>
        </is>
      </c>
      <c r="J1295" s="41" t="n">
        <v>2023</v>
      </c>
      <c r="K1295" s="41" t="inlineStr">
        <is>
          <t>EUR</t>
        </is>
      </c>
      <c r="L1295" s="42" t="n">
        <v>31320</v>
      </c>
    </row>
    <row r="1296">
      <c r="B1296" s="39" t="inlineStr">
        <is>
          <t>ISCOM_LIL</t>
        </is>
      </c>
      <c r="C1296" s="40" t="inlineStr">
        <is>
          <t>BAC_COM</t>
        </is>
      </c>
      <c r="D1296" s="40" t="inlineStr">
        <is>
          <t>B1</t>
        </is>
      </c>
      <c r="E1296" s="40" t="inlineStr">
        <is>
          <t>INIT</t>
        </is>
      </c>
      <c r="F1296" s="40" t="inlineStr">
        <is>
          <t>613200</t>
        </is>
      </c>
      <c r="G1296" s="39" t="inlineStr">
        <is>
          <t>Locations immobilières (loyers)</t>
        </is>
      </c>
      <c r="H1296" s="40" t="inlineStr">
        <is>
          <t>COMPTABLE</t>
        </is>
      </c>
      <c r="I1296" s="41" t="inlineStr">
        <is>
          <t>2024ACT_VDEF</t>
        </is>
      </c>
      <c r="J1296" s="41" t="n">
        <v>2024</v>
      </c>
      <c r="K1296" s="41" t="inlineStr">
        <is>
          <t>EUR</t>
        </is>
      </c>
      <c r="L1296" s="42" t="n">
        <v>33060</v>
      </c>
    </row>
    <row r="1297">
      <c r="B1297" s="39" t="inlineStr">
        <is>
          <t>ISCOM_LIL</t>
        </is>
      </c>
      <c r="C1297" s="40" t="inlineStr">
        <is>
          <t>BAC_COM</t>
        </is>
      </c>
      <c r="D1297" s="40" t="inlineStr">
        <is>
          <t>B1</t>
        </is>
      </c>
      <c r="E1297" s="40" t="inlineStr">
        <is>
          <t>INIT</t>
        </is>
      </c>
      <c r="F1297" s="40" t="inlineStr">
        <is>
          <t>613200</t>
        </is>
      </c>
      <c r="G1297" s="39" t="inlineStr">
        <is>
          <t>Locations immobilières (loyers)</t>
        </is>
      </c>
      <c r="H1297" s="40" t="inlineStr">
        <is>
          <t>COMPTABLE</t>
        </is>
      </c>
      <c r="I1297" s="41" t="inlineStr">
        <is>
          <t>2025FCST_V4</t>
        </is>
      </c>
      <c r="J1297" s="41" t="n">
        <v>2025</v>
      </c>
      <c r="K1297" s="41" t="inlineStr">
        <is>
          <t>EUR</t>
        </is>
      </c>
      <c r="L1297" s="42" t="n">
        <v>34800</v>
      </c>
    </row>
    <row r="1298">
      <c r="B1298" s="39" t="inlineStr">
        <is>
          <t>ISCOM_LIL</t>
        </is>
      </c>
      <c r="C1298" s="40" t="inlineStr">
        <is>
          <t>BAC_COM</t>
        </is>
      </c>
      <c r="D1298" s="40" t="inlineStr">
        <is>
          <t>B1</t>
        </is>
      </c>
      <c r="E1298" s="40" t="inlineStr">
        <is>
          <t>INIT</t>
        </is>
      </c>
      <c r="F1298" s="40" t="inlineStr">
        <is>
          <t>641100</t>
        </is>
      </c>
      <c r="G1298" s="39" t="inlineStr">
        <is>
          <t>Rémunérations du personnel permanent</t>
        </is>
      </c>
      <c r="H1298" s="40" t="inlineStr">
        <is>
          <t>COMPTABLE</t>
        </is>
      </c>
      <c r="I1298" s="41" t="inlineStr">
        <is>
          <t>2023ACT_VDEF</t>
        </is>
      </c>
      <c r="J1298" s="41" t="n">
        <v>2023</v>
      </c>
      <c r="K1298" s="41" t="inlineStr">
        <is>
          <t>EUR</t>
        </is>
      </c>
      <c r="L1298" s="42" t="n">
        <v>73080</v>
      </c>
    </row>
    <row r="1299">
      <c r="B1299" s="39" t="inlineStr">
        <is>
          <t>ISCOM_LIL</t>
        </is>
      </c>
      <c r="C1299" s="40" t="inlineStr">
        <is>
          <t>BAC_COM</t>
        </is>
      </c>
      <c r="D1299" s="40" t="inlineStr">
        <is>
          <t>B1</t>
        </is>
      </c>
      <c r="E1299" s="40" t="inlineStr">
        <is>
          <t>INIT</t>
        </is>
      </c>
      <c r="F1299" s="40" t="inlineStr">
        <is>
          <t>641100</t>
        </is>
      </c>
      <c r="G1299" s="39" t="inlineStr">
        <is>
          <t>Rémunérations du personnel permanent</t>
        </is>
      </c>
      <c r="H1299" s="40" t="inlineStr">
        <is>
          <t>COMPTABLE</t>
        </is>
      </c>
      <c r="I1299" s="41" t="inlineStr">
        <is>
          <t>2024ACT_VDEF</t>
        </is>
      </c>
      <c r="J1299" s="41" t="n">
        <v>2024</v>
      </c>
      <c r="K1299" s="41" t="inlineStr">
        <is>
          <t>EUR</t>
        </is>
      </c>
      <c r="L1299" s="42" t="n">
        <v>77140</v>
      </c>
    </row>
    <row r="1300">
      <c r="B1300" s="39" t="inlineStr">
        <is>
          <t>ISCOM_LIL</t>
        </is>
      </c>
      <c r="C1300" s="40" t="inlineStr">
        <is>
          <t>BAC_COM</t>
        </is>
      </c>
      <c r="D1300" s="40" t="inlineStr">
        <is>
          <t>B1</t>
        </is>
      </c>
      <c r="E1300" s="40" t="inlineStr">
        <is>
          <t>INIT</t>
        </is>
      </c>
      <c r="F1300" s="40" t="inlineStr">
        <is>
          <t>641100</t>
        </is>
      </c>
      <c r="G1300" s="39" t="inlineStr">
        <is>
          <t>Rémunérations du personnel permanent</t>
        </is>
      </c>
      <c r="H1300" s="40" t="inlineStr">
        <is>
          <t>COMPTABLE</t>
        </is>
      </c>
      <c r="I1300" s="41" t="inlineStr">
        <is>
          <t>2025FCST_V4</t>
        </is>
      </c>
      <c r="J1300" s="41" t="n">
        <v>2025</v>
      </c>
      <c r="K1300" s="41" t="inlineStr">
        <is>
          <t>EUR</t>
        </is>
      </c>
      <c r="L1300" s="42" t="n">
        <v>81200</v>
      </c>
    </row>
    <row r="1301">
      <c r="B1301" s="39" t="inlineStr">
        <is>
          <t>ISCOM_LIL</t>
        </is>
      </c>
      <c r="C1301" s="40" t="inlineStr">
        <is>
          <t>BAC_COM</t>
        </is>
      </c>
      <c r="D1301" s="40" t="inlineStr">
        <is>
          <t>B1</t>
        </is>
      </c>
      <c r="E1301" s="40" t="inlineStr">
        <is>
          <t>INIT</t>
        </is>
      </c>
      <c r="F1301" s="40" t="inlineStr">
        <is>
          <t>622600</t>
        </is>
      </c>
      <c r="G1301" s="39" t="inlineStr">
        <is>
          <t>Honoraires &amp; frais de siège (structure groupe)</t>
        </is>
      </c>
      <c r="H1301" s="40" t="inlineStr">
        <is>
          <t>COMPTABLE</t>
        </is>
      </c>
      <c r="I1301" s="41" t="inlineStr">
        <is>
          <t>2023ACT_VDEF</t>
        </is>
      </c>
      <c r="J1301" s="41" t="n">
        <v>2023</v>
      </c>
      <c r="K1301" s="41" t="inlineStr">
        <is>
          <t>EUR</t>
        </is>
      </c>
      <c r="L1301" s="42" t="n">
        <v>28552</v>
      </c>
    </row>
    <row r="1302">
      <c r="B1302" s="39" t="inlineStr">
        <is>
          <t>ISCOM_LIL</t>
        </is>
      </c>
      <c r="C1302" s="40" t="inlineStr">
        <is>
          <t>BAC_COM</t>
        </is>
      </c>
      <c r="D1302" s="40" t="inlineStr">
        <is>
          <t>B1</t>
        </is>
      </c>
      <c r="E1302" s="40" t="inlineStr">
        <is>
          <t>INIT</t>
        </is>
      </c>
      <c r="F1302" s="40" t="inlineStr">
        <is>
          <t>622600</t>
        </is>
      </c>
      <c r="G1302" s="39" t="inlineStr">
        <is>
          <t>Honoraires &amp; frais de siège (structure groupe)</t>
        </is>
      </c>
      <c r="H1302" s="40" t="inlineStr">
        <is>
          <t>COMPTABLE</t>
        </is>
      </c>
      <c r="I1302" s="41" t="inlineStr">
        <is>
          <t>2024ACT_VDEF</t>
        </is>
      </c>
      <c r="J1302" s="41" t="n">
        <v>2024</v>
      </c>
      <c r="K1302" s="41" t="inlineStr">
        <is>
          <t>EUR</t>
        </is>
      </c>
      <c r="L1302" s="42" t="n">
        <v>30138</v>
      </c>
    </row>
    <row r="1303">
      <c r="B1303" s="39" t="inlineStr">
        <is>
          <t>ISCOM_LIL</t>
        </is>
      </c>
      <c r="C1303" s="40" t="inlineStr">
        <is>
          <t>BAC_COM</t>
        </is>
      </c>
      <c r="D1303" s="40" t="inlineStr">
        <is>
          <t>B1</t>
        </is>
      </c>
      <c r="E1303" s="40" t="inlineStr">
        <is>
          <t>INIT</t>
        </is>
      </c>
      <c r="F1303" s="40" t="inlineStr">
        <is>
          <t>622600</t>
        </is>
      </c>
      <c r="G1303" s="39" t="inlineStr">
        <is>
          <t>Honoraires &amp; frais de siège (structure groupe)</t>
        </is>
      </c>
      <c r="H1303" s="40" t="inlineStr">
        <is>
          <t>COMPTABLE</t>
        </is>
      </c>
      <c r="I1303" s="41" t="inlineStr">
        <is>
          <t>2025FCST_V4</t>
        </is>
      </c>
      <c r="J1303" s="41" t="n">
        <v>2025</v>
      </c>
      <c r="K1303" s="41" t="inlineStr">
        <is>
          <t>EUR</t>
        </is>
      </c>
      <c r="L1303" s="42" t="n">
        <v>31724</v>
      </c>
    </row>
    <row r="1304">
      <c r="B1304" s="39" t="inlineStr">
        <is>
          <t>ISCOM_LIL</t>
        </is>
      </c>
      <c r="C1304" s="40" t="inlineStr">
        <is>
          <t>BAC_COM</t>
        </is>
      </c>
      <c r="D1304" s="40" t="inlineStr">
        <is>
          <t>B1</t>
        </is>
      </c>
      <c r="E1304" s="40" t="inlineStr">
        <is>
          <t>INIT</t>
        </is>
      </c>
      <c r="F1304" s="40" t="inlineStr">
        <is>
          <t>606800</t>
        </is>
      </c>
      <c r="G1304" s="39" t="inlineStr">
        <is>
          <t>Autres achats &amp; charges externes</t>
        </is>
      </c>
      <c r="H1304" s="40" t="inlineStr">
        <is>
          <t>COMPTABLE</t>
        </is>
      </c>
      <c r="I1304" s="41" t="inlineStr">
        <is>
          <t>2023ACT_VDEF</t>
        </is>
      </c>
      <c r="J1304" s="41" t="n">
        <v>2023</v>
      </c>
      <c r="K1304" s="41" t="inlineStr">
        <is>
          <t>EUR</t>
        </is>
      </c>
      <c r="L1304" s="42" t="n">
        <v>42030</v>
      </c>
    </row>
    <row r="1305">
      <c r="B1305" s="39" t="inlineStr">
        <is>
          <t>ISCOM_LIL</t>
        </is>
      </c>
      <c r="C1305" s="40" t="inlineStr">
        <is>
          <t>BAC_COM</t>
        </is>
      </c>
      <c r="D1305" s="40" t="inlineStr">
        <is>
          <t>B1</t>
        </is>
      </c>
      <c r="E1305" s="40" t="inlineStr">
        <is>
          <t>INIT</t>
        </is>
      </c>
      <c r="F1305" s="40" t="inlineStr">
        <is>
          <t>606800</t>
        </is>
      </c>
      <c r="G1305" s="39" t="inlineStr">
        <is>
          <t>Autres achats &amp; charges externes</t>
        </is>
      </c>
      <c r="H1305" s="40" t="inlineStr">
        <is>
          <t>COMPTABLE</t>
        </is>
      </c>
      <c r="I1305" s="41" t="inlineStr">
        <is>
          <t>2024ACT_VDEF</t>
        </is>
      </c>
      <c r="J1305" s="41" t="n">
        <v>2024</v>
      </c>
      <c r="K1305" s="41" t="inlineStr">
        <is>
          <t>EUR</t>
        </is>
      </c>
      <c r="L1305" s="42" t="n">
        <v>44365</v>
      </c>
    </row>
    <row r="1306">
      <c r="B1306" s="39" t="inlineStr">
        <is>
          <t>ISCOM_LIL</t>
        </is>
      </c>
      <c r="C1306" s="40" t="inlineStr">
        <is>
          <t>BAC_COM</t>
        </is>
      </c>
      <c r="D1306" s="40" t="inlineStr">
        <is>
          <t>B1</t>
        </is>
      </c>
      <c r="E1306" s="40" t="inlineStr">
        <is>
          <t>INIT</t>
        </is>
      </c>
      <c r="F1306" s="40" t="inlineStr">
        <is>
          <t>606800</t>
        </is>
      </c>
      <c r="G1306" s="39" t="inlineStr">
        <is>
          <t>Autres achats &amp; charges externes</t>
        </is>
      </c>
      <c r="H1306" s="40" t="inlineStr">
        <is>
          <t>COMPTABLE</t>
        </is>
      </c>
      <c r="I1306" s="41" t="inlineStr">
        <is>
          <t>2025FCST_V4</t>
        </is>
      </c>
      <c r="J1306" s="41" t="n">
        <v>2025</v>
      </c>
      <c r="K1306" s="41" t="inlineStr">
        <is>
          <t>EUR</t>
        </is>
      </c>
      <c r="L1306" s="42" t="n">
        <v>46700</v>
      </c>
    </row>
    <row r="1307">
      <c r="B1307" s="39" t="inlineStr">
        <is>
          <t>ISCOM_LIL</t>
        </is>
      </c>
      <c r="C1307" s="40" t="inlineStr">
        <is>
          <t>BAC_COM</t>
        </is>
      </c>
      <c r="D1307" s="40" t="inlineStr">
        <is>
          <t>B1</t>
        </is>
      </c>
      <c r="E1307" s="40" t="inlineStr">
        <is>
          <t>INIT</t>
        </is>
      </c>
      <c r="F1307" s="40" t="inlineStr">
        <is>
          <t>681100</t>
        </is>
      </c>
      <c r="G1307" s="39" t="inlineStr">
        <is>
          <t>Dotations aux amortissements</t>
        </is>
      </c>
      <c r="H1307" s="40" t="inlineStr">
        <is>
          <t>COMPTABLE</t>
        </is>
      </c>
      <c r="I1307" s="41" t="inlineStr">
        <is>
          <t>2023ACT_VDEF</t>
        </is>
      </c>
      <c r="J1307" s="41" t="n">
        <v>2023</v>
      </c>
      <c r="K1307" s="41" t="inlineStr">
        <is>
          <t>EUR</t>
        </is>
      </c>
      <c r="L1307" s="42" t="n">
        <v>17100</v>
      </c>
    </row>
    <row r="1308">
      <c r="B1308" s="39" t="inlineStr">
        <is>
          <t>ISCOM_LIL</t>
        </is>
      </c>
      <c r="C1308" s="40" t="inlineStr">
        <is>
          <t>BAC_COM</t>
        </is>
      </c>
      <c r="D1308" s="40" t="inlineStr">
        <is>
          <t>B1</t>
        </is>
      </c>
      <c r="E1308" s="40" t="inlineStr">
        <is>
          <t>INIT</t>
        </is>
      </c>
      <c r="F1308" s="40" t="inlineStr">
        <is>
          <t>681100</t>
        </is>
      </c>
      <c r="G1308" s="39" t="inlineStr">
        <is>
          <t>Dotations aux amortissements</t>
        </is>
      </c>
      <c r="H1308" s="40" t="inlineStr">
        <is>
          <t>COMPTABLE</t>
        </is>
      </c>
      <c r="I1308" s="41" t="inlineStr">
        <is>
          <t>2024ACT_VDEF</t>
        </is>
      </c>
      <c r="J1308" s="41" t="n">
        <v>2024</v>
      </c>
      <c r="K1308" s="41" t="inlineStr">
        <is>
          <t>EUR</t>
        </is>
      </c>
      <c r="L1308" s="42" t="n">
        <v>18050</v>
      </c>
    </row>
    <row r="1309">
      <c r="B1309" s="39" t="inlineStr">
        <is>
          <t>ISCOM_LIL</t>
        </is>
      </c>
      <c r="C1309" s="40" t="inlineStr">
        <is>
          <t>BAC_COM</t>
        </is>
      </c>
      <c r="D1309" s="40" t="inlineStr">
        <is>
          <t>B1</t>
        </is>
      </c>
      <c r="E1309" s="40" t="inlineStr">
        <is>
          <t>INIT</t>
        </is>
      </c>
      <c r="F1309" s="40" t="inlineStr">
        <is>
          <t>681100</t>
        </is>
      </c>
      <c r="G1309" s="39" t="inlineStr">
        <is>
          <t>Dotations aux amortissements</t>
        </is>
      </c>
      <c r="H1309" s="40" t="inlineStr">
        <is>
          <t>COMPTABLE</t>
        </is>
      </c>
      <c r="I1309" s="41" t="inlineStr">
        <is>
          <t>2025FCST_V4</t>
        </is>
      </c>
      <c r="J1309" s="41" t="n">
        <v>2025</v>
      </c>
      <c r="K1309" s="41" t="inlineStr">
        <is>
          <t>EUR</t>
        </is>
      </c>
      <c r="L1309" s="42" t="n">
        <v>19000</v>
      </c>
    </row>
    <row r="1310">
      <c r="B1310" s="39" t="inlineStr">
        <is>
          <t>ISCOM_LIL</t>
        </is>
      </c>
      <c r="C1310" s="40" t="inlineStr">
        <is>
          <t>BAC_COM</t>
        </is>
      </c>
      <c r="D1310" s="40" t="inlineStr">
        <is>
          <t>B1</t>
        </is>
      </c>
      <c r="E1310" s="40" t="inlineStr">
        <is>
          <t>INIT</t>
        </is>
      </c>
      <c r="F1310" s="40" t="inlineStr">
        <is>
          <t>STA_EFF</t>
        </is>
      </c>
      <c r="G1310" s="39" t="inlineStr">
        <is>
          <t>Effectif inscrit</t>
        </is>
      </c>
      <c r="H1310" s="40" t="inlineStr">
        <is>
          <t>TECHNIQUE</t>
        </is>
      </c>
      <c r="I1310" s="41" t="inlineStr">
        <is>
          <t>2023ACT_VDEF</t>
        </is>
      </c>
      <c r="J1310" s="41" t="n">
        <v>2023</v>
      </c>
      <c r="K1310" s="41" t="inlineStr">
        <is>
          <t>NB</t>
        </is>
      </c>
      <c r="L1310" s="43" t="n">
        <v>45</v>
      </c>
    </row>
    <row r="1311">
      <c r="B1311" s="39" t="inlineStr">
        <is>
          <t>ISCOM_LIL</t>
        </is>
      </c>
      <c r="C1311" s="40" t="inlineStr">
        <is>
          <t>BAC_COM</t>
        </is>
      </c>
      <c r="D1311" s="40" t="inlineStr">
        <is>
          <t>B1</t>
        </is>
      </c>
      <c r="E1311" s="40" t="inlineStr">
        <is>
          <t>INIT</t>
        </is>
      </c>
      <c r="F1311" s="40" t="inlineStr">
        <is>
          <t>STA_EFF</t>
        </is>
      </c>
      <c r="G1311" s="39" t="inlineStr">
        <is>
          <t>Effectif inscrit</t>
        </is>
      </c>
      <c r="H1311" s="40" t="inlineStr">
        <is>
          <t>TECHNIQUE</t>
        </is>
      </c>
      <c r="I1311" s="41" t="inlineStr">
        <is>
          <t>2024ACT_VDEF</t>
        </is>
      </c>
      <c r="J1311" s="41" t="n">
        <v>2024</v>
      </c>
      <c r="K1311" s="41" t="inlineStr">
        <is>
          <t>NB</t>
        </is>
      </c>
      <c r="L1311" s="43" t="n">
        <v>48</v>
      </c>
    </row>
    <row r="1312">
      <c r="B1312" s="39" t="inlineStr">
        <is>
          <t>ISCOM_LIL</t>
        </is>
      </c>
      <c r="C1312" s="40" t="inlineStr">
        <is>
          <t>BAC_COM</t>
        </is>
      </c>
      <c r="D1312" s="40" t="inlineStr">
        <is>
          <t>B1</t>
        </is>
      </c>
      <c r="E1312" s="40" t="inlineStr">
        <is>
          <t>INIT</t>
        </is>
      </c>
      <c r="F1312" s="40" t="inlineStr">
        <is>
          <t>STA_EFF</t>
        </is>
      </c>
      <c r="G1312" s="39" t="inlineStr">
        <is>
          <t>Effectif inscrit</t>
        </is>
      </c>
      <c r="H1312" s="40" t="inlineStr">
        <is>
          <t>TECHNIQUE</t>
        </is>
      </c>
      <c r="I1312" s="41" t="inlineStr">
        <is>
          <t>2025FCST_V4</t>
        </is>
      </c>
      <c r="J1312" s="41" t="n">
        <v>2025</v>
      </c>
      <c r="K1312" s="41" t="inlineStr">
        <is>
          <t>NB</t>
        </is>
      </c>
      <c r="L1312" s="43" t="n">
        <v>50</v>
      </c>
    </row>
    <row r="1313">
      <c r="B1313" s="39" t="inlineStr">
        <is>
          <t>ISCOM_LIL</t>
        </is>
      </c>
      <c r="C1313" s="40" t="inlineStr">
        <is>
          <t>BAC_COM</t>
        </is>
      </c>
      <c r="D1313" s="40" t="inlineStr">
        <is>
          <t>B1</t>
        </is>
      </c>
      <c r="E1313" s="40" t="inlineStr">
        <is>
          <t>INIT</t>
        </is>
      </c>
      <c r="F1313" s="40" t="inlineStr">
        <is>
          <t>STA_CAND</t>
        </is>
      </c>
      <c r="G1313" s="39" t="inlineStr">
        <is>
          <t>Candidatures reçues</t>
        </is>
      </c>
      <c r="H1313" s="40" t="inlineStr">
        <is>
          <t>TECHNIQUE</t>
        </is>
      </c>
      <c r="I1313" s="41" t="inlineStr">
        <is>
          <t>2023ACT_VDEF</t>
        </is>
      </c>
      <c r="J1313" s="41" t="n">
        <v>2023</v>
      </c>
      <c r="K1313" s="41" t="inlineStr">
        <is>
          <t>NB</t>
        </is>
      </c>
      <c r="L1313" s="43" t="n">
        <v>121</v>
      </c>
    </row>
    <row r="1314">
      <c r="B1314" s="39" t="inlineStr">
        <is>
          <t>ISCOM_LIL</t>
        </is>
      </c>
      <c r="C1314" s="40" t="inlineStr">
        <is>
          <t>BAC_COM</t>
        </is>
      </c>
      <c r="D1314" s="40" t="inlineStr">
        <is>
          <t>B1</t>
        </is>
      </c>
      <c r="E1314" s="40" t="inlineStr">
        <is>
          <t>INIT</t>
        </is>
      </c>
      <c r="F1314" s="40" t="inlineStr">
        <is>
          <t>STA_CAND</t>
        </is>
      </c>
      <c r="G1314" s="39" t="inlineStr">
        <is>
          <t>Candidatures reçues</t>
        </is>
      </c>
      <c r="H1314" s="40" t="inlineStr">
        <is>
          <t>TECHNIQUE</t>
        </is>
      </c>
      <c r="I1314" s="41" t="inlineStr">
        <is>
          <t>2024ACT_VDEF</t>
        </is>
      </c>
      <c r="J1314" s="41" t="n">
        <v>2024</v>
      </c>
      <c r="K1314" s="41" t="inlineStr">
        <is>
          <t>NB</t>
        </is>
      </c>
      <c r="L1314" s="43" t="n">
        <v>127</v>
      </c>
    </row>
    <row r="1315">
      <c r="B1315" s="39" t="inlineStr">
        <is>
          <t>ISCOM_LIL</t>
        </is>
      </c>
      <c r="C1315" s="40" t="inlineStr">
        <is>
          <t>BAC_COM</t>
        </is>
      </c>
      <c r="D1315" s="40" t="inlineStr">
        <is>
          <t>B1</t>
        </is>
      </c>
      <c r="E1315" s="40" t="inlineStr">
        <is>
          <t>INIT</t>
        </is>
      </c>
      <c r="F1315" s="40" t="inlineStr">
        <is>
          <t>STA_CAND</t>
        </is>
      </c>
      <c r="G1315" s="39" t="inlineStr">
        <is>
          <t>Candidatures reçues</t>
        </is>
      </c>
      <c r="H1315" s="40" t="inlineStr">
        <is>
          <t>TECHNIQUE</t>
        </is>
      </c>
      <c r="I1315" s="41" t="inlineStr">
        <is>
          <t>2025FCST_V4</t>
        </is>
      </c>
      <c r="J1315" s="41" t="n">
        <v>2025</v>
      </c>
      <c r="K1315" s="41" t="inlineStr">
        <is>
          <t>NB</t>
        </is>
      </c>
      <c r="L1315" s="43" t="n">
        <v>134</v>
      </c>
    </row>
    <row r="1316">
      <c r="B1316" s="39" t="inlineStr">
        <is>
          <t>ISCOM_LIL</t>
        </is>
      </c>
      <c r="C1316" s="40" t="inlineStr">
        <is>
          <t>BAC_COM</t>
        </is>
      </c>
      <c r="D1316" s="40" t="inlineStr">
        <is>
          <t>B1</t>
        </is>
      </c>
      <c r="E1316" s="40" t="inlineStr">
        <is>
          <t>INIT</t>
        </is>
      </c>
      <c r="F1316" s="40" t="inlineStr">
        <is>
          <t>STA_ADMIS</t>
        </is>
      </c>
      <c r="G1316" s="39" t="inlineStr">
        <is>
          <t>Candidats admis</t>
        </is>
      </c>
      <c r="H1316" s="40" t="inlineStr">
        <is>
          <t>TECHNIQUE</t>
        </is>
      </c>
      <c r="I1316" s="41" t="inlineStr">
        <is>
          <t>2023ACT_VDEF</t>
        </is>
      </c>
      <c r="J1316" s="41" t="n">
        <v>2023</v>
      </c>
      <c r="K1316" s="41" t="inlineStr">
        <is>
          <t>NB</t>
        </is>
      </c>
      <c r="L1316" s="43" t="n">
        <v>75</v>
      </c>
    </row>
    <row r="1317">
      <c r="B1317" s="39" t="inlineStr">
        <is>
          <t>ISCOM_LIL</t>
        </is>
      </c>
      <c r="C1317" s="40" t="inlineStr">
        <is>
          <t>BAC_COM</t>
        </is>
      </c>
      <c r="D1317" s="40" t="inlineStr">
        <is>
          <t>B1</t>
        </is>
      </c>
      <c r="E1317" s="40" t="inlineStr">
        <is>
          <t>INIT</t>
        </is>
      </c>
      <c r="F1317" s="40" t="inlineStr">
        <is>
          <t>STA_ADMIS</t>
        </is>
      </c>
      <c r="G1317" s="39" t="inlineStr">
        <is>
          <t>Candidats admis</t>
        </is>
      </c>
      <c r="H1317" s="40" t="inlineStr">
        <is>
          <t>TECHNIQUE</t>
        </is>
      </c>
      <c r="I1317" s="41" t="inlineStr">
        <is>
          <t>2024ACT_VDEF</t>
        </is>
      </c>
      <c r="J1317" s="41" t="n">
        <v>2024</v>
      </c>
      <c r="K1317" s="41" t="inlineStr">
        <is>
          <t>NB</t>
        </is>
      </c>
      <c r="L1317" s="43" t="n">
        <v>79</v>
      </c>
    </row>
    <row r="1318">
      <c r="B1318" s="39" t="inlineStr">
        <is>
          <t>ISCOM_LIL</t>
        </is>
      </c>
      <c r="C1318" s="40" t="inlineStr">
        <is>
          <t>BAC_COM</t>
        </is>
      </c>
      <c r="D1318" s="40" t="inlineStr">
        <is>
          <t>B1</t>
        </is>
      </c>
      <c r="E1318" s="40" t="inlineStr">
        <is>
          <t>INIT</t>
        </is>
      </c>
      <c r="F1318" s="40" t="inlineStr">
        <is>
          <t>STA_ADMIS</t>
        </is>
      </c>
      <c r="G1318" s="39" t="inlineStr">
        <is>
          <t>Candidats admis</t>
        </is>
      </c>
      <c r="H1318" s="40" t="inlineStr">
        <is>
          <t>TECHNIQUE</t>
        </is>
      </c>
      <c r="I1318" s="41" t="inlineStr">
        <is>
          <t>2025FCST_V4</t>
        </is>
      </c>
      <c r="J1318" s="41" t="n">
        <v>2025</v>
      </c>
      <c r="K1318" s="41" t="inlineStr">
        <is>
          <t>NB</t>
        </is>
      </c>
      <c r="L1318" s="43" t="n">
        <v>83</v>
      </c>
    </row>
    <row r="1319">
      <c r="B1319" s="39" t="inlineStr">
        <is>
          <t>ISCOM_LIL</t>
        </is>
      </c>
      <c r="C1319" s="40" t="inlineStr">
        <is>
          <t>BAC_COM</t>
        </is>
      </c>
      <c r="D1319" s="40" t="inlineStr">
        <is>
          <t>B1</t>
        </is>
      </c>
      <c r="E1319" s="40" t="inlineStr">
        <is>
          <t>INIT</t>
        </is>
      </c>
      <c r="F1319" s="40" t="inlineStr">
        <is>
          <t>STA_NOUV</t>
        </is>
      </c>
      <c r="G1319" s="39" t="inlineStr">
        <is>
          <t>Nouveaux inscrits</t>
        </is>
      </c>
      <c r="H1319" s="40" t="inlineStr">
        <is>
          <t>TECHNIQUE</t>
        </is>
      </c>
      <c r="I1319" s="41" t="inlineStr">
        <is>
          <t>2023ACT_VDEF</t>
        </is>
      </c>
      <c r="J1319" s="41" t="n">
        <v>2023</v>
      </c>
      <c r="K1319" s="41" t="inlineStr">
        <is>
          <t>NB</t>
        </is>
      </c>
      <c r="L1319" s="43" t="n">
        <v>45</v>
      </c>
    </row>
    <row r="1320">
      <c r="B1320" s="39" t="inlineStr">
        <is>
          <t>ISCOM_LIL</t>
        </is>
      </c>
      <c r="C1320" s="40" t="inlineStr">
        <is>
          <t>BAC_COM</t>
        </is>
      </c>
      <c r="D1320" s="40" t="inlineStr">
        <is>
          <t>B1</t>
        </is>
      </c>
      <c r="E1320" s="40" t="inlineStr">
        <is>
          <t>INIT</t>
        </is>
      </c>
      <c r="F1320" s="40" t="inlineStr">
        <is>
          <t>STA_NOUV</t>
        </is>
      </c>
      <c r="G1320" s="39" t="inlineStr">
        <is>
          <t>Nouveaux inscrits</t>
        </is>
      </c>
      <c r="H1320" s="40" t="inlineStr">
        <is>
          <t>TECHNIQUE</t>
        </is>
      </c>
      <c r="I1320" s="41" t="inlineStr">
        <is>
          <t>2024ACT_VDEF</t>
        </is>
      </c>
      <c r="J1320" s="41" t="n">
        <v>2024</v>
      </c>
      <c r="K1320" s="41" t="inlineStr">
        <is>
          <t>NB</t>
        </is>
      </c>
      <c r="L1320" s="43" t="n">
        <v>48</v>
      </c>
    </row>
    <row r="1321">
      <c r="B1321" s="39" t="inlineStr">
        <is>
          <t>ISCOM_LIL</t>
        </is>
      </c>
      <c r="C1321" s="40" t="inlineStr">
        <is>
          <t>BAC_COM</t>
        </is>
      </c>
      <c r="D1321" s="40" t="inlineStr">
        <is>
          <t>B1</t>
        </is>
      </c>
      <c r="E1321" s="40" t="inlineStr">
        <is>
          <t>INIT</t>
        </is>
      </c>
      <c r="F1321" s="40" t="inlineStr">
        <is>
          <t>STA_NOUV</t>
        </is>
      </c>
      <c r="G1321" s="39" t="inlineStr">
        <is>
          <t>Nouveaux inscrits</t>
        </is>
      </c>
      <c r="H1321" s="40" t="inlineStr">
        <is>
          <t>TECHNIQUE</t>
        </is>
      </c>
      <c r="I1321" s="41" t="inlineStr">
        <is>
          <t>2025FCST_V4</t>
        </is>
      </c>
      <c r="J1321" s="41" t="n">
        <v>2025</v>
      </c>
      <c r="K1321" s="41" t="inlineStr">
        <is>
          <t>NB</t>
        </is>
      </c>
      <c r="L1321" s="43" t="n">
        <v>50</v>
      </c>
    </row>
    <row r="1322">
      <c r="B1322" s="39" t="inlineStr">
        <is>
          <t>ISCOM_LIL</t>
        </is>
      </c>
      <c r="C1322" s="40" t="inlineStr">
        <is>
          <t>BAC_COM</t>
        </is>
      </c>
      <c r="D1322" s="40" t="inlineStr">
        <is>
          <t>B1</t>
        </is>
      </c>
      <c r="E1322" s="40" t="inlineStr">
        <is>
          <t>INIT</t>
        </is>
      </c>
      <c r="F1322" s="40" t="inlineStr">
        <is>
          <t>STA_CLASS</t>
        </is>
      </c>
      <c r="G1322" s="39" t="inlineStr">
        <is>
          <t>Nombre de classes</t>
        </is>
      </c>
      <c r="H1322" s="40" t="inlineStr">
        <is>
          <t>TECHNIQUE</t>
        </is>
      </c>
      <c r="I1322" s="41" t="inlineStr">
        <is>
          <t>2023ACT_VDEF</t>
        </is>
      </c>
      <c r="J1322" s="41" t="n">
        <v>2023</v>
      </c>
      <c r="K1322" s="41" t="inlineStr">
        <is>
          <t>NB</t>
        </is>
      </c>
      <c r="L1322" s="43" t="n">
        <v>2</v>
      </c>
    </row>
    <row r="1323">
      <c r="B1323" s="39" t="inlineStr">
        <is>
          <t>ISCOM_LIL</t>
        </is>
      </c>
      <c r="C1323" s="40" t="inlineStr">
        <is>
          <t>BAC_COM</t>
        </is>
      </c>
      <c r="D1323" s="40" t="inlineStr">
        <is>
          <t>B1</t>
        </is>
      </c>
      <c r="E1323" s="40" t="inlineStr">
        <is>
          <t>INIT</t>
        </is>
      </c>
      <c r="F1323" s="40" t="inlineStr">
        <is>
          <t>STA_CLASS</t>
        </is>
      </c>
      <c r="G1323" s="39" t="inlineStr">
        <is>
          <t>Nombre de classes</t>
        </is>
      </c>
      <c r="H1323" s="40" t="inlineStr">
        <is>
          <t>TECHNIQUE</t>
        </is>
      </c>
      <c r="I1323" s="41" t="inlineStr">
        <is>
          <t>2024ACT_VDEF</t>
        </is>
      </c>
      <c r="J1323" s="41" t="n">
        <v>2024</v>
      </c>
      <c r="K1323" s="41" t="inlineStr">
        <is>
          <t>NB</t>
        </is>
      </c>
      <c r="L1323" s="43" t="n">
        <v>2</v>
      </c>
    </row>
    <row r="1324">
      <c r="B1324" s="39" t="inlineStr">
        <is>
          <t>ISCOM_LIL</t>
        </is>
      </c>
      <c r="C1324" s="40" t="inlineStr">
        <is>
          <t>BAC_COM</t>
        </is>
      </c>
      <c r="D1324" s="40" t="inlineStr">
        <is>
          <t>B1</t>
        </is>
      </c>
      <c r="E1324" s="40" t="inlineStr">
        <is>
          <t>INIT</t>
        </is>
      </c>
      <c r="F1324" s="40" t="inlineStr">
        <is>
          <t>STA_CLASS</t>
        </is>
      </c>
      <c r="G1324" s="39" t="inlineStr">
        <is>
          <t>Nombre de classes</t>
        </is>
      </c>
      <c r="H1324" s="40" t="inlineStr">
        <is>
          <t>TECHNIQUE</t>
        </is>
      </c>
      <c r="I1324" s="41" t="inlineStr">
        <is>
          <t>2025FCST_V4</t>
        </is>
      </c>
      <c r="J1324" s="41" t="n">
        <v>2025</v>
      </c>
      <c r="K1324" s="41" t="inlineStr">
        <is>
          <t>NB</t>
        </is>
      </c>
      <c r="L1324" s="43" t="n">
        <v>2</v>
      </c>
    </row>
    <row r="1325">
      <c r="B1325" s="39" t="inlineStr">
        <is>
          <t>ISCOM_LIL</t>
        </is>
      </c>
      <c r="C1325" s="40" t="inlineStr">
        <is>
          <t>BAC_COM</t>
        </is>
      </c>
      <c r="D1325" s="40" t="inlineStr">
        <is>
          <t>B1</t>
        </is>
      </c>
      <c r="E1325" s="40" t="inlineStr">
        <is>
          <t>INIT</t>
        </is>
      </c>
      <c r="F1325" s="40" t="inlineStr">
        <is>
          <t>STA_HEURE</t>
        </is>
      </c>
      <c r="G1325" s="39" t="inlineStr">
        <is>
          <t>Heures d'enseignement</t>
        </is>
      </c>
      <c r="H1325" s="40" t="inlineStr">
        <is>
          <t>TECHNIQUE</t>
        </is>
      </c>
      <c r="I1325" s="41" t="inlineStr">
        <is>
          <t>2023ACT_VDEF</t>
        </is>
      </c>
      <c r="J1325" s="41" t="n">
        <v>2023</v>
      </c>
      <c r="K1325" s="41" t="inlineStr">
        <is>
          <t>NB</t>
        </is>
      </c>
      <c r="L1325" s="43" t="n">
        <v>1080</v>
      </c>
    </row>
    <row r="1326">
      <c r="B1326" s="39" t="inlineStr">
        <is>
          <t>ISCOM_LIL</t>
        </is>
      </c>
      <c r="C1326" s="40" t="inlineStr">
        <is>
          <t>BAC_COM</t>
        </is>
      </c>
      <c r="D1326" s="40" t="inlineStr">
        <is>
          <t>B1</t>
        </is>
      </c>
      <c r="E1326" s="40" t="inlineStr">
        <is>
          <t>INIT</t>
        </is>
      </c>
      <c r="F1326" s="40" t="inlineStr">
        <is>
          <t>STA_HEURE</t>
        </is>
      </c>
      <c r="G1326" s="39" t="inlineStr">
        <is>
          <t>Heures d'enseignement</t>
        </is>
      </c>
      <c r="H1326" s="40" t="inlineStr">
        <is>
          <t>TECHNIQUE</t>
        </is>
      </c>
      <c r="I1326" s="41" t="inlineStr">
        <is>
          <t>2024ACT_VDEF</t>
        </is>
      </c>
      <c r="J1326" s="41" t="n">
        <v>2024</v>
      </c>
      <c r="K1326" s="41" t="inlineStr">
        <is>
          <t>NB</t>
        </is>
      </c>
      <c r="L1326" s="43" t="n">
        <v>1140</v>
      </c>
    </row>
    <row r="1327">
      <c r="B1327" s="39" t="inlineStr">
        <is>
          <t>ISCOM_LIL</t>
        </is>
      </c>
      <c r="C1327" s="40" t="inlineStr">
        <is>
          <t>BAC_COM</t>
        </is>
      </c>
      <c r="D1327" s="40" t="inlineStr">
        <is>
          <t>B1</t>
        </is>
      </c>
      <c r="E1327" s="40" t="inlineStr">
        <is>
          <t>INIT</t>
        </is>
      </c>
      <c r="F1327" s="40" t="inlineStr">
        <is>
          <t>STA_HEURE</t>
        </is>
      </c>
      <c r="G1327" s="39" t="inlineStr">
        <is>
          <t>Heures d'enseignement</t>
        </is>
      </c>
      <c r="H1327" s="40" t="inlineStr">
        <is>
          <t>TECHNIQUE</t>
        </is>
      </c>
      <c r="I1327" s="41" t="inlineStr">
        <is>
          <t>2025FCST_V4</t>
        </is>
      </c>
      <c r="J1327" s="41" t="n">
        <v>2025</v>
      </c>
      <c r="K1327" s="41" t="inlineStr">
        <is>
          <t>NB</t>
        </is>
      </c>
      <c r="L1327" s="43" t="n">
        <v>1200</v>
      </c>
    </row>
    <row r="1328">
      <c r="B1328" s="39" t="inlineStr">
        <is>
          <t>ISCOM_LIL</t>
        </is>
      </c>
      <c r="C1328" s="40" t="inlineStr">
        <is>
          <t>BAC_COM</t>
        </is>
      </c>
      <c r="D1328" s="40" t="inlineStr">
        <is>
          <t>B1</t>
        </is>
      </c>
      <c r="E1328" s="40" t="inlineStr">
        <is>
          <t>INIT</t>
        </is>
      </c>
      <c r="F1328" s="40" t="inlineStr">
        <is>
          <t>STA_CAPA</t>
        </is>
      </c>
      <c r="G1328" s="39" t="inlineStr">
        <is>
          <t>Capacité par classe</t>
        </is>
      </c>
      <c r="H1328" s="40" t="inlineStr">
        <is>
          <t>TECHNIQUE</t>
        </is>
      </c>
      <c r="I1328" s="41" t="inlineStr">
        <is>
          <t>2023ACT_VDEF</t>
        </is>
      </c>
      <c r="J1328" s="41" t="n">
        <v>2023</v>
      </c>
      <c r="K1328" s="41" t="inlineStr">
        <is>
          <t>NB</t>
        </is>
      </c>
      <c r="L1328" s="43" t="n">
        <v>32</v>
      </c>
    </row>
    <row r="1329">
      <c r="B1329" s="39" t="inlineStr">
        <is>
          <t>ISCOM_LIL</t>
        </is>
      </c>
      <c r="C1329" s="40" t="inlineStr">
        <is>
          <t>BAC_COM</t>
        </is>
      </c>
      <c r="D1329" s="40" t="inlineStr">
        <is>
          <t>B1</t>
        </is>
      </c>
      <c r="E1329" s="40" t="inlineStr">
        <is>
          <t>INIT</t>
        </is>
      </c>
      <c r="F1329" s="40" t="inlineStr">
        <is>
          <t>STA_CAPA</t>
        </is>
      </c>
      <c r="G1329" s="39" t="inlineStr">
        <is>
          <t>Capacité par classe</t>
        </is>
      </c>
      <c r="H1329" s="40" t="inlineStr">
        <is>
          <t>TECHNIQUE</t>
        </is>
      </c>
      <c r="I1329" s="41" t="inlineStr">
        <is>
          <t>2024ACT_VDEF</t>
        </is>
      </c>
      <c r="J1329" s="41" t="n">
        <v>2024</v>
      </c>
      <c r="K1329" s="41" t="inlineStr">
        <is>
          <t>NB</t>
        </is>
      </c>
      <c r="L1329" s="43" t="n">
        <v>32</v>
      </c>
    </row>
    <row r="1330">
      <c r="B1330" s="39" t="inlineStr">
        <is>
          <t>ISCOM_LIL</t>
        </is>
      </c>
      <c r="C1330" s="40" t="inlineStr">
        <is>
          <t>BAC_COM</t>
        </is>
      </c>
      <c r="D1330" s="40" t="inlineStr">
        <is>
          <t>B1</t>
        </is>
      </c>
      <c r="E1330" s="40" t="inlineStr">
        <is>
          <t>INIT</t>
        </is>
      </c>
      <c r="F1330" s="40" t="inlineStr">
        <is>
          <t>STA_CAPA</t>
        </is>
      </c>
      <c r="G1330" s="39" t="inlineStr">
        <is>
          <t>Capacité par classe</t>
        </is>
      </c>
      <c r="H1330" s="40" t="inlineStr">
        <is>
          <t>TECHNIQUE</t>
        </is>
      </c>
      <c r="I1330" s="41" t="inlineStr">
        <is>
          <t>2025FCST_V4</t>
        </is>
      </c>
      <c r="J1330" s="41" t="n">
        <v>2025</v>
      </c>
      <c r="K1330" s="41" t="inlineStr">
        <is>
          <t>NB</t>
        </is>
      </c>
      <c r="L1330" s="43" t="n">
        <v>32</v>
      </c>
    </row>
    <row r="1331">
      <c r="B1331" s="39" t="inlineStr">
        <is>
          <t>ISCOM_LIL</t>
        </is>
      </c>
      <c r="C1331" s="40" t="inlineStr">
        <is>
          <t>BAC_COM</t>
        </is>
      </c>
      <c r="D1331" s="40" t="inlineStr">
        <is>
          <t>B1</t>
        </is>
      </c>
      <c r="E1331" s="40" t="inlineStr">
        <is>
          <t>INIT</t>
        </is>
      </c>
      <c r="F1331" s="40" t="inlineStr">
        <is>
          <t>DRV_CONV</t>
        </is>
      </c>
      <c r="G1331" s="39" t="inlineStr">
        <is>
          <t>Taux de conversion candidat→inscrit</t>
        </is>
      </c>
      <c r="H1331" s="40" t="inlineStr">
        <is>
          <t>TECHNIQUE</t>
        </is>
      </c>
      <c r="I1331" s="41" t="inlineStr">
        <is>
          <t>2023ACT_VDEF</t>
        </is>
      </c>
      <c r="J1331" s="41" t="n">
        <v>2023</v>
      </c>
      <c r="K1331" s="41" t="inlineStr">
        <is>
          <t>PCT</t>
        </is>
      </c>
      <c r="L1331" s="44" t="n">
        <v>0.3731</v>
      </c>
    </row>
    <row r="1332">
      <c r="B1332" s="39" t="inlineStr">
        <is>
          <t>ISCOM_LIL</t>
        </is>
      </c>
      <c r="C1332" s="40" t="inlineStr">
        <is>
          <t>BAC_COM</t>
        </is>
      </c>
      <c r="D1332" s="40" t="inlineStr">
        <is>
          <t>B1</t>
        </is>
      </c>
      <c r="E1332" s="40" t="inlineStr">
        <is>
          <t>INIT</t>
        </is>
      </c>
      <c r="F1332" s="40" t="inlineStr">
        <is>
          <t>DRV_CONV</t>
        </is>
      </c>
      <c r="G1332" s="39" t="inlineStr">
        <is>
          <t>Taux de conversion candidat→inscrit</t>
        </is>
      </c>
      <c r="H1332" s="40" t="inlineStr">
        <is>
          <t>TECHNIQUE</t>
        </is>
      </c>
      <c r="I1332" s="41" t="inlineStr">
        <is>
          <t>2024ACT_VDEF</t>
        </is>
      </c>
      <c r="J1332" s="41" t="n">
        <v>2024</v>
      </c>
      <c r="K1332" s="41" t="inlineStr">
        <is>
          <t>PCT</t>
        </is>
      </c>
      <c r="L1332" s="44" t="n">
        <v>0.3731</v>
      </c>
    </row>
    <row r="1333">
      <c r="B1333" s="39" t="inlineStr">
        <is>
          <t>ISCOM_LIL</t>
        </is>
      </c>
      <c r="C1333" s="40" t="inlineStr">
        <is>
          <t>BAC_COM</t>
        </is>
      </c>
      <c r="D1333" s="40" t="inlineStr">
        <is>
          <t>B1</t>
        </is>
      </c>
      <c r="E1333" s="40" t="inlineStr">
        <is>
          <t>INIT</t>
        </is>
      </c>
      <c r="F1333" s="40" t="inlineStr">
        <is>
          <t>DRV_CONV</t>
        </is>
      </c>
      <c r="G1333" s="39" t="inlineStr">
        <is>
          <t>Taux de conversion candidat→inscrit</t>
        </is>
      </c>
      <c r="H1333" s="40" t="inlineStr">
        <is>
          <t>TECHNIQUE</t>
        </is>
      </c>
      <c r="I1333" s="41" t="inlineStr">
        <is>
          <t>2025FCST_V4</t>
        </is>
      </c>
      <c r="J1333" s="41" t="n">
        <v>2025</v>
      </c>
      <c r="K1333" s="41" t="inlineStr">
        <is>
          <t>PCT</t>
        </is>
      </c>
      <c r="L1333" s="44" t="n">
        <v>0.3731</v>
      </c>
    </row>
    <row r="1334">
      <c r="B1334" s="39" t="inlineStr">
        <is>
          <t>ISCOM_LIL</t>
        </is>
      </c>
      <c r="C1334" s="40" t="inlineStr">
        <is>
          <t>BAC_COM</t>
        </is>
      </c>
      <c r="D1334" s="40" t="inlineStr">
        <is>
          <t>B1</t>
        </is>
      </c>
      <c r="E1334" s="40" t="inlineStr">
        <is>
          <t>INIT</t>
        </is>
      </c>
      <c r="F1334" s="40" t="inlineStr">
        <is>
          <t>PRX_TARIF</t>
        </is>
      </c>
      <c r="G1334" s="39" t="inlineStr">
        <is>
          <t>Tarif moyen scolarité</t>
        </is>
      </c>
      <c r="H1334" s="40" t="inlineStr">
        <is>
          <t>TECHNIQUE</t>
        </is>
      </c>
      <c r="I1334" s="41" t="inlineStr">
        <is>
          <t>2023ACT_VDEF</t>
        </is>
      </c>
      <c r="J1334" s="41" t="n">
        <v>2023</v>
      </c>
      <c r="K1334" s="41" t="inlineStr">
        <is>
          <t>EUR</t>
        </is>
      </c>
      <c r="L1334" s="42" t="n">
        <v>8500</v>
      </c>
    </row>
    <row r="1335">
      <c r="B1335" s="39" t="inlineStr">
        <is>
          <t>ISCOM_LIL</t>
        </is>
      </c>
      <c r="C1335" s="40" t="inlineStr">
        <is>
          <t>BAC_COM</t>
        </is>
      </c>
      <c r="D1335" s="40" t="inlineStr">
        <is>
          <t>B1</t>
        </is>
      </c>
      <c r="E1335" s="40" t="inlineStr">
        <is>
          <t>INIT</t>
        </is>
      </c>
      <c r="F1335" s="40" t="inlineStr">
        <is>
          <t>PRX_TARIF</t>
        </is>
      </c>
      <c r="G1335" s="39" t="inlineStr">
        <is>
          <t>Tarif moyen scolarité</t>
        </is>
      </c>
      <c r="H1335" s="40" t="inlineStr">
        <is>
          <t>TECHNIQUE</t>
        </is>
      </c>
      <c r="I1335" s="41" t="inlineStr">
        <is>
          <t>2024ACT_VDEF</t>
        </is>
      </c>
      <c r="J1335" s="41" t="n">
        <v>2024</v>
      </c>
      <c r="K1335" s="41" t="inlineStr">
        <is>
          <t>EUR</t>
        </is>
      </c>
      <c r="L1335" s="42" t="n">
        <v>8500</v>
      </c>
    </row>
    <row r="1336">
      <c r="B1336" s="39" t="inlineStr">
        <is>
          <t>ISCOM_LIL</t>
        </is>
      </c>
      <c r="C1336" s="40" t="inlineStr">
        <is>
          <t>BAC_COM</t>
        </is>
      </c>
      <c r="D1336" s="40" t="inlineStr">
        <is>
          <t>B1</t>
        </is>
      </c>
      <c r="E1336" s="40" t="inlineStr">
        <is>
          <t>INIT</t>
        </is>
      </c>
      <c r="F1336" s="40" t="inlineStr">
        <is>
          <t>PRX_TARIF</t>
        </is>
      </c>
      <c r="G1336" s="39" t="inlineStr">
        <is>
          <t>Tarif moyen scolarité</t>
        </is>
      </c>
      <c r="H1336" s="40" t="inlineStr">
        <is>
          <t>TECHNIQUE</t>
        </is>
      </c>
      <c r="I1336" s="41" t="inlineStr">
        <is>
          <t>2025FCST_V4</t>
        </is>
      </c>
      <c r="J1336" s="41" t="n">
        <v>2025</v>
      </c>
      <c r="K1336" s="41" t="inlineStr">
        <is>
          <t>EUR</t>
        </is>
      </c>
      <c r="L1336" s="42" t="n">
        <v>8500</v>
      </c>
    </row>
    <row r="1337">
      <c r="B1337" s="39" t="inlineStr">
        <is>
          <t>ISCOM_LIL</t>
        </is>
      </c>
      <c r="C1337" s="40" t="inlineStr">
        <is>
          <t>BAC_COM</t>
        </is>
      </c>
      <c r="D1337" s="40" t="inlineStr">
        <is>
          <t>B1</t>
        </is>
      </c>
      <c r="E1337" s="40" t="inlineStr">
        <is>
          <t>INIT</t>
        </is>
      </c>
      <c r="F1337" s="40" t="inlineStr">
        <is>
          <t>CAC_LEAD</t>
        </is>
      </c>
      <c r="G1337" s="39" t="inlineStr">
        <is>
          <t>Coût d'acquisition par lead</t>
        </is>
      </c>
      <c r="H1337" s="40" t="inlineStr">
        <is>
          <t>TECHNIQUE</t>
        </is>
      </c>
      <c r="I1337" s="41" t="inlineStr">
        <is>
          <t>2023ACT_VDEF</t>
        </is>
      </c>
      <c r="J1337" s="41" t="n">
        <v>2023</v>
      </c>
      <c r="K1337" s="41" t="inlineStr">
        <is>
          <t>EUR</t>
        </is>
      </c>
      <c r="L1337" s="42" t="n">
        <v>320</v>
      </c>
    </row>
    <row r="1338">
      <c r="B1338" s="39" t="inlineStr">
        <is>
          <t>ISCOM_LIL</t>
        </is>
      </c>
      <c r="C1338" s="40" t="inlineStr">
        <is>
          <t>BAC_COM</t>
        </is>
      </c>
      <c r="D1338" s="40" t="inlineStr">
        <is>
          <t>B1</t>
        </is>
      </c>
      <c r="E1338" s="40" t="inlineStr">
        <is>
          <t>INIT</t>
        </is>
      </c>
      <c r="F1338" s="40" t="inlineStr">
        <is>
          <t>CAC_LEAD</t>
        </is>
      </c>
      <c r="G1338" s="39" t="inlineStr">
        <is>
          <t>Coût d'acquisition par lead</t>
        </is>
      </c>
      <c r="H1338" s="40" t="inlineStr">
        <is>
          <t>TECHNIQUE</t>
        </is>
      </c>
      <c r="I1338" s="41" t="inlineStr">
        <is>
          <t>2024ACT_VDEF</t>
        </is>
      </c>
      <c r="J1338" s="41" t="n">
        <v>2024</v>
      </c>
      <c r="K1338" s="41" t="inlineStr">
        <is>
          <t>EUR</t>
        </is>
      </c>
      <c r="L1338" s="42" t="n">
        <v>320</v>
      </c>
    </row>
    <row r="1339">
      <c r="B1339" s="39" t="inlineStr">
        <is>
          <t>ISCOM_LIL</t>
        </is>
      </c>
      <c r="C1339" s="40" t="inlineStr">
        <is>
          <t>BAC_COM</t>
        </is>
      </c>
      <c r="D1339" s="40" t="inlineStr">
        <is>
          <t>B1</t>
        </is>
      </c>
      <c r="E1339" s="40" t="inlineStr">
        <is>
          <t>INIT</t>
        </is>
      </c>
      <c r="F1339" s="40" t="inlineStr">
        <is>
          <t>CAC_LEAD</t>
        </is>
      </c>
      <c r="G1339" s="39" t="inlineStr">
        <is>
          <t>Coût d'acquisition par lead</t>
        </is>
      </c>
      <c r="H1339" s="40" t="inlineStr">
        <is>
          <t>TECHNIQUE</t>
        </is>
      </c>
      <c r="I1339" s="41" t="inlineStr">
        <is>
          <t>2025FCST_V4</t>
        </is>
      </c>
      <c r="J1339" s="41" t="n">
        <v>2025</v>
      </c>
      <c r="K1339" s="41" t="inlineStr">
        <is>
          <t>EUR</t>
        </is>
      </c>
      <c r="L1339" s="42" t="n">
        <v>320</v>
      </c>
    </row>
    <row r="1340">
      <c r="B1340" s="39" t="inlineStr">
        <is>
          <t>ISCOM_LIL</t>
        </is>
      </c>
      <c r="C1340" s="40" t="inlineStr">
        <is>
          <t>BAC_COM</t>
        </is>
      </c>
      <c r="D1340" s="40" t="inlineStr">
        <is>
          <t>B2</t>
        </is>
      </c>
      <c r="E1340" s="40" t="inlineStr">
        <is>
          <t>ALT</t>
        </is>
      </c>
      <c r="F1340" s="40" t="inlineStr">
        <is>
          <t>706100</t>
        </is>
      </c>
      <c r="G1340" s="39" t="inlineStr">
        <is>
          <t>Droits de scolarité</t>
        </is>
      </c>
      <c r="H1340" s="40" t="inlineStr">
        <is>
          <t>COMPTABLE</t>
        </is>
      </c>
      <c r="I1340" s="41" t="inlineStr">
        <is>
          <t>2023ACT_VDEF</t>
        </is>
      </c>
      <c r="J1340" s="41" t="n">
        <v>2023</v>
      </c>
      <c r="K1340" s="41" t="inlineStr">
        <is>
          <t>EUR</t>
        </is>
      </c>
      <c r="L1340" s="42" t="n">
        <v>302400</v>
      </c>
    </row>
    <row r="1341">
      <c r="B1341" s="39" t="inlineStr">
        <is>
          <t>ISCOM_LIL</t>
        </is>
      </c>
      <c r="C1341" s="40" t="inlineStr">
        <is>
          <t>BAC_COM</t>
        </is>
      </c>
      <c r="D1341" s="40" t="inlineStr">
        <is>
          <t>B2</t>
        </is>
      </c>
      <c r="E1341" s="40" t="inlineStr">
        <is>
          <t>ALT</t>
        </is>
      </c>
      <c r="F1341" s="40" t="inlineStr">
        <is>
          <t>706100</t>
        </is>
      </c>
      <c r="G1341" s="39" t="inlineStr">
        <is>
          <t>Droits de scolarité</t>
        </is>
      </c>
      <c r="H1341" s="40" t="inlineStr">
        <is>
          <t>COMPTABLE</t>
        </is>
      </c>
      <c r="I1341" s="41" t="inlineStr">
        <is>
          <t>2024ACT_VDEF</t>
        </is>
      </c>
      <c r="J1341" s="41" t="n">
        <v>2024</v>
      </c>
      <c r="K1341" s="41" t="inlineStr">
        <is>
          <t>EUR</t>
        </is>
      </c>
      <c r="L1341" s="42" t="n">
        <v>319200</v>
      </c>
    </row>
    <row r="1342">
      <c r="B1342" s="39" t="inlineStr">
        <is>
          <t>ISCOM_LIL</t>
        </is>
      </c>
      <c r="C1342" s="40" t="inlineStr">
        <is>
          <t>BAC_COM</t>
        </is>
      </c>
      <c r="D1342" s="40" t="inlineStr">
        <is>
          <t>B2</t>
        </is>
      </c>
      <c r="E1342" s="40" t="inlineStr">
        <is>
          <t>ALT</t>
        </is>
      </c>
      <c r="F1342" s="40" t="inlineStr">
        <is>
          <t>706100</t>
        </is>
      </c>
      <c r="G1342" s="39" t="inlineStr">
        <is>
          <t>Droits de scolarité</t>
        </is>
      </c>
      <c r="H1342" s="40" t="inlineStr">
        <is>
          <t>COMPTABLE</t>
        </is>
      </c>
      <c r="I1342" s="41" t="inlineStr">
        <is>
          <t>2025FCST_V4</t>
        </is>
      </c>
      <c r="J1342" s="41" t="n">
        <v>2025</v>
      </c>
      <c r="K1342" s="41" t="inlineStr">
        <is>
          <t>EUR</t>
        </is>
      </c>
      <c r="L1342" s="42" t="n">
        <v>336000</v>
      </c>
    </row>
    <row r="1343">
      <c r="B1343" s="39" t="inlineStr">
        <is>
          <t>ISCOM_LIL</t>
        </is>
      </c>
      <c r="C1343" s="40" t="inlineStr">
        <is>
          <t>BAC_COM</t>
        </is>
      </c>
      <c r="D1343" s="40" t="inlineStr">
        <is>
          <t>B2</t>
        </is>
      </c>
      <c r="E1343" s="40" t="inlineStr">
        <is>
          <t>ALT</t>
        </is>
      </c>
      <c r="F1343" s="40" t="inlineStr">
        <is>
          <t>604100</t>
        </is>
      </c>
      <c r="G1343" s="39" t="inlineStr">
        <is>
          <t>Vacations &amp; sous-traitance pédagogique</t>
        </is>
      </c>
      <c r="H1343" s="40" t="inlineStr">
        <is>
          <t>COMPTABLE</t>
        </is>
      </c>
      <c r="I1343" s="41" t="inlineStr">
        <is>
          <t>2023ACT_VDEF</t>
        </is>
      </c>
      <c r="J1343" s="41" t="n">
        <v>2023</v>
      </c>
      <c r="K1343" s="41" t="inlineStr">
        <is>
          <t>EUR</t>
        </is>
      </c>
      <c r="L1343" s="42" t="n">
        <v>62496</v>
      </c>
    </row>
    <row r="1344">
      <c r="B1344" s="39" t="inlineStr">
        <is>
          <t>ISCOM_LIL</t>
        </is>
      </c>
      <c r="C1344" s="40" t="inlineStr">
        <is>
          <t>BAC_COM</t>
        </is>
      </c>
      <c r="D1344" s="40" t="inlineStr">
        <is>
          <t>B2</t>
        </is>
      </c>
      <c r="E1344" s="40" t="inlineStr">
        <is>
          <t>ALT</t>
        </is>
      </c>
      <c r="F1344" s="40" t="inlineStr">
        <is>
          <t>604100</t>
        </is>
      </c>
      <c r="G1344" s="39" t="inlineStr">
        <is>
          <t>Vacations &amp; sous-traitance pédagogique</t>
        </is>
      </c>
      <c r="H1344" s="40" t="inlineStr">
        <is>
          <t>COMPTABLE</t>
        </is>
      </c>
      <c r="I1344" s="41" t="inlineStr">
        <is>
          <t>2024ACT_VDEF</t>
        </is>
      </c>
      <c r="J1344" s="41" t="n">
        <v>2024</v>
      </c>
      <c r="K1344" s="41" t="inlineStr">
        <is>
          <t>EUR</t>
        </is>
      </c>
      <c r="L1344" s="42" t="n">
        <v>65968</v>
      </c>
    </row>
    <row r="1345">
      <c r="B1345" s="39" t="inlineStr">
        <is>
          <t>ISCOM_LIL</t>
        </is>
      </c>
      <c r="C1345" s="40" t="inlineStr">
        <is>
          <t>BAC_COM</t>
        </is>
      </c>
      <c r="D1345" s="40" t="inlineStr">
        <is>
          <t>B2</t>
        </is>
      </c>
      <c r="E1345" s="40" t="inlineStr">
        <is>
          <t>ALT</t>
        </is>
      </c>
      <c r="F1345" s="40" t="inlineStr">
        <is>
          <t>604100</t>
        </is>
      </c>
      <c r="G1345" s="39" t="inlineStr">
        <is>
          <t>Vacations &amp; sous-traitance pédagogique</t>
        </is>
      </c>
      <c r="H1345" s="40" t="inlineStr">
        <is>
          <t>COMPTABLE</t>
        </is>
      </c>
      <c r="I1345" s="41" t="inlineStr">
        <is>
          <t>2025FCST_V4</t>
        </is>
      </c>
      <c r="J1345" s="41" t="n">
        <v>2025</v>
      </c>
      <c r="K1345" s="41" t="inlineStr">
        <is>
          <t>EUR</t>
        </is>
      </c>
      <c r="L1345" s="42" t="n">
        <v>69440</v>
      </c>
    </row>
    <row r="1346">
      <c r="B1346" s="39" t="inlineStr">
        <is>
          <t>ISCOM_LIL</t>
        </is>
      </c>
      <c r="C1346" s="40" t="inlineStr">
        <is>
          <t>BAC_COM</t>
        </is>
      </c>
      <c r="D1346" s="40" t="inlineStr">
        <is>
          <t>B2</t>
        </is>
      </c>
      <c r="E1346" s="40" t="inlineStr">
        <is>
          <t>ALT</t>
        </is>
      </c>
      <c r="F1346" s="40" t="inlineStr">
        <is>
          <t>606300</t>
        </is>
      </c>
      <c r="G1346" s="39" t="inlineStr">
        <is>
          <t>Fournitures &amp; ressources pédagogiques</t>
        </is>
      </c>
      <c r="H1346" s="40" t="inlineStr">
        <is>
          <t>COMPTABLE</t>
        </is>
      </c>
      <c r="I1346" s="41" t="inlineStr">
        <is>
          <t>2023ACT_VDEF</t>
        </is>
      </c>
      <c r="J1346" s="41" t="n">
        <v>2023</v>
      </c>
      <c r="K1346" s="41" t="inlineStr">
        <is>
          <t>EUR</t>
        </is>
      </c>
      <c r="L1346" s="42" t="n">
        <v>20790</v>
      </c>
    </row>
    <row r="1347">
      <c r="B1347" s="39" t="inlineStr">
        <is>
          <t>ISCOM_LIL</t>
        </is>
      </c>
      <c r="C1347" s="40" t="inlineStr">
        <is>
          <t>BAC_COM</t>
        </is>
      </c>
      <c r="D1347" s="40" t="inlineStr">
        <is>
          <t>B2</t>
        </is>
      </c>
      <c r="E1347" s="40" t="inlineStr">
        <is>
          <t>ALT</t>
        </is>
      </c>
      <c r="F1347" s="40" t="inlineStr">
        <is>
          <t>606300</t>
        </is>
      </c>
      <c r="G1347" s="39" t="inlineStr">
        <is>
          <t>Fournitures &amp; ressources pédagogiques</t>
        </is>
      </c>
      <c r="H1347" s="40" t="inlineStr">
        <is>
          <t>COMPTABLE</t>
        </is>
      </c>
      <c r="I1347" s="41" t="inlineStr">
        <is>
          <t>2024ACT_VDEF</t>
        </is>
      </c>
      <c r="J1347" s="41" t="n">
        <v>2024</v>
      </c>
      <c r="K1347" s="41" t="inlineStr">
        <is>
          <t>EUR</t>
        </is>
      </c>
      <c r="L1347" s="42" t="n">
        <v>21945</v>
      </c>
    </row>
    <row r="1348">
      <c r="B1348" s="39" t="inlineStr">
        <is>
          <t>ISCOM_LIL</t>
        </is>
      </c>
      <c r="C1348" s="40" t="inlineStr">
        <is>
          <t>BAC_COM</t>
        </is>
      </c>
      <c r="D1348" s="40" t="inlineStr">
        <is>
          <t>B2</t>
        </is>
      </c>
      <c r="E1348" s="40" t="inlineStr">
        <is>
          <t>ALT</t>
        </is>
      </c>
      <c r="F1348" s="40" t="inlineStr">
        <is>
          <t>606300</t>
        </is>
      </c>
      <c r="G1348" s="39" t="inlineStr">
        <is>
          <t>Fournitures &amp; ressources pédagogiques</t>
        </is>
      </c>
      <c r="H1348" s="40" t="inlineStr">
        <is>
          <t>COMPTABLE</t>
        </is>
      </c>
      <c r="I1348" s="41" t="inlineStr">
        <is>
          <t>2025FCST_V4</t>
        </is>
      </c>
      <c r="J1348" s="41" t="n">
        <v>2025</v>
      </c>
      <c r="K1348" s="41" t="inlineStr">
        <is>
          <t>EUR</t>
        </is>
      </c>
      <c r="L1348" s="42" t="n">
        <v>23100</v>
      </c>
    </row>
    <row r="1349">
      <c r="B1349" s="39" t="inlineStr">
        <is>
          <t>ISCOM_LIL</t>
        </is>
      </c>
      <c r="C1349" s="40" t="inlineStr">
        <is>
          <t>BAC_COM</t>
        </is>
      </c>
      <c r="D1349" s="40" t="inlineStr">
        <is>
          <t>B2</t>
        </is>
      </c>
      <c r="E1349" s="40" t="inlineStr">
        <is>
          <t>ALT</t>
        </is>
      </c>
      <c r="F1349" s="40" t="inlineStr">
        <is>
          <t>613200</t>
        </is>
      </c>
      <c r="G1349" s="39" t="inlineStr">
        <is>
          <t>Locations immobilières (loyers)</t>
        </is>
      </c>
      <c r="H1349" s="40" t="inlineStr">
        <is>
          <t>COMPTABLE</t>
        </is>
      </c>
      <c r="I1349" s="41" t="inlineStr">
        <is>
          <t>2023ACT_VDEF</t>
        </is>
      </c>
      <c r="J1349" s="41" t="n">
        <v>2023</v>
      </c>
      <c r="K1349" s="41" t="inlineStr">
        <is>
          <t>EUR</t>
        </is>
      </c>
      <c r="L1349" s="42" t="n">
        <v>31320</v>
      </c>
    </row>
    <row r="1350">
      <c r="B1350" s="39" t="inlineStr">
        <is>
          <t>ISCOM_LIL</t>
        </is>
      </c>
      <c r="C1350" s="40" t="inlineStr">
        <is>
          <t>BAC_COM</t>
        </is>
      </c>
      <c r="D1350" s="40" t="inlineStr">
        <is>
          <t>B2</t>
        </is>
      </c>
      <c r="E1350" s="40" t="inlineStr">
        <is>
          <t>ALT</t>
        </is>
      </c>
      <c r="F1350" s="40" t="inlineStr">
        <is>
          <t>613200</t>
        </is>
      </c>
      <c r="G1350" s="39" t="inlineStr">
        <is>
          <t>Locations immobilières (loyers)</t>
        </is>
      </c>
      <c r="H1350" s="40" t="inlineStr">
        <is>
          <t>COMPTABLE</t>
        </is>
      </c>
      <c r="I1350" s="41" t="inlineStr">
        <is>
          <t>2024ACT_VDEF</t>
        </is>
      </c>
      <c r="J1350" s="41" t="n">
        <v>2024</v>
      </c>
      <c r="K1350" s="41" t="inlineStr">
        <is>
          <t>EUR</t>
        </is>
      </c>
      <c r="L1350" s="42" t="n">
        <v>33060</v>
      </c>
    </row>
    <row r="1351">
      <c r="B1351" s="39" t="inlineStr">
        <is>
          <t>ISCOM_LIL</t>
        </is>
      </c>
      <c r="C1351" s="40" t="inlineStr">
        <is>
          <t>BAC_COM</t>
        </is>
      </c>
      <c r="D1351" s="40" t="inlineStr">
        <is>
          <t>B2</t>
        </is>
      </c>
      <c r="E1351" s="40" t="inlineStr">
        <is>
          <t>ALT</t>
        </is>
      </c>
      <c r="F1351" s="40" t="inlineStr">
        <is>
          <t>613200</t>
        </is>
      </c>
      <c r="G1351" s="39" t="inlineStr">
        <is>
          <t>Locations immobilières (loyers)</t>
        </is>
      </c>
      <c r="H1351" s="40" t="inlineStr">
        <is>
          <t>COMPTABLE</t>
        </is>
      </c>
      <c r="I1351" s="41" t="inlineStr">
        <is>
          <t>2025FCST_V4</t>
        </is>
      </c>
      <c r="J1351" s="41" t="n">
        <v>2025</v>
      </c>
      <c r="K1351" s="41" t="inlineStr">
        <is>
          <t>EUR</t>
        </is>
      </c>
      <c r="L1351" s="42" t="n">
        <v>34800</v>
      </c>
    </row>
    <row r="1352">
      <c r="B1352" s="39" t="inlineStr">
        <is>
          <t>ISCOM_LIL</t>
        </is>
      </c>
      <c r="C1352" s="40" t="inlineStr">
        <is>
          <t>BAC_COM</t>
        </is>
      </c>
      <c r="D1352" s="40" t="inlineStr">
        <is>
          <t>B2</t>
        </is>
      </c>
      <c r="E1352" s="40" t="inlineStr">
        <is>
          <t>ALT</t>
        </is>
      </c>
      <c r="F1352" s="40" t="inlineStr">
        <is>
          <t>641100</t>
        </is>
      </c>
      <c r="G1352" s="39" t="inlineStr">
        <is>
          <t>Rémunérations du personnel permanent</t>
        </is>
      </c>
      <c r="H1352" s="40" t="inlineStr">
        <is>
          <t>COMPTABLE</t>
        </is>
      </c>
      <c r="I1352" s="41" t="inlineStr">
        <is>
          <t>2023ACT_VDEF</t>
        </is>
      </c>
      <c r="J1352" s="41" t="n">
        <v>2023</v>
      </c>
      <c r="K1352" s="41" t="inlineStr">
        <is>
          <t>EUR</t>
        </is>
      </c>
      <c r="L1352" s="42" t="n">
        <v>73080</v>
      </c>
    </row>
    <row r="1353">
      <c r="B1353" s="39" t="inlineStr">
        <is>
          <t>ISCOM_LIL</t>
        </is>
      </c>
      <c r="C1353" s="40" t="inlineStr">
        <is>
          <t>BAC_COM</t>
        </is>
      </c>
      <c r="D1353" s="40" t="inlineStr">
        <is>
          <t>B2</t>
        </is>
      </c>
      <c r="E1353" s="40" t="inlineStr">
        <is>
          <t>ALT</t>
        </is>
      </c>
      <c r="F1353" s="40" t="inlineStr">
        <is>
          <t>641100</t>
        </is>
      </c>
      <c r="G1353" s="39" t="inlineStr">
        <is>
          <t>Rémunérations du personnel permanent</t>
        </is>
      </c>
      <c r="H1353" s="40" t="inlineStr">
        <is>
          <t>COMPTABLE</t>
        </is>
      </c>
      <c r="I1353" s="41" t="inlineStr">
        <is>
          <t>2024ACT_VDEF</t>
        </is>
      </c>
      <c r="J1353" s="41" t="n">
        <v>2024</v>
      </c>
      <c r="K1353" s="41" t="inlineStr">
        <is>
          <t>EUR</t>
        </is>
      </c>
      <c r="L1353" s="42" t="n">
        <v>77140</v>
      </c>
    </row>
    <row r="1354">
      <c r="B1354" s="39" t="inlineStr">
        <is>
          <t>ISCOM_LIL</t>
        </is>
      </c>
      <c r="C1354" s="40" t="inlineStr">
        <is>
          <t>BAC_COM</t>
        </is>
      </c>
      <c r="D1354" s="40" t="inlineStr">
        <is>
          <t>B2</t>
        </is>
      </c>
      <c r="E1354" s="40" t="inlineStr">
        <is>
          <t>ALT</t>
        </is>
      </c>
      <c r="F1354" s="40" t="inlineStr">
        <is>
          <t>641100</t>
        </is>
      </c>
      <c r="G1354" s="39" t="inlineStr">
        <is>
          <t>Rémunérations du personnel permanent</t>
        </is>
      </c>
      <c r="H1354" s="40" t="inlineStr">
        <is>
          <t>COMPTABLE</t>
        </is>
      </c>
      <c r="I1354" s="41" t="inlineStr">
        <is>
          <t>2025FCST_V4</t>
        </is>
      </c>
      <c r="J1354" s="41" t="n">
        <v>2025</v>
      </c>
      <c r="K1354" s="41" t="inlineStr">
        <is>
          <t>EUR</t>
        </is>
      </c>
      <c r="L1354" s="42" t="n">
        <v>81200</v>
      </c>
    </row>
    <row r="1355">
      <c r="B1355" s="39" t="inlineStr">
        <is>
          <t>ISCOM_LIL</t>
        </is>
      </c>
      <c r="C1355" s="40" t="inlineStr">
        <is>
          <t>BAC_COM</t>
        </is>
      </c>
      <c r="D1355" s="40" t="inlineStr">
        <is>
          <t>B2</t>
        </is>
      </c>
      <c r="E1355" s="40" t="inlineStr">
        <is>
          <t>ALT</t>
        </is>
      </c>
      <c r="F1355" s="40" t="inlineStr">
        <is>
          <t>622600</t>
        </is>
      </c>
      <c r="G1355" s="39" t="inlineStr">
        <is>
          <t>Honoraires &amp; frais de siège (structure groupe)</t>
        </is>
      </c>
      <c r="H1355" s="40" t="inlineStr">
        <is>
          <t>COMPTABLE</t>
        </is>
      </c>
      <c r="I1355" s="41" t="inlineStr">
        <is>
          <t>2023ACT_VDEF</t>
        </is>
      </c>
      <c r="J1355" s="41" t="n">
        <v>2023</v>
      </c>
      <c r="K1355" s="41" t="inlineStr">
        <is>
          <t>EUR</t>
        </is>
      </c>
      <c r="L1355" s="42" t="n">
        <v>28552</v>
      </c>
    </row>
    <row r="1356">
      <c r="B1356" s="39" t="inlineStr">
        <is>
          <t>ISCOM_LIL</t>
        </is>
      </c>
      <c r="C1356" s="40" t="inlineStr">
        <is>
          <t>BAC_COM</t>
        </is>
      </c>
      <c r="D1356" s="40" t="inlineStr">
        <is>
          <t>B2</t>
        </is>
      </c>
      <c r="E1356" s="40" t="inlineStr">
        <is>
          <t>ALT</t>
        </is>
      </c>
      <c r="F1356" s="40" t="inlineStr">
        <is>
          <t>622600</t>
        </is>
      </c>
      <c r="G1356" s="39" t="inlineStr">
        <is>
          <t>Honoraires &amp; frais de siège (structure groupe)</t>
        </is>
      </c>
      <c r="H1356" s="40" t="inlineStr">
        <is>
          <t>COMPTABLE</t>
        </is>
      </c>
      <c r="I1356" s="41" t="inlineStr">
        <is>
          <t>2024ACT_VDEF</t>
        </is>
      </c>
      <c r="J1356" s="41" t="n">
        <v>2024</v>
      </c>
      <c r="K1356" s="41" t="inlineStr">
        <is>
          <t>EUR</t>
        </is>
      </c>
      <c r="L1356" s="42" t="n">
        <v>30138</v>
      </c>
    </row>
    <row r="1357">
      <c r="B1357" s="39" t="inlineStr">
        <is>
          <t>ISCOM_LIL</t>
        </is>
      </c>
      <c r="C1357" s="40" t="inlineStr">
        <is>
          <t>BAC_COM</t>
        </is>
      </c>
      <c r="D1357" s="40" t="inlineStr">
        <is>
          <t>B2</t>
        </is>
      </c>
      <c r="E1357" s="40" t="inlineStr">
        <is>
          <t>ALT</t>
        </is>
      </c>
      <c r="F1357" s="40" t="inlineStr">
        <is>
          <t>622600</t>
        </is>
      </c>
      <c r="G1357" s="39" t="inlineStr">
        <is>
          <t>Honoraires &amp; frais de siège (structure groupe)</t>
        </is>
      </c>
      <c r="H1357" s="40" t="inlineStr">
        <is>
          <t>COMPTABLE</t>
        </is>
      </c>
      <c r="I1357" s="41" t="inlineStr">
        <is>
          <t>2025FCST_V4</t>
        </is>
      </c>
      <c r="J1357" s="41" t="n">
        <v>2025</v>
      </c>
      <c r="K1357" s="41" t="inlineStr">
        <is>
          <t>EUR</t>
        </is>
      </c>
      <c r="L1357" s="42" t="n">
        <v>31724</v>
      </c>
    </row>
    <row r="1358">
      <c r="B1358" s="39" t="inlineStr">
        <is>
          <t>ISCOM_LIL</t>
        </is>
      </c>
      <c r="C1358" s="40" t="inlineStr">
        <is>
          <t>BAC_COM</t>
        </is>
      </c>
      <c r="D1358" s="40" t="inlineStr">
        <is>
          <t>B2</t>
        </is>
      </c>
      <c r="E1358" s="40" t="inlineStr">
        <is>
          <t>ALT</t>
        </is>
      </c>
      <c r="F1358" s="40" t="inlineStr">
        <is>
          <t>606800</t>
        </is>
      </c>
      <c r="G1358" s="39" t="inlineStr">
        <is>
          <t>Autres achats &amp; charges externes</t>
        </is>
      </c>
      <c r="H1358" s="40" t="inlineStr">
        <is>
          <t>COMPTABLE</t>
        </is>
      </c>
      <c r="I1358" s="41" t="inlineStr">
        <is>
          <t>2023ACT_VDEF</t>
        </is>
      </c>
      <c r="J1358" s="41" t="n">
        <v>2023</v>
      </c>
      <c r="K1358" s="41" t="inlineStr">
        <is>
          <t>EUR</t>
        </is>
      </c>
      <c r="L1358" s="42" t="n">
        <v>35305</v>
      </c>
    </row>
    <row r="1359">
      <c r="B1359" s="39" t="inlineStr">
        <is>
          <t>ISCOM_LIL</t>
        </is>
      </c>
      <c r="C1359" s="40" t="inlineStr">
        <is>
          <t>BAC_COM</t>
        </is>
      </c>
      <c r="D1359" s="40" t="inlineStr">
        <is>
          <t>B2</t>
        </is>
      </c>
      <c r="E1359" s="40" t="inlineStr">
        <is>
          <t>ALT</t>
        </is>
      </c>
      <c r="F1359" s="40" t="inlineStr">
        <is>
          <t>606800</t>
        </is>
      </c>
      <c r="G1359" s="39" t="inlineStr">
        <is>
          <t>Autres achats &amp; charges externes</t>
        </is>
      </c>
      <c r="H1359" s="40" t="inlineStr">
        <is>
          <t>COMPTABLE</t>
        </is>
      </c>
      <c r="I1359" s="41" t="inlineStr">
        <is>
          <t>2024ACT_VDEF</t>
        </is>
      </c>
      <c r="J1359" s="41" t="n">
        <v>2024</v>
      </c>
      <c r="K1359" s="41" t="inlineStr">
        <is>
          <t>EUR</t>
        </is>
      </c>
      <c r="L1359" s="42" t="n">
        <v>37267</v>
      </c>
    </row>
    <row r="1360">
      <c r="B1360" s="39" t="inlineStr">
        <is>
          <t>ISCOM_LIL</t>
        </is>
      </c>
      <c r="C1360" s="40" t="inlineStr">
        <is>
          <t>BAC_COM</t>
        </is>
      </c>
      <c r="D1360" s="40" t="inlineStr">
        <is>
          <t>B2</t>
        </is>
      </c>
      <c r="E1360" s="40" t="inlineStr">
        <is>
          <t>ALT</t>
        </is>
      </c>
      <c r="F1360" s="40" t="inlineStr">
        <is>
          <t>606800</t>
        </is>
      </c>
      <c r="G1360" s="39" t="inlineStr">
        <is>
          <t>Autres achats &amp; charges externes</t>
        </is>
      </c>
      <c r="H1360" s="40" t="inlineStr">
        <is>
          <t>COMPTABLE</t>
        </is>
      </c>
      <c r="I1360" s="41" t="inlineStr">
        <is>
          <t>2025FCST_V4</t>
        </is>
      </c>
      <c r="J1360" s="41" t="n">
        <v>2025</v>
      </c>
      <c r="K1360" s="41" t="inlineStr">
        <is>
          <t>EUR</t>
        </is>
      </c>
      <c r="L1360" s="42" t="n">
        <v>39228</v>
      </c>
    </row>
    <row r="1361">
      <c r="B1361" s="39" t="inlineStr">
        <is>
          <t>ISCOM_LIL</t>
        </is>
      </c>
      <c r="C1361" s="40" t="inlineStr">
        <is>
          <t>BAC_COM</t>
        </is>
      </c>
      <c r="D1361" s="40" t="inlineStr">
        <is>
          <t>B2</t>
        </is>
      </c>
      <c r="E1361" s="40" t="inlineStr">
        <is>
          <t>ALT</t>
        </is>
      </c>
      <c r="F1361" s="40" t="inlineStr">
        <is>
          <t>681100</t>
        </is>
      </c>
      <c r="G1361" s="39" t="inlineStr">
        <is>
          <t>Dotations aux amortissements</t>
        </is>
      </c>
      <c r="H1361" s="40" t="inlineStr">
        <is>
          <t>COMPTABLE</t>
        </is>
      </c>
      <c r="I1361" s="41" t="inlineStr">
        <is>
          <t>2023ACT_VDEF</t>
        </is>
      </c>
      <c r="J1361" s="41" t="n">
        <v>2023</v>
      </c>
      <c r="K1361" s="41" t="inlineStr">
        <is>
          <t>EUR</t>
        </is>
      </c>
      <c r="L1361" s="42" t="n">
        <v>17100</v>
      </c>
    </row>
    <row r="1362">
      <c r="B1362" s="39" t="inlineStr">
        <is>
          <t>ISCOM_LIL</t>
        </is>
      </c>
      <c r="C1362" s="40" t="inlineStr">
        <is>
          <t>BAC_COM</t>
        </is>
      </c>
      <c r="D1362" s="40" t="inlineStr">
        <is>
          <t>B2</t>
        </is>
      </c>
      <c r="E1362" s="40" t="inlineStr">
        <is>
          <t>ALT</t>
        </is>
      </c>
      <c r="F1362" s="40" t="inlineStr">
        <is>
          <t>681100</t>
        </is>
      </c>
      <c r="G1362" s="39" t="inlineStr">
        <is>
          <t>Dotations aux amortissements</t>
        </is>
      </c>
      <c r="H1362" s="40" t="inlineStr">
        <is>
          <t>COMPTABLE</t>
        </is>
      </c>
      <c r="I1362" s="41" t="inlineStr">
        <is>
          <t>2024ACT_VDEF</t>
        </is>
      </c>
      <c r="J1362" s="41" t="n">
        <v>2024</v>
      </c>
      <c r="K1362" s="41" t="inlineStr">
        <is>
          <t>EUR</t>
        </is>
      </c>
      <c r="L1362" s="42" t="n">
        <v>18050</v>
      </c>
    </row>
    <row r="1363">
      <c r="B1363" s="39" t="inlineStr">
        <is>
          <t>ISCOM_LIL</t>
        </is>
      </c>
      <c r="C1363" s="40" t="inlineStr">
        <is>
          <t>BAC_COM</t>
        </is>
      </c>
      <c r="D1363" s="40" t="inlineStr">
        <is>
          <t>B2</t>
        </is>
      </c>
      <c r="E1363" s="40" t="inlineStr">
        <is>
          <t>ALT</t>
        </is>
      </c>
      <c r="F1363" s="40" t="inlineStr">
        <is>
          <t>681100</t>
        </is>
      </c>
      <c r="G1363" s="39" t="inlineStr">
        <is>
          <t>Dotations aux amortissements</t>
        </is>
      </c>
      <c r="H1363" s="40" t="inlineStr">
        <is>
          <t>COMPTABLE</t>
        </is>
      </c>
      <c r="I1363" s="41" t="inlineStr">
        <is>
          <t>2025FCST_V4</t>
        </is>
      </c>
      <c r="J1363" s="41" t="n">
        <v>2025</v>
      </c>
      <c r="K1363" s="41" t="inlineStr">
        <is>
          <t>EUR</t>
        </is>
      </c>
      <c r="L1363" s="42" t="n">
        <v>19000</v>
      </c>
    </row>
    <row r="1364">
      <c r="B1364" s="39" t="inlineStr">
        <is>
          <t>ISCOM_LIL</t>
        </is>
      </c>
      <c r="C1364" s="40" t="inlineStr">
        <is>
          <t>BAC_COM</t>
        </is>
      </c>
      <c r="D1364" s="40" t="inlineStr">
        <is>
          <t>B2</t>
        </is>
      </c>
      <c r="E1364" s="40" t="inlineStr">
        <is>
          <t>ALT</t>
        </is>
      </c>
      <c r="F1364" s="40" t="inlineStr">
        <is>
          <t>STA_EFF</t>
        </is>
      </c>
      <c r="G1364" s="39" t="inlineStr">
        <is>
          <t>Effectif inscrit</t>
        </is>
      </c>
      <c r="H1364" s="40" t="inlineStr">
        <is>
          <t>TECHNIQUE</t>
        </is>
      </c>
      <c r="I1364" s="41" t="inlineStr">
        <is>
          <t>2023ACT_VDEF</t>
        </is>
      </c>
      <c r="J1364" s="41" t="n">
        <v>2023</v>
      </c>
      <c r="K1364" s="41" t="inlineStr">
        <is>
          <t>NB</t>
        </is>
      </c>
      <c r="L1364" s="43" t="n">
        <v>38</v>
      </c>
    </row>
    <row r="1365">
      <c r="B1365" s="39" t="inlineStr">
        <is>
          <t>ISCOM_LIL</t>
        </is>
      </c>
      <c r="C1365" s="40" t="inlineStr">
        <is>
          <t>BAC_COM</t>
        </is>
      </c>
      <c r="D1365" s="40" t="inlineStr">
        <is>
          <t>B2</t>
        </is>
      </c>
      <c r="E1365" s="40" t="inlineStr">
        <is>
          <t>ALT</t>
        </is>
      </c>
      <c r="F1365" s="40" t="inlineStr">
        <is>
          <t>STA_EFF</t>
        </is>
      </c>
      <c r="G1365" s="39" t="inlineStr">
        <is>
          <t>Effectif inscrit</t>
        </is>
      </c>
      <c r="H1365" s="40" t="inlineStr">
        <is>
          <t>TECHNIQUE</t>
        </is>
      </c>
      <c r="I1365" s="41" t="inlineStr">
        <is>
          <t>2024ACT_VDEF</t>
        </is>
      </c>
      <c r="J1365" s="41" t="n">
        <v>2024</v>
      </c>
      <c r="K1365" s="41" t="inlineStr">
        <is>
          <t>NB</t>
        </is>
      </c>
      <c r="L1365" s="43" t="n">
        <v>40</v>
      </c>
    </row>
    <row r="1366">
      <c r="B1366" s="39" t="inlineStr">
        <is>
          <t>ISCOM_LIL</t>
        </is>
      </c>
      <c r="C1366" s="40" t="inlineStr">
        <is>
          <t>BAC_COM</t>
        </is>
      </c>
      <c r="D1366" s="40" t="inlineStr">
        <is>
          <t>B2</t>
        </is>
      </c>
      <c r="E1366" s="40" t="inlineStr">
        <is>
          <t>ALT</t>
        </is>
      </c>
      <c r="F1366" s="40" t="inlineStr">
        <is>
          <t>STA_EFF</t>
        </is>
      </c>
      <c r="G1366" s="39" t="inlineStr">
        <is>
          <t>Effectif inscrit</t>
        </is>
      </c>
      <c r="H1366" s="40" t="inlineStr">
        <is>
          <t>TECHNIQUE</t>
        </is>
      </c>
      <c r="I1366" s="41" t="inlineStr">
        <is>
          <t>2025FCST_V4</t>
        </is>
      </c>
      <c r="J1366" s="41" t="n">
        <v>2025</v>
      </c>
      <c r="K1366" s="41" t="inlineStr">
        <is>
          <t>NB</t>
        </is>
      </c>
      <c r="L1366" s="43" t="n">
        <v>42</v>
      </c>
    </row>
    <row r="1367">
      <c r="B1367" s="39" t="inlineStr">
        <is>
          <t>ISCOM_LIL</t>
        </is>
      </c>
      <c r="C1367" s="40" t="inlineStr">
        <is>
          <t>BAC_COM</t>
        </is>
      </c>
      <c r="D1367" s="40" t="inlineStr">
        <is>
          <t>B2</t>
        </is>
      </c>
      <c r="E1367" s="40" t="inlineStr">
        <is>
          <t>ALT</t>
        </is>
      </c>
      <c r="F1367" s="40" t="inlineStr">
        <is>
          <t>STA_REINS</t>
        </is>
      </c>
      <c r="G1367" s="39" t="inlineStr">
        <is>
          <t>Réinscrits</t>
        </is>
      </c>
      <c r="H1367" s="40" t="inlineStr">
        <is>
          <t>TECHNIQUE</t>
        </is>
      </c>
      <c r="I1367" s="41" t="inlineStr">
        <is>
          <t>2023ACT_VDEF</t>
        </is>
      </c>
      <c r="J1367" s="41" t="n">
        <v>2023</v>
      </c>
      <c r="K1367" s="41" t="inlineStr">
        <is>
          <t>NB</t>
        </is>
      </c>
      <c r="L1367" s="43" t="n">
        <v>38</v>
      </c>
    </row>
    <row r="1368">
      <c r="B1368" s="39" t="inlineStr">
        <is>
          <t>ISCOM_LIL</t>
        </is>
      </c>
      <c r="C1368" s="40" t="inlineStr">
        <is>
          <t>BAC_COM</t>
        </is>
      </c>
      <c r="D1368" s="40" t="inlineStr">
        <is>
          <t>B2</t>
        </is>
      </c>
      <c r="E1368" s="40" t="inlineStr">
        <is>
          <t>ALT</t>
        </is>
      </c>
      <c r="F1368" s="40" t="inlineStr">
        <is>
          <t>STA_REINS</t>
        </is>
      </c>
      <c r="G1368" s="39" t="inlineStr">
        <is>
          <t>Réinscrits</t>
        </is>
      </c>
      <c r="H1368" s="40" t="inlineStr">
        <is>
          <t>TECHNIQUE</t>
        </is>
      </c>
      <c r="I1368" s="41" t="inlineStr">
        <is>
          <t>2024ACT_VDEF</t>
        </is>
      </c>
      <c r="J1368" s="41" t="n">
        <v>2024</v>
      </c>
      <c r="K1368" s="41" t="inlineStr">
        <is>
          <t>NB</t>
        </is>
      </c>
      <c r="L1368" s="43" t="n">
        <v>40</v>
      </c>
    </row>
    <row r="1369">
      <c r="B1369" s="39" t="inlineStr">
        <is>
          <t>ISCOM_LIL</t>
        </is>
      </c>
      <c r="C1369" s="40" t="inlineStr">
        <is>
          <t>BAC_COM</t>
        </is>
      </c>
      <c r="D1369" s="40" t="inlineStr">
        <is>
          <t>B2</t>
        </is>
      </c>
      <c r="E1369" s="40" t="inlineStr">
        <is>
          <t>ALT</t>
        </is>
      </c>
      <c r="F1369" s="40" t="inlineStr">
        <is>
          <t>STA_REINS</t>
        </is>
      </c>
      <c r="G1369" s="39" t="inlineStr">
        <is>
          <t>Réinscrits</t>
        </is>
      </c>
      <c r="H1369" s="40" t="inlineStr">
        <is>
          <t>TECHNIQUE</t>
        </is>
      </c>
      <c r="I1369" s="41" t="inlineStr">
        <is>
          <t>2025FCST_V4</t>
        </is>
      </c>
      <c r="J1369" s="41" t="n">
        <v>2025</v>
      </c>
      <c r="K1369" s="41" t="inlineStr">
        <is>
          <t>NB</t>
        </is>
      </c>
      <c r="L1369" s="43" t="n">
        <v>42</v>
      </c>
    </row>
    <row r="1370">
      <c r="B1370" s="39" t="inlineStr">
        <is>
          <t>ISCOM_LIL</t>
        </is>
      </c>
      <c r="C1370" s="40" t="inlineStr">
        <is>
          <t>BAC_COM</t>
        </is>
      </c>
      <c r="D1370" s="40" t="inlineStr">
        <is>
          <t>B2</t>
        </is>
      </c>
      <c r="E1370" s="40" t="inlineStr">
        <is>
          <t>ALT</t>
        </is>
      </c>
      <c r="F1370" s="40" t="inlineStr">
        <is>
          <t>STA_CLASS</t>
        </is>
      </c>
      <c r="G1370" s="39" t="inlineStr">
        <is>
          <t>Nombre de classes</t>
        </is>
      </c>
      <c r="H1370" s="40" t="inlineStr">
        <is>
          <t>TECHNIQUE</t>
        </is>
      </c>
      <c r="I1370" s="41" t="inlineStr">
        <is>
          <t>2023ACT_VDEF</t>
        </is>
      </c>
      <c r="J1370" s="41" t="n">
        <v>2023</v>
      </c>
      <c r="K1370" s="41" t="inlineStr">
        <is>
          <t>NB</t>
        </is>
      </c>
      <c r="L1370" s="43" t="n">
        <v>2</v>
      </c>
    </row>
    <row r="1371">
      <c r="B1371" s="39" t="inlineStr">
        <is>
          <t>ISCOM_LIL</t>
        </is>
      </c>
      <c r="C1371" s="40" t="inlineStr">
        <is>
          <t>BAC_COM</t>
        </is>
      </c>
      <c r="D1371" s="40" t="inlineStr">
        <is>
          <t>B2</t>
        </is>
      </c>
      <c r="E1371" s="40" t="inlineStr">
        <is>
          <t>ALT</t>
        </is>
      </c>
      <c r="F1371" s="40" t="inlineStr">
        <is>
          <t>STA_CLASS</t>
        </is>
      </c>
      <c r="G1371" s="39" t="inlineStr">
        <is>
          <t>Nombre de classes</t>
        </is>
      </c>
      <c r="H1371" s="40" t="inlineStr">
        <is>
          <t>TECHNIQUE</t>
        </is>
      </c>
      <c r="I1371" s="41" t="inlineStr">
        <is>
          <t>2024ACT_VDEF</t>
        </is>
      </c>
      <c r="J1371" s="41" t="n">
        <v>2024</v>
      </c>
      <c r="K1371" s="41" t="inlineStr">
        <is>
          <t>NB</t>
        </is>
      </c>
      <c r="L1371" s="43" t="n">
        <v>2</v>
      </c>
    </row>
    <row r="1372">
      <c r="B1372" s="39" t="inlineStr">
        <is>
          <t>ISCOM_LIL</t>
        </is>
      </c>
      <c r="C1372" s="40" t="inlineStr">
        <is>
          <t>BAC_COM</t>
        </is>
      </c>
      <c r="D1372" s="40" t="inlineStr">
        <is>
          <t>B2</t>
        </is>
      </c>
      <c r="E1372" s="40" t="inlineStr">
        <is>
          <t>ALT</t>
        </is>
      </c>
      <c r="F1372" s="40" t="inlineStr">
        <is>
          <t>STA_CLASS</t>
        </is>
      </c>
      <c r="G1372" s="39" t="inlineStr">
        <is>
          <t>Nombre de classes</t>
        </is>
      </c>
      <c r="H1372" s="40" t="inlineStr">
        <is>
          <t>TECHNIQUE</t>
        </is>
      </c>
      <c r="I1372" s="41" t="inlineStr">
        <is>
          <t>2025FCST_V4</t>
        </is>
      </c>
      <c r="J1372" s="41" t="n">
        <v>2025</v>
      </c>
      <c r="K1372" s="41" t="inlineStr">
        <is>
          <t>NB</t>
        </is>
      </c>
      <c r="L1372" s="43" t="n">
        <v>2</v>
      </c>
    </row>
    <row r="1373">
      <c r="B1373" s="39" t="inlineStr">
        <is>
          <t>ISCOM_LIL</t>
        </is>
      </c>
      <c r="C1373" s="40" t="inlineStr">
        <is>
          <t>BAC_COM</t>
        </is>
      </c>
      <c r="D1373" s="40" t="inlineStr">
        <is>
          <t>B2</t>
        </is>
      </c>
      <c r="E1373" s="40" t="inlineStr">
        <is>
          <t>ALT</t>
        </is>
      </c>
      <c r="F1373" s="40" t="inlineStr">
        <is>
          <t>STA_HEURE</t>
        </is>
      </c>
      <c r="G1373" s="39" t="inlineStr">
        <is>
          <t>Heures d'enseignement</t>
        </is>
      </c>
      <c r="H1373" s="40" t="inlineStr">
        <is>
          <t>TECHNIQUE</t>
        </is>
      </c>
      <c r="I1373" s="41" t="inlineStr">
        <is>
          <t>2023ACT_VDEF</t>
        </is>
      </c>
      <c r="J1373" s="41" t="n">
        <v>2023</v>
      </c>
      <c r="K1373" s="41" t="inlineStr">
        <is>
          <t>NB</t>
        </is>
      </c>
      <c r="L1373" s="43" t="n">
        <v>1008</v>
      </c>
    </row>
    <row r="1374">
      <c r="B1374" s="39" t="inlineStr">
        <is>
          <t>ISCOM_LIL</t>
        </is>
      </c>
      <c r="C1374" s="40" t="inlineStr">
        <is>
          <t>BAC_COM</t>
        </is>
      </c>
      <c r="D1374" s="40" t="inlineStr">
        <is>
          <t>B2</t>
        </is>
      </c>
      <c r="E1374" s="40" t="inlineStr">
        <is>
          <t>ALT</t>
        </is>
      </c>
      <c r="F1374" s="40" t="inlineStr">
        <is>
          <t>STA_HEURE</t>
        </is>
      </c>
      <c r="G1374" s="39" t="inlineStr">
        <is>
          <t>Heures d'enseignement</t>
        </is>
      </c>
      <c r="H1374" s="40" t="inlineStr">
        <is>
          <t>TECHNIQUE</t>
        </is>
      </c>
      <c r="I1374" s="41" t="inlineStr">
        <is>
          <t>2024ACT_VDEF</t>
        </is>
      </c>
      <c r="J1374" s="41" t="n">
        <v>2024</v>
      </c>
      <c r="K1374" s="41" t="inlineStr">
        <is>
          <t>NB</t>
        </is>
      </c>
      <c r="L1374" s="43" t="n">
        <v>1064</v>
      </c>
    </row>
    <row r="1375">
      <c r="B1375" s="39" t="inlineStr">
        <is>
          <t>ISCOM_LIL</t>
        </is>
      </c>
      <c r="C1375" s="40" t="inlineStr">
        <is>
          <t>BAC_COM</t>
        </is>
      </c>
      <c r="D1375" s="40" t="inlineStr">
        <is>
          <t>B2</t>
        </is>
      </c>
      <c r="E1375" s="40" t="inlineStr">
        <is>
          <t>ALT</t>
        </is>
      </c>
      <c r="F1375" s="40" t="inlineStr">
        <is>
          <t>STA_HEURE</t>
        </is>
      </c>
      <c r="G1375" s="39" t="inlineStr">
        <is>
          <t>Heures d'enseignement</t>
        </is>
      </c>
      <c r="H1375" s="40" t="inlineStr">
        <is>
          <t>TECHNIQUE</t>
        </is>
      </c>
      <c r="I1375" s="41" t="inlineStr">
        <is>
          <t>2025FCST_V4</t>
        </is>
      </c>
      <c r="J1375" s="41" t="n">
        <v>2025</v>
      </c>
      <c r="K1375" s="41" t="inlineStr">
        <is>
          <t>NB</t>
        </is>
      </c>
      <c r="L1375" s="43" t="n">
        <v>1120</v>
      </c>
    </row>
    <row r="1376">
      <c r="B1376" s="39" t="inlineStr">
        <is>
          <t>ISCOM_LIL</t>
        </is>
      </c>
      <c r="C1376" s="40" t="inlineStr">
        <is>
          <t>BAC_COM</t>
        </is>
      </c>
      <c r="D1376" s="40" t="inlineStr">
        <is>
          <t>B2</t>
        </is>
      </c>
      <c r="E1376" s="40" t="inlineStr">
        <is>
          <t>ALT</t>
        </is>
      </c>
      <c r="F1376" s="40" t="inlineStr">
        <is>
          <t>STA_CAPA</t>
        </is>
      </c>
      <c r="G1376" s="39" t="inlineStr">
        <is>
          <t>Capacité par classe</t>
        </is>
      </c>
      <c r="H1376" s="40" t="inlineStr">
        <is>
          <t>TECHNIQUE</t>
        </is>
      </c>
      <c r="I1376" s="41" t="inlineStr">
        <is>
          <t>2023ACT_VDEF</t>
        </is>
      </c>
      <c r="J1376" s="41" t="n">
        <v>2023</v>
      </c>
      <c r="K1376" s="41" t="inlineStr">
        <is>
          <t>NB</t>
        </is>
      </c>
      <c r="L1376" s="43" t="n">
        <v>32</v>
      </c>
    </row>
    <row r="1377">
      <c r="B1377" s="39" t="inlineStr">
        <is>
          <t>ISCOM_LIL</t>
        </is>
      </c>
      <c r="C1377" s="40" t="inlineStr">
        <is>
          <t>BAC_COM</t>
        </is>
      </c>
      <c r="D1377" s="40" t="inlineStr">
        <is>
          <t>B2</t>
        </is>
      </c>
      <c r="E1377" s="40" t="inlineStr">
        <is>
          <t>ALT</t>
        </is>
      </c>
      <c r="F1377" s="40" t="inlineStr">
        <is>
          <t>STA_CAPA</t>
        </is>
      </c>
      <c r="G1377" s="39" t="inlineStr">
        <is>
          <t>Capacité par classe</t>
        </is>
      </c>
      <c r="H1377" s="40" t="inlineStr">
        <is>
          <t>TECHNIQUE</t>
        </is>
      </c>
      <c r="I1377" s="41" t="inlineStr">
        <is>
          <t>2024ACT_VDEF</t>
        </is>
      </c>
      <c r="J1377" s="41" t="n">
        <v>2024</v>
      </c>
      <c r="K1377" s="41" t="inlineStr">
        <is>
          <t>NB</t>
        </is>
      </c>
      <c r="L1377" s="43" t="n">
        <v>32</v>
      </c>
    </row>
    <row r="1378">
      <c r="B1378" s="39" t="inlineStr">
        <is>
          <t>ISCOM_LIL</t>
        </is>
      </c>
      <c r="C1378" s="40" t="inlineStr">
        <is>
          <t>BAC_COM</t>
        </is>
      </c>
      <c r="D1378" s="40" t="inlineStr">
        <is>
          <t>B2</t>
        </is>
      </c>
      <c r="E1378" s="40" t="inlineStr">
        <is>
          <t>ALT</t>
        </is>
      </c>
      <c r="F1378" s="40" t="inlineStr">
        <is>
          <t>STA_CAPA</t>
        </is>
      </c>
      <c r="G1378" s="39" t="inlineStr">
        <is>
          <t>Capacité par classe</t>
        </is>
      </c>
      <c r="H1378" s="40" t="inlineStr">
        <is>
          <t>TECHNIQUE</t>
        </is>
      </c>
      <c r="I1378" s="41" t="inlineStr">
        <is>
          <t>2025FCST_V4</t>
        </is>
      </c>
      <c r="J1378" s="41" t="n">
        <v>2025</v>
      </c>
      <c r="K1378" s="41" t="inlineStr">
        <is>
          <t>NB</t>
        </is>
      </c>
      <c r="L1378" s="43" t="n">
        <v>32</v>
      </c>
    </row>
    <row r="1379">
      <c r="B1379" s="39" t="inlineStr">
        <is>
          <t>ISCOM_LIL</t>
        </is>
      </c>
      <c r="C1379" s="40" t="inlineStr">
        <is>
          <t>BAC_COM</t>
        </is>
      </c>
      <c r="D1379" s="40" t="inlineStr">
        <is>
          <t>B2</t>
        </is>
      </c>
      <c r="E1379" s="40" t="inlineStr">
        <is>
          <t>ALT</t>
        </is>
      </c>
      <c r="F1379" s="40" t="inlineStr">
        <is>
          <t>DRV_PASS</t>
        </is>
      </c>
      <c r="G1379" s="39" t="inlineStr">
        <is>
          <t>Taux de passage (réinscription)</t>
        </is>
      </c>
      <c r="H1379" s="40" t="inlineStr">
        <is>
          <t>TECHNIQUE</t>
        </is>
      </c>
      <c r="I1379" s="41" t="inlineStr">
        <is>
          <t>2023ACT_VDEF</t>
        </is>
      </c>
      <c r="J1379" s="41" t="n">
        <v>2023</v>
      </c>
      <c r="K1379" s="41" t="inlineStr">
        <is>
          <t>PCT</t>
        </is>
      </c>
      <c r="L1379" s="44" t="n">
        <v>0.93</v>
      </c>
    </row>
    <row r="1380">
      <c r="B1380" s="39" t="inlineStr">
        <is>
          <t>ISCOM_LIL</t>
        </is>
      </c>
      <c r="C1380" s="40" t="inlineStr">
        <is>
          <t>BAC_COM</t>
        </is>
      </c>
      <c r="D1380" s="40" t="inlineStr">
        <is>
          <t>B2</t>
        </is>
      </c>
      <c r="E1380" s="40" t="inlineStr">
        <is>
          <t>ALT</t>
        </is>
      </c>
      <c r="F1380" s="40" t="inlineStr">
        <is>
          <t>DRV_PASS</t>
        </is>
      </c>
      <c r="G1380" s="39" t="inlineStr">
        <is>
          <t>Taux de passage (réinscription)</t>
        </is>
      </c>
      <c r="H1380" s="40" t="inlineStr">
        <is>
          <t>TECHNIQUE</t>
        </is>
      </c>
      <c r="I1380" s="41" t="inlineStr">
        <is>
          <t>2024ACT_VDEF</t>
        </is>
      </c>
      <c r="J1380" s="41" t="n">
        <v>2024</v>
      </c>
      <c r="K1380" s="41" t="inlineStr">
        <is>
          <t>PCT</t>
        </is>
      </c>
      <c r="L1380" s="44" t="n">
        <v>0.93</v>
      </c>
    </row>
    <row r="1381">
      <c r="B1381" s="39" t="inlineStr">
        <is>
          <t>ISCOM_LIL</t>
        </is>
      </c>
      <c r="C1381" s="40" t="inlineStr">
        <is>
          <t>BAC_COM</t>
        </is>
      </c>
      <c r="D1381" s="40" t="inlineStr">
        <is>
          <t>B2</t>
        </is>
      </c>
      <c r="E1381" s="40" t="inlineStr">
        <is>
          <t>ALT</t>
        </is>
      </c>
      <c r="F1381" s="40" t="inlineStr">
        <is>
          <t>DRV_PASS</t>
        </is>
      </c>
      <c r="G1381" s="39" t="inlineStr">
        <is>
          <t>Taux de passage (réinscription)</t>
        </is>
      </c>
      <c r="H1381" s="40" t="inlineStr">
        <is>
          <t>TECHNIQUE</t>
        </is>
      </c>
      <c r="I1381" s="41" t="inlineStr">
        <is>
          <t>2025FCST_V4</t>
        </is>
      </c>
      <c r="J1381" s="41" t="n">
        <v>2025</v>
      </c>
      <c r="K1381" s="41" t="inlineStr">
        <is>
          <t>PCT</t>
        </is>
      </c>
      <c r="L1381" s="44" t="n">
        <v>0.93</v>
      </c>
    </row>
    <row r="1382">
      <c r="B1382" s="39" t="inlineStr">
        <is>
          <t>ISCOM_LIL</t>
        </is>
      </c>
      <c r="C1382" s="40" t="inlineStr">
        <is>
          <t>BAC_COM</t>
        </is>
      </c>
      <c r="D1382" s="40" t="inlineStr">
        <is>
          <t>B2</t>
        </is>
      </c>
      <c r="E1382" s="40" t="inlineStr">
        <is>
          <t>ALT</t>
        </is>
      </c>
      <c r="F1382" s="40" t="inlineStr">
        <is>
          <t>PRX_TARIF</t>
        </is>
      </c>
      <c r="G1382" s="39" t="inlineStr">
        <is>
          <t>Tarif moyen scolarité</t>
        </is>
      </c>
      <c r="H1382" s="40" t="inlineStr">
        <is>
          <t>TECHNIQUE</t>
        </is>
      </c>
      <c r="I1382" s="41" t="inlineStr">
        <is>
          <t>2023ACT_VDEF</t>
        </is>
      </c>
      <c r="J1382" s="41" t="n">
        <v>2023</v>
      </c>
      <c r="K1382" s="41" t="inlineStr">
        <is>
          <t>EUR</t>
        </is>
      </c>
      <c r="L1382" s="42" t="n">
        <v>8000</v>
      </c>
    </row>
    <row r="1383">
      <c r="B1383" s="39" t="inlineStr">
        <is>
          <t>ISCOM_LIL</t>
        </is>
      </c>
      <c r="C1383" s="40" t="inlineStr">
        <is>
          <t>BAC_COM</t>
        </is>
      </c>
      <c r="D1383" s="40" t="inlineStr">
        <is>
          <t>B2</t>
        </is>
      </c>
      <c r="E1383" s="40" t="inlineStr">
        <is>
          <t>ALT</t>
        </is>
      </c>
      <c r="F1383" s="40" t="inlineStr">
        <is>
          <t>PRX_TARIF</t>
        </is>
      </c>
      <c r="G1383" s="39" t="inlineStr">
        <is>
          <t>Tarif moyen scolarité</t>
        </is>
      </c>
      <c r="H1383" s="40" t="inlineStr">
        <is>
          <t>TECHNIQUE</t>
        </is>
      </c>
      <c r="I1383" s="41" t="inlineStr">
        <is>
          <t>2024ACT_VDEF</t>
        </is>
      </c>
      <c r="J1383" s="41" t="n">
        <v>2024</v>
      </c>
      <c r="K1383" s="41" t="inlineStr">
        <is>
          <t>EUR</t>
        </is>
      </c>
      <c r="L1383" s="42" t="n">
        <v>8000</v>
      </c>
    </row>
    <row r="1384">
      <c r="B1384" s="39" t="inlineStr">
        <is>
          <t>ISCOM_LIL</t>
        </is>
      </c>
      <c r="C1384" s="40" t="inlineStr">
        <is>
          <t>BAC_COM</t>
        </is>
      </c>
      <c r="D1384" s="40" t="inlineStr">
        <is>
          <t>B2</t>
        </is>
      </c>
      <c r="E1384" s="40" t="inlineStr">
        <is>
          <t>ALT</t>
        </is>
      </c>
      <c r="F1384" s="40" t="inlineStr">
        <is>
          <t>PRX_TARIF</t>
        </is>
      </c>
      <c r="G1384" s="39" t="inlineStr">
        <is>
          <t>Tarif moyen scolarité</t>
        </is>
      </c>
      <c r="H1384" s="40" t="inlineStr">
        <is>
          <t>TECHNIQUE</t>
        </is>
      </c>
      <c r="I1384" s="41" t="inlineStr">
        <is>
          <t>2025FCST_V4</t>
        </is>
      </c>
      <c r="J1384" s="41" t="n">
        <v>2025</v>
      </c>
      <c r="K1384" s="41" t="inlineStr">
        <is>
          <t>EUR</t>
        </is>
      </c>
      <c r="L1384" s="42" t="n">
        <v>8000</v>
      </c>
    </row>
    <row r="1385">
      <c r="B1385" s="39" t="inlineStr">
        <is>
          <t>ISCOM_LIL</t>
        </is>
      </c>
      <c r="C1385" s="40" t="inlineStr">
        <is>
          <t>BAC_COM</t>
        </is>
      </c>
      <c r="D1385" s="40" t="inlineStr">
        <is>
          <t>B3</t>
        </is>
      </c>
      <c r="E1385" s="40" t="inlineStr">
        <is>
          <t>ALT</t>
        </is>
      </c>
      <c r="F1385" s="40" t="inlineStr">
        <is>
          <t>706100</t>
        </is>
      </c>
      <c r="G1385" s="39" t="inlineStr">
        <is>
          <t>Droits de scolarité</t>
        </is>
      </c>
      <c r="H1385" s="40" t="inlineStr">
        <is>
          <t>COMPTABLE</t>
        </is>
      </c>
      <c r="I1385" s="41" t="inlineStr">
        <is>
          <t>2023ACT_VDEF</t>
        </is>
      </c>
      <c r="J1385" s="41" t="n">
        <v>2023</v>
      </c>
      <c r="K1385" s="41" t="inlineStr">
        <is>
          <t>EUR</t>
        </is>
      </c>
      <c r="L1385" s="42" t="n">
        <v>273600</v>
      </c>
    </row>
    <row r="1386">
      <c r="B1386" s="39" t="inlineStr">
        <is>
          <t>ISCOM_LIL</t>
        </is>
      </c>
      <c r="C1386" s="40" t="inlineStr">
        <is>
          <t>BAC_COM</t>
        </is>
      </c>
      <c r="D1386" s="40" t="inlineStr">
        <is>
          <t>B3</t>
        </is>
      </c>
      <c r="E1386" s="40" t="inlineStr">
        <is>
          <t>ALT</t>
        </is>
      </c>
      <c r="F1386" s="40" t="inlineStr">
        <is>
          <t>706100</t>
        </is>
      </c>
      <c r="G1386" s="39" t="inlineStr">
        <is>
          <t>Droits de scolarité</t>
        </is>
      </c>
      <c r="H1386" s="40" t="inlineStr">
        <is>
          <t>COMPTABLE</t>
        </is>
      </c>
      <c r="I1386" s="41" t="inlineStr">
        <is>
          <t>2024ACT_VDEF</t>
        </is>
      </c>
      <c r="J1386" s="41" t="n">
        <v>2024</v>
      </c>
      <c r="K1386" s="41" t="inlineStr">
        <is>
          <t>EUR</t>
        </is>
      </c>
      <c r="L1386" s="42" t="n">
        <v>288800</v>
      </c>
    </row>
    <row r="1387">
      <c r="B1387" s="39" t="inlineStr">
        <is>
          <t>ISCOM_LIL</t>
        </is>
      </c>
      <c r="C1387" s="40" t="inlineStr">
        <is>
          <t>BAC_COM</t>
        </is>
      </c>
      <c r="D1387" s="40" t="inlineStr">
        <is>
          <t>B3</t>
        </is>
      </c>
      <c r="E1387" s="40" t="inlineStr">
        <is>
          <t>ALT</t>
        </is>
      </c>
      <c r="F1387" s="40" t="inlineStr">
        <is>
          <t>706100</t>
        </is>
      </c>
      <c r="G1387" s="39" t="inlineStr">
        <is>
          <t>Droits de scolarité</t>
        </is>
      </c>
      <c r="H1387" s="40" t="inlineStr">
        <is>
          <t>COMPTABLE</t>
        </is>
      </c>
      <c r="I1387" s="41" t="inlineStr">
        <is>
          <t>2025FCST_V4</t>
        </is>
      </c>
      <c r="J1387" s="41" t="n">
        <v>2025</v>
      </c>
      <c r="K1387" s="41" t="inlineStr">
        <is>
          <t>EUR</t>
        </is>
      </c>
      <c r="L1387" s="42" t="n">
        <v>304000</v>
      </c>
    </row>
    <row r="1388">
      <c r="B1388" s="39" t="inlineStr">
        <is>
          <t>ISCOM_LIL</t>
        </is>
      </c>
      <c r="C1388" s="40" t="inlineStr">
        <is>
          <t>BAC_COM</t>
        </is>
      </c>
      <c r="D1388" s="40" t="inlineStr">
        <is>
          <t>B3</t>
        </is>
      </c>
      <c r="E1388" s="40" t="inlineStr">
        <is>
          <t>ALT</t>
        </is>
      </c>
      <c r="F1388" s="40" t="inlineStr">
        <is>
          <t>604100</t>
        </is>
      </c>
      <c r="G1388" s="39" t="inlineStr">
        <is>
          <t>Vacations &amp; sous-traitance pédagogique</t>
        </is>
      </c>
      <c r="H1388" s="40" t="inlineStr">
        <is>
          <t>COMPTABLE</t>
        </is>
      </c>
      <c r="I1388" s="41" t="inlineStr">
        <is>
          <t>2023ACT_VDEF</t>
        </is>
      </c>
      <c r="J1388" s="41" t="n">
        <v>2023</v>
      </c>
      <c r="K1388" s="41" t="inlineStr">
        <is>
          <t>EUR</t>
        </is>
      </c>
      <c r="L1388" s="42" t="n">
        <v>58032</v>
      </c>
    </row>
    <row r="1389">
      <c r="B1389" s="39" t="inlineStr">
        <is>
          <t>ISCOM_LIL</t>
        </is>
      </c>
      <c r="C1389" s="40" t="inlineStr">
        <is>
          <t>BAC_COM</t>
        </is>
      </c>
      <c r="D1389" s="40" t="inlineStr">
        <is>
          <t>B3</t>
        </is>
      </c>
      <c r="E1389" s="40" t="inlineStr">
        <is>
          <t>ALT</t>
        </is>
      </c>
      <c r="F1389" s="40" t="inlineStr">
        <is>
          <t>604100</t>
        </is>
      </c>
      <c r="G1389" s="39" t="inlineStr">
        <is>
          <t>Vacations &amp; sous-traitance pédagogique</t>
        </is>
      </c>
      <c r="H1389" s="40" t="inlineStr">
        <is>
          <t>COMPTABLE</t>
        </is>
      </c>
      <c r="I1389" s="41" t="inlineStr">
        <is>
          <t>2024ACT_VDEF</t>
        </is>
      </c>
      <c r="J1389" s="41" t="n">
        <v>2024</v>
      </c>
      <c r="K1389" s="41" t="inlineStr">
        <is>
          <t>EUR</t>
        </is>
      </c>
      <c r="L1389" s="42" t="n">
        <v>61256</v>
      </c>
    </row>
    <row r="1390">
      <c r="B1390" s="39" t="inlineStr">
        <is>
          <t>ISCOM_LIL</t>
        </is>
      </c>
      <c r="C1390" s="40" t="inlineStr">
        <is>
          <t>BAC_COM</t>
        </is>
      </c>
      <c r="D1390" s="40" t="inlineStr">
        <is>
          <t>B3</t>
        </is>
      </c>
      <c r="E1390" s="40" t="inlineStr">
        <is>
          <t>ALT</t>
        </is>
      </c>
      <c r="F1390" s="40" t="inlineStr">
        <is>
          <t>604100</t>
        </is>
      </c>
      <c r="G1390" s="39" t="inlineStr">
        <is>
          <t>Vacations &amp; sous-traitance pédagogique</t>
        </is>
      </c>
      <c r="H1390" s="40" t="inlineStr">
        <is>
          <t>COMPTABLE</t>
        </is>
      </c>
      <c r="I1390" s="41" t="inlineStr">
        <is>
          <t>2025FCST_V4</t>
        </is>
      </c>
      <c r="J1390" s="41" t="n">
        <v>2025</v>
      </c>
      <c r="K1390" s="41" t="inlineStr">
        <is>
          <t>EUR</t>
        </is>
      </c>
      <c r="L1390" s="42" t="n">
        <v>64480</v>
      </c>
    </row>
    <row r="1391">
      <c r="B1391" s="39" t="inlineStr">
        <is>
          <t>ISCOM_LIL</t>
        </is>
      </c>
      <c r="C1391" s="40" t="inlineStr">
        <is>
          <t>BAC_COM</t>
        </is>
      </c>
      <c r="D1391" s="40" t="inlineStr">
        <is>
          <t>B3</t>
        </is>
      </c>
      <c r="E1391" s="40" t="inlineStr">
        <is>
          <t>ALT</t>
        </is>
      </c>
      <c r="F1391" s="40" t="inlineStr">
        <is>
          <t>606300</t>
        </is>
      </c>
      <c r="G1391" s="39" t="inlineStr">
        <is>
          <t>Fournitures &amp; ressources pédagogiques</t>
        </is>
      </c>
      <c r="H1391" s="40" t="inlineStr">
        <is>
          <t>COMPTABLE</t>
        </is>
      </c>
      <c r="I1391" s="41" t="inlineStr">
        <is>
          <t>2023ACT_VDEF</t>
        </is>
      </c>
      <c r="J1391" s="41" t="n">
        <v>2023</v>
      </c>
      <c r="K1391" s="41" t="inlineStr">
        <is>
          <t>EUR</t>
        </is>
      </c>
      <c r="L1391" s="42" t="n">
        <v>18810</v>
      </c>
    </row>
    <row r="1392">
      <c r="B1392" s="39" t="inlineStr">
        <is>
          <t>ISCOM_LIL</t>
        </is>
      </c>
      <c r="C1392" s="40" t="inlineStr">
        <is>
          <t>BAC_COM</t>
        </is>
      </c>
      <c r="D1392" s="40" t="inlineStr">
        <is>
          <t>B3</t>
        </is>
      </c>
      <c r="E1392" s="40" t="inlineStr">
        <is>
          <t>ALT</t>
        </is>
      </c>
      <c r="F1392" s="40" t="inlineStr">
        <is>
          <t>606300</t>
        </is>
      </c>
      <c r="G1392" s="39" t="inlineStr">
        <is>
          <t>Fournitures &amp; ressources pédagogiques</t>
        </is>
      </c>
      <c r="H1392" s="40" t="inlineStr">
        <is>
          <t>COMPTABLE</t>
        </is>
      </c>
      <c r="I1392" s="41" t="inlineStr">
        <is>
          <t>2024ACT_VDEF</t>
        </is>
      </c>
      <c r="J1392" s="41" t="n">
        <v>2024</v>
      </c>
      <c r="K1392" s="41" t="inlineStr">
        <is>
          <t>EUR</t>
        </is>
      </c>
      <c r="L1392" s="42" t="n">
        <v>19855</v>
      </c>
    </row>
    <row r="1393">
      <c r="B1393" s="39" t="inlineStr">
        <is>
          <t>ISCOM_LIL</t>
        </is>
      </c>
      <c r="C1393" s="40" t="inlineStr">
        <is>
          <t>BAC_COM</t>
        </is>
      </c>
      <c r="D1393" s="40" t="inlineStr">
        <is>
          <t>B3</t>
        </is>
      </c>
      <c r="E1393" s="40" t="inlineStr">
        <is>
          <t>ALT</t>
        </is>
      </c>
      <c r="F1393" s="40" t="inlineStr">
        <is>
          <t>606300</t>
        </is>
      </c>
      <c r="G1393" s="39" t="inlineStr">
        <is>
          <t>Fournitures &amp; ressources pédagogiques</t>
        </is>
      </c>
      <c r="H1393" s="40" t="inlineStr">
        <is>
          <t>COMPTABLE</t>
        </is>
      </c>
      <c r="I1393" s="41" t="inlineStr">
        <is>
          <t>2025FCST_V4</t>
        </is>
      </c>
      <c r="J1393" s="41" t="n">
        <v>2025</v>
      </c>
      <c r="K1393" s="41" t="inlineStr">
        <is>
          <t>EUR</t>
        </is>
      </c>
      <c r="L1393" s="42" t="n">
        <v>20900</v>
      </c>
    </row>
    <row r="1394">
      <c r="B1394" s="39" t="inlineStr">
        <is>
          <t>ISCOM_LIL</t>
        </is>
      </c>
      <c r="C1394" s="40" t="inlineStr">
        <is>
          <t>BAC_COM</t>
        </is>
      </c>
      <c r="D1394" s="40" t="inlineStr">
        <is>
          <t>B3</t>
        </is>
      </c>
      <c r="E1394" s="40" t="inlineStr">
        <is>
          <t>ALT</t>
        </is>
      </c>
      <c r="F1394" s="40" t="inlineStr">
        <is>
          <t>613200</t>
        </is>
      </c>
      <c r="G1394" s="39" t="inlineStr">
        <is>
          <t>Locations immobilières (loyers)</t>
        </is>
      </c>
      <c r="H1394" s="40" t="inlineStr">
        <is>
          <t>COMPTABLE</t>
        </is>
      </c>
      <c r="I1394" s="41" t="inlineStr">
        <is>
          <t>2023ACT_VDEF</t>
        </is>
      </c>
      <c r="J1394" s="41" t="n">
        <v>2023</v>
      </c>
      <c r="K1394" s="41" t="inlineStr">
        <is>
          <t>EUR</t>
        </is>
      </c>
      <c r="L1394" s="42" t="n">
        <v>31320</v>
      </c>
    </row>
    <row r="1395">
      <c r="B1395" s="39" t="inlineStr">
        <is>
          <t>ISCOM_LIL</t>
        </is>
      </c>
      <c r="C1395" s="40" t="inlineStr">
        <is>
          <t>BAC_COM</t>
        </is>
      </c>
      <c r="D1395" s="40" t="inlineStr">
        <is>
          <t>B3</t>
        </is>
      </c>
      <c r="E1395" s="40" t="inlineStr">
        <is>
          <t>ALT</t>
        </is>
      </c>
      <c r="F1395" s="40" t="inlineStr">
        <is>
          <t>613200</t>
        </is>
      </c>
      <c r="G1395" s="39" t="inlineStr">
        <is>
          <t>Locations immobilières (loyers)</t>
        </is>
      </c>
      <c r="H1395" s="40" t="inlineStr">
        <is>
          <t>COMPTABLE</t>
        </is>
      </c>
      <c r="I1395" s="41" t="inlineStr">
        <is>
          <t>2024ACT_VDEF</t>
        </is>
      </c>
      <c r="J1395" s="41" t="n">
        <v>2024</v>
      </c>
      <c r="K1395" s="41" t="inlineStr">
        <is>
          <t>EUR</t>
        </is>
      </c>
      <c r="L1395" s="42" t="n">
        <v>33060</v>
      </c>
    </row>
    <row r="1396">
      <c r="B1396" s="39" t="inlineStr">
        <is>
          <t>ISCOM_LIL</t>
        </is>
      </c>
      <c r="C1396" s="40" t="inlineStr">
        <is>
          <t>BAC_COM</t>
        </is>
      </c>
      <c r="D1396" s="40" t="inlineStr">
        <is>
          <t>B3</t>
        </is>
      </c>
      <c r="E1396" s="40" t="inlineStr">
        <is>
          <t>ALT</t>
        </is>
      </c>
      <c r="F1396" s="40" t="inlineStr">
        <is>
          <t>613200</t>
        </is>
      </c>
      <c r="G1396" s="39" t="inlineStr">
        <is>
          <t>Locations immobilières (loyers)</t>
        </is>
      </c>
      <c r="H1396" s="40" t="inlineStr">
        <is>
          <t>COMPTABLE</t>
        </is>
      </c>
      <c r="I1396" s="41" t="inlineStr">
        <is>
          <t>2025FCST_V4</t>
        </is>
      </c>
      <c r="J1396" s="41" t="n">
        <v>2025</v>
      </c>
      <c r="K1396" s="41" t="inlineStr">
        <is>
          <t>EUR</t>
        </is>
      </c>
      <c r="L1396" s="42" t="n">
        <v>34800</v>
      </c>
    </row>
    <row r="1397">
      <c r="B1397" s="39" t="inlineStr">
        <is>
          <t>ISCOM_LIL</t>
        </is>
      </c>
      <c r="C1397" s="40" t="inlineStr">
        <is>
          <t>BAC_COM</t>
        </is>
      </c>
      <c r="D1397" s="40" t="inlineStr">
        <is>
          <t>B3</t>
        </is>
      </c>
      <c r="E1397" s="40" t="inlineStr">
        <is>
          <t>ALT</t>
        </is>
      </c>
      <c r="F1397" s="40" t="inlineStr">
        <is>
          <t>641100</t>
        </is>
      </c>
      <c r="G1397" s="39" t="inlineStr">
        <is>
          <t>Rémunérations du personnel permanent</t>
        </is>
      </c>
      <c r="H1397" s="40" t="inlineStr">
        <is>
          <t>COMPTABLE</t>
        </is>
      </c>
      <c r="I1397" s="41" t="inlineStr">
        <is>
          <t>2023ACT_VDEF</t>
        </is>
      </c>
      <c r="J1397" s="41" t="n">
        <v>2023</v>
      </c>
      <c r="K1397" s="41" t="inlineStr">
        <is>
          <t>EUR</t>
        </is>
      </c>
      <c r="L1397" s="42" t="n">
        <v>73080</v>
      </c>
    </row>
    <row r="1398">
      <c r="B1398" s="39" t="inlineStr">
        <is>
          <t>ISCOM_LIL</t>
        </is>
      </c>
      <c r="C1398" s="40" t="inlineStr">
        <is>
          <t>BAC_COM</t>
        </is>
      </c>
      <c r="D1398" s="40" t="inlineStr">
        <is>
          <t>B3</t>
        </is>
      </c>
      <c r="E1398" s="40" t="inlineStr">
        <is>
          <t>ALT</t>
        </is>
      </c>
      <c r="F1398" s="40" t="inlineStr">
        <is>
          <t>641100</t>
        </is>
      </c>
      <c r="G1398" s="39" t="inlineStr">
        <is>
          <t>Rémunérations du personnel permanent</t>
        </is>
      </c>
      <c r="H1398" s="40" t="inlineStr">
        <is>
          <t>COMPTABLE</t>
        </is>
      </c>
      <c r="I1398" s="41" t="inlineStr">
        <is>
          <t>2024ACT_VDEF</t>
        </is>
      </c>
      <c r="J1398" s="41" t="n">
        <v>2024</v>
      </c>
      <c r="K1398" s="41" t="inlineStr">
        <is>
          <t>EUR</t>
        </is>
      </c>
      <c r="L1398" s="42" t="n">
        <v>77140</v>
      </c>
    </row>
    <row r="1399">
      <c r="B1399" s="39" t="inlineStr">
        <is>
          <t>ISCOM_LIL</t>
        </is>
      </c>
      <c r="C1399" s="40" t="inlineStr">
        <is>
          <t>BAC_COM</t>
        </is>
      </c>
      <c r="D1399" s="40" t="inlineStr">
        <is>
          <t>B3</t>
        </is>
      </c>
      <c r="E1399" s="40" t="inlineStr">
        <is>
          <t>ALT</t>
        </is>
      </c>
      <c r="F1399" s="40" t="inlineStr">
        <is>
          <t>641100</t>
        </is>
      </c>
      <c r="G1399" s="39" t="inlineStr">
        <is>
          <t>Rémunérations du personnel permanent</t>
        </is>
      </c>
      <c r="H1399" s="40" t="inlineStr">
        <is>
          <t>COMPTABLE</t>
        </is>
      </c>
      <c r="I1399" s="41" t="inlineStr">
        <is>
          <t>2025FCST_V4</t>
        </is>
      </c>
      <c r="J1399" s="41" t="n">
        <v>2025</v>
      </c>
      <c r="K1399" s="41" t="inlineStr">
        <is>
          <t>EUR</t>
        </is>
      </c>
      <c r="L1399" s="42" t="n">
        <v>81200</v>
      </c>
    </row>
    <row r="1400">
      <c r="B1400" s="39" t="inlineStr">
        <is>
          <t>ISCOM_LIL</t>
        </is>
      </c>
      <c r="C1400" s="40" t="inlineStr">
        <is>
          <t>BAC_COM</t>
        </is>
      </c>
      <c r="D1400" s="40" t="inlineStr">
        <is>
          <t>B3</t>
        </is>
      </c>
      <c r="E1400" s="40" t="inlineStr">
        <is>
          <t>ALT</t>
        </is>
      </c>
      <c r="F1400" s="40" t="inlineStr">
        <is>
          <t>622600</t>
        </is>
      </c>
      <c r="G1400" s="39" t="inlineStr">
        <is>
          <t>Honoraires &amp; frais de siège (structure groupe)</t>
        </is>
      </c>
      <c r="H1400" s="40" t="inlineStr">
        <is>
          <t>COMPTABLE</t>
        </is>
      </c>
      <c r="I1400" s="41" t="inlineStr">
        <is>
          <t>2023ACT_VDEF</t>
        </is>
      </c>
      <c r="J1400" s="41" t="n">
        <v>2023</v>
      </c>
      <c r="K1400" s="41" t="inlineStr">
        <is>
          <t>EUR</t>
        </is>
      </c>
      <c r="L1400" s="42" t="n">
        <v>28552</v>
      </c>
    </row>
    <row r="1401">
      <c r="B1401" s="39" t="inlineStr">
        <is>
          <t>ISCOM_LIL</t>
        </is>
      </c>
      <c r="C1401" s="40" t="inlineStr">
        <is>
          <t>BAC_COM</t>
        </is>
      </c>
      <c r="D1401" s="40" t="inlineStr">
        <is>
          <t>B3</t>
        </is>
      </c>
      <c r="E1401" s="40" t="inlineStr">
        <is>
          <t>ALT</t>
        </is>
      </c>
      <c r="F1401" s="40" t="inlineStr">
        <is>
          <t>622600</t>
        </is>
      </c>
      <c r="G1401" s="39" t="inlineStr">
        <is>
          <t>Honoraires &amp; frais de siège (structure groupe)</t>
        </is>
      </c>
      <c r="H1401" s="40" t="inlineStr">
        <is>
          <t>COMPTABLE</t>
        </is>
      </c>
      <c r="I1401" s="41" t="inlineStr">
        <is>
          <t>2024ACT_VDEF</t>
        </is>
      </c>
      <c r="J1401" s="41" t="n">
        <v>2024</v>
      </c>
      <c r="K1401" s="41" t="inlineStr">
        <is>
          <t>EUR</t>
        </is>
      </c>
      <c r="L1401" s="42" t="n">
        <v>30138</v>
      </c>
    </row>
    <row r="1402">
      <c r="B1402" s="39" t="inlineStr">
        <is>
          <t>ISCOM_LIL</t>
        </is>
      </c>
      <c r="C1402" s="40" t="inlineStr">
        <is>
          <t>BAC_COM</t>
        </is>
      </c>
      <c r="D1402" s="40" t="inlineStr">
        <is>
          <t>B3</t>
        </is>
      </c>
      <c r="E1402" s="40" t="inlineStr">
        <is>
          <t>ALT</t>
        </is>
      </c>
      <c r="F1402" s="40" t="inlineStr">
        <is>
          <t>622600</t>
        </is>
      </c>
      <c r="G1402" s="39" t="inlineStr">
        <is>
          <t>Honoraires &amp; frais de siège (structure groupe)</t>
        </is>
      </c>
      <c r="H1402" s="40" t="inlineStr">
        <is>
          <t>COMPTABLE</t>
        </is>
      </c>
      <c r="I1402" s="41" t="inlineStr">
        <is>
          <t>2025FCST_V4</t>
        </is>
      </c>
      <c r="J1402" s="41" t="n">
        <v>2025</v>
      </c>
      <c r="K1402" s="41" t="inlineStr">
        <is>
          <t>EUR</t>
        </is>
      </c>
      <c r="L1402" s="42" t="n">
        <v>31724</v>
      </c>
    </row>
    <row r="1403">
      <c r="B1403" s="39" t="inlineStr">
        <is>
          <t>ISCOM_LIL</t>
        </is>
      </c>
      <c r="C1403" s="40" t="inlineStr">
        <is>
          <t>BAC_COM</t>
        </is>
      </c>
      <c r="D1403" s="40" t="inlineStr">
        <is>
          <t>B3</t>
        </is>
      </c>
      <c r="E1403" s="40" t="inlineStr">
        <is>
          <t>ALT</t>
        </is>
      </c>
      <c r="F1403" s="40" t="inlineStr">
        <is>
          <t>606800</t>
        </is>
      </c>
      <c r="G1403" s="39" t="inlineStr">
        <is>
          <t>Autres achats &amp; charges externes</t>
        </is>
      </c>
      <c r="H1403" s="40" t="inlineStr">
        <is>
          <t>COMPTABLE</t>
        </is>
      </c>
      <c r="I1403" s="41" t="inlineStr">
        <is>
          <t>2023ACT_VDEF</t>
        </is>
      </c>
      <c r="J1403" s="41" t="n">
        <v>2023</v>
      </c>
      <c r="K1403" s="41" t="inlineStr">
        <is>
          <t>EUR</t>
        </is>
      </c>
      <c r="L1403" s="42" t="n">
        <v>31943</v>
      </c>
    </row>
    <row r="1404">
      <c r="B1404" s="39" t="inlineStr">
        <is>
          <t>ISCOM_LIL</t>
        </is>
      </c>
      <c r="C1404" s="40" t="inlineStr">
        <is>
          <t>BAC_COM</t>
        </is>
      </c>
      <c r="D1404" s="40" t="inlineStr">
        <is>
          <t>B3</t>
        </is>
      </c>
      <c r="E1404" s="40" t="inlineStr">
        <is>
          <t>ALT</t>
        </is>
      </c>
      <c r="F1404" s="40" t="inlineStr">
        <is>
          <t>606800</t>
        </is>
      </c>
      <c r="G1404" s="39" t="inlineStr">
        <is>
          <t>Autres achats &amp; charges externes</t>
        </is>
      </c>
      <c r="H1404" s="40" t="inlineStr">
        <is>
          <t>COMPTABLE</t>
        </is>
      </c>
      <c r="I1404" s="41" t="inlineStr">
        <is>
          <t>2024ACT_VDEF</t>
        </is>
      </c>
      <c r="J1404" s="41" t="n">
        <v>2024</v>
      </c>
      <c r="K1404" s="41" t="inlineStr">
        <is>
          <t>EUR</t>
        </is>
      </c>
      <c r="L1404" s="42" t="n">
        <v>33717</v>
      </c>
    </row>
    <row r="1405">
      <c r="B1405" s="39" t="inlineStr">
        <is>
          <t>ISCOM_LIL</t>
        </is>
      </c>
      <c r="C1405" s="40" t="inlineStr">
        <is>
          <t>BAC_COM</t>
        </is>
      </c>
      <c r="D1405" s="40" t="inlineStr">
        <is>
          <t>B3</t>
        </is>
      </c>
      <c r="E1405" s="40" t="inlineStr">
        <is>
          <t>ALT</t>
        </is>
      </c>
      <c r="F1405" s="40" t="inlineStr">
        <is>
          <t>606800</t>
        </is>
      </c>
      <c r="G1405" s="39" t="inlineStr">
        <is>
          <t>Autres achats &amp; charges externes</t>
        </is>
      </c>
      <c r="H1405" s="40" t="inlineStr">
        <is>
          <t>COMPTABLE</t>
        </is>
      </c>
      <c r="I1405" s="41" t="inlineStr">
        <is>
          <t>2025FCST_V4</t>
        </is>
      </c>
      <c r="J1405" s="41" t="n">
        <v>2025</v>
      </c>
      <c r="K1405" s="41" t="inlineStr">
        <is>
          <t>EUR</t>
        </is>
      </c>
      <c r="L1405" s="42" t="n">
        <v>35492</v>
      </c>
    </row>
    <row r="1406">
      <c r="B1406" s="39" t="inlineStr">
        <is>
          <t>ISCOM_LIL</t>
        </is>
      </c>
      <c r="C1406" s="40" t="inlineStr">
        <is>
          <t>BAC_COM</t>
        </is>
      </c>
      <c r="D1406" s="40" t="inlineStr">
        <is>
          <t>B3</t>
        </is>
      </c>
      <c r="E1406" s="40" t="inlineStr">
        <is>
          <t>ALT</t>
        </is>
      </c>
      <c r="F1406" s="40" t="inlineStr">
        <is>
          <t>681100</t>
        </is>
      </c>
      <c r="G1406" s="39" t="inlineStr">
        <is>
          <t>Dotations aux amortissements</t>
        </is>
      </c>
      <c r="H1406" s="40" t="inlineStr">
        <is>
          <t>COMPTABLE</t>
        </is>
      </c>
      <c r="I1406" s="41" t="inlineStr">
        <is>
          <t>2023ACT_VDEF</t>
        </is>
      </c>
      <c r="J1406" s="41" t="n">
        <v>2023</v>
      </c>
      <c r="K1406" s="41" t="inlineStr">
        <is>
          <t>EUR</t>
        </is>
      </c>
      <c r="L1406" s="42" t="n">
        <v>17100</v>
      </c>
    </row>
    <row r="1407">
      <c r="B1407" s="39" t="inlineStr">
        <is>
          <t>ISCOM_LIL</t>
        </is>
      </c>
      <c r="C1407" s="40" t="inlineStr">
        <is>
          <t>BAC_COM</t>
        </is>
      </c>
      <c r="D1407" s="40" t="inlineStr">
        <is>
          <t>B3</t>
        </is>
      </c>
      <c r="E1407" s="40" t="inlineStr">
        <is>
          <t>ALT</t>
        </is>
      </c>
      <c r="F1407" s="40" t="inlineStr">
        <is>
          <t>681100</t>
        </is>
      </c>
      <c r="G1407" s="39" t="inlineStr">
        <is>
          <t>Dotations aux amortissements</t>
        </is>
      </c>
      <c r="H1407" s="40" t="inlineStr">
        <is>
          <t>COMPTABLE</t>
        </is>
      </c>
      <c r="I1407" s="41" t="inlineStr">
        <is>
          <t>2024ACT_VDEF</t>
        </is>
      </c>
      <c r="J1407" s="41" t="n">
        <v>2024</v>
      </c>
      <c r="K1407" s="41" t="inlineStr">
        <is>
          <t>EUR</t>
        </is>
      </c>
      <c r="L1407" s="42" t="n">
        <v>18050</v>
      </c>
    </row>
    <row r="1408">
      <c r="B1408" s="39" t="inlineStr">
        <is>
          <t>ISCOM_LIL</t>
        </is>
      </c>
      <c r="C1408" s="40" t="inlineStr">
        <is>
          <t>BAC_COM</t>
        </is>
      </c>
      <c r="D1408" s="40" t="inlineStr">
        <is>
          <t>B3</t>
        </is>
      </c>
      <c r="E1408" s="40" t="inlineStr">
        <is>
          <t>ALT</t>
        </is>
      </c>
      <c r="F1408" s="40" t="inlineStr">
        <is>
          <t>681100</t>
        </is>
      </c>
      <c r="G1408" s="39" t="inlineStr">
        <is>
          <t>Dotations aux amortissements</t>
        </is>
      </c>
      <c r="H1408" s="40" t="inlineStr">
        <is>
          <t>COMPTABLE</t>
        </is>
      </c>
      <c r="I1408" s="41" t="inlineStr">
        <is>
          <t>2025FCST_V4</t>
        </is>
      </c>
      <c r="J1408" s="41" t="n">
        <v>2025</v>
      </c>
      <c r="K1408" s="41" t="inlineStr">
        <is>
          <t>EUR</t>
        </is>
      </c>
      <c r="L1408" s="42" t="n">
        <v>19000</v>
      </c>
    </row>
    <row r="1409">
      <c r="B1409" s="39" t="inlineStr">
        <is>
          <t>ISCOM_LIL</t>
        </is>
      </c>
      <c r="C1409" s="40" t="inlineStr">
        <is>
          <t>BAC_COM</t>
        </is>
      </c>
      <c r="D1409" s="40" t="inlineStr">
        <is>
          <t>B3</t>
        </is>
      </c>
      <c r="E1409" s="40" t="inlineStr">
        <is>
          <t>ALT</t>
        </is>
      </c>
      <c r="F1409" s="40" t="inlineStr">
        <is>
          <t>STA_EFF</t>
        </is>
      </c>
      <c r="G1409" s="39" t="inlineStr">
        <is>
          <t>Effectif inscrit</t>
        </is>
      </c>
      <c r="H1409" s="40" t="inlineStr">
        <is>
          <t>TECHNIQUE</t>
        </is>
      </c>
      <c r="I1409" s="41" t="inlineStr">
        <is>
          <t>2023ACT_VDEF</t>
        </is>
      </c>
      <c r="J1409" s="41" t="n">
        <v>2023</v>
      </c>
      <c r="K1409" s="41" t="inlineStr">
        <is>
          <t>NB</t>
        </is>
      </c>
      <c r="L1409" s="43" t="n">
        <v>34</v>
      </c>
    </row>
    <row r="1410">
      <c r="B1410" s="39" t="inlineStr">
        <is>
          <t>ISCOM_LIL</t>
        </is>
      </c>
      <c r="C1410" s="40" t="inlineStr">
        <is>
          <t>BAC_COM</t>
        </is>
      </c>
      <c r="D1410" s="40" t="inlineStr">
        <is>
          <t>B3</t>
        </is>
      </c>
      <c r="E1410" s="40" t="inlineStr">
        <is>
          <t>ALT</t>
        </is>
      </c>
      <c r="F1410" s="40" t="inlineStr">
        <is>
          <t>STA_EFF</t>
        </is>
      </c>
      <c r="G1410" s="39" t="inlineStr">
        <is>
          <t>Effectif inscrit</t>
        </is>
      </c>
      <c r="H1410" s="40" t="inlineStr">
        <is>
          <t>TECHNIQUE</t>
        </is>
      </c>
      <c r="I1410" s="41" t="inlineStr">
        <is>
          <t>2024ACT_VDEF</t>
        </is>
      </c>
      <c r="J1410" s="41" t="n">
        <v>2024</v>
      </c>
      <c r="K1410" s="41" t="inlineStr">
        <is>
          <t>NB</t>
        </is>
      </c>
      <c r="L1410" s="43" t="n">
        <v>36</v>
      </c>
    </row>
    <row r="1411">
      <c r="B1411" s="39" t="inlineStr">
        <is>
          <t>ISCOM_LIL</t>
        </is>
      </c>
      <c r="C1411" s="40" t="inlineStr">
        <is>
          <t>BAC_COM</t>
        </is>
      </c>
      <c r="D1411" s="40" t="inlineStr">
        <is>
          <t>B3</t>
        </is>
      </c>
      <c r="E1411" s="40" t="inlineStr">
        <is>
          <t>ALT</t>
        </is>
      </c>
      <c r="F1411" s="40" t="inlineStr">
        <is>
          <t>STA_EFF</t>
        </is>
      </c>
      <c r="G1411" s="39" t="inlineStr">
        <is>
          <t>Effectif inscrit</t>
        </is>
      </c>
      <c r="H1411" s="40" t="inlineStr">
        <is>
          <t>TECHNIQUE</t>
        </is>
      </c>
      <c r="I1411" s="41" t="inlineStr">
        <is>
          <t>2025FCST_V4</t>
        </is>
      </c>
      <c r="J1411" s="41" t="n">
        <v>2025</v>
      </c>
      <c r="K1411" s="41" t="inlineStr">
        <is>
          <t>NB</t>
        </is>
      </c>
      <c r="L1411" s="43" t="n">
        <v>38</v>
      </c>
    </row>
    <row r="1412">
      <c r="B1412" s="39" t="inlineStr">
        <is>
          <t>ISCOM_LIL</t>
        </is>
      </c>
      <c r="C1412" s="40" t="inlineStr">
        <is>
          <t>BAC_COM</t>
        </is>
      </c>
      <c r="D1412" s="40" t="inlineStr">
        <is>
          <t>B3</t>
        </is>
      </c>
      <c r="E1412" s="40" t="inlineStr">
        <is>
          <t>ALT</t>
        </is>
      </c>
      <c r="F1412" s="40" t="inlineStr">
        <is>
          <t>STA_REINS</t>
        </is>
      </c>
      <c r="G1412" s="39" t="inlineStr">
        <is>
          <t>Réinscrits</t>
        </is>
      </c>
      <c r="H1412" s="40" t="inlineStr">
        <is>
          <t>TECHNIQUE</t>
        </is>
      </c>
      <c r="I1412" s="41" t="inlineStr">
        <is>
          <t>2023ACT_VDEF</t>
        </is>
      </c>
      <c r="J1412" s="41" t="n">
        <v>2023</v>
      </c>
      <c r="K1412" s="41" t="inlineStr">
        <is>
          <t>NB</t>
        </is>
      </c>
      <c r="L1412" s="43" t="n">
        <v>34</v>
      </c>
    </row>
    <row r="1413">
      <c r="B1413" s="39" t="inlineStr">
        <is>
          <t>ISCOM_LIL</t>
        </is>
      </c>
      <c r="C1413" s="40" t="inlineStr">
        <is>
          <t>BAC_COM</t>
        </is>
      </c>
      <c r="D1413" s="40" t="inlineStr">
        <is>
          <t>B3</t>
        </is>
      </c>
      <c r="E1413" s="40" t="inlineStr">
        <is>
          <t>ALT</t>
        </is>
      </c>
      <c r="F1413" s="40" t="inlineStr">
        <is>
          <t>STA_REINS</t>
        </is>
      </c>
      <c r="G1413" s="39" t="inlineStr">
        <is>
          <t>Réinscrits</t>
        </is>
      </c>
      <c r="H1413" s="40" t="inlineStr">
        <is>
          <t>TECHNIQUE</t>
        </is>
      </c>
      <c r="I1413" s="41" t="inlineStr">
        <is>
          <t>2024ACT_VDEF</t>
        </is>
      </c>
      <c r="J1413" s="41" t="n">
        <v>2024</v>
      </c>
      <c r="K1413" s="41" t="inlineStr">
        <is>
          <t>NB</t>
        </is>
      </c>
      <c r="L1413" s="43" t="n">
        <v>36</v>
      </c>
    </row>
    <row r="1414">
      <c r="B1414" s="39" t="inlineStr">
        <is>
          <t>ISCOM_LIL</t>
        </is>
      </c>
      <c r="C1414" s="40" t="inlineStr">
        <is>
          <t>BAC_COM</t>
        </is>
      </c>
      <c r="D1414" s="40" t="inlineStr">
        <is>
          <t>B3</t>
        </is>
      </c>
      <c r="E1414" s="40" t="inlineStr">
        <is>
          <t>ALT</t>
        </is>
      </c>
      <c r="F1414" s="40" t="inlineStr">
        <is>
          <t>STA_REINS</t>
        </is>
      </c>
      <c r="G1414" s="39" t="inlineStr">
        <is>
          <t>Réinscrits</t>
        </is>
      </c>
      <c r="H1414" s="40" t="inlineStr">
        <is>
          <t>TECHNIQUE</t>
        </is>
      </c>
      <c r="I1414" s="41" t="inlineStr">
        <is>
          <t>2025FCST_V4</t>
        </is>
      </c>
      <c r="J1414" s="41" t="n">
        <v>2025</v>
      </c>
      <c r="K1414" s="41" t="inlineStr">
        <is>
          <t>NB</t>
        </is>
      </c>
      <c r="L1414" s="43" t="n">
        <v>38</v>
      </c>
    </row>
    <row r="1415">
      <c r="B1415" s="39" t="inlineStr">
        <is>
          <t>ISCOM_LIL</t>
        </is>
      </c>
      <c r="C1415" s="40" t="inlineStr">
        <is>
          <t>BAC_COM</t>
        </is>
      </c>
      <c r="D1415" s="40" t="inlineStr">
        <is>
          <t>B3</t>
        </is>
      </c>
      <c r="E1415" s="40" t="inlineStr">
        <is>
          <t>ALT</t>
        </is>
      </c>
      <c r="F1415" s="40" t="inlineStr">
        <is>
          <t>STA_CLASS</t>
        </is>
      </c>
      <c r="G1415" s="39" t="inlineStr">
        <is>
          <t>Nombre de classes</t>
        </is>
      </c>
      <c r="H1415" s="40" t="inlineStr">
        <is>
          <t>TECHNIQUE</t>
        </is>
      </c>
      <c r="I1415" s="41" t="inlineStr">
        <is>
          <t>2023ACT_VDEF</t>
        </is>
      </c>
      <c r="J1415" s="41" t="n">
        <v>2023</v>
      </c>
      <c r="K1415" s="41" t="inlineStr">
        <is>
          <t>NB</t>
        </is>
      </c>
      <c r="L1415" s="43" t="n">
        <v>2</v>
      </c>
    </row>
    <row r="1416">
      <c r="B1416" s="39" t="inlineStr">
        <is>
          <t>ISCOM_LIL</t>
        </is>
      </c>
      <c r="C1416" s="40" t="inlineStr">
        <is>
          <t>BAC_COM</t>
        </is>
      </c>
      <c r="D1416" s="40" t="inlineStr">
        <is>
          <t>B3</t>
        </is>
      </c>
      <c r="E1416" s="40" t="inlineStr">
        <is>
          <t>ALT</t>
        </is>
      </c>
      <c r="F1416" s="40" t="inlineStr">
        <is>
          <t>STA_CLASS</t>
        </is>
      </c>
      <c r="G1416" s="39" t="inlineStr">
        <is>
          <t>Nombre de classes</t>
        </is>
      </c>
      <c r="H1416" s="40" t="inlineStr">
        <is>
          <t>TECHNIQUE</t>
        </is>
      </c>
      <c r="I1416" s="41" t="inlineStr">
        <is>
          <t>2024ACT_VDEF</t>
        </is>
      </c>
      <c r="J1416" s="41" t="n">
        <v>2024</v>
      </c>
      <c r="K1416" s="41" t="inlineStr">
        <is>
          <t>NB</t>
        </is>
      </c>
      <c r="L1416" s="43" t="n">
        <v>2</v>
      </c>
    </row>
    <row r="1417">
      <c r="B1417" s="39" t="inlineStr">
        <is>
          <t>ISCOM_LIL</t>
        </is>
      </c>
      <c r="C1417" s="40" t="inlineStr">
        <is>
          <t>BAC_COM</t>
        </is>
      </c>
      <c r="D1417" s="40" t="inlineStr">
        <is>
          <t>B3</t>
        </is>
      </c>
      <c r="E1417" s="40" t="inlineStr">
        <is>
          <t>ALT</t>
        </is>
      </c>
      <c r="F1417" s="40" t="inlineStr">
        <is>
          <t>STA_CLASS</t>
        </is>
      </c>
      <c r="G1417" s="39" t="inlineStr">
        <is>
          <t>Nombre de classes</t>
        </is>
      </c>
      <c r="H1417" s="40" t="inlineStr">
        <is>
          <t>TECHNIQUE</t>
        </is>
      </c>
      <c r="I1417" s="41" t="inlineStr">
        <is>
          <t>2025FCST_V4</t>
        </is>
      </c>
      <c r="J1417" s="41" t="n">
        <v>2025</v>
      </c>
      <c r="K1417" s="41" t="inlineStr">
        <is>
          <t>NB</t>
        </is>
      </c>
      <c r="L1417" s="43" t="n">
        <v>2</v>
      </c>
    </row>
    <row r="1418">
      <c r="B1418" s="39" t="inlineStr">
        <is>
          <t>ISCOM_LIL</t>
        </is>
      </c>
      <c r="C1418" s="40" t="inlineStr">
        <is>
          <t>BAC_COM</t>
        </is>
      </c>
      <c r="D1418" s="40" t="inlineStr">
        <is>
          <t>B3</t>
        </is>
      </c>
      <c r="E1418" s="40" t="inlineStr">
        <is>
          <t>ALT</t>
        </is>
      </c>
      <c r="F1418" s="40" t="inlineStr">
        <is>
          <t>STA_HEURE</t>
        </is>
      </c>
      <c r="G1418" s="39" t="inlineStr">
        <is>
          <t>Heures d'enseignement</t>
        </is>
      </c>
      <c r="H1418" s="40" t="inlineStr">
        <is>
          <t>TECHNIQUE</t>
        </is>
      </c>
      <c r="I1418" s="41" t="inlineStr">
        <is>
          <t>2023ACT_VDEF</t>
        </is>
      </c>
      <c r="J1418" s="41" t="n">
        <v>2023</v>
      </c>
      <c r="K1418" s="41" t="inlineStr">
        <is>
          <t>NB</t>
        </is>
      </c>
      <c r="L1418" s="43" t="n">
        <v>936</v>
      </c>
    </row>
    <row r="1419">
      <c r="B1419" s="39" t="inlineStr">
        <is>
          <t>ISCOM_LIL</t>
        </is>
      </c>
      <c r="C1419" s="40" t="inlineStr">
        <is>
          <t>BAC_COM</t>
        </is>
      </c>
      <c r="D1419" s="40" t="inlineStr">
        <is>
          <t>B3</t>
        </is>
      </c>
      <c r="E1419" s="40" t="inlineStr">
        <is>
          <t>ALT</t>
        </is>
      </c>
      <c r="F1419" s="40" t="inlineStr">
        <is>
          <t>STA_HEURE</t>
        </is>
      </c>
      <c r="G1419" s="39" t="inlineStr">
        <is>
          <t>Heures d'enseignement</t>
        </is>
      </c>
      <c r="H1419" s="40" t="inlineStr">
        <is>
          <t>TECHNIQUE</t>
        </is>
      </c>
      <c r="I1419" s="41" t="inlineStr">
        <is>
          <t>2024ACT_VDEF</t>
        </is>
      </c>
      <c r="J1419" s="41" t="n">
        <v>2024</v>
      </c>
      <c r="K1419" s="41" t="inlineStr">
        <is>
          <t>NB</t>
        </is>
      </c>
      <c r="L1419" s="43" t="n">
        <v>988</v>
      </c>
    </row>
    <row r="1420">
      <c r="B1420" s="39" t="inlineStr">
        <is>
          <t>ISCOM_LIL</t>
        </is>
      </c>
      <c r="C1420" s="40" t="inlineStr">
        <is>
          <t>BAC_COM</t>
        </is>
      </c>
      <c r="D1420" s="40" t="inlineStr">
        <is>
          <t>B3</t>
        </is>
      </c>
      <c r="E1420" s="40" t="inlineStr">
        <is>
          <t>ALT</t>
        </is>
      </c>
      <c r="F1420" s="40" t="inlineStr">
        <is>
          <t>STA_HEURE</t>
        </is>
      </c>
      <c r="G1420" s="39" t="inlineStr">
        <is>
          <t>Heures d'enseignement</t>
        </is>
      </c>
      <c r="H1420" s="40" t="inlineStr">
        <is>
          <t>TECHNIQUE</t>
        </is>
      </c>
      <c r="I1420" s="41" t="inlineStr">
        <is>
          <t>2025FCST_V4</t>
        </is>
      </c>
      <c r="J1420" s="41" t="n">
        <v>2025</v>
      </c>
      <c r="K1420" s="41" t="inlineStr">
        <is>
          <t>NB</t>
        </is>
      </c>
      <c r="L1420" s="43" t="n">
        <v>1040</v>
      </c>
    </row>
    <row r="1421">
      <c r="B1421" s="39" t="inlineStr">
        <is>
          <t>ISCOM_LIL</t>
        </is>
      </c>
      <c r="C1421" s="40" t="inlineStr">
        <is>
          <t>BAC_COM</t>
        </is>
      </c>
      <c r="D1421" s="40" t="inlineStr">
        <is>
          <t>B3</t>
        </is>
      </c>
      <c r="E1421" s="40" t="inlineStr">
        <is>
          <t>ALT</t>
        </is>
      </c>
      <c r="F1421" s="40" t="inlineStr">
        <is>
          <t>STA_CAPA</t>
        </is>
      </c>
      <c r="G1421" s="39" t="inlineStr">
        <is>
          <t>Capacité par classe</t>
        </is>
      </c>
      <c r="H1421" s="40" t="inlineStr">
        <is>
          <t>TECHNIQUE</t>
        </is>
      </c>
      <c r="I1421" s="41" t="inlineStr">
        <is>
          <t>2023ACT_VDEF</t>
        </is>
      </c>
      <c r="J1421" s="41" t="n">
        <v>2023</v>
      </c>
      <c r="K1421" s="41" t="inlineStr">
        <is>
          <t>NB</t>
        </is>
      </c>
      <c r="L1421" s="43" t="n">
        <v>32</v>
      </c>
    </row>
    <row r="1422">
      <c r="B1422" s="39" t="inlineStr">
        <is>
          <t>ISCOM_LIL</t>
        </is>
      </c>
      <c r="C1422" s="40" t="inlineStr">
        <is>
          <t>BAC_COM</t>
        </is>
      </c>
      <c r="D1422" s="40" t="inlineStr">
        <is>
          <t>B3</t>
        </is>
      </c>
      <c r="E1422" s="40" t="inlineStr">
        <is>
          <t>ALT</t>
        </is>
      </c>
      <c r="F1422" s="40" t="inlineStr">
        <is>
          <t>STA_CAPA</t>
        </is>
      </c>
      <c r="G1422" s="39" t="inlineStr">
        <is>
          <t>Capacité par classe</t>
        </is>
      </c>
      <c r="H1422" s="40" t="inlineStr">
        <is>
          <t>TECHNIQUE</t>
        </is>
      </c>
      <c r="I1422" s="41" t="inlineStr">
        <is>
          <t>2024ACT_VDEF</t>
        </is>
      </c>
      <c r="J1422" s="41" t="n">
        <v>2024</v>
      </c>
      <c r="K1422" s="41" t="inlineStr">
        <is>
          <t>NB</t>
        </is>
      </c>
      <c r="L1422" s="43" t="n">
        <v>32</v>
      </c>
    </row>
    <row r="1423">
      <c r="B1423" s="39" t="inlineStr">
        <is>
          <t>ISCOM_LIL</t>
        </is>
      </c>
      <c r="C1423" s="40" t="inlineStr">
        <is>
          <t>BAC_COM</t>
        </is>
      </c>
      <c r="D1423" s="40" t="inlineStr">
        <is>
          <t>B3</t>
        </is>
      </c>
      <c r="E1423" s="40" t="inlineStr">
        <is>
          <t>ALT</t>
        </is>
      </c>
      <c r="F1423" s="40" t="inlineStr">
        <is>
          <t>STA_CAPA</t>
        </is>
      </c>
      <c r="G1423" s="39" t="inlineStr">
        <is>
          <t>Capacité par classe</t>
        </is>
      </c>
      <c r="H1423" s="40" t="inlineStr">
        <is>
          <t>TECHNIQUE</t>
        </is>
      </c>
      <c r="I1423" s="41" t="inlineStr">
        <is>
          <t>2025FCST_V4</t>
        </is>
      </c>
      <c r="J1423" s="41" t="n">
        <v>2025</v>
      </c>
      <c r="K1423" s="41" t="inlineStr">
        <is>
          <t>NB</t>
        </is>
      </c>
      <c r="L1423" s="43" t="n">
        <v>32</v>
      </c>
    </row>
    <row r="1424">
      <c r="B1424" s="39" t="inlineStr">
        <is>
          <t>ISCOM_LIL</t>
        </is>
      </c>
      <c r="C1424" s="40" t="inlineStr">
        <is>
          <t>BAC_COM</t>
        </is>
      </c>
      <c r="D1424" s="40" t="inlineStr">
        <is>
          <t>B3</t>
        </is>
      </c>
      <c r="E1424" s="40" t="inlineStr">
        <is>
          <t>ALT</t>
        </is>
      </c>
      <c r="F1424" s="40" t="inlineStr">
        <is>
          <t>DRV_PASS</t>
        </is>
      </c>
      <c r="G1424" s="39" t="inlineStr">
        <is>
          <t>Taux de passage (réinscription)</t>
        </is>
      </c>
      <c r="H1424" s="40" t="inlineStr">
        <is>
          <t>TECHNIQUE</t>
        </is>
      </c>
      <c r="I1424" s="41" t="inlineStr">
        <is>
          <t>2023ACT_VDEF</t>
        </is>
      </c>
      <c r="J1424" s="41" t="n">
        <v>2023</v>
      </c>
      <c r="K1424" s="41" t="inlineStr">
        <is>
          <t>PCT</t>
        </is>
      </c>
      <c r="L1424" s="44" t="n">
        <v>0.95</v>
      </c>
    </row>
    <row r="1425">
      <c r="B1425" s="39" t="inlineStr">
        <is>
          <t>ISCOM_LIL</t>
        </is>
      </c>
      <c r="C1425" s="40" t="inlineStr">
        <is>
          <t>BAC_COM</t>
        </is>
      </c>
      <c r="D1425" s="40" t="inlineStr">
        <is>
          <t>B3</t>
        </is>
      </c>
      <c r="E1425" s="40" t="inlineStr">
        <is>
          <t>ALT</t>
        </is>
      </c>
      <c r="F1425" s="40" t="inlineStr">
        <is>
          <t>DRV_PASS</t>
        </is>
      </c>
      <c r="G1425" s="39" t="inlineStr">
        <is>
          <t>Taux de passage (réinscription)</t>
        </is>
      </c>
      <c r="H1425" s="40" t="inlineStr">
        <is>
          <t>TECHNIQUE</t>
        </is>
      </c>
      <c r="I1425" s="41" t="inlineStr">
        <is>
          <t>2024ACT_VDEF</t>
        </is>
      </c>
      <c r="J1425" s="41" t="n">
        <v>2024</v>
      </c>
      <c r="K1425" s="41" t="inlineStr">
        <is>
          <t>PCT</t>
        </is>
      </c>
      <c r="L1425" s="44" t="n">
        <v>0.95</v>
      </c>
    </row>
    <row r="1426">
      <c r="B1426" s="39" t="inlineStr">
        <is>
          <t>ISCOM_LIL</t>
        </is>
      </c>
      <c r="C1426" s="40" t="inlineStr">
        <is>
          <t>BAC_COM</t>
        </is>
      </c>
      <c r="D1426" s="40" t="inlineStr">
        <is>
          <t>B3</t>
        </is>
      </c>
      <c r="E1426" s="40" t="inlineStr">
        <is>
          <t>ALT</t>
        </is>
      </c>
      <c r="F1426" s="40" t="inlineStr">
        <is>
          <t>DRV_PASS</t>
        </is>
      </c>
      <c r="G1426" s="39" t="inlineStr">
        <is>
          <t>Taux de passage (réinscription)</t>
        </is>
      </c>
      <c r="H1426" s="40" t="inlineStr">
        <is>
          <t>TECHNIQUE</t>
        </is>
      </c>
      <c r="I1426" s="41" t="inlineStr">
        <is>
          <t>2025FCST_V4</t>
        </is>
      </c>
      <c r="J1426" s="41" t="n">
        <v>2025</v>
      </c>
      <c r="K1426" s="41" t="inlineStr">
        <is>
          <t>PCT</t>
        </is>
      </c>
      <c r="L1426" s="44" t="n">
        <v>0.95</v>
      </c>
    </row>
    <row r="1427">
      <c r="B1427" s="39" t="inlineStr">
        <is>
          <t>ISCOM_LIL</t>
        </is>
      </c>
      <c r="C1427" s="40" t="inlineStr">
        <is>
          <t>BAC_COM</t>
        </is>
      </c>
      <c r="D1427" s="40" t="inlineStr">
        <is>
          <t>B3</t>
        </is>
      </c>
      <c r="E1427" s="40" t="inlineStr">
        <is>
          <t>ALT</t>
        </is>
      </c>
      <c r="F1427" s="40" t="inlineStr">
        <is>
          <t>PRX_TARIF</t>
        </is>
      </c>
      <c r="G1427" s="39" t="inlineStr">
        <is>
          <t>Tarif moyen scolarité</t>
        </is>
      </c>
      <c r="H1427" s="40" t="inlineStr">
        <is>
          <t>TECHNIQUE</t>
        </is>
      </c>
      <c r="I1427" s="41" t="inlineStr">
        <is>
          <t>2023ACT_VDEF</t>
        </is>
      </c>
      <c r="J1427" s="41" t="n">
        <v>2023</v>
      </c>
      <c r="K1427" s="41" t="inlineStr">
        <is>
          <t>EUR</t>
        </is>
      </c>
      <c r="L1427" s="42" t="n">
        <v>8000</v>
      </c>
    </row>
    <row r="1428">
      <c r="B1428" s="39" t="inlineStr">
        <is>
          <t>ISCOM_LIL</t>
        </is>
      </c>
      <c r="C1428" s="40" t="inlineStr">
        <is>
          <t>BAC_COM</t>
        </is>
      </c>
      <c r="D1428" s="40" t="inlineStr">
        <is>
          <t>B3</t>
        </is>
      </c>
      <c r="E1428" s="40" t="inlineStr">
        <is>
          <t>ALT</t>
        </is>
      </c>
      <c r="F1428" s="40" t="inlineStr">
        <is>
          <t>PRX_TARIF</t>
        </is>
      </c>
      <c r="G1428" s="39" t="inlineStr">
        <is>
          <t>Tarif moyen scolarité</t>
        </is>
      </c>
      <c r="H1428" s="40" t="inlineStr">
        <is>
          <t>TECHNIQUE</t>
        </is>
      </c>
      <c r="I1428" s="41" t="inlineStr">
        <is>
          <t>2024ACT_VDEF</t>
        </is>
      </c>
      <c r="J1428" s="41" t="n">
        <v>2024</v>
      </c>
      <c r="K1428" s="41" t="inlineStr">
        <is>
          <t>EUR</t>
        </is>
      </c>
      <c r="L1428" s="42" t="n">
        <v>8000</v>
      </c>
    </row>
    <row r="1429">
      <c r="B1429" s="39" t="inlineStr">
        <is>
          <t>ISCOM_LIL</t>
        </is>
      </c>
      <c r="C1429" s="40" t="inlineStr">
        <is>
          <t>BAC_COM</t>
        </is>
      </c>
      <c r="D1429" s="40" t="inlineStr">
        <is>
          <t>B3</t>
        </is>
      </c>
      <c r="E1429" s="40" t="inlineStr">
        <is>
          <t>ALT</t>
        </is>
      </c>
      <c r="F1429" s="40" t="inlineStr">
        <is>
          <t>PRX_TARIF</t>
        </is>
      </c>
      <c r="G1429" s="39" t="inlineStr">
        <is>
          <t>Tarif moyen scolarité</t>
        </is>
      </c>
      <c r="H1429" s="40" t="inlineStr">
        <is>
          <t>TECHNIQUE</t>
        </is>
      </c>
      <c r="I1429" s="41" t="inlineStr">
        <is>
          <t>2025FCST_V4</t>
        </is>
      </c>
      <c r="J1429" s="41" t="n">
        <v>2025</v>
      </c>
      <c r="K1429" s="41" t="inlineStr">
        <is>
          <t>EUR</t>
        </is>
      </c>
      <c r="L1429" s="42" t="n">
        <v>8000</v>
      </c>
    </row>
    <row r="1430">
      <c r="B1430" s="39" t="inlineStr">
        <is>
          <t>ISCOM_LIL</t>
        </is>
      </c>
      <c r="C1430" s="40" t="inlineStr">
        <is>
          <t>MAS_COM</t>
        </is>
      </c>
      <c r="D1430" s="40" t="inlineStr">
        <is>
          <t>M1</t>
        </is>
      </c>
      <c r="E1430" s="40" t="inlineStr">
        <is>
          <t>ALT</t>
        </is>
      </c>
      <c r="F1430" s="40" t="inlineStr">
        <is>
          <t>706100</t>
        </is>
      </c>
      <c r="G1430" s="39" t="inlineStr">
        <is>
          <t>Droits de scolarité</t>
        </is>
      </c>
      <c r="H1430" s="40" t="inlineStr">
        <is>
          <t>COMPTABLE</t>
        </is>
      </c>
      <c r="I1430" s="41" t="inlineStr">
        <is>
          <t>2023ACT_VDEF</t>
        </is>
      </c>
      <c r="J1430" s="41" t="n">
        <v>2023</v>
      </c>
      <c r="K1430" s="41" t="inlineStr">
        <is>
          <t>EUR</t>
        </is>
      </c>
      <c r="L1430" s="42" t="n">
        <v>243000</v>
      </c>
    </row>
    <row r="1431">
      <c r="B1431" s="39" t="inlineStr">
        <is>
          <t>ISCOM_LIL</t>
        </is>
      </c>
      <c r="C1431" s="40" t="inlineStr">
        <is>
          <t>MAS_COM</t>
        </is>
      </c>
      <c r="D1431" s="40" t="inlineStr">
        <is>
          <t>M1</t>
        </is>
      </c>
      <c r="E1431" s="40" t="inlineStr">
        <is>
          <t>ALT</t>
        </is>
      </c>
      <c r="F1431" s="40" t="inlineStr">
        <is>
          <t>706100</t>
        </is>
      </c>
      <c r="G1431" s="39" t="inlineStr">
        <is>
          <t>Droits de scolarité</t>
        </is>
      </c>
      <c r="H1431" s="40" t="inlineStr">
        <is>
          <t>COMPTABLE</t>
        </is>
      </c>
      <c r="I1431" s="41" t="inlineStr">
        <is>
          <t>2024ACT_VDEF</t>
        </is>
      </c>
      <c r="J1431" s="41" t="n">
        <v>2024</v>
      </c>
      <c r="K1431" s="41" t="inlineStr">
        <is>
          <t>EUR</t>
        </is>
      </c>
      <c r="L1431" s="42" t="n">
        <v>256500</v>
      </c>
    </row>
    <row r="1432">
      <c r="B1432" s="39" t="inlineStr">
        <is>
          <t>ISCOM_LIL</t>
        </is>
      </c>
      <c r="C1432" s="40" t="inlineStr">
        <is>
          <t>MAS_COM</t>
        </is>
      </c>
      <c r="D1432" s="40" t="inlineStr">
        <is>
          <t>M1</t>
        </is>
      </c>
      <c r="E1432" s="40" t="inlineStr">
        <is>
          <t>ALT</t>
        </is>
      </c>
      <c r="F1432" s="40" t="inlineStr">
        <is>
          <t>706100</t>
        </is>
      </c>
      <c r="G1432" s="39" t="inlineStr">
        <is>
          <t>Droits de scolarité</t>
        </is>
      </c>
      <c r="H1432" s="40" t="inlineStr">
        <is>
          <t>COMPTABLE</t>
        </is>
      </c>
      <c r="I1432" s="41" t="inlineStr">
        <is>
          <t>2025FCST_V4</t>
        </is>
      </c>
      <c r="J1432" s="41" t="n">
        <v>2025</v>
      </c>
      <c r="K1432" s="41" t="inlineStr">
        <is>
          <t>EUR</t>
        </is>
      </c>
      <c r="L1432" s="42" t="n">
        <v>270000</v>
      </c>
    </row>
    <row r="1433">
      <c r="B1433" s="39" t="inlineStr">
        <is>
          <t>ISCOM_LIL</t>
        </is>
      </c>
      <c r="C1433" s="40" t="inlineStr">
        <is>
          <t>MAS_COM</t>
        </is>
      </c>
      <c r="D1433" s="40" t="inlineStr">
        <is>
          <t>M1</t>
        </is>
      </c>
      <c r="E1433" s="40" t="inlineStr">
        <is>
          <t>ALT</t>
        </is>
      </c>
      <c r="F1433" s="40" t="inlineStr">
        <is>
          <t>708500</t>
        </is>
      </c>
      <c r="G1433" s="39" t="inlineStr">
        <is>
          <t>Frais de dossier / inscription</t>
        </is>
      </c>
      <c r="H1433" s="40" t="inlineStr">
        <is>
          <t>COMPTABLE</t>
        </is>
      </c>
      <c r="I1433" s="41" t="inlineStr">
        <is>
          <t>2023ACT_VDEF</t>
        </is>
      </c>
      <c r="J1433" s="41" t="n">
        <v>2023</v>
      </c>
      <c r="K1433" s="41" t="inlineStr">
        <is>
          <t>EUR</t>
        </is>
      </c>
      <c r="L1433" s="42" t="n">
        <v>2430</v>
      </c>
    </row>
    <row r="1434">
      <c r="B1434" s="39" t="inlineStr">
        <is>
          <t>ISCOM_LIL</t>
        </is>
      </c>
      <c r="C1434" s="40" t="inlineStr">
        <is>
          <t>MAS_COM</t>
        </is>
      </c>
      <c r="D1434" s="40" t="inlineStr">
        <is>
          <t>M1</t>
        </is>
      </c>
      <c r="E1434" s="40" t="inlineStr">
        <is>
          <t>ALT</t>
        </is>
      </c>
      <c r="F1434" s="40" t="inlineStr">
        <is>
          <t>708500</t>
        </is>
      </c>
      <c r="G1434" s="39" t="inlineStr">
        <is>
          <t>Frais de dossier / inscription</t>
        </is>
      </c>
      <c r="H1434" s="40" t="inlineStr">
        <is>
          <t>COMPTABLE</t>
        </is>
      </c>
      <c r="I1434" s="41" t="inlineStr">
        <is>
          <t>2024ACT_VDEF</t>
        </is>
      </c>
      <c r="J1434" s="41" t="n">
        <v>2024</v>
      </c>
      <c r="K1434" s="41" t="inlineStr">
        <is>
          <t>EUR</t>
        </is>
      </c>
      <c r="L1434" s="42" t="n">
        <v>2565</v>
      </c>
    </row>
    <row r="1435">
      <c r="B1435" s="39" t="inlineStr">
        <is>
          <t>ISCOM_LIL</t>
        </is>
      </c>
      <c r="C1435" s="40" t="inlineStr">
        <is>
          <t>MAS_COM</t>
        </is>
      </c>
      <c r="D1435" s="40" t="inlineStr">
        <is>
          <t>M1</t>
        </is>
      </c>
      <c r="E1435" s="40" t="inlineStr">
        <is>
          <t>ALT</t>
        </is>
      </c>
      <c r="F1435" s="40" t="inlineStr">
        <is>
          <t>708500</t>
        </is>
      </c>
      <c r="G1435" s="39" t="inlineStr">
        <is>
          <t>Frais de dossier / inscription</t>
        </is>
      </c>
      <c r="H1435" s="40" t="inlineStr">
        <is>
          <t>COMPTABLE</t>
        </is>
      </c>
      <c r="I1435" s="41" t="inlineStr">
        <is>
          <t>2025FCST_V4</t>
        </is>
      </c>
      <c r="J1435" s="41" t="n">
        <v>2025</v>
      </c>
      <c r="K1435" s="41" t="inlineStr">
        <is>
          <t>EUR</t>
        </is>
      </c>
      <c r="L1435" s="42" t="n">
        <v>2700</v>
      </c>
    </row>
    <row r="1436">
      <c r="B1436" s="39" t="inlineStr">
        <is>
          <t>ISCOM_LIL</t>
        </is>
      </c>
      <c r="C1436" s="40" t="inlineStr">
        <is>
          <t>MAS_COM</t>
        </is>
      </c>
      <c r="D1436" s="40" t="inlineStr">
        <is>
          <t>M1</t>
        </is>
      </c>
      <c r="E1436" s="40" t="inlineStr">
        <is>
          <t>ALT</t>
        </is>
      </c>
      <c r="F1436" s="40" t="inlineStr">
        <is>
          <t>604100</t>
        </is>
      </c>
      <c r="G1436" s="39" t="inlineStr">
        <is>
          <t>Vacations &amp; sous-traitance pédagogique</t>
        </is>
      </c>
      <c r="H1436" s="40" t="inlineStr">
        <is>
          <t>COMPTABLE</t>
        </is>
      </c>
      <c r="I1436" s="41" t="inlineStr">
        <is>
          <t>2023ACT_VDEF</t>
        </is>
      </c>
      <c r="J1436" s="41" t="n">
        <v>2023</v>
      </c>
      <c r="K1436" s="41" t="inlineStr">
        <is>
          <t>EUR</t>
        </is>
      </c>
      <c r="L1436" s="42" t="n">
        <v>63936</v>
      </c>
    </row>
    <row r="1437">
      <c r="B1437" s="39" t="inlineStr">
        <is>
          <t>ISCOM_LIL</t>
        </is>
      </c>
      <c r="C1437" s="40" t="inlineStr">
        <is>
          <t>MAS_COM</t>
        </is>
      </c>
      <c r="D1437" s="40" t="inlineStr">
        <is>
          <t>M1</t>
        </is>
      </c>
      <c r="E1437" s="40" t="inlineStr">
        <is>
          <t>ALT</t>
        </is>
      </c>
      <c r="F1437" s="40" t="inlineStr">
        <is>
          <t>604100</t>
        </is>
      </c>
      <c r="G1437" s="39" t="inlineStr">
        <is>
          <t>Vacations &amp; sous-traitance pédagogique</t>
        </is>
      </c>
      <c r="H1437" s="40" t="inlineStr">
        <is>
          <t>COMPTABLE</t>
        </is>
      </c>
      <c r="I1437" s="41" t="inlineStr">
        <is>
          <t>2024ACT_VDEF</t>
        </is>
      </c>
      <c r="J1437" s="41" t="n">
        <v>2024</v>
      </c>
      <c r="K1437" s="41" t="inlineStr">
        <is>
          <t>EUR</t>
        </is>
      </c>
      <c r="L1437" s="42" t="n">
        <v>67488</v>
      </c>
    </row>
    <row r="1438">
      <c r="B1438" s="39" t="inlineStr">
        <is>
          <t>ISCOM_LIL</t>
        </is>
      </c>
      <c r="C1438" s="40" t="inlineStr">
        <is>
          <t>MAS_COM</t>
        </is>
      </c>
      <c r="D1438" s="40" t="inlineStr">
        <is>
          <t>M1</t>
        </is>
      </c>
      <c r="E1438" s="40" t="inlineStr">
        <is>
          <t>ALT</t>
        </is>
      </c>
      <c r="F1438" s="40" t="inlineStr">
        <is>
          <t>604100</t>
        </is>
      </c>
      <c r="G1438" s="39" t="inlineStr">
        <is>
          <t>Vacations &amp; sous-traitance pédagogique</t>
        </is>
      </c>
      <c r="H1438" s="40" t="inlineStr">
        <is>
          <t>COMPTABLE</t>
        </is>
      </c>
      <c r="I1438" s="41" t="inlineStr">
        <is>
          <t>2025FCST_V4</t>
        </is>
      </c>
      <c r="J1438" s="41" t="n">
        <v>2025</v>
      </c>
      <c r="K1438" s="41" t="inlineStr">
        <is>
          <t>EUR</t>
        </is>
      </c>
      <c r="L1438" s="42" t="n">
        <v>71040</v>
      </c>
    </row>
    <row r="1439">
      <c r="B1439" s="39" t="inlineStr">
        <is>
          <t>ISCOM_LIL</t>
        </is>
      </c>
      <c r="C1439" s="40" t="inlineStr">
        <is>
          <t>MAS_COM</t>
        </is>
      </c>
      <c r="D1439" s="40" t="inlineStr">
        <is>
          <t>M1</t>
        </is>
      </c>
      <c r="E1439" s="40" t="inlineStr">
        <is>
          <t>ALT</t>
        </is>
      </c>
      <c r="F1439" s="40" t="inlineStr">
        <is>
          <t>606300</t>
        </is>
      </c>
      <c r="G1439" s="39" t="inlineStr">
        <is>
          <t>Fournitures &amp; ressources pédagogiques</t>
        </is>
      </c>
      <c r="H1439" s="40" t="inlineStr">
        <is>
          <t>COMPTABLE</t>
        </is>
      </c>
      <c r="I1439" s="41" t="inlineStr">
        <is>
          <t>2023ACT_VDEF</t>
        </is>
      </c>
      <c r="J1439" s="41" t="n">
        <v>2023</v>
      </c>
      <c r="K1439" s="41" t="inlineStr">
        <is>
          <t>EUR</t>
        </is>
      </c>
      <c r="L1439" s="42" t="n">
        <v>18090</v>
      </c>
    </row>
    <row r="1440">
      <c r="B1440" s="39" t="inlineStr">
        <is>
          <t>ISCOM_LIL</t>
        </is>
      </c>
      <c r="C1440" s="40" t="inlineStr">
        <is>
          <t>MAS_COM</t>
        </is>
      </c>
      <c r="D1440" s="40" t="inlineStr">
        <is>
          <t>M1</t>
        </is>
      </c>
      <c r="E1440" s="40" t="inlineStr">
        <is>
          <t>ALT</t>
        </is>
      </c>
      <c r="F1440" s="40" t="inlineStr">
        <is>
          <t>606300</t>
        </is>
      </c>
      <c r="G1440" s="39" t="inlineStr">
        <is>
          <t>Fournitures &amp; ressources pédagogiques</t>
        </is>
      </c>
      <c r="H1440" s="40" t="inlineStr">
        <is>
          <t>COMPTABLE</t>
        </is>
      </c>
      <c r="I1440" s="41" t="inlineStr">
        <is>
          <t>2024ACT_VDEF</t>
        </is>
      </c>
      <c r="J1440" s="41" t="n">
        <v>2024</v>
      </c>
      <c r="K1440" s="41" t="inlineStr">
        <is>
          <t>EUR</t>
        </is>
      </c>
      <c r="L1440" s="42" t="n">
        <v>19095</v>
      </c>
    </row>
    <row r="1441">
      <c r="B1441" s="39" t="inlineStr">
        <is>
          <t>ISCOM_LIL</t>
        </is>
      </c>
      <c r="C1441" s="40" t="inlineStr">
        <is>
          <t>MAS_COM</t>
        </is>
      </c>
      <c r="D1441" s="40" t="inlineStr">
        <is>
          <t>M1</t>
        </is>
      </c>
      <c r="E1441" s="40" t="inlineStr">
        <is>
          <t>ALT</t>
        </is>
      </c>
      <c r="F1441" s="40" t="inlineStr">
        <is>
          <t>606300</t>
        </is>
      </c>
      <c r="G1441" s="39" t="inlineStr">
        <is>
          <t>Fournitures &amp; ressources pédagogiques</t>
        </is>
      </c>
      <c r="H1441" s="40" t="inlineStr">
        <is>
          <t>COMPTABLE</t>
        </is>
      </c>
      <c r="I1441" s="41" t="inlineStr">
        <is>
          <t>2025FCST_V4</t>
        </is>
      </c>
      <c r="J1441" s="41" t="n">
        <v>2025</v>
      </c>
      <c r="K1441" s="41" t="inlineStr">
        <is>
          <t>EUR</t>
        </is>
      </c>
      <c r="L1441" s="42" t="n">
        <v>20100</v>
      </c>
    </row>
    <row r="1442">
      <c r="B1442" s="39" t="inlineStr">
        <is>
          <t>ISCOM_LIL</t>
        </is>
      </c>
      <c r="C1442" s="40" t="inlineStr">
        <is>
          <t>MAS_COM</t>
        </is>
      </c>
      <c r="D1442" s="40" t="inlineStr">
        <is>
          <t>M1</t>
        </is>
      </c>
      <c r="E1442" s="40" t="inlineStr">
        <is>
          <t>ALT</t>
        </is>
      </c>
      <c r="F1442" s="40" t="inlineStr">
        <is>
          <t>623000</t>
        </is>
      </c>
      <c r="G1442" s="39" t="inlineStr">
        <is>
          <t>Publicité &amp; marketing (acquisition)</t>
        </is>
      </c>
      <c r="H1442" s="40" t="inlineStr">
        <is>
          <t>COMPTABLE</t>
        </is>
      </c>
      <c r="I1442" s="41" t="inlineStr">
        <is>
          <t>2023ACT_VDEF</t>
        </is>
      </c>
      <c r="J1442" s="41" t="n">
        <v>2023</v>
      </c>
      <c r="K1442" s="41" t="inlineStr">
        <is>
          <t>EUR</t>
        </is>
      </c>
      <c r="L1442" s="42" t="n">
        <v>16200</v>
      </c>
    </row>
    <row r="1443">
      <c r="B1443" s="39" t="inlineStr">
        <is>
          <t>ISCOM_LIL</t>
        </is>
      </c>
      <c r="C1443" s="40" t="inlineStr">
        <is>
          <t>MAS_COM</t>
        </is>
      </c>
      <c r="D1443" s="40" t="inlineStr">
        <is>
          <t>M1</t>
        </is>
      </c>
      <c r="E1443" s="40" t="inlineStr">
        <is>
          <t>ALT</t>
        </is>
      </c>
      <c r="F1443" s="40" t="inlineStr">
        <is>
          <t>623000</t>
        </is>
      </c>
      <c r="G1443" s="39" t="inlineStr">
        <is>
          <t>Publicité &amp; marketing (acquisition)</t>
        </is>
      </c>
      <c r="H1443" s="40" t="inlineStr">
        <is>
          <t>COMPTABLE</t>
        </is>
      </c>
      <c r="I1443" s="41" t="inlineStr">
        <is>
          <t>2024ACT_VDEF</t>
        </is>
      </c>
      <c r="J1443" s="41" t="n">
        <v>2024</v>
      </c>
      <c r="K1443" s="41" t="inlineStr">
        <is>
          <t>EUR</t>
        </is>
      </c>
      <c r="L1443" s="42" t="n">
        <v>17100</v>
      </c>
    </row>
    <row r="1444">
      <c r="B1444" s="39" t="inlineStr">
        <is>
          <t>ISCOM_LIL</t>
        </is>
      </c>
      <c r="C1444" s="40" t="inlineStr">
        <is>
          <t>MAS_COM</t>
        </is>
      </c>
      <c r="D1444" s="40" t="inlineStr">
        <is>
          <t>M1</t>
        </is>
      </c>
      <c r="E1444" s="40" t="inlineStr">
        <is>
          <t>ALT</t>
        </is>
      </c>
      <c r="F1444" s="40" t="inlineStr">
        <is>
          <t>623000</t>
        </is>
      </c>
      <c r="G1444" s="39" t="inlineStr">
        <is>
          <t>Publicité &amp; marketing (acquisition)</t>
        </is>
      </c>
      <c r="H1444" s="40" t="inlineStr">
        <is>
          <t>COMPTABLE</t>
        </is>
      </c>
      <c r="I1444" s="41" t="inlineStr">
        <is>
          <t>2025FCST_V4</t>
        </is>
      </c>
      <c r="J1444" s="41" t="n">
        <v>2025</v>
      </c>
      <c r="K1444" s="41" t="inlineStr">
        <is>
          <t>EUR</t>
        </is>
      </c>
      <c r="L1444" s="42" t="n">
        <v>18000</v>
      </c>
    </row>
    <row r="1445">
      <c r="B1445" s="39" t="inlineStr">
        <is>
          <t>ISCOM_LIL</t>
        </is>
      </c>
      <c r="C1445" s="40" t="inlineStr">
        <is>
          <t>MAS_COM</t>
        </is>
      </c>
      <c r="D1445" s="40" t="inlineStr">
        <is>
          <t>M1</t>
        </is>
      </c>
      <c r="E1445" s="40" t="inlineStr">
        <is>
          <t>ALT</t>
        </is>
      </c>
      <c r="F1445" s="40" t="inlineStr">
        <is>
          <t>613200</t>
        </is>
      </c>
      <c r="G1445" s="39" t="inlineStr">
        <is>
          <t>Locations immobilières (loyers)</t>
        </is>
      </c>
      <c r="H1445" s="40" t="inlineStr">
        <is>
          <t>COMPTABLE</t>
        </is>
      </c>
      <c r="I1445" s="41" t="inlineStr">
        <is>
          <t>2023ACT_VDEF</t>
        </is>
      </c>
      <c r="J1445" s="41" t="n">
        <v>2023</v>
      </c>
      <c r="K1445" s="41" t="inlineStr">
        <is>
          <t>EUR</t>
        </is>
      </c>
      <c r="L1445" s="42" t="n">
        <v>31320</v>
      </c>
    </row>
    <row r="1446">
      <c r="B1446" s="39" t="inlineStr">
        <is>
          <t>ISCOM_LIL</t>
        </is>
      </c>
      <c r="C1446" s="40" t="inlineStr">
        <is>
          <t>MAS_COM</t>
        </is>
      </c>
      <c r="D1446" s="40" t="inlineStr">
        <is>
          <t>M1</t>
        </is>
      </c>
      <c r="E1446" s="40" t="inlineStr">
        <is>
          <t>ALT</t>
        </is>
      </c>
      <c r="F1446" s="40" t="inlineStr">
        <is>
          <t>613200</t>
        </is>
      </c>
      <c r="G1446" s="39" t="inlineStr">
        <is>
          <t>Locations immobilières (loyers)</t>
        </is>
      </c>
      <c r="H1446" s="40" t="inlineStr">
        <is>
          <t>COMPTABLE</t>
        </is>
      </c>
      <c r="I1446" s="41" t="inlineStr">
        <is>
          <t>2024ACT_VDEF</t>
        </is>
      </c>
      <c r="J1446" s="41" t="n">
        <v>2024</v>
      </c>
      <c r="K1446" s="41" t="inlineStr">
        <is>
          <t>EUR</t>
        </is>
      </c>
      <c r="L1446" s="42" t="n">
        <v>33060</v>
      </c>
    </row>
    <row r="1447">
      <c r="B1447" s="39" t="inlineStr">
        <is>
          <t>ISCOM_LIL</t>
        </is>
      </c>
      <c r="C1447" s="40" t="inlineStr">
        <is>
          <t>MAS_COM</t>
        </is>
      </c>
      <c r="D1447" s="40" t="inlineStr">
        <is>
          <t>M1</t>
        </is>
      </c>
      <c r="E1447" s="40" t="inlineStr">
        <is>
          <t>ALT</t>
        </is>
      </c>
      <c r="F1447" s="40" t="inlineStr">
        <is>
          <t>613200</t>
        </is>
      </c>
      <c r="G1447" s="39" t="inlineStr">
        <is>
          <t>Locations immobilières (loyers)</t>
        </is>
      </c>
      <c r="H1447" s="40" t="inlineStr">
        <is>
          <t>COMPTABLE</t>
        </is>
      </c>
      <c r="I1447" s="41" t="inlineStr">
        <is>
          <t>2025FCST_V4</t>
        </is>
      </c>
      <c r="J1447" s="41" t="n">
        <v>2025</v>
      </c>
      <c r="K1447" s="41" t="inlineStr">
        <is>
          <t>EUR</t>
        </is>
      </c>
      <c r="L1447" s="42" t="n">
        <v>34800</v>
      </c>
    </row>
    <row r="1448">
      <c r="B1448" s="39" t="inlineStr">
        <is>
          <t>ISCOM_LIL</t>
        </is>
      </c>
      <c r="C1448" s="40" t="inlineStr">
        <is>
          <t>MAS_COM</t>
        </is>
      </c>
      <c r="D1448" s="40" t="inlineStr">
        <is>
          <t>M1</t>
        </is>
      </c>
      <c r="E1448" s="40" t="inlineStr">
        <is>
          <t>ALT</t>
        </is>
      </c>
      <c r="F1448" s="40" t="inlineStr">
        <is>
          <t>641100</t>
        </is>
      </c>
      <c r="G1448" s="39" t="inlineStr">
        <is>
          <t>Rémunérations du personnel permanent</t>
        </is>
      </c>
      <c r="H1448" s="40" t="inlineStr">
        <is>
          <t>COMPTABLE</t>
        </is>
      </c>
      <c r="I1448" s="41" t="inlineStr">
        <is>
          <t>2023ACT_VDEF</t>
        </is>
      </c>
      <c r="J1448" s="41" t="n">
        <v>2023</v>
      </c>
      <c r="K1448" s="41" t="inlineStr">
        <is>
          <t>EUR</t>
        </is>
      </c>
      <c r="L1448" s="42" t="n">
        <v>73080</v>
      </c>
    </row>
    <row r="1449">
      <c r="B1449" s="39" t="inlineStr">
        <is>
          <t>ISCOM_LIL</t>
        </is>
      </c>
      <c r="C1449" s="40" t="inlineStr">
        <is>
          <t>MAS_COM</t>
        </is>
      </c>
      <c r="D1449" s="40" t="inlineStr">
        <is>
          <t>M1</t>
        </is>
      </c>
      <c r="E1449" s="40" t="inlineStr">
        <is>
          <t>ALT</t>
        </is>
      </c>
      <c r="F1449" s="40" t="inlineStr">
        <is>
          <t>641100</t>
        </is>
      </c>
      <c r="G1449" s="39" t="inlineStr">
        <is>
          <t>Rémunérations du personnel permanent</t>
        </is>
      </c>
      <c r="H1449" s="40" t="inlineStr">
        <is>
          <t>COMPTABLE</t>
        </is>
      </c>
      <c r="I1449" s="41" t="inlineStr">
        <is>
          <t>2024ACT_VDEF</t>
        </is>
      </c>
      <c r="J1449" s="41" t="n">
        <v>2024</v>
      </c>
      <c r="K1449" s="41" t="inlineStr">
        <is>
          <t>EUR</t>
        </is>
      </c>
      <c r="L1449" s="42" t="n">
        <v>77140</v>
      </c>
    </row>
    <row r="1450">
      <c r="B1450" s="39" t="inlineStr">
        <is>
          <t>ISCOM_LIL</t>
        </is>
      </c>
      <c r="C1450" s="40" t="inlineStr">
        <is>
          <t>MAS_COM</t>
        </is>
      </c>
      <c r="D1450" s="40" t="inlineStr">
        <is>
          <t>M1</t>
        </is>
      </c>
      <c r="E1450" s="40" t="inlineStr">
        <is>
          <t>ALT</t>
        </is>
      </c>
      <c r="F1450" s="40" t="inlineStr">
        <is>
          <t>641100</t>
        </is>
      </c>
      <c r="G1450" s="39" t="inlineStr">
        <is>
          <t>Rémunérations du personnel permanent</t>
        </is>
      </c>
      <c r="H1450" s="40" t="inlineStr">
        <is>
          <t>COMPTABLE</t>
        </is>
      </c>
      <c r="I1450" s="41" t="inlineStr">
        <is>
          <t>2025FCST_V4</t>
        </is>
      </c>
      <c r="J1450" s="41" t="n">
        <v>2025</v>
      </c>
      <c r="K1450" s="41" t="inlineStr">
        <is>
          <t>EUR</t>
        </is>
      </c>
      <c r="L1450" s="42" t="n">
        <v>81200</v>
      </c>
    </row>
    <row r="1451">
      <c r="B1451" s="39" t="inlineStr">
        <is>
          <t>ISCOM_LIL</t>
        </is>
      </c>
      <c r="C1451" s="40" t="inlineStr">
        <is>
          <t>MAS_COM</t>
        </is>
      </c>
      <c r="D1451" s="40" t="inlineStr">
        <is>
          <t>M1</t>
        </is>
      </c>
      <c r="E1451" s="40" t="inlineStr">
        <is>
          <t>ALT</t>
        </is>
      </c>
      <c r="F1451" s="40" t="inlineStr">
        <is>
          <t>622600</t>
        </is>
      </c>
      <c r="G1451" s="39" t="inlineStr">
        <is>
          <t>Honoraires &amp; frais de siège (structure groupe)</t>
        </is>
      </c>
      <c r="H1451" s="40" t="inlineStr">
        <is>
          <t>COMPTABLE</t>
        </is>
      </c>
      <c r="I1451" s="41" t="inlineStr">
        <is>
          <t>2023ACT_VDEF</t>
        </is>
      </c>
      <c r="J1451" s="41" t="n">
        <v>2023</v>
      </c>
      <c r="K1451" s="41" t="inlineStr">
        <is>
          <t>EUR</t>
        </is>
      </c>
      <c r="L1451" s="42" t="n">
        <v>28552</v>
      </c>
    </row>
    <row r="1452">
      <c r="B1452" s="39" t="inlineStr">
        <is>
          <t>ISCOM_LIL</t>
        </is>
      </c>
      <c r="C1452" s="40" t="inlineStr">
        <is>
          <t>MAS_COM</t>
        </is>
      </c>
      <c r="D1452" s="40" t="inlineStr">
        <is>
          <t>M1</t>
        </is>
      </c>
      <c r="E1452" s="40" t="inlineStr">
        <is>
          <t>ALT</t>
        </is>
      </c>
      <c r="F1452" s="40" t="inlineStr">
        <is>
          <t>622600</t>
        </is>
      </c>
      <c r="G1452" s="39" t="inlineStr">
        <is>
          <t>Honoraires &amp; frais de siège (structure groupe)</t>
        </is>
      </c>
      <c r="H1452" s="40" t="inlineStr">
        <is>
          <t>COMPTABLE</t>
        </is>
      </c>
      <c r="I1452" s="41" t="inlineStr">
        <is>
          <t>2024ACT_VDEF</t>
        </is>
      </c>
      <c r="J1452" s="41" t="n">
        <v>2024</v>
      </c>
      <c r="K1452" s="41" t="inlineStr">
        <is>
          <t>EUR</t>
        </is>
      </c>
      <c r="L1452" s="42" t="n">
        <v>30138</v>
      </c>
    </row>
    <row r="1453">
      <c r="B1453" s="39" t="inlineStr">
        <is>
          <t>ISCOM_LIL</t>
        </is>
      </c>
      <c r="C1453" s="40" t="inlineStr">
        <is>
          <t>MAS_COM</t>
        </is>
      </c>
      <c r="D1453" s="40" t="inlineStr">
        <is>
          <t>M1</t>
        </is>
      </c>
      <c r="E1453" s="40" t="inlineStr">
        <is>
          <t>ALT</t>
        </is>
      </c>
      <c r="F1453" s="40" t="inlineStr">
        <is>
          <t>622600</t>
        </is>
      </c>
      <c r="G1453" s="39" t="inlineStr">
        <is>
          <t>Honoraires &amp; frais de siège (structure groupe)</t>
        </is>
      </c>
      <c r="H1453" s="40" t="inlineStr">
        <is>
          <t>COMPTABLE</t>
        </is>
      </c>
      <c r="I1453" s="41" t="inlineStr">
        <is>
          <t>2025FCST_V4</t>
        </is>
      </c>
      <c r="J1453" s="41" t="n">
        <v>2025</v>
      </c>
      <c r="K1453" s="41" t="inlineStr">
        <is>
          <t>EUR</t>
        </is>
      </c>
      <c r="L1453" s="42" t="n">
        <v>31724</v>
      </c>
    </row>
    <row r="1454">
      <c r="B1454" s="39" t="inlineStr">
        <is>
          <t>ISCOM_LIL</t>
        </is>
      </c>
      <c r="C1454" s="40" t="inlineStr">
        <is>
          <t>MAS_COM</t>
        </is>
      </c>
      <c r="D1454" s="40" t="inlineStr">
        <is>
          <t>M1</t>
        </is>
      </c>
      <c r="E1454" s="40" t="inlineStr">
        <is>
          <t>ALT</t>
        </is>
      </c>
      <c r="F1454" s="40" t="inlineStr">
        <is>
          <t>606800</t>
        </is>
      </c>
      <c r="G1454" s="39" t="inlineStr">
        <is>
          <t>Autres achats &amp; charges externes</t>
        </is>
      </c>
      <c r="H1454" s="40" t="inlineStr">
        <is>
          <t>COMPTABLE</t>
        </is>
      </c>
      <c r="I1454" s="41" t="inlineStr">
        <is>
          <t>2023ACT_VDEF</t>
        </is>
      </c>
      <c r="J1454" s="41" t="n">
        <v>2023</v>
      </c>
      <c r="K1454" s="41" t="inlineStr">
        <is>
          <t>EUR</t>
        </is>
      </c>
      <c r="L1454" s="42" t="n">
        <v>25218</v>
      </c>
    </row>
    <row r="1455">
      <c r="B1455" s="39" t="inlineStr">
        <is>
          <t>ISCOM_LIL</t>
        </is>
      </c>
      <c r="C1455" s="40" t="inlineStr">
        <is>
          <t>MAS_COM</t>
        </is>
      </c>
      <c r="D1455" s="40" t="inlineStr">
        <is>
          <t>M1</t>
        </is>
      </c>
      <c r="E1455" s="40" t="inlineStr">
        <is>
          <t>ALT</t>
        </is>
      </c>
      <c r="F1455" s="40" t="inlineStr">
        <is>
          <t>606800</t>
        </is>
      </c>
      <c r="G1455" s="39" t="inlineStr">
        <is>
          <t>Autres achats &amp; charges externes</t>
        </is>
      </c>
      <c r="H1455" s="40" t="inlineStr">
        <is>
          <t>COMPTABLE</t>
        </is>
      </c>
      <c r="I1455" s="41" t="inlineStr">
        <is>
          <t>2024ACT_VDEF</t>
        </is>
      </c>
      <c r="J1455" s="41" t="n">
        <v>2024</v>
      </c>
      <c r="K1455" s="41" t="inlineStr">
        <is>
          <t>EUR</t>
        </is>
      </c>
      <c r="L1455" s="42" t="n">
        <v>26619</v>
      </c>
    </row>
    <row r="1456">
      <c r="B1456" s="39" t="inlineStr">
        <is>
          <t>ISCOM_LIL</t>
        </is>
      </c>
      <c r="C1456" s="40" t="inlineStr">
        <is>
          <t>MAS_COM</t>
        </is>
      </c>
      <c r="D1456" s="40" t="inlineStr">
        <is>
          <t>M1</t>
        </is>
      </c>
      <c r="E1456" s="40" t="inlineStr">
        <is>
          <t>ALT</t>
        </is>
      </c>
      <c r="F1456" s="40" t="inlineStr">
        <is>
          <t>606800</t>
        </is>
      </c>
      <c r="G1456" s="39" t="inlineStr">
        <is>
          <t>Autres achats &amp; charges externes</t>
        </is>
      </c>
      <c r="H1456" s="40" t="inlineStr">
        <is>
          <t>COMPTABLE</t>
        </is>
      </c>
      <c r="I1456" s="41" t="inlineStr">
        <is>
          <t>2025FCST_V4</t>
        </is>
      </c>
      <c r="J1456" s="41" t="n">
        <v>2025</v>
      </c>
      <c r="K1456" s="41" t="inlineStr">
        <is>
          <t>EUR</t>
        </is>
      </c>
      <c r="L1456" s="42" t="n">
        <v>28020</v>
      </c>
    </row>
    <row r="1457">
      <c r="B1457" s="39" t="inlineStr">
        <is>
          <t>ISCOM_LIL</t>
        </is>
      </c>
      <c r="C1457" s="40" t="inlineStr">
        <is>
          <t>MAS_COM</t>
        </is>
      </c>
      <c r="D1457" s="40" t="inlineStr">
        <is>
          <t>M1</t>
        </is>
      </c>
      <c r="E1457" s="40" t="inlineStr">
        <is>
          <t>ALT</t>
        </is>
      </c>
      <c r="F1457" s="40" t="inlineStr">
        <is>
          <t>681100</t>
        </is>
      </c>
      <c r="G1457" s="39" t="inlineStr">
        <is>
          <t>Dotations aux amortissements</t>
        </is>
      </c>
      <c r="H1457" s="40" t="inlineStr">
        <is>
          <t>COMPTABLE</t>
        </is>
      </c>
      <c r="I1457" s="41" t="inlineStr">
        <is>
          <t>2023ACT_VDEF</t>
        </is>
      </c>
      <c r="J1457" s="41" t="n">
        <v>2023</v>
      </c>
      <c r="K1457" s="41" t="inlineStr">
        <is>
          <t>EUR</t>
        </is>
      </c>
      <c r="L1457" s="42" t="n">
        <v>17100</v>
      </c>
    </row>
    <row r="1458">
      <c r="B1458" s="39" t="inlineStr">
        <is>
          <t>ISCOM_LIL</t>
        </is>
      </c>
      <c r="C1458" s="40" t="inlineStr">
        <is>
          <t>MAS_COM</t>
        </is>
      </c>
      <c r="D1458" s="40" t="inlineStr">
        <is>
          <t>M1</t>
        </is>
      </c>
      <c r="E1458" s="40" t="inlineStr">
        <is>
          <t>ALT</t>
        </is>
      </c>
      <c r="F1458" s="40" t="inlineStr">
        <is>
          <t>681100</t>
        </is>
      </c>
      <c r="G1458" s="39" t="inlineStr">
        <is>
          <t>Dotations aux amortissements</t>
        </is>
      </c>
      <c r="H1458" s="40" t="inlineStr">
        <is>
          <t>COMPTABLE</t>
        </is>
      </c>
      <c r="I1458" s="41" t="inlineStr">
        <is>
          <t>2024ACT_VDEF</t>
        </is>
      </c>
      <c r="J1458" s="41" t="n">
        <v>2024</v>
      </c>
      <c r="K1458" s="41" t="inlineStr">
        <is>
          <t>EUR</t>
        </is>
      </c>
      <c r="L1458" s="42" t="n">
        <v>18050</v>
      </c>
    </row>
    <row r="1459">
      <c r="B1459" s="39" t="inlineStr">
        <is>
          <t>ISCOM_LIL</t>
        </is>
      </c>
      <c r="C1459" s="40" t="inlineStr">
        <is>
          <t>MAS_COM</t>
        </is>
      </c>
      <c r="D1459" s="40" t="inlineStr">
        <is>
          <t>M1</t>
        </is>
      </c>
      <c r="E1459" s="40" t="inlineStr">
        <is>
          <t>ALT</t>
        </is>
      </c>
      <c r="F1459" s="40" t="inlineStr">
        <is>
          <t>681100</t>
        </is>
      </c>
      <c r="G1459" s="39" t="inlineStr">
        <is>
          <t>Dotations aux amortissements</t>
        </is>
      </c>
      <c r="H1459" s="40" t="inlineStr">
        <is>
          <t>COMPTABLE</t>
        </is>
      </c>
      <c r="I1459" s="41" t="inlineStr">
        <is>
          <t>2025FCST_V4</t>
        </is>
      </c>
      <c r="J1459" s="41" t="n">
        <v>2025</v>
      </c>
      <c r="K1459" s="41" t="inlineStr">
        <is>
          <t>EUR</t>
        </is>
      </c>
      <c r="L1459" s="42" t="n">
        <v>19000</v>
      </c>
    </row>
    <row r="1460">
      <c r="B1460" s="39" t="inlineStr">
        <is>
          <t>ISCOM_LIL</t>
        </is>
      </c>
      <c r="C1460" s="40" t="inlineStr">
        <is>
          <t>MAS_COM</t>
        </is>
      </c>
      <c r="D1460" s="40" t="inlineStr">
        <is>
          <t>M1</t>
        </is>
      </c>
      <c r="E1460" s="40" t="inlineStr">
        <is>
          <t>ALT</t>
        </is>
      </c>
      <c r="F1460" s="40" t="inlineStr">
        <is>
          <t>STA_EFF</t>
        </is>
      </c>
      <c r="G1460" s="39" t="inlineStr">
        <is>
          <t>Effectif inscrit</t>
        </is>
      </c>
      <c r="H1460" s="40" t="inlineStr">
        <is>
          <t>TECHNIQUE</t>
        </is>
      </c>
      <c r="I1460" s="41" t="inlineStr">
        <is>
          <t>2023ACT_VDEF</t>
        </is>
      </c>
      <c r="J1460" s="41" t="n">
        <v>2023</v>
      </c>
      <c r="K1460" s="41" t="inlineStr">
        <is>
          <t>NB</t>
        </is>
      </c>
      <c r="L1460" s="43" t="n">
        <v>27</v>
      </c>
    </row>
    <row r="1461">
      <c r="B1461" s="39" t="inlineStr">
        <is>
          <t>ISCOM_LIL</t>
        </is>
      </c>
      <c r="C1461" s="40" t="inlineStr">
        <is>
          <t>MAS_COM</t>
        </is>
      </c>
      <c r="D1461" s="40" t="inlineStr">
        <is>
          <t>M1</t>
        </is>
      </c>
      <c r="E1461" s="40" t="inlineStr">
        <is>
          <t>ALT</t>
        </is>
      </c>
      <c r="F1461" s="40" t="inlineStr">
        <is>
          <t>STA_EFF</t>
        </is>
      </c>
      <c r="G1461" s="39" t="inlineStr">
        <is>
          <t>Effectif inscrit</t>
        </is>
      </c>
      <c r="H1461" s="40" t="inlineStr">
        <is>
          <t>TECHNIQUE</t>
        </is>
      </c>
      <c r="I1461" s="41" t="inlineStr">
        <is>
          <t>2024ACT_VDEF</t>
        </is>
      </c>
      <c r="J1461" s="41" t="n">
        <v>2024</v>
      </c>
      <c r="K1461" s="41" t="inlineStr">
        <is>
          <t>NB</t>
        </is>
      </c>
      <c r="L1461" s="43" t="n">
        <v>28</v>
      </c>
    </row>
    <row r="1462">
      <c r="B1462" s="39" t="inlineStr">
        <is>
          <t>ISCOM_LIL</t>
        </is>
      </c>
      <c r="C1462" s="40" t="inlineStr">
        <is>
          <t>MAS_COM</t>
        </is>
      </c>
      <c r="D1462" s="40" t="inlineStr">
        <is>
          <t>M1</t>
        </is>
      </c>
      <c r="E1462" s="40" t="inlineStr">
        <is>
          <t>ALT</t>
        </is>
      </c>
      <c r="F1462" s="40" t="inlineStr">
        <is>
          <t>STA_EFF</t>
        </is>
      </c>
      <c r="G1462" s="39" t="inlineStr">
        <is>
          <t>Effectif inscrit</t>
        </is>
      </c>
      <c r="H1462" s="40" t="inlineStr">
        <is>
          <t>TECHNIQUE</t>
        </is>
      </c>
      <c r="I1462" s="41" t="inlineStr">
        <is>
          <t>2025FCST_V4</t>
        </is>
      </c>
      <c r="J1462" s="41" t="n">
        <v>2025</v>
      </c>
      <c r="K1462" s="41" t="inlineStr">
        <is>
          <t>NB</t>
        </is>
      </c>
      <c r="L1462" s="43" t="n">
        <v>30</v>
      </c>
    </row>
    <row r="1463">
      <c r="B1463" s="39" t="inlineStr">
        <is>
          <t>ISCOM_LIL</t>
        </is>
      </c>
      <c r="C1463" s="40" t="inlineStr">
        <is>
          <t>MAS_COM</t>
        </is>
      </c>
      <c r="D1463" s="40" t="inlineStr">
        <is>
          <t>M1</t>
        </is>
      </c>
      <c r="E1463" s="40" t="inlineStr">
        <is>
          <t>ALT</t>
        </is>
      </c>
      <c r="F1463" s="40" t="inlineStr">
        <is>
          <t>STA_CAND</t>
        </is>
      </c>
      <c r="G1463" s="39" t="inlineStr">
        <is>
          <t>Candidatures reçues</t>
        </is>
      </c>
      <c r="H1463" s="40" t="inlineStr">
        <is>
          <t>TECHNIQUE</t>
        </is>
      </c>
      <c r="I1463" s="41" t="inlineStr">
        <is>
          <t>2023ACT_VDEF</t>
        </is>
      </c>
      <c r="J1463" s="41" t="n">
        <v>2023</v>
      </c>
      <c r="K1463" s="41" t="inlineStr">
        <is>
          <t>NB</t>
        </is>
      </c>
      <c r="L1463" s="43" t="n">
        <v>73</v>
      </c>
    </row>
    <row r="1464">
      <c r="B1464" s="39" t="inlineStr">
        <is>
          <t>ISCOM_LIL</t>
        </is>
      </c>
      <c r="C1464" s="40" t="inlineStr">
        <is>
          <t>MAS_COM</t>
        </is>
      </c>
      <c r="D1464" s="40" t="inlineStr">
        <is>
          <t>M1</t>
        </is>
      </c>
      <c r="E1464" s="40" t="inlineStr">
        <is>
          <t>ALT</t>
        </is>
      </c>
      <c r="F1464" s="40" t="inlineStr">
        <is>
          <t>STA_CAND</t>
        </is>
      </c>
      <c r="G1464" s="39" t="inlineStr">
        <is>
          <t>Candidatures reçues</t>
        </is>
      </c>
      <c r="H1464" s="40" t="inlineStr">
        <is>
          <t>TECHNIQUE</t>
        </is>
      </c>
      <c r="I1464" s="41" t="inlineStr">
        <is>
          <t>2024ACT_VDEF</t>
        </is>
      </c>
      <c r="J1464" s="41" t="n">
        <v>2024</v>
      </c>
      <c r="K1464" s="41" t="inlineStr">
        <is>
          <t>NB</t>
        </is>
      </c>
      <c r="L1464" s="43" t="n">
        <v>77</v>
      </c>
    </row>
    <row r="1465">
      <c r="B1465" s="39" t="inlineStr">
        <is>
          <t>ISCOM_LIL</t>
        </is>
      </c>
      <c r="C1465" s="40" t="inlineStr">
        <is>
          <t>MAS_COM</t>
        </is>
      </c>
      <c r="D1465" s="40" t="inlineStr">
        <is>
          <t>M1</t>
        </is>
      </c>
      <c r="E1465" s="40" t="inlineStr">
        <is>
          <t>ALT</t>
        </is>
      </c>
      <c r="F1465" s="40" t="inlineStr">
        <is>
          <t>STA_CAND</t>
        </is>
      </c>
      <c r="G1465" s="39" t="inlineStr">
        <is>
          <t>Candidatures reçues</t>
        </is>
      </c>
      <c r="H1465" s="40" t="inlineStr">
        <is>
          <t>TECHNIQUE</t>
        </is>
      </c>
      <c r="I1465" s="41" t="inlineStr">
        <is>
          <t>2025FCST_V4</t>
        </is>
      </c>
      <c r="J1465" s="41" t="n">
        <v>2025</v>
      </c>
      <c r="K1465" s="41" t="inlineStr">
        <is>
          <t>NB</t>
        </is>
      </c>
      <c r="L1465" s="43" t="n">
        <v>81</v>
      </c>
    </row>
    <row r="1466">
      <c r="B1466" s="39" t="inlineStr">
        <is>
          <t>ISCOM_LIL</t>
        </is>
      </c>
      <c r="C1466" s="40" t="inlineStr">
        <is>
          <t>MAS_COM</t>
        </is>
      </c>
      <c r="D1466" s="40" t="inlineStr">
        <is>
          <t>M1</t>
        </is>
      </c>
      <c r="E1466" s="40" t="inlineStr">
        <is>
          <t>ALT</t>
        </is>
      </c>
      <c r="F1466" s="40" t="inlineStr">
        <is>
          <t>STA_ADMIS</t>
        </is>
      </c>
      <c r="G1466" s="39" t="inlineStr">
        <is>
          <t>Candidats admis</t>
        </is>
      </c>
      <c r="H1466" s="40" t="inlineStr">
        <is>
          <t>TECHNIQUE</t>
        </is>
      </c>
      <c r="I1466" s="41" t="inlineStr">
        <is>
          <t>2023ACT_VDEF</t>
        </is>
      </c>
      <c r="J1466" s="41" t="n">
        <v>2023</v>
      </c>
      <c r="K1466" s="41" t="inlineStr">
        <is>
          <t>NB</t>
        </is>
      </c>
      <c r="L1466" s="43" t="n">
        <v>45</v>
      </c>
    </row>
    <row r="1467">
      <c r="B1467" s="39" t="inlineStr">
        <is>
          <t>ISCOM_LIL</t>
        </is>
      </c>
      <c r="C1467" s="40" t="inlineStr">
        <is>
          <t>MAS_COM</t>
        </is>
      </c>
      <c r="D1467" s="40" t="inlineStr">
        <is>
          <t>M1</t>
        </is>
      </c>
      <c r="E1467" s="40" t="inlineStr">
        <is>
          <t>ALT</t>
        </is>
      </c>
      <c r="F1467" s="40" t="inlineStr">
        <is>
          <t>STA_ADMIS</t>
        </is>
      </c>
      <c r="G1467" s="39" t="inlineStr">
        <is>
          <t>Candidats admis</t>
        </is>
      </c>
      <c r="H1467" s="40" t="inlineStr">
        <is>
          <t>TECHNIQUE</t>
        </is>
      </c>
      <c r="I1467" s="41" t="inlineStr">
        <is>
          <t>2024ACT_VDEF</t>
        </is>
      </c>
      <c r="J1467" s="41" t="n">
        <v>2024</v>
      </c>
      <c r="K1467" s="41" t="inlineStr">
        <is>
          <t>NB</t>
        </is>
      </c>
      <c r="L1467" s="43" t="n">
        <v>48</v>
      </c>
    </row>
    <row r="1468">
      <c r="B1468" s="39" t="inlineStr">
        <is>
          <t>ISCOM_LIL</t>
        </is>
      </c>
      <c r="C1468" s="40" t="inlineStr">
        <is>
          <t>MAS_COM</t>
        </is>
      </c>
      <c r="D1468" s="40" t="inlineStr">
        <is>
          <t>M1</t>
        </is>
      </c>
      <c r="E1468" s="40" t="inlineStr">
        <is>
          <t>ALT</t>
        </is>
      </c>
      <c r="F1468" s="40" t="inlineStr">
        <is>
          <t>STA_ADMIS</t>
        </is>
      </c>
      <c r="G1468" s="39" t="inlineStr">
        <is>
          <t>Candidats admis</t>
        </is>
      </c>
      <c r="H1468" s="40" t="inlineStr">
        <is>
          <t>TECHNIQUE</t>
        </is>
      </c>
      <c r="I1468" s="41" t="inlineStr">
        <is>
          <t>2025FCST_V4</t>
        </is>
      </c>
      <c r="J1468" s="41" t="n">
        <v>2025</v>
      </c>
      <c r="K1468" s="41" t="inlineStr">
        <is>
          <t>NB</t>
        </is>
      </c>
      <c r="L1468" s="43" t="n">
        <v>50</v>
      </c>
    </row>
    <row r="1469">
      <c r="B1469" s="39" t="inlineStr">
        <is>
          <t>ISCOM_LIL</t>
        </is>
      </c>
      <c r="C1469" s="40" t="inlineStr">
        <is>
          <t>MAS_COM</t>
        </is>
      </c>
      <c r="D1469" s="40" t="inlineStr">
        <is>
          <t>M1</t>
        </is>
      </c>
      <c r="E1469" s="40" t="inlineStr">
        <is>
          <t>ALT</t>
        </is>
      </c>
      <c r="F1469" s="40" t="inlineStr">
        <is>
          <t>STA_NOUV</t>
        </is>
      </c>
      <c r="G1469" s="39" t="inlineStr">
        <is>
          <t>Nouveaux inscrits</t>
        </is>
      </c>
      <c r="H1469" s="40" t="inlineStr">
        <is>
          <t>TECHNIQUE</t>
        </is>
      </c>
      <c r="I1469" s="41" t="inlineStr">
        <is>
          <t>2023ACT_VDEF</t>
        </is>
      </c>
      <c r="J1469" s="41" t="n">
        <v>2023</v>
      </c>
      <c r="K1469" s="41" t="inlineStr">
        <is>
          <t>NB</t>
        </is>
      </c>
      <c r="L1469" s="43" t="n">
        <v>27</v>
      </c>
    </row>
    <row r="1470">
      <c r="B1470" s="39" t="inlineStr">
        <is>
          <t>ISCOM_LIL</t>
        </is>
      </c>
      <c r="C1470" s="40" t="inlineStr">
        <is>
          <t>MAS_COM</t>
        </is>
      </c>
      <c r="D1470" s="40" t="inlineStr">
        <is>
          <t>M1</t>
        </is>
      </c>
      <c r="E1470" s="40" t="inlineStr">
        <is>
          <t>ALT</t>
        </is>
      </c>
      <c r="F1470" s="40" t="inlineStr">
        <is>
          <t>STA_NOUV</t>
        </is>
      </c>
      <c r="G1470" s="39" t="inlineStr">
        <is>
          <t>Nouveaux inscrits</t>
        </is>
      </c>
      <c r="H1470" s="40" t="inlineStr">
        <is>
          <t>TECHNIQUE</t>
        </is>
      </c>
      <c r="I1470" s="41" t="inlineStr">
        <is>
          <t>2024ACT_VDEF</t>
        </is>
      </c>
      <c r="J1470" s="41" t="n">
        <v>2024</v>
      </c>
      <c r="K1470" s="41" t="inlineStr">
        <is>
          <t>NB</t>
        </is>
      </c>
      <c r="L1470" s="43" t="n">
        <v>28</v>
      </c>
    </row>
    <row r="1471">
      <c r="B1471" s="39" t="inlineStr">
        <is>
          <t>ISCOM_LIL</t>
        </is>
      </c>
      <c r="C1471" s="40" t="inlineStr">
        <is>
          <t>MAS_COM</t>
        </is>
      </c>
      <c r="D1471" s="40" t="inlineStr">
        <is>
          <t>M1</t>
        </is>
      </c>
      <c r="E1471" s="40" t="inlineStr">
        <is>
          <t>ALT</t>
        </is>
      </c>
      <c r="F1471" s="40" t="inlineStr">
        <is>
          <t>STA_NOUV</t>
        </is>
      </c>
      <c r="G1471" s="39" t="inlineStr">
        <is>
          <t>Nouveaux inscrits</t>
        </is>
      </c>
      <c r="H1471" s="40" t="inlineStr">
        <is>
          <t>TECHNIQUE</t>
        </is>
      </c>
      <c r="I1471" s="41" t="inlineStr">
        <is>
          <t>2025FCST_V4</t>
        </is>
      </c>
      <c r="J1471" s="41" t="n">
        <v>2025</v>
      </c>
      <c r="K1471" s="41" t="inlineStr">
        <is>
          <t>NB</t>
        </is>
      </c>
      <c r="L1471" s="43" t="n">
        <v>30</v>
      </c>
    </row>
    <row r="1472">
      <c r="B1472" s="39" t="inlineStr">
        <is>
          <t>ISCOM_LIL</t>
        </is>
      </c>
      <c r="C1472" s="40" t="inlineStr">
        <is>
          <t>MAS_COM</t>
        </is>
      </c>
      <c r="D1472" s="40" t="inlineStr">
        <is>
          <t>M1</t>
        </is>
      </c>
      <c r="E1472" s="40" t="inlineStr">
        <is>
          <t>ALT</t>
        </is>
      </c>
      <c r="F1472" s="40" t="inlineStr">
        <is>
          <t>STA_CLASS</t>
        </is>
      </c>
      <c r="G1472" s="39" t="inlineStr">
        <is>
          <t>Nombre de classes</t>
        </is>
      </c>
      <c r="H1472" s="40" t="inlineStr">
        <is>
          <t>TECHNIQUE</t>
        </is>
      </c>
      <c r="I1472" s="41" t="inlineStr">
        <is>
          <t>2023ACT_VDEF</t>
        </is>
      </c>
      <c r="J1472" s="41" t="n">
        <v>2023</v>
      </c>
      <c r="K1472" s="41" t="inlineStr">
        <is>
          <t>NB</t>
        </is>
      </c>
      <c r="L1472" s="43" t="n">
        <v>2</v>
      </c>
    </row>
    <row r="1473">
      <c r="B1473" s="39" t="inlineStr">
        <is>
          <t>ISCOM_LIL</t>
        </is>
      </c>
      <c r="C1473" s="40" t="inlineStr">
        <is>
          <t>MAS_COM</t>
        </is>
      </c>
      <c r="D1473" s="40" t="inlineStr">
        <is>
          <t>M1</t>
        </is>
      </c>
      <c r="E1473" s="40" t="inlineStr">
        <is>
          <t>ALT</t>
        </is>
      </c>
      <c r="F1473" s="40" t="inlineStr">
        <is>
          <t>STA_CLASS</t>
        </is>
      </c>
      <c r="G1473" s="39" t="inlineStr">
        <is>
          <t>Nombre de classes</t>
        </is>
      </c>
      <c r="H1473" s="40" t="inlineStr">
        <is>
          <t>TECHNIQUE</t>
        </is>
      </c>
      <c r="I1473" s="41" t="inlineStr">
        <is>
          <t>2024ACT_VDEF</t>
        </is>
      </c>
      <c r="J1473" s="41" t="n">
        <v>2024</v>
      </c>
      <c r="K1473" s="41" t="inlineStr">
        <is>
          <t>NB</t>
        </is>
      </c>
      <c r="L1473" s="43" t="n">
        <v>2</v>
      </c>
    </row>
    <row r="1474">
      <c r="B1474" s="39" t="inlineStr">
        <is>
          <t>ISCOM_LIL</t>
        </is>
      </c>
      <c r="C1474" s="40" t="inlineStr">
        <is>
          <t>MAS_COM</t>
        </is>
      </c>
      <c r="D1474" s="40" t="inlineStr">
        <is>
          <t>M1</t>
        </is>
      </c>
      <c r="E1474" s="40" t="inlineStr">
        <is>
          <t>ALT</t>
        </is>
      </c>
      <c r="F1474" s="40" t="inlineStr">
        <is>
          <t>STA_CLASS</t>
        </is>
      </c>
      <c r="G1474" s="39" t="inlineStr">
        <is>
          <t>Nombre de classes</t>
        </is>
      </c>
      <c r="H1474" s="40" t="inlineStr">
        <is>
          <t>TECHNIQUE</t>
        </is>
      </c>
      <c r="I1474" s="41" t="inlineStr">
        <is>
          <t>2025FCST_V4</t>
        </is>
      </c>
      <c r="J1474" s="41" t="n">
        <v>2025</v>
      </c>
      <c r="K1474" s="41" t="inlineStr">
        <is>
          <t>NB</t>
        </is>
      </c>
      <c r="L1474" s="43" t="n">
        <v>2</v>
      </c>
    </row>
    <row r="1475">
      <c r="B1475" s="39" t="inlineStr">
        <is>
          <t>ISCOM_LIL</t>
        </is>
      </c>
      <c r="C1475" s="40" t="inlineStr">
        <is>
          <t>MAS_COM</t>
        </is>
      </c>
      <c r="D1475" s="40" t="inlineStr">
        <is>
          <t>M1</t>
        </is>
      </c>
      <c r="E1475" s="40" t="inlineStr">
        <is>
          <t>ALT</t>
        </is>
      </c>
      <c r="F1475" s="40" t="inlineStr">
        <is>
          <t>STA_HEURE</t>
        </is>
      </c>
      <c r="G1475" s="39" t="inlineStr">
        <is>
          <t>Heures d'enseignement</t>
        </is>
      </c>
      <c r="H1475" s="40" t="inlineStr">
        <is>
          <t>TECHNIQUE</t>
        </is>
      </c>
      <c r="I1475" s="41" t="inlineStr">
        <is>
          <t>2023ACT_VDEF</t>
        </is>
      </c>
      <c r="J1475" s="41" t="n">
        <v>2023</v>
      </c>
      <c r="K1475" s="41" t="inlineStr">
        <is>
          <t>NB</t>
        </is>
      </c>
      <c r="L1475" s="43" t="n">
        <v>864</v>
      </c>
    </row>
    <row r="1476">
      <c r="B1476" s="39" t="inlineStr">
        <is>
          <t>ISCOM_LIL</t>
        </is>
      </c>
      <c r="C1476" s="40" t="inlineStr">
        <is>
          <t>MAS_COM</t>
        </is>
      </c>
      <c r="D1476" s="40" t="inlineStr">
        <is>
          <t>M1</t>
        </is>
      </c>
      <c r="E1476" s="40" t="inlineStr">
        <is>
          <t>ALT</t>
        </is>
      </c>
      <c r="F1476" s="40" t="inlineStr">
        <is>
          <t>STA_HEURE</t>
        </is>
      </c>
      <c r="G1476" s="39" t="inlineStr">
        <is>
          <t>Heures d'enseignement</t>
        </is>
      </c>
      <c r="H1476" s="40" t="inlineStr">
        <is>
          <t>TECHNIQUE</t>
        </is>
      </c>
      <c r="I1476" s="41" t="inlineStr">
        <is>
          <t>2024ACT_VDEF</t>
        </is>
      </c>
      <c r="J1476" s="41" t="n">
        <v>2024</v>
      </c>
      <c r="K1476" s="41" t="inlineStr">
        <is>
          <t>NB</t>
        </is>
      </c>
      <c r="L1476" s="43" t="n">
        <v>912</v>
      </c>
    </row>
    <row r="1477">
      <c r="B1477" s="39" t="inlineStr">
        <is>
          <t>ISCOM_LIL</t>
        </is>
      </c>
      <c r="C1477" s="40" t="inlineStr">
        <is>
          <t>MAS_COM</t>
        </is>
      </c>
      <c r="D1477" s="40" t="inlineStr">
        <is>
          <t>M1</t>
        </is>
      </c>
      <c r="E1477" s="40" t="inlineStr">
        <is>
          <t>ALT</t>
        </is>
      </c>
      <c r="F1477" s="40" t="inlineStr">
        <is>
          <t>STA_HEURE</t>
        </is>
      </c>
      <c r="G1477" s="39" t="inlineStr">
        <is>
          <t>Heures d'enseignement</t>
        </is>
      </c>
      <c r="H1477" s="40" t="inlineStr">
        <is>
          <t>TECHNIQUE</t>
        </is>
      </c>
      <c r="I1477" s="41" t="inlineStr">
        <is>
          <t>2025FCST_V4</t>
        </is>
      </c>
      <c r="J1477" s="41" t="n">
        <v>2025</v>
      </c>
      <c r="K1477" s="41" t="inlineStr">
        <is>
          <t>NB</t>
        </is>
      </c>
      <c r="L1477" s="43" t="n">
        <v>960</v>
      </c>
    </row>
    <row r="1478">
      <c r="B1478" s="39" t="inlineStr">
        <is>
          <t>ISCOM_LIL</t>
        </is>
      </c>
      <c r="C1478" s="40" t="inlineStr">
        <is>
          <t>MAS_COM</t>
        </is>
      </c>
      <c r="D1478" s="40" t="inlineStr">
        <is>
          <t>M1</t>
        </is>
      </c>
      <c r="E1478" s="40" t="inlineStr">
        <is>
          <t>ALT</t>
        </is>
      </c>
      <c r="F1478" s="40" t="inlineStr">
        <is>
          <t>STA_CAPA</t>
        </is>
      </c>
      <c r="G1478" s="39" t="inlineStr">
        <is>
          <t>Capacité par classe</t>
        </is>
      </c>
      <c r="H1478" s="40" t="inlineStr">
        <is>
          <t>TECHNIQUE</t>
        </is>
      </c>
      <c r="I1478" s="41" t="inlineStr">
        <is>
          <t>2023ACT_VDEF</t>
        </is>
      </c>
      <c r="J1478" s="41" t="n">
        <v>2023</v>
      </c>
      <c r="K1478" s="41" t="inlineStr">
        <is>
          <t>NB</t>
        </is>
      </c>
      <c r="L1478" s="43" t="n">
        <v>26</v>
      </c>
    </row>
    <row r="1479">
      <c r="B1479" s="39" t="inlineStr">
        <is>
          <t>ISCOM_LIL</t>
        </is>
      </c>
      <c r="C1479" s="40" t="inlineStr">
        <is>
          <t>MAS_COM</t>
        </is>
      </c>
      <c r="D1479" s="40" t="inlineStr">
        <is>
          <t>M1</t>
        </is>
      </c>
      <c r="E1479" s="40" t="inlineStr">
        <is>
          <t>ALT</t>
        </is>
      </c>
      <c r="F1479" s="40" t="inlineStr">
        <is>
          <t>STA_CAPA</t>
        </is>
      </c>
      <c r="G1479" s="39" t="inlineStr">
        <is>
          <t>Capacité par classe</t>
        </is>
      </c>
      <c r="H1479" s="40" t="inlineStr">
        <is>
          <t>TECHNIQUE</t>
        </is>
      </c>
      <c r="I1479" s="41" t="inlineStr">
        <is>
          <t>2024ACT_VDEF</t>
        </is>
      </c>
      <c r="J1479" s="41" t="n">
        <v>2024</v>
      </c>
      <c r="K1479" s="41" t="inlineStr">
        <is>
          <t>NB</t>
        </is>
      </c>
      <c r="L1479" s="43" t="n">
        <v>26</v>
      </c>
    </row>
    <row r="1480">
      <c r="B1480" s="39" t="inlineStr">
        <is>
          <t>ISCOM_LIL</t>
        </is>
      </c>
      <c r="C1480" s="40" t="inlineStr">
        <is>
          <t>MAS_COM</t>
        </is>
      </c>
      <c r="D1480" s="40" t="inlineStr">
        <is>
          <t>M1</t>
        </is>
      </c>
      <c r="E1480" s="40" t="inlineStr">
        <is>
          <t>ALT</t>
        </is>
      </c>
      <c r="F1480" s="40" t="inlineStr">
        <is>
          <t>STA_CAPA</t>
        </is>
      </c>
      <c r="G1480" s="39" t="inlineStr">
        <is>
          <t>Capacité par classe</t>
        </is>
      </c>
      <c r="H1480" s="40" t="inlineStr">
        <is>
          <t>TECHNIQUE</t>
        </is>
      </c>
      <c r="I1480" s="41" t="inlineStr">
        <is>
          <t>2025FCST_V4</t>
        </is>
      </c>
      <c r="J1480" s="41" t="n">
        <v>2025</v>
      </c>
      <c r="K1480" s="41" t="inlineStr">
        <is>
          <t>NB</t>
        </is>
      </c>
      <c r="L1480" s="43" t="n">
        <v>26</v>
      </c>
    </row>
    <row r="1481">
      <c r="B1481" s="39" t="inlineStr">
        <is>
          <t>ISCOM_LIL</t>
        </is>
      </c>
      <c r="C1481" s="40" t="inlineStr">
        <is>
          <t>MAS_COM</t>
        </is>
      </c>
      <c r="D1481" s="40" t="inlineStr">
        <is>
          <t>M1</t>
        </is>
      </c>
      <c r="E1481" s="40" t="inlineStr">
        <is>
          <t>ALT</t>
        </is>
      </c>
      <c r="F1481" s="40" t="inlineStr">
        <is>
          <t>DRV_CONV</t>
        </is>
      </c>
      <c r="G1481" s="39" t="inlineStr">
        <is>
          <t>Taux de conversion candidat→inscrit</t>
        </is>
      </c>
      <c r="H1481" s="40" t="inlineStr">
        <is>
          <t>TECHNIQUE</t>
        </is>
      </c>
      <c r="I1481" s="41" t="inlineStr">
        <is>
          <t>2023ACT_VDEF</t>
        </is>
      </c>
      <c r="J1481" s="41" t="n">
        <v>2023</v>
      </c>
      <c r="K1481" s="41" t="inlineStr">
        <is>
          <t>PCT</t>
        </is>
      </c>
      <c r="L1481" s="44" t="n">
        <v>0.3704</v>
      </c>
    </row>
    <row r="1482">
      <c r="B1482" s="39" t="inlineStr">
        <is>
          <t>ISCOM_LIL</t>
        </is>
      </c>
      <c r="C1482" s="40" t="inlineStr">
        <is>
          <t>MAS_COM</t>
        </is>
      </c>
      <c r="D1482" s="40" t="inlineStr">
        <is>
          <t>M1</t>
        </is>
      </c>
      <c r="E1482" s="40" t="inlineStr">
        <is>
          <t>ALT</t>
        </is>
      </c>
      <c r="F1482" s="40" t="inlineStr">
        <is>
          <t>DRV_CONV</t>
        </is>
      </c>
      <c r="G1482" s="39" t="inlineStr">
        <is>
          <t>Taux de conversion candidat→inscrit</t>
        </is>
      </c>
      <c r="H1482" s="40" t="inlineStr">
        <is>
          <t>TECHNIQUE</t>
        </is>
      </c>
      <c r="I1482" s="41" t="inlineStr">
        <is>
          <t>2024ACT_VDEF</t>
        </is>
      </c>
      <c r="J1482" s="41" t="n">
        <v>2024</v>
      </c>
      <c r="K1482" s="41" t="inlineStr">
        <is>
          <t>PCT</t>
        </is>
      </c>
      <c r="L1482" s="44" t="n">
        <v>0.3704</v>
      </c>
    </row>
    <row r="1483">
      <c r="B1483" s="39" t="inlineStr">
        <is>
          <t>ISCOM_LIL</t>
        </is>
      </c>
      <c r="C1483" s="40" t="inlineStr">
        <is>
          <t>MAS_COM</t>
        </is>
      </c>
      <c r="D1483" s="40" t="inlineStr">
        <is>
          <t>M1</t>
        </is>
      </c>
      <c r="E1483" s="40" t="inlineStr">
        <is>
          <t>ALT</t>
        </is>
      </c>
      <c r="F1483" s="40" t="inlineStr">
        <is>
          <t>DRV_CONV</t>
        </is>
      </c>
      <c r="G1483" s="39" t="inlineStr">
        <is>
          <t>Taux de conversion candidat→inscrit</t>
        </is>
      </c>
      <c r="H1483" s="40" t="inlineStr">
        <is>
          <t>TECHNIQUE</t>
        </is>
      </c>
      <c r="I1483" s="41" t="inlineStr">
        <is>
          <t>2025FCST_V4</t>
        </is>
      </c>
      <c r="J1483" s="41" t="n">
        <v>2025</v>
      </c>
      <c r="K1483" s="41" t="inlineStr">
        <is>
          <t>PCT</t>
        </is>
      </c>
      <c r="L1483" s="44" t="n">
        <v>0.3704</v>
      </c>
    </row>
    <row r="1484">
      <c r="B1484" s="39" t="inlineStr">
        <is>
          <t>ISCOM_LIL</t>
        </is>
      </c>
      <c r="C1484" s="40" t="inlineStr">
        <is>
          <t>MAS_COM</t>
        </is>
      </c>
      <c r="D1484" s="40" t="inlineStr">
        <is>
          <t>M1</t>
        </is>
      </c>
      <c r="E1484" s="40" t="inlineStr">
        <is>
          <t>ALT</t>
        </is>
      </c>
      <c r="F1484" s="40" t="inlineStr">
        <is>
          <t>PRX_TARIF</t>
        </is>
      </c>
      <c r="G1484" s="39" t="inlineStr">
        <is>
          <t>Tarif moyen scolarité</t>
        </is>
      </c>
      <c r="H1484" s="40" t="inlineStr">
        <is>
          <t>TECHNIQUE</t>
        </is>
      </c>
      <c r="I1484" s="41" t="inlineStr">
        <is>
          <t>2023ACT_VDEF</t>
        </is>
      </c>
      <c r="J1484" s="41" t="n">
        <v>2023</v>
      </c>
      <c r="K1484" s="41" t="inlineStr">
        <is>
          <t>EUR</t>
        </is>
      </c>
      <c r="L1484" s="42" t="n">
        <v>9000</v>
      </c>
    </row>
    <row r="1485">
      <c r="B1485" s="39" t="inlineStr">
        <is>
          <t>ISCOM_LIL</t>
        </is>
      </c>
      <c r="C1485" s="40" t="inlineStr">
        <is>
          <t>MAS_COM</t>
        </is>
      </c>
      <c r="D1485" s="40" t="inlineStr">
        <is>
          <t>M1</t>
        </is>
      </c>
      <c r="E1485" s="40" t="inlineStr">
        <is>
          <t>ALT</t>
        </is>
      </c>
      <c r="F1485" s="40" t="inlineStr">
        <is>
          <t>PRX_TARIF</t>
        </is>
      </c>
      <c r="G1485" s="39" t="inlineStr">
        <is>
          <t>Tarif moyen scolarité</t>
        </is>
      </c>
      <c r="H1485" s="40" t="inlineStr">
        <is>
          <t>TECHNIQUE</t>
        </is>
      </c>
      <c r="I1485" s="41" t="inlineStr">
        <is>
          <t>2024ACT_VDEF</t>
        </is>
      </c>
      <c r="J1485" s="41" t="n">
        <v>2024</v>
      </c>
      <c r="K1485" s="41" t="inlineStr">
        <is>
          <t>EUR</t>
        </is>
      </c>
      <c r="L1485" s="42" t="n">
        <v>9000</v>
      </c>
    </row>
    <row r="1486">
      <c r="B1486" s="39" t="inlineStr">
        <is>
          <t>ISCOM_LIL</t>
        </is>
      </c>
      <c r="C1486" s="40" t="inlineStr">
        <is>
          <t>MAS_COM</t>
        </is>
      </c>
      <c r="D1486" s="40" t="inlineStr">
        <is>
          <t>M1</t>
        </is>
      </c>
      <c r="E1486" s="40" t="inlineStr">
        <is>
          <t>ALT</t>
        </is>
      </c>
      <c r="F1486" s="40" t="inlineStr">
        <is>
          <t>PRX_TARIF</t>
        </is>
      </c>
      <c r="G1486" s="39" t="inlineStr">
        <is>
          <t>Tarif moyen scolarité</t>
        </is>
      </c>
      <c r="H1486" s="40" t="inlineStr">
        <is>
          <t>TECHNIQUE</t>
        </is>
      </c>
      <c r="I1486" s="41" t="inlineStr">
        <is>
          <t>2025FCST_V4</t>
        </is>
      </c>
      <c r="J1486" s="41" t="n">
        <v>2025</v>
      </c>
      <c r="K1486" s="41" t="inlineStr">
        <is>
          <t>EUR</t>
        </is>
      </c>
      <c r="L1486" s="42" t="n">
        <v>9000</v>
      </c>
    </row>
    <row r="1487">
      <c r="B1487" s="39" t="inlineStr">
        <is>
          <t>ISCOM_LIL</t>
        </is>
      </c>
      <c r="C1487" s="40" t="inlineStr">
        <is>
          <t>MAS_COM</t>
        </is>
      </c>
      <c r="D1487" s="40" t="inlineStr">
        <is>
          <t>M1</t>
        </is>
      </c>
      <c r="E1487" s="40" t="inlineStr">
        <is>
          <t>ALT</t>
        </is>
      </c>
      <c r="F1487" s="40" t="inlineStr">
        <is>
          <t>CAC_LEAD</t>
        </is>
      </c>
      <c r="G1487" s="39" t="inlineStr">
        <is>
          <t>Coût d'acquisition par lead</t>
        </is>
      </c>
      <c r="H1487" s="40" t="inlineStr">
        <is>
          <t>TECHNIQUE</t>
        </is>
      </c>
      <c r="I1487" s="41" t="inlineStr">
        <is>
          <t>2023ACT_VDEF</t>
        </is>
      </c>
      <c r="J1487" s="41" t="n">
        <v>2023</v>
      </c>
      <c r="K1487" s="41" t="inlineStr">
        <is>
          <t>EUR</t>
        </is>
      </c>
      <c r="L1487" s="42" t="n">
        <v>600</v>
      </c>
    </row>
    <row r="1488">
      <c r="B1488" s="39" t="inlineStr">
        <is>
          <t>ISCOM_LIL</t>
        </is>
      </c>
      <c r="C1488" s="40" t="inlineStr">
        <is>
          <t>MAS_COM</t>
        </is>
      </c>
      <c r="D1488" s="40" t="inlineStr">
        <is>
          <t>M1</t>
        </is>
      </c>
      <c r="E1488" s="40" t="inlineStr">
        <is>
          <t>ALT</t>
        </is>
      </c>
      <c r="F1488" s="40" t="inlineStr">
        <is>
          <t>CAC_LEAD</t>
        </is>
      </c>
      <c r="G1488" s="39" t="inlineStr">
        <is>
          <t>Coût d'acquisition par lead</t>
        </is>
      </c>
      <c r="H1488" s="40" t="inlineStr">
        <is>
          <t>TECHNIQUE</t>
        </is>
      </c>
      <c r="I1488" s="41" t="inlineStr">
        <is>
          <t>2024ACT_VDEF</t>
        </is>
      </c>
      <c r="J1488" s="41" t="n">
        <v>2024</v>
      </c>
      <c r="K1488" s="41" t="inlineStr">
        <is>
          <t>EUR</t>
        </is>
      </c>
      <c r="L1488" s="42" t="n">
        <v>600</v>
      </c>
    </row>
    <row r="1489">
      <c r="B1489" s="39" t="inlineStr">
        <is>
          <t>ISCOM_LIL</t>
        </is>
      </c>
      <c r="C1489" s="40" t="inlineStr">
        <is>
          <t>MAS_COM</t>
        </is>
      </c>
      <c r="D1489" s="40" t="inlineStr">
        <is>
          <t>M1</t>
        </is>
      </c>
      <c r="E1489" s="40" t="inlineStr">
        <is>
          <t>ALT</t>
        </is>
      </c>
      <c r="F1489" s="40" t="inlineStr">
        <is>
          <t>CAC_LEAD</t>
        </is>
      </c>
      <c r="G1489" s="39" t="inlineStr">
        <is>
          <t>Coût d'acquisition par lead</t>
        </is>
      </c>
      <c r="H1489" s="40" t="inlineStr">
        <is>
          <t>TECHNIQUE</t>
        </is>
      </c>
      <c r="I1489" s="41" t="inlineStr">
        <is>
          <t>2025FCST_V4</t>
        </is>
      </c>
      <c r="J1489" s="41" t="n">
        <v>2025</v>
      </c>
      <c r="K1489" s="41" t="inlineStr">
        <is>
          <t>EUR</t>
        </is>
      </c>
      <c r="L1489" s="42" t="n">
        <v>600</v>
      </c>
    </row>
    <row r="1490">
      <c r="B1490" s="39" t="inlineStr">
        <is>
          <t>ISCOM_LIL</t>
        </is>
      </c>
      <c r="C1490" s="40" t="inlineStr">
        <is>
          <t>MAS_COM</t>
        </is>
      </c>
      <c r="D1490" s="40" t="inlineStr">
        <is>
          <t>M2</t>
        </is>
      </c>
      <c r="E1490" s="40" t="inlineStr">
        <is>
          <t>ALT</t>
        </is>
      </c>
      <c r="F1490" s="40" t="inlineStr">
        <is>
          <t>706100</t>
        </is>
      </c>
      <c r="G1490" s="39" t="inlineStr">
        <is>
          <t>Droits de scolarité</t>
        </is>
      </c>
      <c r="H1490" s="40" t="inlineStr">
        <is>
          <t>COMPTABLE</t>
        </is>
      </c>
      <c r="I1490" s="41" t="inlineStr">
        <is>
          <t>2023ACT_VDEF</t>
        </is>
      </c>
      <c r="J1490" s="41" t="n">
        <v>2023</v>
      </c>
      <c r="K1490" s="41" t="inlineStr">
        <is>
          <t>EUR</t>
        </is>
      </c>
      <c r="L1490" s="42" t="n">
        <v>218700</v>
      </c>
    </row>
    <row r="1491">
      <c r="B1491" s="39" t="inlineStr">
        <is>
          <t>ISCOM_LIL</t>
        </is>
      </c>
      <c r="C1491" s="40" t="inlineStr">
        <is>
          <t>MAS_COM</t>
        </is>
      </c>
      <c r="D1491" s="40" t="inlineStr">
        <is>
          <t>M2</t>
        </is>
      </c>
      <c r="E1491" s="40" t="inlineStr">
        <is>
          <t>ALT</t>
        </is>
      </c>
      <c r="F1491" s="40" t="inlineStr">
        <is>
          <t>706100</t>
        </is>
      </c>
      <c r="G1491" s="39" t="inlineStr">
        <is>
          <t>Droits de scolarité</t>
        </is>
      </c>
      <c r="H1491" s="40" t="inlineStr">
        <is>
          <t>COMPTABLE</t>
        </is>
      </c>
      <c r="I1491" s="41" t="inlineStr">
        <is>
          <t>2024ACT_VDEF</t>
        </is>
      </c>
      <c r="J1491" s="41" t="n">
        <v>2024</v>
      </c>
      <c r="K1491" s="41" t="inlineStr">
        <is>
          <t>EUR</t>
        </is>
      </c>
      <c r="L1491" s="42" t="n">
        <v>230850</v>
      </c>
    </row>
    <row r="1492">
      <c r="B1492" s="39" t="inlineStr">
        <is>
          <t>ISCOM_LIL</t>
        </is>
      </c>
      <c r="C1492" s="40" t="inlineStr">
        <is>
          <t>MAS_COM</t>
        </is>
      </c>
      <c r="D1492" s="40" t="inlineStr">
        <is>
          <t>M2</t>
        </is>
      </c>
      <c r="E1492" s="40" t="inlineStr">
        <is>
          <t>ALT</t>
        </is>
      </c>
      <c r="F1492" s="40" t="inlineStr">
        <is>
          <t>706100</t>
        </is>
      </c>
      <c r="G1492" s="39" t="inlineStr">
        <is>
          <t>Droits de scolarité</t>
        </is>
      </c>
      <c r="H1492" s="40" t="inlineStr">
        <is>
          <t>COMPTABLE</t>
        </is>
      </c>
      <c r="I1492" s="41" t="inlineStr">
        <is>
          <t>2025FCST_V4</t>
        </is>
      </c>
      <c r="J1492" s="41" t="n">
        <v>2025</v>
      </c>
      <c r="K1492" s="41" t="inlineStr">
        <is>
          <t>EUR</t>
        </is>
      </c>
      <c r="L1492" s="42" t="n">
        <v>243000</v>
      </c>
    </row>
    <row r="1493">
      <c r="B1493" s="39" t="inlineStr">
        <is>
          <t>ISCOM_LIL</t>
        </is>
      </c>
      <c r="C1493" s="40" t="inlineStr">
        <is>
          <t>MAS_COM</t>
        </is>
      </c>
      <c r="D1493" s="40" t="inlineStr">
        <is>
          <t>M2</t>
        </is>
      </c>
      <c r="E1493" s="40" t="inlineStr">
        <is>
          <t>ALT</t>
        </is>
      </c>
      <c r="F1493" s="40" t="inlineStr">
        <is>
          <t>604100</t>
        </is>
      </c>
      <c r="G1493" s="39" t="inlineStr">
        <is>
          <t>Vacations &amp; sous-traitance pédagogique</t>
        </is>
      </c>
      <c r="H1493" s="40" t="inlineStr">
        <is>
          <t>COMPTABLE</t>
        </is>
      </c>
      <c r="I1493" s="41" t="inlineStr">
        <is>
          <t>2023ACT_VDEF</t>
        </is>
      </c>
      <c r="J1493" s="41" t="n">
        <v>2023</v>
      </c>
      <c r="K1493" s="41" t="inlineStr">
        <is>
          <t>EUR</t>
        </is>
      </c>
      <c r="L1493" s="42" t="n">
        <v>58608</v>
      </c>
    </row>
    <row r="1494">
      <c r="B1494" s="39" t="inlineStr">
        <is>
          <t>ISCOM_LIL</t>
        </is>
      </c>
      <c r="C1494" s="40" t="inlineStr">
        <is>
          <t>MAS_COM</t>
        </is>
      </c>
      <c r="D1494" s="40" t="inlineStr">
        <is>
          <t>M2</t>
        </is>
      </c>
      <c r="E1494" s="40" t="inlineStr">
        <is>
          <t>ALT</t>
        </is>
      </c>
      <c r="F1494" s="40" t="inlineStr">
        <is>
          <t>604100</t>
        </is>
      </c>
      <c r="G1494" s="39" t="inlineStr">
        <is>
          <t>Vacations &amp; sous-traitance pédagogique</t>
        </is>
      </c>
      <c r="H1494" s="40" t="inlineStr">
        <is>
          <t>COMPTABLE</t>
        </is>
      </c>
      <c r="I1494" s="41" t="inlineStr">
        <is>
          <t>2024ACT_VDEF</t>
        </is>
      </c>
      <c r="J1494" s="41" t="n">
        <v>2024</v>
      </c>
      <c r="K1494" s="41" t="inlineStr">
        <is>
          <t>EUR</t>
        </is>
      </c>
      <c r="L1494" s="42" t="n">
        <v>61864</v>
      </c>
    </row>
    <row r="1495">
      <c r="B1495" s="39" t="inlineStr">
        <is>
          <t>ISCOM_LIL</t>
        </is>
      </c>
      <c r="C1495" s="40" t="inlineStr">
        <is>
          <t>MAS_COM</t>
        </is>
      </c>
      <c r="D1495" s="40" t="inlineStr">
        <is>
          <t>M2</t>
        </is>
      </c>
      <c r="E1495" s="40" t="inlineStr">
        <is>
          <t>ALT</t>
        </is>
      </c>
      <c r="F1495" s="40" t="inlineStr">
        <is>
          <t>604100</t>
        </is>
      </c>
      <c r="G1495" s="39" t="inlineStr">
        <is>
          <t>Vacations &amp; sous-traitance pédagogique</t>
        </is>
      </c>
      <c r="H1495" s="40" t="inlineStr">
        <is>
          <t>COMPTABLE</t>
        </is>
      </c>
      <c r="I1495" s="41" t="inlineStr">
        <is>
          <t>2025FCST_V4</t>
        </is>
      </c>
      <c r="J1495" s="41" t="n">
        <v>2025</v>
      </c>
      <c r="K1495" s="41" t="inlineStr">
        <is>
          <t>EUR</t>
        </is>
      </c>
      <c r="L1495" s="42" t="n">
        <v>65120</v>
      </c>
    </row>
    <row r="1496">
      <c r="B1496" s="39" t="inlineStr">
        <is>
          <t>ISCOM_LIL</t>
        </is>
      </c>
      <c r="C1496" s="40" t="inlineStr">
        <is>
          <t>MAS_COM</t>
        </is>
      </c>
      <c r="D1496" s="40" t="inlineStr">
        <is>
          <t>M2</t>
        </is>
      </c>
      <c r="E1496" s="40" t="inlineStr">
        <is>
          <t>ALT</t>
        </is>
      </c>
      <c r="F1496" s="40" t="inlineStr">
        <is>
          <t>606300</t>
        </is>
      </c>
      <c r="G1496" s="39" t="inlineStr">
        <is>
          <t>Fournitures &amp; ressources pédagogiques</t>
        </is>
      </c>
      <c r="H1496" s="40" t="inlineStr">
        <is>
          <t>COMPTABLE</t>
        </is>
      </c>
      <c r="I1496" s="41" t="inlineStr">
        <is>
          <t>2023ACT_VDEF</t>
        </is>
      </c>
      <c r="J1496" s="41" t="n">
        <v>2023</v>
      </c>
      <c r="K1496" s="41" t="inlineStr">
        <is>
          <t>EUR</t>
        </is>
      </c>
      <c r="L1496" s="42" t="n">
        <v>16281</v>
      </c>
    </row>
    <row r="1497">
      <c r="B1497" s="39" t="inlineStr">
        <is>
          <t>ISCOM_LIL</t>
        </is>
      </c>
      <c r="C1497" s="40" t="inlineStr">
        <is>
          <t>MAS_COM</t>
        </is>
      </c>
      <c r="D1497" s="40" t="inlineStr">
        <is>
          <t>M2</t>
        </is>
      </c>
      <c r="E1497" s="40" t="inlineStr">
        <is>
          <t>ALT</t>
        </is>
      </c>
      <c r="F1497" s="40" t="inlineStr">
        <is>
          <t>606300</t>
        </is>
      </c>
      <c r="G1497" s="39" t="inlineStr">
        <is>
          <t>Fournitures &amp; ressources pédagogiques</t>
        </is>
      </c>
      <c r="H1497" s="40" t="inlineStr">
        <is>
          <t>COMPTABLE</t>
        </is>
      </c>
      <c r="I1497" s="41" t="inlineStr">
        <is>
          <t>2024ACT_VDEF</t>
        </is>
      </c>
      <c r="J1497" s="41" t="n">
        <v>2024</v>
      </c>
      <c r="K1497" s="41" t="inlineStr">
        <is>
          <t>EUR</t>
        </is>
      </c>
      <c r="L1497" s="42" t="n">
        <v>17186</v>
      </c>
    </row>
    <row r="1498">
      <c r="B1498" s="39" t="inlineStr">
        <is>
          <t>ISCOM_LIL</t>
        </is>
      </c>
      <c r="C1498" s="40" t="inlineStr">
        <is>
          <t>MAS_COM</t>
        </is>
      </c>
      <c r="D1498" s="40" t="inlineStr">
        <is>
          <t>M2</t>
        </is>
      </c>
      <c r="E1498" s="40" t="inlineStr">
        <is>
          <t>ALT</t>
        </is>
      </c>
      <c r="F1498" s="40" t="inlineStr">
        <is>
          <t>606300</t>
        </is>
      </c>
      <c r="G1498" s="39" t="inlineStr">
        <is>
          <t>Fournitures &amp; ressources pédagogiques</t>
        </is>
      </c>
      <c r="H1498" s="40" t="inlineStr">
        <is>
          <t>COMPTABLE</t>
        </is>
      </c>
      <c r="I1498" s="41" t="inlineStr">
        <is>
          <t>2025FCST_V4</t>
        </is>
      </c>
      <c r="J1498" s="41" t="n">
        <v>2025</v>
      </c>
      <c r="K1498" s="41" t="inlineStr">
        <is>
          <t>EUR</t>
        </is>
      </c>
      <c r="L1498" s="42" t="n">
        <v>18090</v>
      </c>
    </row>
    <row r="1499">
      <c r="B1499" s="39" t="inlineStr">
        <is>
          <t>ISCOM_LIL</t>
        </is>
      </c>
      <c r="C1499" s="40" t="inlineStr">
        <is>
          <t>MAS_COM</t>
        </is>
      </c>
      <c r="D1499" s="40" t="inlineStr">
        <is>
          <t>M2</t>
        </is>
      </c>
      <c r="E1499" s="40" t="inlineStr">
        <is>
          <t>ALT</t>
        </is>
      </c>
      <c r="F1499" s="40" t="inlineStr">
        <is>
          <t>613200</t>
        </is>
      </c>
      <c r="G1499" s="39" t="inlineStr">
        <is>
          <t>Locations immobilières (loyers)</t>
        </is>
      </c>
      <c r="H1499" s="40" t="inlineStr">
        <is>
          <t>COMPTABLE</t>
        </is>
      </c>
      <c r="I1499" s="41" t="inlineStr">
        <is>
          <t>2023ACT_VDEF</t>
        </is>
      </c>
      <c r="J1499" s="41" t="n">
        <v>2023</v>
      </c>
      <c r="K1499" s="41" t="inlineStr">
        <is>
          <t>EUR</t>
        </is>
      </c>
      <c r="L1499" s="42" t="n">
        <v>31320</v>
      </c>
    </row>
    <row r="1500">
      <c r="B1500" s="39" t="inlineStr">
        <is>
          <t>ISCOM_LIL</t>
        </is>
      </c>
      <c r="C1500" s="40" t="inlineStr">
        <is>
          <t>MAS_COM</t>
        </is>
      </c>
      <c r="D1500" s="40" t="inlineStr">
        <is>
          <t>M2</t>
        </is>
      </c>
      <c r="E1500" s="40" t="inlineStr">
        <is>
          <t>ALT</t>
        </is>
      </c>
      <c r="F1500" s="40" t="inlineStr">
        <is>
          <t>613200</t>
        </is>
      </c>
      <c r="G1500" s="39" t="inlineStr">
        <is>
          <t>Locations immobilières (loyers)</t>
        </is>
      </c>
      <c r="H1500" s="40" t="inlineStr">
        <is>
          <t>COMPTABLE</t>
        </is>
      </c>
      <c r="I1500" s="41" t="inlineStr">
        <is>
          <t>2024ACT_VDEF</t>
        </is>
      </c>
      <c r="J1500" s="41" t="n">
        <v>2024</v>
      </c>
      <c r="K1500" s="41" t="inlineStr">
        <is>
          <t>EUR</t>
        </is>
      </c>
      <c r="L1500" s="42" t="n">
        <v>33060</v>
      </c>
    </row>
    <row r="1501">
      <c r="B1501" s="39" t="inlineStr">
        <is>
          <t>ISCOM_LIL</t>
        </is>
      </c>
      <c r="C1501" s="40" t="inlineStr">
        <is>
          <t>MAS_COM</t>
        </is>
      </c>
      <c r="D1501" s="40" t="inlineStr">
        <is>
          <t>M2</t>
        </is>
      </c>
      <c r="E1501" s="40" t="inlineStr">
        <is>
          <t>ALT</t>
        </is>
      </c>
      <c r="F1501" s="40" t="inlineStr">
        <is>
          <t>613200</t>
        </is>
      </c>
      <c r="G1501" s="39" t="inlineStr">
        <is>
          <t>Locations immobilières (loyers)</t>
        </is>
      </c>
      <c r="H1501" s="40" t="inlineStr">
        <is>
          <t>COMPTABLE</t>
        </is>
      </c>
      <c r="I1501" s="41" t="inlineStr">
        <is>
          <t>2025FCST_V4</t>
        </is>
      </c>
      <c r="J1501" s="41" t="n">
        <v>2025</v>
      </c>
      <c r="K1501" s="41" t="inlineStr">
        <is>
          <t>EUR</t>
        </is>
      </c>
      <c r="L1501" s="42" t="n">
        <v>34800</v>
      </c>
    </row>
    <row r="1502">
      <c r="B1502" s="39" t="inlineStr">
        <is>
          <t>ISCOM_LIL</t>
        </is>
      </c>
      <c r="C1502" s="40" t="inlineStr">
        <is>
          <t>MAS_COM</t>
        </is>
      </c>
      <c r="D1502" s="40" t="inlineStr">
        <is>
          <t>M2</t>
        </is>
      </c>
      <c r="E1502" s="40" t="inlineStr">
        <is>
          <t>ALT</t>
        </is>
      </c>
      <c r="F1502" s="40" t="inlineStr">
        <is>
          <t>641100</t>
        </is>
      </c>
      <c r="G1502" s="39" t="inlineStr">
        <is>
          <t>Rémunérations du personnel permanent</t>
        </is>
      </c>
      <c r="H1502" s="40" t="inlineStr">
        <is>
          <t>COMPTABLE</t>
        </is>
      </c>
      <c r="I1502" s="41" t="inlineStr">
        <is>
          <t>2023ACT_VDEF</t>
        </is>
      </c>
      <c r="J1502" s="41" t="n">
        <v>2023</v>
      </c>
      <c r="K1502" s="41" t="inlineStr">
        <is>
          <t>EUR</t>
        </is>
      </c>
      <c r="L1502" s="42" t="n">
        <v>73080</v>
      </c>
    </row>
    <row r="1503">
      <c r="B1503" s="39" t="inlineStr">
        <is>
          <t>ISCOM_LIL</t>
        </is>
      </c>
      <c r="C1503" s="40" t="inlineStr">
        <is>
          <t>MAS_COM</t>
        </is>
      </c>
      <c r="D1503" s="40" t="inlineStr">
        <is>
          <t>M2</t>
        </is>
      </c>
      <c r="E1503" s="40" t="inlineStr">
        <is>
          <t>ALT</t>
        </is>
      </c>
      <c r="F1503" s="40" t="inlineStr">
        <is>
          <t>641100</t>
        </is>
      </c>
      <c r="G1503" s="39" t="inlineStr">
        <is>
          <t>Rémunérations du personnel permanent</t>
        </is>
      </c>
      <c r="H1503" s="40" t="inlineStr">
        <is>
          <t>COMPTABLE</t>
        </is>
      </c>
      <c r="I1503" s="41" t="inlineStr">
        <is>
          <t>2024ACT_VDEF</t>
        </is>
      </c>
      <c r="J1503" s="41" t="n">
        <v>2024</v>
      </c>
      <c r="K1503" s="41" t="inlineStr">
        <is>
          <t>EUR</t>
        </is>
      </c>
      <c r="L1503" s="42" t="n">
        <v>77140</v>
      </c>
    </row>
    <row r="1504">
      <c r="B1504" s="39" t="inlineStr">
        <is>
          <t>ISCOM_LIL</t>
        </is>
      </c>
      <c r="C1504" s="40" t="inlineStr">
        <is>
          <t>MAS_COM</t>
        </is>
      </c>
      <c r="D1504" s="40" t="inlineStr">
        <is>
          <t>M2</t>
        </is>
      </c>
      <c r="E1504" s="40" t="inlineStr">
        <is>
          <t>ALT</t>
        </is>
      </c>
      <c r="F1504" s="40" t="inlineStr">
        <is>
          <t>641100</t>
        </is>
      </c>
      <c r="G1504" s="39" t="inlineStr">
        <is>
          <t>Rémunérations du personnel permanent</t>
        </is>
      </c>
      <c r="H1504" s="40" t="inlineStr">
        <is>
          <t>COMPTABLE</t>
        </is>
      </c>
      <c r="I1504" s="41" t="inlineStr">
        <is>
          <t>2025FCST_V4</t>
        </is>
      </c>
      <c r="J1504" s="41" t="n">
        <v>2025</v>
      </c>
      <c r="K1504" s="41" t="inlineStr">
        <is>
          <t>EUR</t>
        </is>
      </c>
      <c r="L1504" s="42" t="n">
        <v>81200</v>
      </c>
    </row>
    <row r="1505">
      <c r="B1505" s="39" t="inlineStr">
        <is>
          <t>ISCOM_LIL</t>
        </is>
      </c>
      <c r="C1505" s="40" t="inlineStr">
        <is>
          <t>MAS_COM</t>
        </is>
      </c>
      <c r="D1505" s="40" t="inlineStr">
        <is>
          <t>M2</t>
        </is>
      </c>
      <c r="E1505" s="40" t="inlineStr">
        <is>
          <t>ALT</t>
        </is>
      </c>
      <c r="F1505" s="40" t="inlineStr">
        <is>
          <t>622600</t>
        </is>
      </c>
      <c r="G1505" s="39" t="inlineStr">
        <is>
          <t>Honoraires &amp; frais de siège (structure groupe)</t>
        </is>
      </c>
      <c r="H1505" s="40" t="inlineStr">
        <is>
          <t>COMPTABLE</t>
        </is>
      </c>
      <c r="I1505" s="41" t="inlineStr">
        <is>
          <t>2023ACT_VDEF</t>
        </is>
      </c>
      <c r="J1505" s="41" t="n">
        <v>2023</v>
      </c>
      <c r="K1505" s="41" t="inlineStr">
        <is>
          <t>EUR</t>
        </is>
      </c>
      <c r="L1505" s="42" t="n">
        <v>28552</v>
      </c>
    </row>
    <row r="1506">
      <c r="B1506" s="39" t="inlineStr">
        <is>
          <t>ISCOM_LIL</t>
        </is>
      </c>
      <c r="C1506" s="40" t="inlineStr">
        <is>
          <t>MAS_COM</t>
        </is>
      </c>
      <c r="D1506" s="40" t="inlineStr">
        <is>
          <t>M2</t>
        </is>
      </c>
      <c r="E1506" s="40" t="inlineStr">
        <is>
          <t>ALT</t>
        </is>
      </c>
      <c r="F1506" s="40" t="inlineStr">
        <is>
          <t>622600</t>
        </is>
      </c>
      <c r="G1506" s="39" t="inlineStr">
        <is>
          <t>Honoraires &amp; frais de siège (structure groupe)</t>
        </is>
      </c>
      <c r="H1506" s="40" t="inlineStr">
        <is>
          <t>COMPTABLE</t>
        </is>
      </c>
      <c r="I1506" s="41" t="inlineStr">
        <is>
          <t>2024ACT_VDEF</t>
        </is>
      </c>
      <c r="J1506" s="41" t="n">
        <v>2024</v>
      </c>
      <c r="K1506" s="41" t="inlineStr">
        <is>
          <t>EUR</t>
        </is>
      </c>
      <c r="L1506" s="42" t="n">
        <v>30138</v>
      </c>
    </row>
    <row r="1507">
      <c r="B1507" s="39" t="inlineStr">
        <is>
          <t>ISCOM_LIL</t>
        </is>
      </c>
      <c r="C1507" s="40" t="inlineStr">
        <is>
          <t>MAS_COM</t>
        </is>
      </c>
      <c r="D1507" s="40" t="inlineStr">
        <is>
          <t>M2</t>
        </is>
      </c>
      <c r="E1507" s="40" t="inlineStr">
        <is>
          <t>ALT</t>
        </is>
      </c>
      <c r="F1507" s="40" t="inlineStr">
        <is>
          <t>622600</t>
        </is>
      </c>
      <c r="G1507" s="39" t="inlineStr">
        <is>
          <t>Honoraires &amp; frais de siège (structure groupe)</t>
        </is>
      </c>
      <c r="H1507" s="40" t="inlineStr">
        <is>
          <t>COMPTABLE</t>
        </is>
      </c>
      <c r="I1507" s="41" t="inlineStr">
        <is>
          <t>2025FCST_V4</t>
        </is>
      </c>
      <c r="J1507" s="41" t="n">
        <v>2025</v>
      </c>
      <c r="K1507" s="41" t="inlineStr">
        <is>
          <t>EUR</t>
        </is>
      </c>
      <c r="L1507" s="42" t="n">
        <v>31724</v>
      </c>
    </row>
    <row r="1508">
      <c r="B1508" s="39" t="inlineStr">
        <is>
          <t>ISCOM_LIL</t>
        </is>
      </c>
      <c r="C1508" s="40" t="inlineStr">
        <is>
          <t>MAS_COM</t>
        </is>
      </c>
      <c r="D1508" s="40" t="inlineStr">
        <is>
          <t>M2</t>
        </is>
      </c>
      <c r="E1508" s="40" t="inlineStr">
        <is>
          <t>ALT</t>
        </is>
      </c>
      <c r="F1508" s="40" t="inlineStr">
        <is>
          <t>606800</t>
        </is>
      </c>
      <c r="G1508" s="39" t="inlineStr">
        <is>
          <t>Autres achats &amp; charges externes</t>
        </is>
      </c>
      <c r="H1508" s="40" t="inlineStr">
        <is>
          <t>COMPTABLE</t>
        </is>
      </c>
      <c r="I1508" s="41" t="inlineStr">
        <is>
          <t>2023ACT_VDEF</t>
        </is>
      </c>
      <c r="J1508" s="41" t="n">
        <v>2023</v>
      </c>
      <c r="K1508" s="41" t="inlineStr">
        <is>
          <t>EUR</t>
        </is>
      </c>
      <c r="L1508" s="42" t="n">
        <v>22696</v>
      </c>
    </row>
    <row r="1509">
      <c r="B1509" s="39" t="inlineStr">
        <is>
          <t>ISCOM_LIL</t>
        </is>
      </c>
      <c r="C1509" s="40" t="inlineStr">
        <is>
          <t>MAS_COM</t>
        </is>
      </c>
      <c r="D1509" s="40" t="inlineStr">
        <is>
          <t>M2</t>
        </is>
      </c>
      <c r="E1509" s="40" t="inlineStr">
        <is>
          <t>ALT</t>
        </is>
      </c>
      <c r="F1509" s="40" t="inlineStr">
        <is>
          <t>606800</t>
        </is>
      </c>
      <c r="G1509" s="39" t="inlineStr">
        <is>
          <t>Autres achats &amp; charges externes</t>
        </is>
      </c>
      <c r="H1509" s="40" t="inlineStr">
        <is>
          <t>COMPTABLE</t>
        </is>
      </c>
      <c r="I1509" s="41" t="inlineStr">
        <is>
          <t>2024ACT_VDEF</t>
        </is>
      </c>
      <c r="J1509" s="41" t="n">
        <v>2024</v>
      </c>
      <c r="K1509" s="41" t="inlineStr">
        <is>
          <t>EUR</t>
        </is>
      </c>
      <c r="L1509" s="42" t="n">
        <v>23957</v>
      </c>
    </row>
    <row r="1510">
      <c r="B1510" s="39" t="inlineStr">
        <is>
          <t>ISCOM_LIL</t>
        </is>
      </c>
      <c r="C1510" s="40" t="inlineStr">
        <is>
          <t>MAS_COM</t>
        </is>
      </c>
      <c r="D1510" s="40" t="inlineStr">
        <is>
          <t>M2</t>
        </is>
      </c>
      <c r="E1510" s="40" t="inlineStr">
        <is>
          <t>ALT</t>
        </is>
      </c>
      <c r="F1510" s="40" t="inlineStr">
        <is>
          <t>606800</t>
        </is>
      </c>
      <c r="G1510" s="39" t="inlineStr">
        <is>
          <t>Autres achats &amp; charges externes</t>
        </is>
      </c>
      <c r="H1510" s="40" t="inlineStr">
        <is>
          <t>COMPTABLE</t>
        </is>
      </c>
      <c r="I1510" s="41" t="inlineStr">
        <is>
          <t>2025FCST_V4</t>
        </is>
      </c>
      <c r="J1510" s="41" t="n">
        <v>2025</v>
      </c>
      <c r="K1510" s="41" t="inlineStr">
        <is>
          <t>EUR</t>
        </is>
      </c>
      <c r="L1510" s="42" t="n">
        <v>25218</v>
      </c>
    </row>
    <row r="1511">
      <c r="B1511" s="39" t="inlineStr">
        <is>
          <t>ISCOM_LIL</t>
        </is>
      </c>
      <c r="C1511" s="40" t="inlineStr">
        <is>
          <t>MAS_COM</t>
        </is>
      </c>
      <c r="D1511" s="40" t="inlineStr">
        <is>
          <t>M2</t>
        </is>
      </c>
      <c r="E1511" s="40" t="inlineStr">
        <is>
          <t>ALT</t>
        </is>
      </c>
      <c r="F1511" s="40" t="inlineStr">
        <is>
          <t>681100</t>
        </is>
      </c>
      <c r="G1511" s="39" t="inlineStr">
        <is>
          <t>Dotations aux amortissements</t>
        </is>
      </c>
      <c r="H1511" s="40" t="inlineStr">
        <is>
          <t>COMPTABLE</t>
        </is>
      </c>
      <c r="I1511" s="41" t="inlineStr">
        <is>
          <t>2023ACT_VDEF</t>
        </is>
      </c>
      <c r="J1511" s="41" t="n">
        <v>2023</v>
      </c>
      <c r="K1511" s="41" t="inlineStr">
        <is>
          <t>EUR</t>
        </is>
      </c>
      <c r="L1511" s="42" t="n">
        <v>17100</v>
      </c>
    </row>
    <row r="1512">
      <c r="B1512" s="39" t="inlineStr">
        <is>
          <t>ISCOM_LIL</t>
        </is>
      </c>
      <c r="C1512" s="40" t="inlineStr">
        <is>
          <t>MAS_COM</t>
        </is>
      </c>
      <c r="D1512" s="40" t="inlineStr">
        <is>
          <t>M2</t>
        </is>
      </c>
      <c r="E1512" s="40" t="inlineStr">
        <is>
          <t>ALT</t>
        </is>
      </c>
      <c r="F1512" s="40" t="inlineStr">
        <is>
          <t>681100</t>
        </is>
      </c>
      <c r="G1512" s="39" t="inlineStr">
        <is>
          <t>Dotations aux amortissements</t>
        </is>
      </c>
      <c r="H1512" s="40" t="inlineStr">
        <is>
          <t>COMPTABLE</t>
        </is>
      </c>
      <c r="I1512" s="41" t="inlineStr">
        <is>
          <t>2024ACT_VDEF</t>
        </is>
      </c>
      <c r="J1512" s="41" t="n">
        <v>2024</v>
      </c>
      <c r="K1512" s="41" t="inlineStr">
        <is>
          <t>EUR</t>
        </is>
      </c>
      <c r="L1512" s="42" t="n">
        <v>18050</v>
      </c>
    </row>
    <row r="1513">
      <c r="B1513" s="39" t="inlineStr">
        <is>
          <t>ISCOM_LIL</t>
        </is>
      </c>
      <c r="C1513" s="40" t="inlineStr">
        <is>
          <t>MAS_COM</t>
        </is>
      </c>
      <c r="D1513" s="40" t="inlineStr">
        <is>
          <t>M2</t>
        </is>
      </c>
      <c r="E1513" s="40" t="inlineStr">
        <is>
          <t>ALT</t>
        </is>
      </c>
      <c r="F1513" s="40" t="inlineStr">
        <is>
          <t>681100</t>
        </is>
      </c>
      <c r="G1513" s="39" t="inlineStr">
        <is>
          <t>Dotations aux amortissements</t>
        </is>
      </c>
      <c r="H1513" s="40" t="inlineStr">
        <is>
          <t>COMPTABLE</t>
        </is>
      </c>
      <c r="I1513" s="41" t="inlineStr">
        <is>
          <t>2025FCST_V4</t>
        </is>
      </c>
      <c r="J1513" s="41" t="n">
        <v>2025</v>
      </c>
      <c r="K1513" s="41" t="inlineStr">
        <is>
          <t>EUR</t>
        </is>
      </c>
      <c r="L1513" s="42" t="n">
        <v>19000</v>
      </c>
    </row>
    <row r="1514">
      <c r="B1514" s="39" t="inlineStr">
        <is>
          <t>ISCOM_LIL</t>
        </is>
      </c>
      <c r="C1514" s="40" t="inlineStr">
        <is>
          <t>MAS_COM</t>
        </is>
      </c>
      <c r="D1514" s="40" t="inlineStr">
        <is>
          <t>M2</t>
        </is>
      </c>
      <c r="E1514" s="40" t="inlineStr">
        <is>
          <t>ALT</t>
        </is>
      </c>
      <c r="F1514" s="40" t="inlineStr">
        <is>
          <t>STA_EFF</t>
        </is>
      </c>
      <c r="G1514" s="39" t="inlineStr">
        <is>
          <t>Effectif inscrit</t>
        </is>
      </c>
      <c r="H1514" s="40" t="inlineStr">
        <is>
          <t>TECHNIQUE</t>
        </is>
      </c>
      <c r="I1514" s="41" t="inlineStr">
        <is>
          <t>2023ACT_VDEF</t>
        </is>
      </c>
      <c r="J1514" s="41" t="n">
        <v>2023</v>
      </c>
      <c r="K1514" s="41" t="inlineStr">
        <is>
          <t>NB</t>
        </is>
      </c>
      <c r="L1514" s="43" t="n">
        <v>24</v>
      </c>
    </row>
    <row r="1515">
      <c r="B1515" s="39" t="inlineStr">
        <is>
          <t>ISCOM_LIL</t>
        </is>
      </c>
      <c r="C1515" s="40" t="inlineStr">
        <is>
          <t>MAS_COM</t>
        </is>
      </c>
      <c r="D1515" s="40" t="inlineStr">
        <is>
          <t>M2</t>
        </is>
      </c>
      <c r="E1515" s="40" t="inlineStr">
        <is>
          <t>ALT</t>
        </is>
      </c>
      <c r="F1515" s="40" t="inlineStr">
        <is>
          <t>STA_EFF</t>
        </is>
      </c>
      <c r="G1515" s="39" t="inlineStr">
        <is>
          <t>Effectif inscrit</t>
        </is>
      </c>
      <c r="H1515" s="40" t="inlineStr">
        <is>
          <t>TECHNIQUE</t>
        </is>
      </c>
      <c r="I1515" s="41" t="inlineStr">
        <is>
          <t>2024ACT_VDEF</t>
        </is>
      </c>
      <c r="J1515" s="41" t="n">
        <v>2024</v>
      </c>
      <c r="K1515" s="41" t="inlineStr">
        <is>
          <t>NB</t>
        </is>
      </c>
      <c r="L1515" s="43" t="n">
        <v>26</v>
      </c>
    </row>
    <row r="1516">
      <c r="B1516" s="39" t="inlineStr">
        <is>
          <t>ISCOM_LIL</t>
        </is>
      </c>
      <c r="C1516" s="40" t="inlineStr">
        <is>
          <t>MAS_COM</t>
        </is>
      </c>
      <c r="D1516" s="40" t="inlineStr">
        <is>
          <t>M2</t>
        </is>
      </c>
      <c r="E1516" s="40" t="inlineStr">
        <is>
          <t>ALT</t>
        </is>
      </c>
      <c r="F1516" s="40" t="inlineStr">
        <is>
          <t>STA_EFF</t>
        </is>
      </c>
      <c r="G1516" s="39" t="inlineStr">
        <is>
          <t>Effectif inscrit</t>
        </is>
      </c>
      <c r="H1516" s="40" t="inlineStr">
        <is>
          <t>TECHNIQUE</t>
        </is>
      </c>
      <c r="I1516" s="41" t="inlineStr">
        <is>
          <t>2025FCST_V4</t>
        </is>
      </c>
      <c r="J1516" s="41" t="n">
        <v>2025</v>
      </c>
      <c r="K1516" s="41" t="inlineStr">
        <is>
          <t>NB</t>
        </is>
      </c>
      <c r="L1516" s="43" t="n">
        <v>27</v>
      </c>
    </row>
    <row r="1517">
      <c r="B1517" s="39" t="inlineStr">
        <is>
          <t>ISCOM_LIL</t>
        </is>
      </c>
      <c r="C1517" s="40" t="inlineStr">
        <is>
          <t>MAS_COM</t>
        </is>
      </c>
      <c r="D1517" s="40" t="inlineStr">
        <is>
          <t>M2</t>
        </is>
      </c>
      <c r="E1517" s="40" t="inlineStr">
        <is>
          <t>ALT</t>
        </is>
      </c>
      <c r="F1517" s="40" t="inlineStr">
        <is>
          <t>STA_REINS</t>
        </is>
      </c>
      <c r="G1517" s="39" t="inlineStr">
        <is>
          <t>Réinscrits</t>
        </is>
      </c>
      <c r="H1517" s="40" t="inlineStr">
        <is>
          <t>TECHNIQUE</t>
        </is>
      </c>
      <c r="I1517" s="41" t="inlineStr">
        <is>
          <t>2023ACT_VDEF</t>
        </is>
      </c>
      <c r="J1517" s="41" t="n">
        <v>2023</v>
      </c>
      <c r="K1517" s="41" t="inlineStr">
        <is>
          <t>NB</t>
        </is>
      </c>
      <c r="L1517" s="43" t="n">
        <v>24</v>
      </c>
    </row>
    <row r="1518">
      <c r="B1518" s="39" t="inlineStr">
        <is>
          <t>ISCOM_LIL</t>
        </is>
      </c>
      <c r="C1518" s="40" t="inlineStr">
        <is>
          <t>MAS_COM</t>
        </is>
      </c>
      <c r="D1518" s="40" t="inlineStr">
        <is>
          <t>M2</t>
        </is>
      </c>
      <c r="E1518" s="40" t="inlineStr">
        <is>
          <t>ALT</t>
        </is>
      </c>
      <c r="F1518" s="40" t="inlineStr">
        <is>
          <t>STA_REINS</t>
        </is>
      </c>
      <c r="G1518" s="39" t="inlineStr">
        <is>
          <t>Réinscrits</t>
        </is>
      </c>
      <c r="H1518" s="40" t="inlineStr">
        <is>
          <t>TECHNIQUE</t>
        </is>
      </c>
      <c r="I1518" s="41" t="inlineStr">
        <is>
          <t>2024ACT_VDEF</t>
        </is>
      </c>
      <c r="J1518" s="41" t="n">
        <v>2024</v>
      </c>
      <c r="K1518" s="41" t="inlineStr">
        <is>
          <t>NB</t>
        </is>
      </c>
      <c r="L1518" s="43" t="n">
        <v>26</v>
      </c>
    </row>
    <row r="1519">
      <c r="B1519" s="39" t="inlineStr">
        <is>
          <t>ISCOM_LIL</t>
        </is>
      </c>
      <c r="C1519" s="40" t="inlineStr">
        <is>
          <t>MAS_COM</t>
        </is>
      </c>
      <c r="D1519" s="40" t="inlineStr">
        <is>
          <t>M2</t>
        </is>
      </c>
      <c r="E1519" s="40" t="inlineStr">
        <is>
          <t>ALT</t>
        </is>
      </c>
      <c r="F1519" s="40" t="inlineStr">
        <is>
          <t>STA_REINS</t>
        </is>
      </c>
      <c r="G1519" s="39" t="inlineStr">
        <is>
          <t>Réinscrits</t>
        </is>
      </c>
      <c r="H1519" s="40" t="inlineStr">
        <is>
          <t>TECHNIQUE</t>
        </is>
      </c>
      <c r="I1519" s="41" t="inlineStr">
        <is>
          <t>2025FCST_V4</t>
        </is>
      </c>
      <c r="J1519" s="41" t="n">
        <v>2025</v>
      </c>
      <c r="K1519" s="41" t="inlineStr">
        <is>
          <t>NB</t>
        </is>
      </c>
      <c r="L1519" s="43" t="n">
        <v>27</v>
      </c>
    </row>
    <row r="1520">
      <c r="B1520" s="39" t="inlineStr">
        <is>
          <t>ISCOM_LIL</t>
        </is>
      </c>
      <c r="C1520" s="40" t="inlineStr">
        <is>
          <t>MAS_COM</t>
        </is>
      </c>
      <c r="D1520" s="40" t="inlineStr">
        <is>
          <t>M2</t>
        </is>
      </c>
      <c r="E1520" s="40" t="inlineStr">
        <is>
          <t>ALT</t>
        </is>
      </c>
      <c r="F1520" s="40" t="inlineStr">
        <is>
          <t>STA_CLASS</t>
        </is>
      </c>
      <c r="G1520" s="39" t="inlineStr">
        <is>
          <t>Nombre de classes</t>
        </is>
      </c>
      <c r="H1520" s="40" t="inlineStr">
        <is>
          <t>TECHNIQUE</t>
        </is>
      </c>
      <c r="I1520" s="41" t="inlineStr">
        <is>
          <t>2023ACT_VDEF</t>
        </is>
      </c>
      <c r="J1520" s="41" t="n">
        <v>2023</v>
      </c>
      <c r="K1520" s="41" t="inlineStr">
        <is>
          <t>NB</t>
        </is>
      </c>
      <c r="L1520" s="43" t="n">
        <v>2</v>
      </c>
    </row>
    <row r="1521">
      <c r="B1521" s="39" t="inlineStr">
        <is>
          <t>ISCOM_LIL</t>
        </is>
      </c>
      <c r="C1521" s="40" t="inlineStr">
        <is>
          <t>MAS_COM</t>
        </is>
      </c>
      <c r="D1521" s="40" t="inlineStr">
        <is>
          <t>M2</t>
        </is>
      </c>
      <c r="E1521" s="40" t="inlineStr">
        <is>
          <t>ALT</t>
        </is>
      </c>
      <c r="F1521" s="40" t="inlineStr">
        <is>
          <t>STA_CLASS</t>
        </is>
      </c>
      <c r="G1521" s="39" t="inlineStr">
        <is>
          <t>Nombre de classes</t>
        </is>
      </c>
      <c r="H1521" s="40" t="inlineStr">
        <is>
          <t>TECHNIQUE</t>
        </is>
      </c>
      <c r="I1521" s="41" t="inlineStr">
        <is>
          <t>2024ACT_VDEF</t>
        </is>
      </c>
      <c r="J1521" s="41" t="n">
        <v>2024</v>
      </c>
      <c r="K1521" s="41" t="inlineStr">
        <is>
          <t>NB</t>
        </is>
      </c>
      <c r="L1521" s="43" t="n">
        <v>2</v>
      </c>
    </row>
    <row r="1522">
      <c r="B1522" s="39" t="inlineStr">
        <is>
          <t>ISCOM_LIL</t>
        </is>
      </c>
      <c r="C1522" s="40" t="inlineStr">
        <is>
          <t>MAS_COM</t>
        </is>
      </c>
      <c r="D1522" s="40" t="inlineStr">
        <is>
          <t>M2</t>
        </is>
      </c>
      <c r="E1522" s="40" t="inlineStr">
        <is>
          <t>ALT</t>
        </is>
      </c>
      <c r="F1522" s="40" t="inlineStr">
        <is>
          <t>STA_CLASS</t>
        </is>
      </c>
      <c r="G1522" s="39" t="inlineStr">
        <is>
          <t>Nombre de classes</t>
        </is>
      </c>
      <c r="H1522" s="40" t="inlineStr">
        <is>
          <t>TECHNIQUE</t>
        </is>
      </c>
      <c r="I1522" s="41" t="inlineStr">
        <is>
          <t>2025FCST_V4</t>
        </is>
      </c>
      <c r="J1522" s="41" t="n">
        <v>2025</v>
      </c>
      <c r="K1522" s="41" t="inlineStr">
        <is>
          <t>NB</t>
        </is>
      </c>
      <c r="L1522" s="43" t="n">
        <v>2</v>
      </c>
    </row>
    <row r="1523">
      <c r="B1523" s="39" t="inlineStr">
        <is>
          <t>ISCOM_LIL</t>
        </is>
      </c>
      <c r="C1523" s="40" t="inlineStr">
        <is>
          <t>MAS_COM</t>
        </is>
      </c>
      <c r="D1523" s="40" t="inlineStr">
        <is>
          <t>M2</t>
        </is>
      </c>
      <c r="E1523" s="40" t="inlineStr">
        <is>
          <t>ALT</t>
        </is>
      </c>
      <c r="F1523" s="40" t="inlineStr">
        <is>
          <t>STA_HEURE</t>
        </is>
      </c>
      <c r="G1523" s="39" t="inlineStr">
        <is>
          <t>Heures d'enseignement</t>
        </is>
      </c>
      <c r="H1523" s="40" t="inlineStr">
        <is>
          <t>TECHNIQUE</t>
        </is>
      </c>
      <c r="I1523" s="41" t="inlineStr">
        <is>
          <t>2023ACT_VDEF</t>
        </is>
      </c>
      <c r="J1523" s="41" t="n">
        <v>2023</v>
      </c>
      <c r="K1523" s="41" t="inlineStr">
        <is>
          <t>NB</t>
        </is>
      </c>
      <c r="L1523" s="43" t="n">
        <v>792</v>
      </c>
    </row>
    <row r="1524">
      <c r="B1524" s="39" t="inlineStr">
        <is>
          <t>ISCOM_LIL</t>
        </is>
      </c>
      <c r="C1524" s="40" t="inlineStr">
        <is>
          <t>MAS_COM</t>
        </is>
      </c>
      <c r="D1524" s="40" t="inlineStr">
        <is>
          <t>M2</t>
        </is>
      </c>
      <c r="E1524" s="40" t="inlineStr">
        <is>
          <t>ALT</t>
        </is>
      </c>
      <c r="F1524" s="40" t="inlineStr">
        <is>
          <t>STA_HEURE</t>
        </is>
      </c>
      <c r="G1524" s="39" t="inlineStr">
        <is>
          <t>Heures d'enseignement</t>
        </is>
      </c>
      <c r="H1524" s="40" t="inlineStr">
        <is>
          <t>TECHNIQUE</t>
        </is>
      </c>
      <c r="I1524" s="41" t="inlineStr">
        <is>
          <t>2024ACT_VDEF</t>
        </is>
      </c>
      <c r="J1524" s="41" t="n">
        <v>2024</v>
      </c>
      <c r="K1524" s="41" t="inlineStr">
        <is>
          <t>NB</t>
        </is>
      </c>
      <c r="L1524" s="43" t="n">
        <v>836</v>
      </c>
    </row>
    <row r="1525">
      <c r="B1525" s="39" t="inlineStr">
        <is>
          <t>ISCOM_LIL</t>
        </is>
      </c>
      <c r="C1525" s="40" t="inlineStr">
        <is>
          <t>MAS_COM</t>
        </is>
      </c>
      <c r="D1525" s="40" t="inlineStr">
        <is>
          <t>M2</t>
        </is>
      </c>
      <c r="E1525" s="40" t="inlineStr">
        <is>
          <t>ALT</t>
        </is>
      </c>
      <c r="F1525" s="40" t="inlineStr">
        <is>
          <t>STA_HEURE</t>
        </is>
      </c>
      <c r="G1525" s="39" t="inlineStr">
        <is>
          <t>Heures d'enseignement</t>
        </is>
      </c>
      <c r="H1525" s="40" t="inlineStr">
        <is>
          <t>TECHNIQUE</t>
        </is>
      </c>
      <c r="I1525" s="41" t="inlineStr">
        <is>
          <t>2025FCST_V4</t>
        </is>
      </c>
      <c r="J1525" s="41" t="n">
        <v>2025</v>
      </c>
      <c r="K1525" s="41" t="inlineStr">
        <is>
          <t>NB</t>
        </is>
      </c>
      <c r="L1525" s="43" t="n">
        <v>880</v>
      </c>
    </row>
    <row r="1526">
      <c r="B1526" s="39" t="inlineStr">
        <is>
          <t>ISCOM_LIL</t>
        </is>
      </c>
      <c r="C1526" s="40" t="inlineStr">
        <is>
          <t>MAS_COM</t>
        </is>
      </c>
      <c r="D1526" s="40" t="inlineStr">
        <is>
          <t>M2</t>
        </is>
      </c>
      <c r="E1526" s="40" t="inlineStr">
        <is>
          <t>ALT</t>
        </is>
      </c>
      <c r="F1526" s="40" t="inlineStr">
        <is>
          <t>STA_CAPA</t>
        </is>
      </c>
      <c r="G1526" s="39" t="inlineStr">
        <is>
          <t>Capacité par classe</t>
        </is>
      </c>
      <c r="H1526" s="40" t="inlineStr">
        <is>
          <t>TECHNIQUE</t>
        </is>
      </c>
      <c r="I1526" s="41" t="inlineStr">
        <is>
          <t>2023ACT_VDEF</t>
        </is>
      </c>
      <c r="J1526" s="41" t="n">
        <v>2023</v>
      </c>
      <c r="K1526" s="41" t="inlineStr">
        <is>
          <t>NB</t>
        </is>
      </c>
      <c r="L1526" s="43" t="n">
        <v>26</v>
      </c>
    </row>
    <row r="1527">
      <c r="B1527" s="39" t="inlineStr">
        <is>
          <t>ISCOM_LIL</t>
        </is>
      </c>
      <c r="C1527" s="40" t="inlineStr">
        <is>
          <t>MAS_COM</t>
        </is>
      </c>
      <c r="D1527" s="40" t="inlineStr">
        <is>
          <t>M2</t>
        </is>
      </c>
      <c r="E1527" s="40" t="inlineStr">
        <is>
          <t>ALT</t>
        </is>
      </c>
      <c r="F1527" s="40" t="inlineStr">
        <is>
          <t>STA_CAPA</t>
        </is>
      </c>
      <c r="G1527" s="39" t="inlineStr">
        <is>
          <t>Capacité par classe</t>
        </is>
      </c>
      <c r="H1527" s="40" t="inlineStr">
        <is>
          <t>TECHNIQUE</t>
        </is>
      </c>
      <c r="I1527" s="41" t="inlineStr">
        <is>
          <t>2024ACT_VDEF</t>
        </is>
      </c>
      <c r="J1527" s="41" t="n">
        <v>2024</v>
      </c>
      <c r="K1527" s="41" t="inlineStr">
        <is>
          <t>NB</t>
        </is>
      </c>
      <c r="L1527" s="43" t="n">
        <v>26</v>
      </c>
    </row>
    <row r="1528">
      <c r="B1528" s="39" t="inlineStr">
        <is>
          <t>ISCOM_LIL</t>
        </is>
      </c>
      <c r="C1528" s="40" t="inlineStr">
        <is>
          <t>MAS_COM</t>
        </is>
      </c>
      <c r="D1528" s="40" t="inlineStr">
        <is>
          <t>M2</t>
        </is>
      </c>
      <c r="E1528" s="40" t="inlineStr">
        <is>
          <t>ALT</t>
        </is>
      </c>
      <c r="F1528" s="40" t="inlineStr">
        <is>
          <t>STA_CAPA</t>
        </is>
      </c>
      <c r="G1528" s="39" t="inlineStr">
        <is>
          <t>Capacité par classe</t>
        </is>
      </c>
      <c r="H1528" s="40" t="inlineStr">
        <is>
          <t>TECHNIQUE</t>
        </is>
      </c>
      <c r="I1528" s="41" t="inlineStr">
        <is>
          <t>2025FCST_V4</t>
        </is>
      </c>
      <c r="J1528" s="41" t="n">
        <v>2025</v>
      </c>
      <c r="K1528" s="41" t="inlineStr">
        <is>
          <t>NB</t>
        </is>
      </c>
      <c r="L1528" s="43" t="n">
        <v>26</v>
      </c>
    </row>
    <row r="1529">
      <c r="B1529" s="39" t="inlineStr">
        <is>
          <t>ISCOM_LIL</t>
        </is>
      </c>
      <c r="C1529" s="40" t="inlineStr">
        <is>
          <t>MAS_COM</t>
        </is>
      </c>
      <c r="D1529" s="40" t="inlineStr">
        <is>
          <t>M2</t>
        </is>
      </c>
      <c r="E1529" s="40" t="inlineStr">
        <is>
          <t>ALT</t>
        </is>
      </c>
      <c r="F1529" s="40" t="inlineStr">
        <is>
          <t>DRV_PASS</t>
        </is>
      </c>
      <c r="G1529" s="39" t="inlineStr">
        <is>
          <t>Taux de passage (réinscription)</t>
        </is>
      </c>
      <c r="H1529" s="40" t="inlineStr">
        <is>
          <t>TECHNIQUE</t>
        </is>
      </c>
      <c r="I1529" s="41" t="inlineStr">
        <is>
          <t>2023ACT_VDEF</t>
        </is>
      </c>
      <c r="J1529" s="41" t="n">
        <v>2023</v>
      </c>
      <c r="K1529" s="41" t="inlineStr">
        <is>
          <t>PCT</t>
        </is>
      </c>
      <c r="L1529" s="44" t="n">
        <v>0.96</v>
      </c>
    </row>
    <row r="1530">
      <c r="B1530" s="39" t="inlineStr">
        <is>
          <t>ISCOM_LIL</t>
        </is>
      </c>
      <c r="C1530" s="40" t="inlineStr">
        <is>
          <t>MAS_COM</t>
        </is>
      </c>
      <c r="D1530" s="40" t="inlineStr">
        <is>
          <t>M2</t>
        </is>
      </c>
      <c r="E1530" s="40" t="inlineStr">
        <is>
          <t>ALT</t>
        </is>
      </c>
      <c r="F1530" s="40" t="inlineStr">
        <is>
          <t>DRV_PASS</t>
        </is>
      </c>
      <c r="G1530" s="39" t="inlineStr">
        <is>
          <t>Taux de passage (réinscription)</t>
        </is>
      </c>
      <c r="H1530" s="40" t="inlineStr">
        <is>
          <t>TECHNIQUE</t>
        </is>
      </c>
      <c r="I1530" s="41" t="inlineStr">
        <is>
          <t>2024ACT_VDEF</t>
        </is>
      </c>
      <c r="J1530" s="41" t="n">
        <v>2024</v>
      </c>
      <c r="K1530" s="41" t="inlineStr">
        <is>
          <t>PCT</t>
        </is>
      </c>
      <c r="L1530" s="44" t="n">
        <v>0.96</v>
      </c>
    </row>
    <row r="1531">
      <c r="B1531" s="39" t="inlineStr">
        <is>
          <t>ISCOM_LIL</t>
        </is>
      </c>
      <c r="C1531" s="40" t="inlineStr">
        <is>
          <t>MAS_COM</t>
        </is>
      </c>
      <c r="D1531" s="40" t="inlineStr">
        <is>
          <t>M2</t>
        </is>
      </c>
      <c r="E1531" s="40" t="inlineStr">
        <is>
          <t>ALT</t>
        </is>
      </c>
      <c r="F1531" s="40" t="inlineStr">
        <is>
          <t>DRV_PASS</t>
        </is>
      </c>
      <c r="G1531" s="39" t="inlineStr">
        <is>
          <t>Taux de passage (réinscription)</t>
        </is>
      </c>
      <c r="H1531" s="40" t="inlineStr">
        <is>
          <t>TECHNIQUE</t>
        </is>
      </c>
      <c r="I1531" s="41" t="inlineStr">
        <is>
          <t>2025FCST_V4</t>
        </is>
      </c>
      <c r="J1531" s="41" t="n">
        <v>2025</v>
      </c>
      <c r="K1531" s="41" t="inlineStr">
        <is>
          <t>PCT</t>
        </is>
      </c>
      <c r="L1531" s="44" t="n">
        <v>0.96</v>
      </c>
    </row>
    <row r="1532">
      <c r="B1532" s="39" t="inlineStr">
        <is>
          <t>ISCOM_LIL</t>
        </is>
      </c>
      <c r="C1532" s="40" t="inlineStr">
        <is>
          <t>MAS_COM</t>
        </is>
      </c>
      <c r="D1532" s="40" t="inlineStr">
        <is>
          <t>M2</t>
        </is>
      </c>
      <c r="E1532" s="40" t="inlineStr">
        <is>
          <t>ALT</t>
        </is>
      </c>
      <c r="F1532" s="40" t="inlineStr">
        <is>
          <t>PRX_TARIF</t>
        </is>
      </c>
      <c r="G1532" s="39" t="inlineStr">
        <is>
          <t>Tarif moyen scolarité</t>
        </is>
      </c>
      <c r="H1532" s="40" t="inlineStr">
        <is>
          <t>TECHNIQUE</t>
        </is>
      </c>
      <c r="I1532" s="41" t="inlineStr">
        <is>
          <t>2023ACT_VDEF</t>
        </is>
      </c>
      <c r="J1532" s="41" t="n">
        <v>2023</v>
      </c>
      <c r="K1532" s="41" t="inlineStr">
        <is>
          <t>EUR</t>
        </is>
      </c>
      <c r="L1532" s="42" t="n">
        <v>9000</v>
      </c>
    </row>
    <row r="1533">
      <c r="B1533" s="39" t="inlineStr">
        <is>
          <t>ISCOM_LIL</t>
        </is>
      </c>
      <c r="C1533" s="40" t="inlineStr">
        <is>
          <t>MAS_COM</t>
        </is>
      </c>
      <c r="D1533" s="40" t="inlineStr">
        <is>
          <t>M2</t>
        </is>
      </c>
      <c r="E1533" s="40" t="inlineStr">
        <is>
          <t>ALT</t>
        </is>
      </c>
      <c r="F1533" s="40" t="inlineStr">
        <is>
          <t>PRX_TARIF</t>
        </is>
      </c>
      <c r="G1533" s="39" t="inlineStr">
        <is>
          <t>Tarif moyen scolarité</t>
        </is>
      </c>
      <c r="H1533" s="40" t="inlineStr">
        <is>
          <t>TECHNIQUE</t>
        </is>
      </c>
      <c r="I1533" s="41" t="inlineStr">
        <is>
          <t>2024ACT_VDEF</t>
        </is>
      </c>
      <c r="J1533" s="41" t="n">
        <v>2024</v>
      </c>
      <c r="K1533" s="41" t="inlineStr">
        <is>
          <t>EUR</t>
        </is>
      </c>
      <c r="L1533" s="42" t="n">
        <v>9000</v>
      </c>
    </row>
    <row r="1534">
      <c r="B1534" s="39" t="inlineStr">
        <is>
          <t>ISCOM_LIL</t>
        </is>
      </c>
      <c r="C1534" s="40" t="inlineStr">
        <is>
          <t>MAS_COM</t>
        </is>
      </c>
      <c r="D1534" s="40" t="inlineStr">
        <is>
          <t>M2</t>
        </is>
      </c>
      <c r="E1534" s="40" t="inlineStr">
        <is>
          <t>ALT</t>
        </is>
      </c>
      <c r="F1534" s="40" t="inlineStr">
        <is>
          <t>PRX_TARIF</t>
        </is>
      </c>
      <c r="G1534" s="39" t="inlineStr">
        <is>
          <t>Tarif moyen scolarité</t>
        </is>
      </c>
      <c r="H1534" s="40" t="inlineStr">
        <is>
          <t>TECHNIQUE</t>
        </is>
      </c>
      <c r="I1534" s="41" t="inlineStr">
        <is>
          <t>2025FCST_V4</t>
        </is>
      </c>
      <c r="J1534" s="41" t="n">
        <v>2025</v>
      </c>
      <c r="K1534" s="41" t="inlineStr">
        <is>
          <t>EUR</t>
        </is>
      </c>
      <c r="L1534" s="42" t="n">
        <v>9000</v>
      </c>
    </row>
    <row r="1535">
      <c r="B1535" s="39" t="inlineStr">
        <is>
          <t>ISCOM_TLS</t>
        </is>
      </c>
      <c r="C1535" s="40" t="inlineStr">
        <is>
          <t>BAC_COM</t>
        </is>
      </c>
      <c r="D1535" s="40" t="inlineStr">
        <is>
          <t>B1</t>
        </is>
      </c>
      <c r="E1535" s="40" t="inlineStr">
        <is>
          <t>INIT</t>
        </is>
      </c>
      <c r="F1535" s="40" t="inlineStr">
        <is>
          <t>706100</t>
        </is>
      </c>
      <c r="G1535" s="39" t="inlineStr">
        <is>
          <t>Droits de scolarité</t>
        </is>
      </c>
      <c r="H1535" s="40" t="inlineStr">
        <is>
          <t>COMPTABLE</t>
        </is>
      </c>
      <c r="I1535" s="41" t="inlineStr">
        <is>
          <t>2023ACT_VDEF</t>
        </is>
      </c>
      <c r="J1535" s="41" t="n">
        <v>2023</v>
      </c>
      <c r="K1535" s="41" t="inlineStr">
        <is>
          <t>EUR</t>
        </is>
      </c>
      <c r="L1535" s="42" t="n">
        <v>359550</v>
      </c>
    </row>
    <row r="1536">
      <c r="B1536" s="39" t="inlineStr">
        <is>
          <t>ISCOM_TLS</t>
        </is>
      </c>
      <c r="C1536" s="40" t="inlineStr">
        <is>
          <t>BAC_COM</t>
        </is>
      </c>
      <c r="D1536" s="40" t="inlineStr">
        <is>
          <t>B1</t>
        </is>
      </c>
      <c r="E1536" s="40" t="inlineStr">
        <is>
          <t>INIT</t>
        </is>
      </c>
      <c r="F1536" s="40" t="inlineStr">
        <is>
          <t>706100</t>
        </is>
      </c>
      <c r="G1536" s="39" t="inlineStr">
        <is>
          <t>Droits de scolarité</t>
        </is>
      </c>
      <c r="H1536" s="40" t="inlineStr">
        <is>
          <t>COMPTABLE</t>
        </is>
      </c>
      <c r="I1536" s="41" t="inlineStr">
        <is>
          <t>2024ACT_VDEF</t>
        </is>
      </c>
      <c r="J1536" s="41" t="n">
        <v>2024</v>
      </c>
      <c r="K1536" s="41" t="inlineStr">
        <is>
          <t>EUR</t>
        </is>
      </c>
      <c r="L1536" s="42" t="n">
        <v>379525</v>
      </c>
    </row>
    <row r="1537">
      <c r="B1537" s="39" t="inlineStr">
        <is>
          <t>ISCOM_TLS</t>
        </is>
      </c>
      <c r="C1537" s="40" t="inlineStr">
        <is>
          <t>BAC_COM</t>
        </is>
      </c>
      <c r="D1537" s="40" t="inlineStr">
        <is>
          <t>B1</t>
        </is>
      </c>
      <c r="E1537" s="40" t="inlineStr">
        <is>
          <t>INIT</t>
        </is>
      </c>
      <c r="F1537" s="40" t="inlineStr">
        <is>
          <t>706100</t>
        </is>
      </c>
      <c r="G1537" s="39" t="inlineStr">
        <is>
          <t>Droits de scolarité</t>
        </is>
      </c>
      <c r="H1537" s="40" t="inlineStr">
        <is>
          <t>COMPTABLE</t>
        </is>
      </c>
      <c r="I1537" s="41" t="inlineStr">
        <is>
          <t>2025FCST_V4</t>
        </is>
      </c>
      <c r="J1537" s="41" t="n">
        <v>2025</v>
      </c>
      <c r="K1537" s="41" t="inlineStr">
        <is>
          <t>EUR</t>
        </is>
      </c>
      <c r="L1537" s="42" t="n">
        <v>399500</v>
      </c>
    </row>
    <row r="1538">
      <c r="B1538" s="39" t="inlineStr">
        <is>
          <t>ISCOM_TLS</t>
        </is>
      </c>
      <c r="C1538" s="40" t="inlineStr">
        <is>
          <t>BAC_COM</t>
        </is>
      </c>
      <c r="D1538" s="40" t="inlineStr">
        <is>
          <t>B1</t>
        </is>
      </c>
      <c r="E1538" s="40" t="inlineStr">
        <is>
          <t>INIT</t>
        </is>
      </c>
      <c r="F1538" s="40" t="inlineStr">
        <is>
          <t>708500</t>
        </is>
      </c>
      <c r="G1538" s="39" t="inlineStr">
        <is>
          <t>Frais de dossier / inscription</t>
        </is>
      </c>
      <c r="H1538" s="40" t="inlineStr">
        <is>
          <t>COMPTABLE</t>
        </is>
      </c>
      <c r="I1538" s="41" t="inlineStr">
        <is>
          <t>2023ACT_VDEF</t>
        </is>
      </c>
      <c r="J1538" s="41" t="n">
        <v>2023</v>
      </c>
      <c r="K1538" s="41" t="inlineStr">
        <is>
          <t>EUR</t>
        </is>
      </c>
      <c r="L1538" s="42" t="n">
        <v>3807</v>
      </c>
    </row>
    <row r="1539">
      <c r="B1539" s="39" t="inlineStr">
        <is>
          <t>ISCOM_TLS</t>
        </is>
      </c>
      <c r="C1539" s="40" t="inlineStr">
        <is>
          <t>BAC_COM</t>
        </is>
      </c>
      <c r="D1539" s="40" t="inlineStr">
        <is>
          <t>B1</t>
        </is>
      </c>
      <c r="E1539" s="40" t="inlineStr">
        <is>
          <t>INIT</t>
        </is>
      </c>
      <c r="F1539" s="40" t="inlineStr">
        <is>
          <t>708500</t>
        </is>
      </c>
      <c r="G1539" s="39" t="inlineStr">
        <is>
          <t>Frais de dossier / inscription</t>
        </is>
      </c>
      <c r="H1539" s="40" t="inlineStr">
        <is>
          <t>COMPTABLE</t>
        </is>
      </c>
      <c r="I1539" s="41" t="inlineStr">
        <is>
          <t>2024ACT_VDEF</t>
        </is>
      </c>
      <c r="J1539" s="41" t="n">
        <v>2024</v>
      </c>
      <c r="K1539" s="41" t="inlineStr">
        <is>
          <t>EUR</t>
        </is>
      </c>
      <c r="L1539" s="42" t="n">
        <v>4018</v>
      </c>
    </row>
    <row r="1540">
      <c r="B1540" s="39" t="inlineStr">
        <is>
          <t>ISCOM_TLS</t>
        </is>
      </c>
      <c r="C1540" s="40" t="inlineStr">
        <is>
          <t>BAC_COM</t>
        </is>
      </c>
      <c r="D1540" s="40" t="inlineStr">
        <is>
          <t>B1</t>
        </is>
      </c>
      <c r="E1540" s="40" t="inlineStr">
        <is>
          <t>INIT</t>
        </is>
      </c>
      <c r="F1540" s="40" t="inlineStr">
        <is>
          <t>708500</t>
        </is>
      </c>
      <c r="G1540" s="39" t="inlineStr">
        <is>
          <t>Frais de dossier / inscription</t>
        </is>
      </c>
      <c r="H1540" s="40" t="inlineStr">
        <is>
          <t>COMPTABLE</t>
        </is>
      </c>
      <c r="I1540" s="41" t="inlineStr">
        <is>
          <t>2025FCST_V4</t>
        </is>
      </c>
      <c r="J1540" s="41" t="n">
        <v>2025</v>
      </c>
      <c r="K1540" s="41" t="inlineStr">
        <is>
          <t>EUR</t>
        </is>
      </c>
      <c r="L1540" s="42" t="n">
        <v>4230</v>
      </c>
    </row>
    <row r="1541">
      <c r="B1541" s="39" t="inlineStr">
        <is>
          <t>ISCOM_TLS</t>
        </is>
      </c>
      <c r="C1541" s="40" t="inlineStr">
        <is>
          <t>BAC_COM</t>
        </is>
      </c>
      <c r="D1541" s="40" t="inlineStr">
        <is>
          <t>B1</t>
        </is>
      </c>
      <c r="E1541" s="40" t="inlineStr">
        <is>
          <t>INIT</t>
        </is>
      </c>
      <c r="F1541" s="40" t="inlineStr">
        <is>
          <t>604100</t>
        </is>
      </c>
      <c r="G1541" s="39" t="inlineStr">
        <is>
          <t>Vacations &amp; sous-traitance pédagogique</t>
        </is>
      </c>
      <c r="H1541" s="40" t="inlineStr">
        <is>
          <t>COMPTABLE</t>
        </is>
      </c>
      <c r="I1541" s="41" t="inlineStr">
        <is>
          <t>2023ACT_VDEF</t>
        </is>
      </c>
      <c r="J1541" s="41" t="n">
        <v>2023</v>
      </c>
      <c r="K1541" s="41" t="inlineStr">
        <is>
          <t>EUR</t>
        </is>
      </c>
      <c r="L1541" s="42" t="n">
        <v>66960</v>
      </c>
    </row>
    <row r="1542">
      <c r="B1542" s="39" t="inlineStr">
        <is>
          <t>ISCOM_TLS</t>
        </is>
      </c>
      <c r="C1542" s="40" t="inlineStr">
        <is>
          <t>BAC_COM</t>
        </is>
      </c>
      <c r="D1542" s="40" t="inlineStr">
        <is>
          <t>B1</t>
        </is>
      </c>
      <c r="E1542" s="40" t="inlineStr">
        <is>
          <t>INIT</t>
        </is>
      </c>
      <c r="F1542" s="40" t="inlineStr">
        <is>
          <t>604100</t>
        </is>
      </c>
      <c r="G1542" s="39" t="inlineStr">
        <is>
          <t>Vacations &amp; sous-traitance pédagogique</t>
        </is>
      </c>
      <c r="H1542" s="40" t="inlineStr">
        <is>
          <t>COMPTABLE</t>
        </is>
      </c>
      <c r="I1542" s="41" t="inlineStr">
        <is>
          <t>2024ACT_VDEF</t>
        </is>
      </c>
      <c r="J1542" s="41" t="n">
        <v>2024</v>
      </c>
      <c r="K1542" s="41" t="inlineStr">
        <is>
          <t>EUR</t>
        </is>
      </c>
      <c r="L1542" s="42" t="n">
        <v>70680</v>
      </c>
    </row>
    <row r="1543">
      <c r="B1543" s="39" t="inlineStr">
        <is>
          <t>ISCOM_TLS</t>
        </is>
      </c>
      <c r="C1543" s="40" t="inlineStr">
        <is>
          <t>BAC_COM</t>
        </is>
      </c>
      <c r="D1543" s="40" t="inlineStr">
        <is>
          <t>B1</t>
        </is>
      </c>
      <c r="E1543" s="40" t="inlineStr">
        <is>
          <t>INIT</t>
        </is>
      </c>
      <c r="F1543" s="40" t="inlineStr">
        <is>
          <t>604100</t>
        </is>
      </c>
      <c r="G1543" s="39" t="inlineStr">
        <is>
          <t>Vacations &amp; sous-traitance pédagogique</t>
        </is>
      </c>
      <c r="H1543" s="40" t="inlineStr">
        <is>
          <t>COMPTABLE</t>
        </is>
      </c>
      <c r="I1543" s="41" t="inlineStr">
        <is>
          <t>2025FCST_V4</t>
        </is>
      </c>
      <c r="J1543" s="41" t="n">
        <v>2025</v>
      </c>
      <c r="K1543" s="41" t="inlineStr">
        <is>
          <t>EUR</t>
        </is>
      </c>
      <c r="L1543" s="42" t="n">
        <v>74400</v>
      </c>
    </row>
    <row r="1544">
      <c r="B1544" s="39" t="inlineStr">
        <is>
          <t>ISCOM_TLS</t>
        </is>
      </c>
      <c r="C1544" s="40" t="inlineStr">
        <is>
          <t>BAC_COM</t>
        </is>
      </c>
      <c r="D1544" s="40" t="inlineStr">
        <is>
          <t>B1</t>
        </is>
      </c>
      <c r="E1544" s="40" t="inlineStr">
        <is>
          <t>INIT</t>
        </is>
      </c>
      <c r="F1544" s="40" t="inlineStr">
        <is>
          <t>606300</t>
        </is>
      </c>
      <c r="G1544" s="39" t="inlineStr">
        <is>
          <t>Fournitures &amp; ressources pédagogiques</t>
        </is>
      </c>
      <c r="H1544" s="40" t="inlineStr">
        <is>
          <t>COMPTABLE</t>
        </is>
      </c>
      <c r="I1544" s="41" t="inlineStr">
        <is>
          <t>2023ACT_VDEF</t>
        </is>
      </c>
      <c r="J1544" s="41" t="n">
        <v>2023</v>
      </c>
      <c r="K1544" s="41" t="inlineStr">
        <is>
          <t>EUR</t>
        </is>
      </c>
      <c r="L1544" s="42" t="n">
        <v>23265</v>
      </c>
    </row>
    <row r="1545">
      <c r="B1545" s="39" t="inlineStr">
        <is>
          <t>ISCOM_TLS</t>
        </is>
      </c>
      <c r="C1545" s="40" t="inlineStr">
        <is>
          <t>BAC_COM</t>
        </is>
      </c>
      <c r="D1545" s="40" t="inlineStr">
        <is>
          <t>B1</t>
        </is>
      </c>
      <c r="E1545" s="40" t="inlineStr">
        <is>
          <t>INIT</t>
        </is>
      </c>
      <c r="F1545" s="40" t="inlineStr">
        <is>
          <t>606300</t>
        </is>
      </c>
      <c r="G1545" s="39" t="inlineStr">
        <is>
          <t>Fournitures &amp; ressources pédagogiques</t>
        </is>
      </c>
      <c r="H1545" s="40" t="inlineStr">
        <is>
          <t>COMPTABLE</t>
        </is>
      </c>
      <c r="I1545" s="41" t="inlineStr">
        <is>
          <t>2024ACT_VDEF</t>
        </is>
      </c>
      <c r="J1545" s="41" t="n">
        <v>2024</v>
      </c>
      <c r="K1545" s="41" t="inlineStr">
        <is>
          <t>EUR</t>
        </is>
      </c>
      <c r="L1545" s="42" t="n">
        <v>24558</v>
      </c>
    </row>
    <row r="1546">
      <c r="B1546" s="39" t="inlineStr">
        <is>
          <t>ISCOM_TLS</t>
        </is>
      </c>
      <c r="C1546" s="40" t="inlineStr">
        <is>
          <t>BAC_COM</t>
        </is>
      </c>
      <c r="D1546" s="40" t="inlineStr">
        <is>
          <t>B1</t>
        </is>
      </c>
      <c r="E1546" s="40" t="inlineStr">
        <is>
          <t>INIT</t>
        </is>
      </c>
      <c r="F1546" s="40" t="inlineStr">
        <is>
          <t>606300</t>
        </is>
      </c>
      <c r="G1546" s="39" t="inlineStr">
        <is>
          <t>Fournitures &amp; ressources pédagogiques</t>
        </is>
      </c>
      <c r="H1546" s="40" t="inlineStr">
        <is>
          <t>COMPTABLE</t>
        </is>
      </c>
      <c r="I1546" s="41" t="inlineStr">
        <is>
          <t>2025FCST_V4</t>
        </is>
      </c>
      <c r="J1546" s="41" t="n">
        <v>2025</v>
      </c>
      <c r="K1546" s="41" t="inlineStr">
        <is>
          <t>EUR</t>
        </is>
      </c>
      <c r="L1546" s="42" t="n">
        <v>25850</v>
      </c>
    </row>
    <row r="1547">
      <c r="B1547" s="39" t="inlineStr">
        <is>
          <t>ISCOM_TLS</t>
        </is>
      </c>
      <c r="C1547" s="40" t="inlineStr">
        <is>
          <t>BAC_COM</t>
        </is>
      </c>
      <c r="D1547" s="40" t="inlineStr">
        <is>
          <t>B1</t>
        </is>
      </c>
      <c r="E1547" s="40" t="inlineStr">
        <is>
          <t>INIT</t>
        </is>
      </c>
      <c r="F1547" s="40" t="inlineStr">
        <is>
          <t>623000</t>
        </is>
      </c>
      <c r="G1547" s="39" t="inlineStr">
        <is>
          <t>Publicité &amp; marketing (acquisition)</t>
        </is>
      </c>
      <c r="H1547" s="40" t="inlineStr">
        <is>
          <t>COMPTABLE</t>
        </is>
      </c>
      <c r="I1547" s="41" t="inlineStr">
        <is>
          <t>2023ACT_VDEF</t>
        </is>
      </c>
      <c r="J1547" s="41" t="n">
        <v>2023</v>
      </c>
      <c r="K1547" s="41" t="inlineStr">
        <is>
          <t>EUR</t>
        </is>
      </c>
      <c r="L1547" s="42" t="n">
        <v>13536</v>
      </c>
    </row>
    <row r="1548">
      <c r="B1548" s="39" t="inlineStr">
        <is>
          <t>ISCOM_TLS</t>
        </is>
      </c>
      <c r="C1548" s="40" t="inlineStr">
        <is>
          <t>BAC_COM</t>
        </is>
      </c>
      <c r="D1548" s="40" t="inlineStr">
        <is>
          <t>B1</t>
        </is>
      </c>
      <c r="E1548" s="40" t="inlineStr">
        <is>
          <t>INIT</t>
        </is>
      </c>
      <c r="F1548" s="40" t="inlineStr">
        <is>
          <t>623000</t>
        </is>
      </c>
      <c r="G1548" s="39" t="inlineStr">
        <is>
          <t>Publicité &amp; marketing (acquisition)</t>
        </is>
      </c>
      <c r="H1548" s="40" t="inlineStr">
        <is>
          <t>COMPTABLE</t>
        </is>
      </c>
      <c r="I1548" s="41" t="inlineStr">
        <is>
          <t>2024ACT_VDEF</t>
        </is>
      </c>
      <c r="J1548" s="41" t="n">
        <v>2024</v>
      </c>
      <c r="K1548" s="41" t="inlineStr">
        <is>
          <t>EUR</t>
        </is>
      </c>
      <c r="L1548" s="42" t="n">
        <v>14288</v>
      </c>
    </row>
    <row r="1549">
      <c r="B1549" s="39" t="inlineStr">
        <is>
          <t>ISCOM_TLS</t>
        </is>
      </c>
      <c r="C1549" s="40" t="inlineStr">
        <is>
          <t>BAC_COM</t>
        </is>
      </c>
      <c r="D1549" s="40" t="inlineStr">
        <is>
          <t>B1</t>
        </is>
      </c>
      <c r="E1549" s="40" t="inlineStr">
        <is>
          <t>INIT</t>
        </is>
      </c>
      <c r="F1549" s="40" t="inlineStr">
        <is>
          <t>623000</t>
        </is>
      </c>
      <c r="G1549" s="39" t="inlineStr">
        <is>
          <t>Publicité &amp; marketing (acquisition)</t>
        </is>
      </c>
      <c r="H1549" s="40" t="inlineStr">
        <is>
          <t>COMPTABLE</t>
        </is>
      </c>
      <c r="I1549" s="41" t="inlineStr">
        <is>
          <t>2025FCST_V4</t>
        </is>
      </c>
      <c r="J1549" s="41" t="n">
        <v>2025</v>
      </c>
      <c r="K1549" s="41" t="inlineStr">
        <is>
          <t>EUR</t>
        </is>
      </c>
      <c r="L1549" s="42" t="n">
        <v>15040</v>
      </c>
    </row>
    <row r="1550">
      <c r="B1550" s="39" t="inlineStr">
        <is>
          <t>ISCOM_TLS</t>
        </is>
      </c>
      <c r="C1550" s="40" t="inlineStr">
        <is>
          <t>BAC_COM</t>
        </is>
      </c>
      <c r="D1550" s="40" t="inlineStr">
        <is>
          <t>B1</t>
        </is>
      </c>
      <c r="E1550" s="40" t="inlineStr">
        <is>
          <t>INIT</t>
        </is>
      </c>
      <c r="F1550" s="40" t="inlineStr">
        <is>
          <t>613200</t>
        </is>
      </c>
      <c r="G1550" s="39" t="inlineStr">
        <is>
          <t>Locations immobilières (loyers)</t>
        </is>
      </c>
      <c r="H1550" s="40" t="inlineStr">
        <is>
          <t>COMPTABLE</t>
        </is>
      </c>
      <c r="I1550" s="41" t="inlineStr">
        <is>
          <t>2023ACT_VDEF</t>
        </is>
      </c>
      <c r="J1550" s="41" t="n">
        <v>2023</v>
      </c>
      <c r="K1550" s="41" t="inlineStr">
        <is>
          <t>EUR</t>
        </is>
      </c>
      <c r="L1550" s="42" t="n">
        <v>32600</v>
      </c>
    </row>
    <row r="1551">
      <c r="B1551" s="39" t="inlineStr">
        <is>
          <t>ISCOM_TLS</t>
        </is>
      </c>
      <c r="C1551" s="40" t="inlineStr">
        <is>
          <t>BAC_COM</t>
        </is>
      </c>
      <c r="D1551" s="40" t="inlineStr">
        <is>
          <t>B1</t>
        </is>
      </c>
      <c r="E1551" s="40" t="inlineStr">
        <is>
          <t>INIT</t>
        </is>
      </c>
      <c r="F1551" s="40" t="inlineStr">
        <is>
          <t>613200</t>
        </is>
      </c>
      <c r="G1551" s="39" t="inlineStr">
        <is>
          <t>Locations immobilières (loyers)</t>
        </is>
      </c>
      <c r="H1551" s="40" t="inlineStr">
        <is>
          <t>COMPTABLE</t>
        </is>
      </c>
      <c r="I1551" s="41" t="inlineStr">
        <is>
          <t>2024ACT_VDEF</t>
        </is>
      </c>
      <c r="J1551" s="41" t="n">
        <v>2024</v>
      </c>
      <c r="K1551" s="41" t="inlineStr">
        <is>
          <t>EUR</t>
        </is>
      </c>
      <c r="L1551" s="42" t="n">
        <v>34411</v>
      </c>
    </row>
    <row r="1552">
      <c r="B1552" s="39" t="inlineStr">
        <is>
          <t>ISCOM_TLS</t>
        </is>
      </c>
      <c r="C1552" s="40" t="inlineStr">
        <is>
          <t>BAC_COM</t>
        </is>
      </c>
      <c r="D1552" s="40" t="inlineStr">
        <is>
          <t>B1</t>
        </is>
      </c>
      <c r="E1552" s="40" t="inlineStr">
        <is>
          <t>INIT</t>
        </is>
      </c>
      <c r="F1552" s="40" t="inlineStr">
        <is>
          <t>613200</t>
        </is>
      </c>
      <c r="G1552" s="39" t="inlineStr">
        <is>
          <t>Locations immobilières (loyers)</t>
        </is>
      </c>
      <c r="H1552" s="40" t="inlineStr">
        <is>
          <t>COMPTABLE</t>
        </is>
      </c>
      <c r="I1552" s="41" t="inlineStr">
        <is>
          <t>2025FCST_V4</t>
        </is>
      </c>
      <c r="J1552" s="41" t="n">
        <v>2025</v>
      </c>
      <c r="K1552" s="41" t="inlineStr">
        <is>
          <t>EUR</t>
        </is>
      </c>
      <c r="L1552" s="42" t="n">
        <v>36222</v>
      </c>
    </row>
    <row r="1553">
      <c r="B1553" s="39" t="inlineStr">
        <is>
          <t>ISCOM_TLS</t>
        </is>
      </c>
      <c r="C1553" s="40" t="inlineStr">
        <is>
          <t>BAC_COM</t>
        </is>
      </c>
      <c r="D1553" s="40" t="inlineStr">
        <is>
          <t>B1</t>
        </is>
      </c>
      <c r="E1553" s="40" t="inlineStr">
        <is>
          <t>INIT</t>
        </is>
      </c>
      <c r="F1553" s="40" t="inlineStr">
        <is>
          <t>641100</t>
        </is>
      </c>
      <c r="G1553" s="39" t="inlineStr">
        <is>
          <t>Rémunérations du personnel permanent</t>
        </is>
      </c>
      <c r="H1553" s="40" t="inlineStr">
        <is>
          <t>COMPTABLE</t>
        </is>
      </c>
      <c r="I1553" s="41" t="inlineStr">
        <is>
          <t>2023ACT_VDEF</t>
        </is>
      </c>
      <c r="J1553" s="41" t="n">
        <v>2023</v>
      </c>
      <c r="K1553" s="41" t="inlineStr">
        <is>
          <t>EUR</t>
        </is>
      </c>
      <c r="L1553" s="42" t="n">
        <v>81200</v>
      </c>
    </row>
    <row r="1554">
      <c r="B1554" s="39" t="inlineStr">
        <is>
          <t>ISCOM_TLS</t>
        </is>
      </c>
      <c r="C1554" s="40" t="inlineStr">
        <is>
          <t>BAC_COM</t>
        </is>
      </c>
      <c r="D1554" s="40" t="inlineStr">
        <is>
          <t>B1</t>
        </is>
      </c>
      <c r="E1554" s="40" t="inlineStr">
        <is>
          <t>INIT</t>
        </is>
      </c>
      <c r="F1554" s="40" t="inlineStr">
        <is>
          <t>641100</t>
        </is>
      </c>
      <c r="G1554" s="39" t="inlineStr">
        <is>
          <t>Rémunérations du personnel permanent</t>
        </is>
      </c>
      <c r="H1554" s="40" t="inlineStr">
        <is>
          <t>COMPTABLE</t>
        </is>
      </c>
      <c r="I1554" s="41" t="inlineStr">
        <is>
          <t>2024ACT_VDEF</t>
        </is>
      </c>
      <c r="J1554" s="41" t="n">
        <v>2024</v>
      </c>
      <c r="K1554" s="41" t="inlineStr">
        <is>
          <t>EUR</t>
        </is>
      </c>
      <c r="L1554" s="42" t="n">
        <v>85711</v>
      </c>
    </row>
    <row r="1555">
      <c r="B1555" s="39" t="inlineStr">
        <is>
          <t>ISCOM_TLS</t>
        </is>
      </c>
      <c r="C1555" s="40" t="inlineStr">
        <is>
          <t>BAC_COM</t>
        </is>
      </c>
      <c r="D1555" s="40" t="inlineStr">
        <is>
          <t>B1</t>
        </is>
      </c>
      <c r="E1555" s="40" t="inlineStr">
        <is>
          <t>INIT</t>
        </is>
      </c>
      <c r="F1555" s="40" t="inlineStr">
        <is>
          <t>641100</t>
        </is>
      </c>
      <c r="G1555" s="39" t="inlineStr">
        <is>
          <t>Rémunérations du personnel permanent</t>
        </is>
      </c>
      <c r="H1555" s="40" t="inlineStr">
        <is>
          <t>COMPTABLE</t>
        </is>
      </c>
      <c r="I1555" s="41" t="inlineStr">
        <is>
          <t>2025FCST_V4</t>
        </is>
      </c>
      <c r="J1555" s="41" t="n">
        <v>2025</v>
      </c>
      <c r="K1555" s="41" t="inlineStr">
        <is>
          <t>EUR</t>
        </is>
      </c>
      <c r="L1555" s="42" t="n">
        <v>90222</v>
      </c>
    </row>
    <row r="1556">
      <c r="B1556" s="39" t="inlineStr">
        <is>
          <t>ISCOM_TLS</t>
        </is>
      </c>
      <c r="C1556" s="40" t="inlineStr">
        <is>
          <t>BAC_COM</t>
        </is>
      </c>
      <c r="D1556" s="40" t="inlineStr">
        <is>
          <t>B1</t>
        </is>
      </c>
      <c r="E1556" s="40" t="inlineStr">
        <is>
          <t>INIT</t>
        </is>
      </c>
      <c r="F1556" s="40" t="inlineStr">
        <is>
          <t>622600</t>
        </is>
      </c>
      <c r="G1556" s="39" t="inlineStr">
        <is>
          <t>Honoraires &amp; frais de siège (structure groupe)</t>
        </is>
      </c>
      <c r="H1556" s="40" t="inlineStr">
        <is>
          <t>COMPTABLE</t>
        </is>
      </c>
      <c r="I1556" s="41" t="inlineStr">
        <is>
          <t>2023ACT_VDEF</t>
        </is>
      </c>
      <c r="J1556" s="41" t="n">
        <v>2023</v>
      </c>
      <c r="K1556" s="41" t="inlineStr">
        <is>
          <t>EUR</t>
        </is>
      </c>
      <c r="L1556" s="42" t="n">
        <v>29687</v>
      </c>
    </row>
    <row r="1557">
      <c r="B1557" s="39" t="inlineStr">
        <is>
          <t>ISCOM_TLS</t>
        </is>
      </c>
      <c r="C1557" s="40" t="inlineStr">
        <is>
          <t>BAC_COM</t>
        </is>
      </c>
      <c r="D1557" s="40" t="inlineStr">
        <is>
          <t>B1</t>
        </is>
      </c>
      <c r="E1557" s="40" t="inlineStr">
        <is>
          <t>INIT</t>
        </is>
      </c>
      <c r="F1557" s="40" t="inlineStr">
        <is>
          <t>622600</t>
        </is>
      </c>
      <c r="G1557" s="39" t="inlineStr">
        <is>
          <t>Honoraires &amp; frais de siège (structure groupe)</t>
        </is>
      </c>
      <c r="H1557" s="40" t="inlineStr">
        <is>
          <t>COMPTABLE</t>
        </is>
      </c>
      <c r="I1557" s="41" t="inlineStr">
        <is>
          <t>2024ACT_VDEF</t>
        </is>
      </c>
      <c r="J1557" s="41" t="n">
        <v>2024</v>
      </c>
      <c r="K1557" s="41" t="inlineStr">
        <is>
          <t>EUR</t>
        </is>
      </c>
      <c r="L1557" s="42" t="n">
        <v>31337</v>
      </c>
    </row>
    <row r="1558">
      <c r="B1558" s="39" t="inlineStr">
        <is>
          <t>ISCOM_TLS</t>
        </is>
      </c>
      <c r="C1558" s="40" t="inlineStr">
        <is>
          <t>BAC_COM</t>
        </is>
      </c>
      <c r="D1558" s="40" t="inlineStr">
        <is>
          <t>B1</t>
        </is>
      </c>
      <c r="E1558" s="40" t="inlineStr">
        <is>
          <t>INIT</t>
        </is>
      </c>
      <c r="F1558" s="40" t="inlineStr">
        <is>
          <t>622600</t>
        </is>
      </c>
      <c r="G1558" s="39" t="inlineStr">
        <is>
          <t>Honoraires &amp; frais de siège (structure groupe)</t>
        </is>
      </c>
      <c r="H1558" s="40" t="inlineStr">
        <is>
          <t>COMPTABLE</t>
        </is>
      </c>
      <c r="I1558" s="41" t="inlineStr">
        <is>
          <t>2025FCST_V4</t>
        </is>
      </c>
      <c r="J1558" s="41" t="n">
        <v>2025</v>
      </c>
      <c r="K1558" s="41" t="inlineStr">
        <is>
          <t>EUR</t>
        </is>
      </c>
      <c r="L1558" s="42" t="n">
        <v>32986</v>
      </c>
    </row>
    <row r="1559">
      <c r="B1559" s="39" t="inlineStr">
        <is>
          <t>ISCOM_TLS</t>
        </is>
      </c>
      <c r="C1559" s="40" t="inlineStr">
        <is>
          <t>BAC_COM</t>
        </is>
      </c>
      <c r="D1559" s="40" t="inlineStr">
        <is>
          <t>B1</t>
        </is>
      </c>
      <c r="E1559" s="40" t="inlineStr">
        <is>
          <t>INIT</t>
        </is>
      </c>
      <c r="F1559" s="40" t="inlineStr">
        <is>
          <t>606800</t>
        </is>
      </c>
      <c r="G1559" s="39" t="inlineStr">
        <is>
          <t>Autres achats &amp; charges externes</t>
        </is>
      </c>
      <c r="H1559" s="40" t="inlineStr">
        <is>
          <t>COMPTABLE</t>
        </is>
      </c>
      <c r="I1559" s="41" t="inlineStr">
        <is>
          <t>2023ACT_VDEF</t>
        </is>
      </c>
      <c r="J1559" s="41" t="n">
        <v>2023</v>
      </c>
      <c r="K1559" s="41" t="inlineStr">
        <is>
          <t>EUR</t>
        </is>
      </c>
      <c r="L1559" s="42" t="n">
        <v>39508</v>
      </c>
    </row>
    <row r="1560">
      <c r="B1560" s="39" t="inlineStr">
        <is>
          <t>ISCOM_TLS</t>
        </is>
      </c>
      <c r="C1560" s="40" t="inlineStr">
        <is>
          <t>BAC_COM</t>
        </is>
      </c>
      <c r="D1560" s="40" t="inlineStr">
        <is>
          <t>B1</t>
        </is>
      </c>
      <c r="E1560" s="40" t="inlineStr">
        <is>
          <t>INIT</t>
        </is>
      </c>
      <c r="F1560" s="40" t="inlineStr">
        <is>
          <t>606800</t>
        </is>
      </c>
      <c r="G1560" s="39" t="inlineStr">
        <is>
          <t>Autres achats &amp; charges externes</t>
        </is>
      </c>
      <c r="H1560" s="40" t="inlineStr">
        <is>
          <t>COMPTABLE</t>
        </is>
      </c>
      <c r="I1560" s="41" t="inlineStr">
        <is>
          <t>2024ACT_VDEF</t>
        </is>
      </c>
      <c r="J1560" s="41" t="n">
        <v>2024</v>
      </c>
      <c r="K1560" s="41" t="inlineStr">
        <is>
          <t>EUR</t>
        </is>
      </c>
      <c r="L1560" s="42" t="n">
        <v>41703</v>
      </c>
    </row>
    <row r="1561">
      <c r="B1561" s="39" t="inlineStr">
        <is>
          <t>ISCOM_TLS</t>
        </is>
      </c>
      <c r="C1561" s="40" t="inlineStr">
        <is>
          <t>BAC_COM</t>
        </is>
      </c>
      <c r="D1561" s="40" t="inlineStr">
        <is>
          <t>B1</t>
        </is>
      </c>
      <c r="E1561" s="40" t="inlineStr">
        <is>
          <t>INIT</t>
        </is>
      </c>
      <c r="F1561" s="40" t="inlineStr">
        <is>
          <t>606800</t>
        </is>
      </c>
      <c r="G1561" s="39" t="inlineStr">
        <is>
          <t>Autres achats &amp; charges externes</t>
        </is>
      </c>
      <c r="H1561" s="40" t="inlineStr">
        <is>
          <t>COMPTABLE</t>
        </is>
      </c>
      <c r="I1561" s="41" t="inlineStr">
        <is>
          <t>2025FCST_V4</t>
        </is>
      </c>
      <c r="J1561" s="41" t="n">
        <v>2025</v>
      </c>
      <c r="K1561" s="41" t="inlineStr">
        <is>
          <t>EUR</t>
        </is>
      </c>
      <c r="L1561" s="42" t="n">
        <v>43898</v>
      </c>
    </row>
    <row r="1562">
      <c r="B1562" s="39" t="inlineStr">
        <is>
          <t>ISCOM_TLS</t>
        </is>
      </c>
      <c r="C1562" s="40" t="inlineStr">
        <is>
          <t>BAC_COM</t>
        </is>
      </c>
      <c r="D1562" s="40" t="inlineStr">
        <is>
          <t>B1</t>
        </is>
      </c>
      <c r="E1562" s="40" t="inlineStr">
        <is>
          <t>INIT</t>
        </is>
      </c>
      <c r="F1562" s="40" t="inlineStr">
        <is>
          <t>681100</t>
        </is>
      </c>
      <c r="G1562" s="39" t="inlineStr">
        <is>
          <t>Dotations aux amortissements</t>
        </is>
      </c>
      <c r="H1562" s="40" t="inlineStr">
        <is>
          <t>COMPTABLE</t>
        </is>
      </c>
      <c r="I1562" s="41" t="inlineStr">
        <is>
          <t>2023ACT_VDEF</t>
        </is>
      </c>
      <c r="J1562" s="41" t="n">
        <v>2023</v>
      </c>
      <c r="K1562" s="41" t="inlineStr">
        <is>
          <t>EUR</t>
        </is>
      </c>
      <c r="L1562" s="42" t="n">
        <v>17800</v>
      </c>
    </row>
    <row r="1563">
      <c r="B1563" s="39" t="inlineStr">
        <is>
          <t>ISCOM_TLS</t>
        </is>
      </c>
      <c r="C1563" s="40" t="inlineStr">
        <is>
          <t>BAC_COM</t>
        </is>
      </c>
      <c r="D1563" s="40" t="inlineStr">
        <is>
          <t>B1</t>
        </is>
      </c>
      <c r="E1563" s="40" t="inlineStr">
        <is>
          <t>INIT</t>
        </is>
      </c>
      <c r="F1563" s="40" t="inlineStr">
        <is>
          <t>681100</t>
        </is>
      </c>
      <c r="G1563" s="39" t="inlineStr">
        <is>
          <t>Dotations aux amortissements</t>
        </is>
      </c>
      <c r="H1563" s="40" t="inlineStr">
        <is>
          <t>COMPTABLE</t>
        </is>
      </c>
      <c r="I1563" s="41" t="inlineStr">
        <is>
          <t>2024ACT_VDEF</t>
        </is>
      </c>
      <c r="J1563" s="41" t="n">
        <v>2024</v>
      </c>
      <c r="K1563" s="41" t="inlineStr">
        <is>
          <t>EUR</t>
        </is>
      </c>
      <c r="L1563" s="42" t="n">
        <v>18789</v>
      </c>
    </row>
    <row r="1564">
      <c r="B1564" s="39" t="inlineStr">
        <is>
          <t>ISCOM_TLS</t>
        </is>
      </c>
      <c r="C1564" s="40" t="inlineStr">
        <is>
          <t>BAC_COM</t>
        </is>
      </c>
      <c r="D1564" s="40" t="inlineStr">
        <is>
          <t>B1</t>
        </is>
      </c>
      <c r="E1564" s="40" t="inlineStr">
        <is>
          <t>INIT</t>
        </is>
      </c>
      <c r="F1564" s="40" t="inlineStr">
        <is>
          <t>681100</t>
        </is>
      </c>
      <c r="G1564" s="39" t="inlineStr">
        <is>
          <t>Dotations aux amortissements</t>
        </is>
      </c>
      <c r="H1564" s="40" t="inlineStr">
        <is>
          <t>COMPTABLE</t>
        </is>
      </c>
      <c r="I1564" s="41" t="inlineStr">
        <is>
          <t>2025FCST_V4</t>
        </is>
      </c>
      <c r="J1564" s="41" t="n">
        <v>2025</v>
      </c>
      <c r="K1564" s="41" t="inlineStr">
        <is>
          <t>EUR</t>
        </is>
      </c>
      <c r="L1564" s="42" t="n">
        <v>19778</v>
      </c>
    </row>
    <row r="1565">
      <c r="B1565" s="39" t="inlineStr">
        <is>
          <t>ISCOM_TLS</t>
        </is>
      </c>
      <c r="C1565" s="40" t="inlineStr">
        <is>
          <t>BAC_COM</t>
        </is>
      </c>
      <c r="D1565" s="40" t="inlineStr">
        <is>
          <t>B1</t>
        </is>
      </c>
      <c r="E1565" s="40" t="inlineStr">
        <is>
          <t>INIT</t>
        </is>
      </c>
      <c r="F1565" s="40" t="inlineStr">
        <is>
          <t>STA_EFF</t>
        </is>
      </c>
      <c r="G1565" s="39" t="inlineStr">
        <is>
          <t>Effectif inscrit</t>
        </is>
      </c>
      <c r="H1565" s="40" t="inlineStr">
        <is>
          <t>TECHNIQUE</t>
        </is>
      </c>
      <c r="I1565" s="41" t="inlineStr">
        <is>
          <t>2023ACT_VDEF</t>
        </is>
      </c>
      <c r="J1565" s="41" t="n">
        <v>2023</v>
      </c>
      <c r="K1565" s="41" t="inlineStr">
        <is>
          <t>NB</t>
        </is>
      </c>
      <c r="L1565" s="43" t="n">
        <v>42</v>
      </c>
    </row>
    <row r="1566">
      <c r="B1566" s="39" t="inlineStr">
        <is>
          <t>ISCOM_TLS</t>
        </is>
      </c>
      <c r="C1566" s="40" t="inlineStr">
        <is>
          <t>BAC_COM</t>
        </is>
      </c>
      <c r="D1566" s="40" t="inlineStr">
        <is>
          <t>B1</t>
        </is>
      </c>
      <c r="E1566" s="40" t="inlineStr">
        <is>
          <t>INIT</t>
        </is>
      </c>
      <c r="F1566" s="40" t="inlineStr">
        <is>
          <t>STA_EFF</t>
        </is>
      </c>
      <c r="G1566" s="39" t="inlineStr">
        <is>
          <t>Effectif inscrit</t>
        </is>
      </c>
      <c r="H1566" s="40" t="inlineStr">
        <is>
          <t>TECHNIQUE</t>
        </is>
      </c>
      <c r="I1566" s="41" t="inlineStr">
        <is>
          <t>2024ACT_VDEF</t>
        </is>
      </c>
      <c r="J1566" s="41" t="n">
        <v>2024</v>
      </c>
      <c r="K1566" s="41" t="inlineStr">
        <is>
          <t>NB</t>
        </is>
      </c>
      <c r="L1566" s="43" t="n">
        <v>45</v>
      </c>
    </row>
    <row r="1567">
      <c r="B1567" s="39" t="inlineStr">
        <is>
          <t>ISCOM_TLS</t>
        </is>
      </c>
      <c r="C1567" s="40" t="inlineStr">
        <is>
          <t>BAC_COM</t>
        </is>
      </c>
      <c r="D1567" s="40" t="inlineStr">
        <is>
          <t>B1</t>
        </is>
      </c>
      <c r="E1567" s="40" t="inlineStr">
        <is>
          <t>INIT</t>
        </is>
      </c>
      <c r="F1567" s="40" t="inlineStr">
        <is>
          <t>STA_EFF</t>
        </is>
      </c>
      <c r="G1567" s="39" t="inlineStr">
        <is>
          <t>Effectif inscrit</t>
        </is>
      </c>
      <c r="H1567" s="40" t="inlineStr">
        <is>
          <t>TECHNIQUE</t>
        </is>
      </c>
      <c r="I1567" s="41" t="inlineStr">
        <is>
          <t>2025FCST_V4</t>
        </is>
      </c>
      <c r="J1567" s="41" t="n">
        <v>2025</v>
      </c>
      <c r="K1567" s="41" t="inlineStr">
        <is>
          <t>NB</t>
        </is>
      </c>
      <c r="L1567" s="43" t="n">
        <v>47</v>
      </c>
    </row>
    <row r="1568">
      <c r="B1568" s="39" t="inlineStr">
        <is>
          <t>ISCOM_TLS</t>
        </is>
      </c>
      <c r="C1568" s="40" t="inlineStr">
        <is>
          <t>BAC_COM</t>
        </is>
      </c>
      <c r="D1568" s="40" t="inlineStr">
        <is>
          <t>B1</t>
        </is>
      </c>
      <c r="E1568" s="40" t="inlineStr">
        <is>
          <t>INIT</t>
        </is>
      </c>
      <c r="F1568" s="40" t="inlineStr">
        <is>
          <t>STA_CAND</t>
        </is>
      </c>
      <c r="G1568" s="39" t="inlineStr">
        <is>
          <t>Candidatures reçues</t>
        </is>
      </c>
      <c r="H1568" s="40" t="inlineStr">
        <is>
          <t>TECHNIQUE</t>
        </is>
      </c>
      <c r="I1568" s="41" t="inlineStr">
        <is>
          <t>2023ACT_VDEF</t>
        </is>
      </c>
      <c r="J1568" s="41" t="n">
        <v>2023</v>
      </c>
      <c r="K1568" s="41" t="inlineStr">
        <is>
          <t>NB</t>
        </is>
      </c>
      <c r="L1568" s="43" t="n">
        <v>113</v>
      </c>
    </row>
    <row r="1569">
      <c r="B1569" s="39" t="inlineStr">
        <is>
          <t>ISCOM_TLS</t>
        </is>
      </c>
      <c r="C1569" s="40" t="inlineStr">
        <is>
          <t>BAC_COM</t>
        </is>
      </c>
      <c r="D1569" s="40" t="inlineStr">
        <is>
          <t>B1</t>
        </is>
      </c>
      <c r="E1569" s="40" t="inlineStr">
        <is>
          <t>INIT</t>
        </is>
      </c>
      <c r="F1569" s="40" t="inlineStr">
        <is>
          <t>STA_CAND</t>
        </is>
      </c>
      <c r="G1569" s="39" t="inlineStr">
        <is>
          <t>Candidatures reçues</t>
        </is>
      </c>
      <c r="H1569" s="40" t="inlineStr">
        <is>
          <t>TECHNIQUE</t>
        </is>
      </c>
      <c r="I1569" s="41" t="inlineStr">
        <is>
          <t>2024ACT_VDEF</t>
        </is>
      </c>
      <c r="J1569" s="41" t="n">
        <v>2024</v>
      </c>
      <c r="K1569" s="41" t="inlineStr">
        <is>
          <t>NB</t>
        </is>
      </c>
      <c r="L1569" s="43" t="n">
        <v>120</v>
      </c>
    </row>
    <row r="1570">
      <c r="B1570" s="39" t="inlineStr">
        <is>
          <t>ISCOM_TLS</t>
        </is>
      </c>
      <c r="C1570" s="40" t="inlineStr">
        <is>
          <t>BAC_COM</t>
        </is>
      </c>
      <c r="D1570" s="40" t="inlineStr">
        <is>
          <t>B1</t>
        </is>
      </c>
      <c r="E1570" s="40" t="inlineStr">
        <is>
          <t>INIT</t>
        </is>
      </c>
      <c r="F1570" s="40" t="inlineStr">
        <is>
          <t>STA_CAND</t>
        </is>
      </c>
      <c r="G1570" s="39" t="inlineStr">
        <is>
          <t>Candidatures reçues</t>
        </is>
      </c>
      <c r="H1570" s="40" t="inlineStr">
        <is>
          <t>TECHNIQUE</t>
        </is>
      </c>
      <c r="I1570" s="41" t="inlineStr">
        <is>
          <t>2025FCST_V4</t>
        </is>
      </c>
      <c r="J1570" s="41" t="n">
        <v>2025</v>
      </c>
      <c r="K1570" s="41" t="inlineStr">
        <is>
          <t>NB</t>
        </is>
      </c>
      <c r="L1570" s="43" t="n">
        <v>126</v>
      </c>
    </row>
    <row r="1571">
      <c r="B1571" s="39" t="inlineStr">
        <is>
          <t>ISCOM_TLS</t>
        </is>
      </c>
      <c r="C1571" s="40" t="inlineStr">
        <is>
          <t>BAC_COM</t>
        </is>
      </c>
      <c r="D1571" s="40" t="inlineStr">
        <is>
          <t>B1</t>
        </is>
      </c>
      <c r="E1571" s="40" t="inlineStr">
        <is>
          <t>INIT</t>
        </is>
      </c>
      <c r="F1571" s="40" t="inlineStr">
        <is>
          <t>STA_ADMIS</t>
        </is>
      </c>
      <c r="G1571" s="39" t="inlineStr">
        <is>
          <t>Candidats admis</t>
        </is>
      </c>
      <c r="H1571" s="40" t="inlineStr">
        <is>
          <t>TECHNIQUE</t>
        </is>
      </c>
      <c r="I1571" s="41" t="inlineStr">
        <is>
          <t>2023ACT_VDEF</t>
        </is>
      </c>
      <c r="J1571" s="41" t="n">
        <v>2023</v>
      </c>
      <c r="K1571" s="41" t="inlineStr">
        <is>
          <t>NB</t>
        </is>
      </c>
      <c r="L1571" s="43" t="n">
        <v>70</v>
      </c>
    </row>
    <row r="1572">
      <c r="B1572" s="39" t="inlineStr">
        <is>
          <t>ISCOM_TLS</t>
        </is>
      </c>
      <c r="C1572" s="40" t="inlineStr">
        <is>
          <t>BAC_COM</t>
        </is>
      </c>
      <c r="D1572" s="40" t="inlineStr">
        <is>
          <t>B1</t>
        </is>
      </c>
      <c r="E1572" s="40" t="inlineStr">
        <is>
          <t>INIT</t>
        </is>
      </c>
      <c r="F1572" s="40" t="inlineStr">
        <is>
          <t>STA_ADMIS</t>
        </is>
      </c>
      <c r="G1572" s="39" t="inlineStr">
        <is>
          <t>Candidats admis</t>
        </is>
      </c>
      <c r="H1572" s="40" t="inlineStr">
        <is>
          <t>TECHNIQUE</t>
        </is>
      </c>
      <c r="I1572" s="41" t="inlineStr">
        <is>
          <t>2024ACT_VDEF</t>
        </is>
      </c>
      <c r="J1572" s="41" t="n">
        <v>2024</v>
      </c>
      <c r="K1572" s="41" t="inlineStr">
        <is>
          <t>NB</t>
        </is>
      </c>
      <c r="L1572" s="43" t="n">
        <v>74</v>
      </c>
    </row>
    <row r="1573">
      <c r="B1573" s="39" t="inlineStr">
        <is>
          <t>ISCOM_TLS</t>
        </is>
      </c>
      <c r="C1573" s="40" t="inlineStr">
        <is>
          <t>BAC_COM</t>
        </is>
      </c>
      <c r="D1573" s="40" t="inlineStr">
        <is>
          <t>B1</t>
        </is>
      </c>
      <c r="E1573" s="40" t="inlineStr">
        <is>
          <t>INIT</t>
        </is>
      </c>
      <c r="F1573" s="40" t="inlineStr">
        <is>
          <t>STA_ADMIS</t>
        </is>
      </c>
      <c r="G1573" s="39" t="inlineStr">
        <is>
          <t>Candidats admis</t>
        </is>
      </c>
      <c r="H1573" s="40" t="inlineStr">
        <is>
          <t>TECHNIQUE</t>
        </is>
      </c>
      <c r="I1573" s="41" t="inlineStr">
        <is>
          <t>2025FCST_V4</t>
        </is>
      </c>
      <c r="J1573" s="41" t="n">
        <v>2025</v>
      </c>
      <c r="K1573" s="41" t="inlineStr">
        <is>
          <t>NB</t>
        </is>
      </c>
      <c r="L1573" s="43" t="n">
        <v>78</v>
      </c>
    </row>
    <row r="1574">
      <c r="B1574" s="39" t="inlineStr">
        <is>
          <t>ISCOM_TLS</t>
        </is>
      </c>
      <c r="C1574" s="40" t="inlineStr">
        <is>
          <t>BAC_COM</t>
        </is>
      </c>
      <c r="D1574" s="40" t="inlineStr">
        <is>
          <t>B1</t>
        </is>
      </c>
      <c r="E1574" s="40" t="inlineStr">
        <is>
          <t>INIT</t>
        </is>
      </c>
      <c r="F1574" s="40" t="inlineStr">
        <is>
          <t>STA_NOUV</t>
        </is>
      </c>
      <c r="G1574" s="39" t="inlineStr">
        <is>
          <t>Nouveaux inscrits</t>
        </is>
      </c>
      <c r="H1574" s="40" t="inlineStr">
        <is>
          <t>TECHNIQUE</t>
        </is>
      </c>
      <c r="I1574" s="41" t="inlineStr">
        <is>
          <t>2023ACT_VDEF</t>
        </is>
      </c>
      <c r="J1574" s="41" t="n">
        <v>2023</v>
      </c>
      <c r="K1574" s="41" t="inlineStr">
        <is>
          <t>NB</t>
        </is>
      </c>
      <c r="L1574" s="43" t="n">
        <v>42</v>
      </c>
    </row>
    <row r="1575">
      <c r="B1575" s="39" t="inlineStr">
        <is>
          <t>ISCOM_TLS</t>
        </is>
      </c>
      <c r="C1575" s="40" t="inlineStr">
        <is>
          <t>BAC_COM</t>
        </is>
      </c>
      <c r="D1575" s="40" t="inlineStr">
        <is>
          <t>B1</t>
        </is>
      </c>
      <c r="E1575" s="40" t="inlineStr">
        <is>
          <t>INIT</t>
        </is>
      </c>
      <c r="F1575" s="40" t="inlineStr">
        <is>
          <t>STA_NOUV</t>
        </is>
      </c>
      <c r="G1575" s="39" t="inlineStr">
        <is>
          <t>Nouveaux inscrits</t>
        </is>
      </c>
      <c r="H1575" s="40" t="inlineStr">
        <is>
          <t>TECHNIQUE</t>
        </is>
      </c>
      <c r="I1575" s="41" t="inlineStr">
        <is>
          <t>2024ACT_VDEF</t>
        </is>
      </c>
      <c r="J1575" s="41" t="n">
        <v>2024</v>
      </c>
      <c r="K1575" s="41" t="inlineStr">
        <is>
          <t>NB</t>
        </is>
      </c>
      <c r="L1575" s="43" t="n">
        <v>45</v>
      </c>
    </row>
    <row r="1576">
      <c r="B1576" s="39" t="inlineStr">
        <is>
          <t>ISCOM_TLS</t>
        </is>
      </c>
      <c r="C1576" s="40" t="inlineStr">
        <is>
          <t>BAC_COM</t>
        </is>
      </c>
      <c r="D1576" s="40" t="inlineStr">
        <is>
          <t>B1</t>
        </is>
      </c>
      <c r="E1576" s="40" t="inlineStr">
        <is>
          <t>INIT</t>
        </is>
      </c>
      <c r="F1576" s="40" t="inlineStr">
        <is>
          <t>STA_NOUV</t>
        </is>
      </c>
      <c r="G1576" s="39" t="inlineStr">
        <is>
          <t>Nouveaux inscrits</t>
        </is>
      </c>
      <c r="H1576" s="40" t="inlineStr">
        <is>
          <t>TECHNIQUE</t>
        </is>
      </c>
      <c r="I1576" s="41" t="inlineStr">
        <is>
          <t>2025FCST_V4</t>
        </is>
      </c>
      <c r="J1576" s="41" t="n">
        <v>2025</v>
      </c>
      <c r="K1576" s="41" t="inlineStr">
        <is>
          <t>NB</t>
        </is>
      </c>
      <c r="L1576" s="43" t="n">
        <v>47</v>
      </c>
    </row>
    <row r="1577">
      <c r="B1577" s="39" t="inlineStr">
        <is>
          <t>ISCOM_TLS</t>
        </is>
      </c>
      <c r="C1577" s="40" t="inlineStr">
        <is>
          <t>BAC_COM</t>
        </is>
      </c>
      <c r="D1577" s="40" t="inlineStr">
        <is>
          <t>B1</t>
        </is>
      </c>
      <c r="E1577" s="40" t="inlineStr">
        <is>
          <t>INIT</t>
        </is>
      </c>
      <c r="F1577" s="40" t="inlineStr">
        <is>
          <t>STA_CLASS</t>
        </is>
      </c>
      <c r="G1577" s="39" t="inlineStr">
        <is>
          <t>Nombre de classes</t>
        </is>
      </c>
      <c r="H1577" s="40" t="inlineStr">
        <is>
          <t>TECHNIQUE</t>
        </is>
      </c>
      <c r="I1577" s="41" t="inlineStr">
        <is>
          <t>2023ACT_VDEF</t>
        </is>
      </c>
      <c r="J1577" s="41" t="n">
        <v>2023</v>
      </c>
      <c r="K1577" s="41" t="inlineStr">
        <is>
          <t>NB</t>
        </is>
      </c>
      <c r="L1577" s="43" t="n">
        <v>2</v>
      </c>
    </row>
    <row r="1578">
      <c r="B1578" s="39" t="inlineStr">
        <is>
          <t>ISCOM_TLS</t>
        </is>
      </c>
      <c r="C1578" s="40" t="inlineStr">
        <is>
          <t>BAC_COM</t>
        </is>
      </c>
      <c r="D1578" s="40" t="inlineStr">
        <is>
          <t>B1</t>
        </is>
      </c>
      <c r="E1578" s="40" t="inlineStr">
        <is>
          <t>INIT</t>
        </is>
      </c>
      <c r="F1578" s="40" t="inlineStr">
        <is>
          <t>STA_CLASS</t>
        </is>
      </c>
      <c r="G1578" s="39" t="inlineStr">
        <is>
          <t>Nombre de classes</t>
        </is>
      </c>
      <c r="H1578" s="40" t="inlineStr">
        <is>
          <t>TECHNIQUE</t>
        </is>
      </c>
      <c r="I1578" s="41" t="inlineStr">
        <is>
          <t>2024ACT_VDEF</t>
        </is>
      </c>
      <c r="J1578" s="41" t="n">
        <v>2024</v>
      </c>
      <c r="K1578" s="41" t="inlineStr">
        <is>
          <t>NB</t>
        </is>
      </c>
      <c r="L1578" s="43" t="n">
        <v>2</v>
      </c>
    </row>
    <row r="1579">
      <c r="B1579" s="39" t="inlineStr">
        <is>
          <t>ISCOM_TLS</t>
        </is>
      </c>
      <c r="C1579" s="40" t="inlineStr">
        <is>
          <t>BAC_COM</t>
        </is>
      </c>
      <c r="D1579" s="40" t="inlineStr">
        <is>
          <t>B1</t>
        </is>
      </c>
      <c r="E1579" s="40" t="inlineStr">
        <is>
          <t>INIT</t>
        </is>
      </c>
      <c r="F1579" s="40" t="inlineStr">
        <is>
          <t>STA_CLASS</t>
        </is>
      </c>
      <c r="G1579" s="39" t="inlineStr">
        <is>
          <t>Nombre de classes</t>
        </is>
      </c>
      <c r="H1579" s="40" t="inlineStr">
        <is>
          <t>TECHNIQUE</t>
        </is>
      </c>
      <c r="I1579" s="41" t="inlineStr">
        <is>
          <t>2025FCST_V4</t>
        </is>
      </c>
      <c r="J1579" s="41" t="n">
        <v>2025</v>
      </c>
      <c r="K1579" s="41" t="inlineStr">
        <is>
          <t>NB</t>
        </is>
      </c>
      <c r="L1579" s="43" t="n">
        <v>2</v>
      </c>
    </row>
    <row r="1580">
      <c r="B1580" s="39" t="inlineStr">
        <is>
          <t>ISCOM_TLS</t>
        </is>
      </c>
      <c r="C1580" s="40" t="inlineStr">
        <is>
          <t>BAC_COM</t>
        </is>
      </c>
      <c r="D1580" s="40" t="inlineStr">
        <is>
          <t>B1</t>
        </is>
      </c>
      <c r="E1580" s="40" t="inlineStr">
        <is>
          <t>INIT</t>
        </is>
      </c>
      <c r="F1580" s="40" t="inlineStr">
        <is>
          <t>STA_HEURE</t>
        </is>
      </c>
      <c r="G1580" s="39" t="inlineStr">
        <is>
          <t>Heures d'enseignement</t>
        </is>
      </c>
      <c r="H1580" s="40" t="inlineStr">
        <is>
          <t>TECHNIQUE</t>
        </is>
      </c>
      <c r="I1580" s="41" t="inlineStr">
        <is>
          <t>2023ACT_VDEF</t>
        </is>
      </c>
      <c r="J1580" s="41" t="n">
        <v>2023</v>
      </c>
      <c r="K1580" s="41" t="inlineStr">
        <is>
          <t>NB</t>
        </is>
      </c>
      <c r="L1580" s="43" t="n">
        <v>1080</v>
      </c>
    </row>
    <row r="1581">
      <c r="B1581" s="39" t="inlineStr">
        <is>
          <t>ISCOM_TLS</t>
        </is>
      </c>
      <c r="C1581" s="40" t="inlineStr">
        <is>
          <t>BAC_COM</t>
        </is>
      </c>
      <c r="D1581" s="40" t="inlineStr">
        <is>
          <t>B1</t>
        </is>
      </c>
      <c r="E1581" s="40" t="inlineStr">
        <is>
          <t>INIT</t>
        </is>
      </c>
      <c r="F1581" s="40" t="inlineStr">
        <is>
          <t>STA_HEURE</t>
        </is>
      </c>
      <c r="G1581" s="39" t="inlineStr">
        <is>
          <t>Heures d'enseignement</t>
        </is>
      </c>
      <c r="H1581" s="40" t="inlineStr">
        <is>
          <t>TECHNIQUE</t>
        </is>
      </c>
      <c r="I1581" s="41" t="inlineStr">
        <is>
          <t>2024ACT_VDEF</t>
        </is>
      </c>
      <c r="J1581" s="41" t="n">
        <v>2024</v>
      </c>
      <c r="K1581" s="41" t="inlineStr">
        <is>
          <t>NB</t>
        </is>
      </c>
      <c r="L1581" s="43" t="n">
        <v>1140</v>
      </c>
    </row>
    <row r="1582">
      <c r="B1582" s="39" t="inlineStr">
        <is>
          <t>ISCOM_TLS</t>
        </is>
      </c>
      <c r="C1582" s="40" t="inlineStr">
        <is>
          <t>BAC_COM</t>
        </is>
      </c>
      <c r="D1582" s="40" t="inlineStr">
        <is>
          <t>B1</t>
        </is>
      </c>
      <c r="E1582" s="40" t="inlineStr">
        <is>
          <t>INIT</t>
        </is>
      </c>
      <c r="F1582" s="40" t="inlineStr">
        <is>
          <t>STA_HEURE</t>
        </is>
      </c>
      <c r="G1582" s="39" t="inlineStr">
        <is>
          <t>Heures d'enseignement</t>
        </is>
      </c>
      <c r="H1582" s="40" t="inlineStr">
        <is>
          <t>TECHNIQUE</t>
        </is>
      </c>
      <c r="I1582" s="41" t="inlineStr">
        <is>
          <t>2025FCST_V4</t>
        </is>
      </c>
      <c r="J1582" s="41" t="n">
        <v>2025</v>
      </c>
      <c r="K1582" s="41" t="inlineStr">
        <is>
          <t>NB</t>
        </is>
      </c>
      <c r="L1582" s="43" t="n">
        <v>1200</v>
      </c>
    </row>
    <row r="1583">
      <c r="B1583" s="39" t="inlineStr">
        <is>
          <t>ISCOM_TLS</t>
        </is>
      </c>
      <c r="C1583" s="40" t="inlineStr">
        <is>
          <t>BAC_COM</t>
        </is>
      </c>
      <c r="D1583" s="40" t="inlineStr">
        <is>
          <t>B1</t>
        </is>
      </c>
      <c r="E1583" s="40" t="inlineStr">
        <is>
          <t>INIT</t>
        </is>
      </c>
      <c r="F1583" s="40" t="inlineStr">
        <is>
          <t>STA_CAPA</t>
        </is>
      </c>
      <c r="G1583" s="39" t="inlineStr">
        <is>
          <t>Capacité par classe</t>
        </is>
      </c>
      <c r="H1583" s="40" t="inlineStr">
        <is>
          <t>TECHNIQUE</t>
        </is>
      </c>
      <c r="I1583" s="41" t="inlineStr">
        <is>
          <t>2023ACT_VDEF</t>
        </is>
      </c>
      <c r="J1583" s="41" t="n">
        <v>2023</v>
      </c>
      <c r="K1583" s="41" t="inlineStr">
        <is>
          <t>NB</t>
        </is>
      </c>
      <c r="L1583" s="43" t="n">
        <v>32</v>
      </c>
    </row>
    <row r="1584">
      <c r="B1584" s="39" t="inlineStr">
        <is>
          <t>ISCOM_TLS</t>
        </is>
      </c>
      <c r="C1584" s="40" t="inlineStr">
        <is>
          <t>BAC_COM</t>
        </is>
      </c>
      <c r="D1584" s="40" t="inlineStr">
        <is>
          <t>B1</t>
        </is>
      </c>
      <c r="E1584" s="40" t="inlineStr">
        <is>
          <t>INIT</t>
        </is>
      </c>
      <c r="F1584" s="40" t="inlineStr">
        <is>
          <t>STA_CAPA</t>
        </is>
      </c>
      <c r="G1584" s="39" t="inlineStr">
        <is>
          <t>Capacité par classe</t>
        </is>
      </c>
      <c r="H1584" s="40" t="inlineStr">
        <is>
          <t>TECHNIQUE</t>
        </is>
      </c>
      <c r="I1584" s="41" t="inlineStr">
        <is>
          <t>2024ACT_VDEF</t>
        </is>
      </c>
      <c r="J1584" s="41" t="n">
        <v>2024</v>
      </c>
      <c r="K1584" s="41" t="inlineStr">
        <is>
          <t>NB</t>
        </is>
      </c>
      <c r="L1584" s="43" t="n">
        <v>32</v>
      </c>
    </row>
    <row r="1585">
      <c r="B1585" s="39" t="inlineStr">
        <is>
          <t>ISCOM_TLS</t>
        </is>
      </c>
      <c r="C1585" s="40" t="inlineStr">
        <is>
          <t>BAC_COM</t>
        </is>
      </c>
      <c r="D1585" s="40" t="inlineStr">
        <is>
          <t>B1</t>
        </is>
      </c>
      <c r="E1585" s="40" t="inlineStr">
        <is>
          <t>INIT</t>
        </is>
      </c>
      <c r="F1585" s="40" t="inlineStr">
        <is>
          <t>STA_CAPA</t>
        </is>
      </c>
      <c r="G1585" s="39" t="inlineStr">
        <is>
          <t>Capacité par classe</t>
        </is>
      </c>
      <c r="H1585" s="40" t="inlineStr">
        <is>
          <t>TECHNIQUE</t>
        </is>
      </c>
      <c r="I1585" s="41" t="inlineStr">
        <is>
          <t>2025FCST_V4</t>
        </is>
      </c>
      <c r="J1585" s="41" t="n">
        <v>2025</v>
      </c>
      <c r="K1585" s="41" t="inlineStr">
        <is>
          <t>NB</t>
        </is>
      </c>
      <c r="L1585" s="43" t="n">
        <v>32</v>
      </c>
    </row>
    <row r="1586">
      <c r="B1586" s="39" t="inlineStr">
        <is>
          <t>ISCOM_TLS</t>
        </is>
      </c>
      <c r="C1586" s="40" t="inlineStr">
        <is>
          <t>BAC_COM</t>
        </is>
      </c>
      <c r="D1586" s="40" t="inlineStr">
        <is>
          <t>B1</t>
        </is>
      </c>
      <c r="E1586" s="40" t="inlineStr">
        <is>
          <t>INIT</t>
        </is>
      </c>
      <c r="F1586" s="40" t="inlineStr">
        <is>
          <t>DRV_CONV</t>
        </is>
      </c>
      <c r="G1586" s="39" t="inlineStr">
        <is>
          <t>Taux de conversion candidat→inscrit</t>
        </is>
      </c>
      <c r="H1586" s="40" t="inlineStr">
        <is>
          <t>TECHNIQUE</t>
        </is>
      </c>
      <c r="I1586" s="41" t="inlineStr">
        <is>
          <t>2023ACT_VDEF</t>
        </is>
      </c>
      <c r="J1586" s="41" t="n">
        <v>2023</v>
      </c>
      <c r="K1586" s="41" t="inlineStr">
        <is>
          <t>PCT</t>
        </is>
      </c>
      <c r="L1586" s="44" t="n">
        <v>0.373</v>
      </c>
    </row>
    <row r="1587">
      <c r="B1587" s="39" t="inlineStr">
        <is>
          <t>ISCOM_TLS</t>
        </is>
      </c>
      <c r="C1587" s="40" t="inlineStr">
        <is>
          <t>BAC_COM</t>
        </is>
      </c>
      <c r="D1587" s="40" t="inlineStr">
        <is>
          <t>B1</t>
        </is>
      </c>
      <c r="E1587" s="40" t="inlineStr">
        <is>
          <t>INIT</t>
        </is>
      </c>
      <c r="F1587" s="40" t="inlineStr">
        <is>
          <t>DRV_CONV</t>
        </is>
      </c>
      <c r="G1587" s="39" t="inlineStr">
        <is>
          <t>Taux de conversion candidat→inscrit</t>
        </is>
      </c>
      <c r="H1587" s="40" t="inlineStr">
        <is>
          <t>TECHNIQUE</t>
        </is>
      </c>
      <c r="I1587" s="41" t="inlineStr">
        <is>
          <t>2024ACT_VDEF</t>
        </is>
      </c>
      <c r="J1587" s="41" t="n">
        <v>2024</v>
      </c>
      <c r="K1587" s="41" t="inlineStr">
        <is>
          <t>PCT</t>
        </is>
      </c>
      <c r="L1587" s="44" t="n">
        <v>0.373</v>
      </c>
    </row>
    <row r="1588">
      <c r="B1588" s="39" t="inlineStr">
        <is>
          <t>ISCOM_TLS</t>
        </is>
      </c>
      <c r="C1588" s="40" t="inlineStr">
        <is>
          <t>BAC_COM</t>
        </is>
      </c>
      <c r="D1588" s="40" t="inlineStr">
        <is>
          <t>B1</t>
        </is>
      </c>
      <c r="E1588" s="40" t="inlineStr">
        <is>
          <t>INIT</t>
        </is>
      </c>
      <c r="F1588" s="40" t="inlineStr">
        <is>
          <t>DRV_CONV</t>
        </is>
      </c>
      <c r="G1588" s="39" t="inlineStr">
        <is>
          <t>Taux de conversion candidat→inscrit</t>
        </is>
      </c>
      <c r="H1588" s="40" t="inlineStr">
        <is>
          <t>TECHNIQUE</t>
        </is>
      </c>
      <c r="I1588" s="41" t="inlineStr">
        <is>
          <t>2025FCST_V4</t>
        </is>
      </c>
      <c r="J1588" s="41" t="n">
        <v>2025</v>
      </c>
      <c r="K1588" s="41" t="inlineStr">
        <is>
          <t>PCT</t>
        </is>
      </c>
      <c r="L1588" s="44" t="n">
        <v>0.373</v>
      </c>
    </row>
    <row r="1589">
      <c r="B1589" s="39" t="inlineStr">
        <is>
          <t>ISCOM_TLS</t>
        </is>
      </c>
      <c r="C1589" s="40" t="inlineStr">
        <is>
          <t>BAC_COM</t>
        </is>
      </c>
      <c r="D1589" s="40" t="inlineStr">
        <is>
          <t>B1</t>
        </is>
      </c>
      <c r="E1589" s="40" t="inlineStr">
        <is>
          <t>INIT</t>
        </is>
      </c>
      <c r="F1589" s="40" t="inlineStr">
        <is>
          <t>PRX_TARIF</t>
        </is>
      </c>
      <c r="G1589" s="39" t="inlineStr">
        <is>
          <t>Tarif moyen scolarité</t>
        </is>
      </c>
      <c r="H1589" s="40" t="inlineStr">
        <is>
          <t>TECHNIQUE</t>
        </is>
      </c>
      <c r="I1589" s="41" t="inlineStr">
        <is>
          <t>2023ACT_VDEF</t>
        </is>
      </c>
      <c r="J1589" s="41" t="n">
        <v>2023</v>
      </c>
      <c r="K1589" s="41" t="inlineStr">
        <is>
          <t>EUR</t>
        </is>
      </c>
      <c r="L1589" s="42" t="n">
        <v>8500</v>
      </c>
    </row>
    <row r="1590">
      <c r="B1590" s="39" t="inlineStr">
        <is>
          <t>ISCOM_TLS</t>
        </is>
      </c>
      <c r="C1590" s="40" t="inlineStr">
        <is>
          <t>BAC_COM</t>
        </is>
      </c>
      <c r="D1590" s="40" t="inlineStr">
        <is>
          <t>B1</t>
        </is>
      </c>
      <c r="E1590" s="40" t="inlineStr">
        <is>
          <t>INIT</t>
        </is>
      </c>
      <c r="F1590" s="40" t="inlineStr">
        <is>
          <t>PRX_TARIF</t>
        </is>
      </c>
      <c r="G1590" s="39" t="inlineStr">
        <is>
          <t>Tarif moyen scolarité</t>
        </is>
      </c>
      <c r="H1590" s="40" t="inlineStr">
        <is>
          <t>TECHNIQUE</t>
        </is>
      </c>
      <c r="I1590" s="41" t="inlineStr">
        <is>
          <t>2024ACT_VDEF</t>
        </is>
      </c>
      <c r="J1590" s="41" t="n">
        <v>2024</v>
      </c>
      <c r="K1590" s="41" t="inlineStr">
        <is>
          <t>EUR</t>
        </is>
      </c>
      <c r="L1590" s="42" t="n">
        <v>8500</v>
      </c>
    </row>
    <row r="1591">
      <c r="B1591" s="39" t="inlineStr">
        <is>
          <t>ISCOM_TLS</t>
        </is>
      </c>
      <c r="C1591" s="40" t="inlineStr">
        <is>
          <t>BAC_COM</t>
        </is>
      </c>
      <c r="D1591" s="40" t="inlineStr">
        <is>
          <t>B1</t>
        </is>
      </c>
      <c r="E1591" s="40" t="inlineStr">
        <is>
          <t>INIT</t>
        </is>
      </c>
      <c r="F1591" s="40" t="inlineStr">
        <is>
          <t>PRX_TARIF</t>
        </is>
      </c>
      <c r="G1591" s="39" t="inlineStr">
        <is>
          <t>Tarif moyen scolarité</t>
        </is>
      </c>
      <c r="H1591" s="40" t="inlineStr">
        <is>
          <t>TECHNIQUE</t>
        </is>
      </c>
      <c r="I1591" s="41" t="inlineStr">
        <is>
          <t>2025FCST_V4</t>
        </is>
      </c>
      <c r="J1591" s="41" t="n">
        <v>2025</v>
      </c>
      <c r="K1591" s="41" t="inlineStr">
        <is>
          <t>EUR</t>
        </is>
      </c>
      <c r="L1591" s="42" t="n">
        <v>8500</v>
      </c>
    </row>
    <row r="1592">
      <c r="B1592" s="39" t="inlineStr">
        <is>
          <t>ISCOM_TLS</t>
        </is>
      </c>
      <c r="C1592" s="40" t="inlineStr">
        <is>
          <t>BAC_COM</t>
        </is>
      </c>
      <c r="D1592" s="40" t="inlineStr">
        <is>
          <t>B1</t>
        </is>
      </c>
      <c r="E1592" s="40" t="inlineStr">
        <is>
          <t>INIT</t>
        </is>
      </c>
      <c r="F1592" s="40" t="inlineStr">
        <is>
          <t>CAC_LEAD</t>
        </is>
      </c>
      <c r="G1592" s="39" t="inlineStr">
        <is>
          <t>Coût d'acquisition par lead</t>
        </is>
      </c>
      <c r="H1592" s="40" t="inlineStr">
        <is>
          <t>TECHNIQUE</t>
        </is>
      </c>
      <c r="I1592" s="41" t="inlineStr">
        <is>
          <t>2023ACT_VDEF</t>
        </is>
      </c>
      <c r="J1592" s="41" t="n">
        <v>2023</v>
      </c>
      <c r="K1592" s="41" t="inlineStr">
        <is>
          <t>EUR</t>
        </is>
      </c>
      <c r="L1592" s="42" t="n">
        <v>320</v>
      </c>
    </row>
    <row r="1593">
      <c r="B1593" s="39" t="inlineStr">
        <is>
          <t>ISCOM_TLS</t>
        </is>
      </c>
      <c r="C1593" s="40" t="inlineStr">
        <is>
          <t>BAC_COM</t>
        </is>
      </c>
      <c r="D1593" s="40" t="inlineStr">
        <is>
          <t>B1</t>
        </is>
      </c>
      <c r="E1593" s="40" t="inlineStr">
        <is>
          <t>INIT</t>
        </is>
      </c>
      <c r="F1593" s="40" t="inlineStr">
        <is>
          <t>CAC_LEAD</t>
        </is>
      </c>
      <c r="G1593" s="39" t="inlineStr">
        <is>
          <t>Coût d'acquisition par lead</t>
        </is>
      </c>
      <c r="H1593" s="40" t="inlineStr">
        <is>
          <t>TECHNIQUE</t>
        </is>
      </c>
      <c r="I1593" s="41" t="inlineStr">
        <is>
          <t>2024ACT_VDEF</t>
        </is>
      </c>
      <c r="J1593" s="41" t="n">
        <v>2024</v>
      </c>
      <c r="K1593" s="41" t="inlineStr">
        <is>
          <t>EUR</t>
        </is>
      </c>
      <c r="L1593" s="42" t="n">
        <v>320</v>
      </c>
    </row>
    <row r="1594">
      <c r="B1594" s="39" t="inlineStr">
        <is>
          <t>ISCOM_TLS</t>
        </is>
      </c>
      <c r="C1594" s="40" t="inlineStr">
        <is>
          <t>BAC_COM</t>
        </is>
      </c>
      <c r="D1594" s="40" t="inlineStr">
        <is>
          <t>B1</t>
        </is>
      </c>
      <c r="E1594" s="40" t="inlineStr">
        <is>
          <t>INIT</t>
        </is>
      </c>
      <c r="F1594" s="40" t="inlineStr">
        <is>
          <t>CAC_LEAD</t>
        </is>
      </c>
      <c r="G1594" s="39" t="inlineStr">
        <is>
          <t>Coût d'acquisition par lead</t>
        </is>
      </c>
      <c r="H1594" s="40" t="inlineStr">
        <is>
          <t>TECHNIQUE</t>
        </is>
      </c>
      <c r="I1594" s="41" t="inlineStr">
        <is>
          <t>2025FCST_V4</t>
        </is>
      </c>
      <c r="J1594" s="41" t="n">
        <v>2025</v>
      </c>
      <c r="K1594" s="41" t="inlineStr">
        <is>
          <t>EUR</t>
        </is>
      </c>
      <c r="L1594" s="42" t="n">
        <v>320</v>
      </c>
    </row>
    <row r="1595">
      <c r="B1595" s="39" t="inlineStr">
        <is>
          <t>ISCOM_TLS</t>
        </is>
      </c>
      <c r="C1595" s="40" t="inlineStr">
        <is>
          <t>BAC_COM</t>
        </is>
      </c>
      <c r="D1595" s="40" t="inlineStr">
        <is>
          <t>B2</t>
        </is>
      </c>
      <c r="E1595" s="40" t="inlineStr">
        <is>
          <t>ALT</t>
        </is>
      </c>
      <c r="F1595" s="40" t="inlineStr">
        <is>
          <t>706100</t>
        </is>
      </c>
      <c r="G1595" s="39" t="inlineStr">
        <is>
          <t>Droits de scolarité</t>
        </is>
      </c>
      <c r="H1595" s="40" t="inlineStr">
        <is>
          <t>COMPTABLE</t>
        </is>
      </c>
      <c r="I1595" s="41" t="inlineStr">
        <is>
          <t>2023ACT_VDEF</t>
        </is>
      </c>
      <c r="J1595" s="41" t="n">
        <v>2023</v>
      </c>
      <c r="K1595" s="41" t="inlineStr">
        <is>
          <t>EUR</t>
        </is>
      </c>
      <c r="L1595" s="42" t="n">
        <v>288000</v>
      </c>
    </row>
    <row r="1596">
      <c r="B1596" s="39" t="inlineStr">
        <is>
          <t>ISCOM_TLS</t>
        </is>
      </c>
      <c r="C1596" s="40" t="inlineStr">
        <is>
          <t>BAC_COM</t>
        </is>
      </c>
      <c r="D1596" s="40" t="inlineStr">
        <is>
          <t>B2</t>
        </is>
      </c>
      <c r="E1596" s="40" t="inlineStr">
        <is>
          <t>ALT</t>
        </is>
      </c>
      <c r="F1596" s="40" t="inlineStr">
        <is>
          <t>706100</t>
        </is>
      </c>
      <c r="G1596" s="39" t="inlineStr">
        <is>
          <t>Droits de scolarité</t>
        </is>
      </c>
      <c r="H1596" s="40" t="inlineStr">
        <is>
          <t>COMPTABLE</t>
        </is>
      </c>
      <c r="I1596" s="41" t="inlineStr">
        <is>
          <t>2024ACT_VDEF</t>
        </is>
      </c>
      <c r="J1596" s="41" t="n">
        <v>2024</v>
      </c>
      <c r="K1596" s="41" t="inlineStr">
        <is>
          <t>EUR</t>
        </is>
      </c>
      <c r="L1596" s="42" t="n">
        <v>304000</v>
      </c>
    </row>
    <row r="1597">
      <c r="B1597" s="39" t="inlineStr">
        <is>
          <t>ISCOM_TLS</t>
        </is>
      </c>
      <c r="C1597" s="40" t="inlineStr">
        <is>
          <t>BAC_COM</t>
        </is>
      </c>
      <c r="D1597" s="40" t="inlineStr">
        <is>
          <t>B2</t>
        </is>
      </c>
      <c r="E1597" s="40" t="inlineStr">
        <is>
          <t>ALT</t>
        </is>
      </c>
      <c r="F1597" s="40" t="inlineStr">
        <is>
          <t>706100</t>
        </is>
      </c>
      <c r="G1597" s="39" t="inlineStr">
        <is>
          <t>Droits de scolarité</t>
        </is>
      </c>
      <c r="H1597" s="40" t="inlineStr">
        <is>
          <t>COMPTABLE</t>
        </is>
      </c>
      <c r="I1597" s="41" t="inlineStr">
        <is>
          <t>2025FCST_V4</t>
        </is>
      </c>
      <c r="J1597" s="41" t="n">
        <v>2025</v>
      </c>
      <c r="K1597" s="41" t="inlineStr">
        <is>
          <t>EUR</t>
        </is>
      </c>
      <c r="L1597" s="42" t="n">
        <v>320000</v>
      </c>
    </row>
    <row r="1598">
      <c r="B1598" s="39" t="inlineStr">
        <is>
          <t>ISCOM_TLS</t>
        </is>
      </c>
      <c r="C1598" s="40" t="inlineStr">
        <is>
          <t>BAC_COM</t>
        </is>
      </c>
      <c r="D1598" s="40" t="inlineStr">
        <is>
          <t>B2</t>
        </is>
      </c>
      <c r="E1598" s="40" t="inlineStr">
        <is>
          <t>ALT</t>
        </is>
      </c>
      <c r="F1598" s="40" t="inlineStr">
        <is>
          <t>604100</t>
        </is>
      </c>
      <c r="G1598" s="39" t="inlineStr">
        <is>
          <t>Vacations &amp; sous-traitance pédagogique</t>
        </is>
      </c>
      <c r="H1598" s="40" t="inlineStr">
        <is>
          <t>COMPTABLE</t>
        </is>
      </c>
      <c r="I1598" s="41" t="inlineStr">
        <is>
          <t>2023ACT_VDEF</t>
        </is>
      </c>
      <c r="J1598" s="41" t="n">
        <v>2023</v>
      </c>
      <c r="K1598" s="41" t="inlineStr">
        <is>
          <t>EUR</t>
        </is>
      </c>
      <c r="L1598" s="42" t="n">
        <v>62496</v>
      </c>
    </row>
    <row r="1599">
      <c r="B1599" s="39" t="inlineStr">
        <is>
          <t>ISCOM_TLS</t>
        </is>
      </c>
      <c r="C1599" s="40" t="inlineStr">
        <is>
          <t>BAC_COM</t>
        </is>
      </c>
      <c r="D1599" s="40" t="inlineStr">
        <is>
          <t>B2</t>
        </is>
      </c>
      <c r="E1599" s="40" t="inlineStr">
        <is>
          <t>ALT</t>
        </is>
      </c>
      <c r="F1599" s="40" t="inlineStr">
        <is>
          <t>604100</t>
        </is>
      </c>
      <c r="G1599" s="39" t="inlineStr">
        <is>
          <t>Vacations &amp; sous-traitance pédagogique</t>
        </is>
      </c>
      <c r="H1599" s="40" t="inlineStr">
        <is>
          <t>COMPTABLE</t>
        </is>
      </c>
      <c r="I1599" s="41" t="inlineStr">
        <is>
          <t>2024ACT_VDEF</t>
        </is>
      </c>
      <c r="J1599" s="41" t="n">
        <v>2024</v>
      </c>
      <c r="K1599" s="41" t="inlineStr">
        <is>
          <t>EUR</t>
        </is>
      </c>
      <c r="L1599" s="42" t="n">
        <v>65968</v>
      </c>
    </row>
    <row r="1600">
      <c r="B1600" s="39" t="inlineStr">
        <is>
          <t>ISCOM_TLS</t>
        </is>
      </c>
      <c r="C1600" s="40" t="inlineStr">
        <is>
          <t>BAC_COM</t>
        </is>
      </c>
      <c r="D1600" s="40" t="inlineStr">
        <is>
          <t>B2</t>
        </is>
      </c>
      <c r="E1600" s="40" t="inlineStr">
        <is>
          <t>ALT</t>
        </is>
      </c>
      <c r="F1600" s="40" t="inlineStr">
        <is>
          <t>604100</t>
        </is>
      </c>
      <c r="G1600" s="39" t="inlineStr">
        <is>
          <t>Vacations &amp; sous-traitance pédagogique</t>
        </is>
      </c>
      <c r="H1600" s="40" t="inlineStr">
        <is>
          <t>COMPTABLE</t>
        </is>
      </c>
      <c r="I1600" s="41" t="inlineStr">
        <is>
          <t>2025FCST_V4</t>
        </is>
      </c>
      <c r="J1600" s="41" t="n">
        <v>2025</v>
      </c>
      <c r="K1600" s="41" t="inlineStr">
        <is>
          <t>EUR</t>
        </is>
      </c>
      <c r="L1600" s="42" t="n">
        <v>69440</v>
      </c>
    </row>
    <row r="1601">
      <c r="B1601" s="39" t="inlineStr">
        <is>
          <t>ISCOM_TLS</t>
        </is>
      </c>
      <c r="C1601" s="40" t="inlineStr">
        <is>
          <t>BAC_COM</t>
        </is>
      </c>
      <c r="D1601" s="40" t="inlineStr">
        <is>
          <t>B2</t>
        </is>
      </c>
      <c r="E1601" s="40" t="inlineStr">
        <is>
          <t>ALT</t>
        </is>
      </c>
      <c r="F1601" s="40" t="inlineStr">
        <is>
          <t>606300</t>
        </is>
      </c>
      <c r="G1601" s="39" t="inlineStr">
        <is>
          <t>Fournitures &amp; ressources pédagogiques</t>
        </is>
      </c>
      <c r="H1601" s="40" t="inlineStr">
        <is>
          <t>COMPTABLE</t>
        </is>
      </c>
      <c r="I1601" s="41" t="inlineStr">
        <is>
          <t>2023ACT_VDEF</t>
        </is>
      </c>
      <c r="J1601" s="41" t="n">
        <v>2023</v>
      </c>
      <c r="K1601" s="41" t="inlineStr">
        <is>
          <t>EUR</t>
        </is>
      </c>
      <c r="L1601" s="42" t="n">
        <v>19800</v>
      </c>
    </row>
    <row r="1602">
      <c r="B1602" s="39" t="inlineStr">
        <is>
          <t>ISCOM_TLS</t>
        </is>
      </c>
      <c r="C1602" s="40" t="inlineStr">
        <is>
          <t>BAC_COM</t>
        </is>
      </c>
      <c r="D1602" s="40" t="inlineStr">
        <is>
          <t>B2</t>
        </is>
      </c>
      <c r="E1602" s="40" t="inlineStr">
        <is>
          <t>ALT</t>
        </is>
      </c>
      <c r="F1602" s="40" t="inlineStr">
        <is>
          <t>606300</t>
        </is>
      </c>
      <c r="G1602" s="39" t="inlineStr">
        <is>
          <t>Fournitures &amp; ressources pédagogiques</t>
        </is>
      </c>
      <c r="H1602" s="40" t="inlineStr">
        <is>
          <t>COMPTABLE</t>
        </is>
      </c>
      <c r="I1602" s="41" t="inlineStr">
        <is>
          <t>2024ACT_VDEF</t>
        </is>
      </c>
      <c r="J1602" s="41" t="n">
        <v>2024</v>
      </c>
      <c r="K1602" s="41" t="inlineStr">
        <is>
          <t>EUR</t>
        </is>
      </c>
      <c r="L1602" s="42" t="n">
        <v>20900</v>
      </c>
    </row>
    <row r="1603">
      <c r="B1603" s="39" t="inlineStr">
        <is>
          <t>ISCOM_TLS</t>
        </is>
      </c>
      <c r="C1603" s="40" t="inlineStr">
        <is>
          <t>BAC_COM</t>
        </is>
      </c>
      <c r="D1603" s="40" t="inlineStr">
        <is>
          <t>B2</t>
        </is>
      </c>
      <c r="E1603" s="40" t="inlineStr">
        <is>
          <t>ALT</t>
        </is>
      </c>
      <c r="F1603" s="40" t="inlineStr">
        <is>
          <t>606300</t>
        </is>
      </c>
      <c r="G1603" s="39" t="inlineStr">
        <is>
          <t>Fournitures &amp; ressources pédagogiques</t>
        </is>
      </c>
      <c r="H1603" s="40" t="inlineStr">
        <is>
          <t>COMPTABLE</t>
        </is>
      </c>
      <c r="I1603" s="41" t="inlineStr">
        <is>
          <t>2025FCST_V4</t>
        </is>
      </c>
      <c r="J1603" s="41" t="n">
        <v>2025</v>
      </c>
      <c r="K1603" s="41" t="inlineStr">
        <is>
          <t>EUR</t>
        </is>
      </c>
      <c r="L1603" s="42" t="n">
        <v>22000</v>
      </c>
    </row>
    <row r="1604">
      <c r="B1604" s="39" t="inlineStr">
        <is>
          <t>ISCOM_TLS</t>
        </is>
      </c>
      <c r="C1604" s="40" t="inlineStr">
        <is>
          <t>BAC_COM</t>
        </is>
      </c>
      <c r="D1604" s="40" t="inlineStr">
        <is>
          <t>B2</t>
        </is>
      </c>
      <c r="E1604" s="40" t="inlineStr">
        <is>
          <t>ALT</t>
        </is>
      </c>
      <c r="F1604" s="40" t="inlineStr">
        <is>
          <t>613200</t>
        </is>
      </c>
      <c r="G1604" s="39" t="inlineStr">
        <is>
          <t>Locations immobilières (loyers)</t>
        </is>
      </c>
      <c r="H1604" s="40" t="inlineStr">
        <is>
          <t>COMPTABLE</t>
        </is>
      </c>
      <c r="I1604" s="41" t="inlineStr">
        <is>
          <t>2023ACT_VDEF</t>
        </is>
      </c>
      <c r="J1604" s="41" t="n">
        <v>2023</v>
      </c>
      <c r="K1604" s="41" t="inlineStr">
        <is>
          <t>EUR</t>
        </is>
      </c>
      <c r="L1604" s="42" t="n">
        <v>32600</v>
      </c>
    </row>
    <row r="1605">
      <c r="B1605" s="39" t="inlineStr">
        <is>
          <t>ISCOM_TLS</t>
        </is>
      </c>
      <c r="C1605" s="40" t="inlineStr">
        <is>
          <t>BAC_COM</t>
        </is>
      </c>
      <c r="D1605" s="40" t="inlineStr">
        <is>
          <t>B2</t>
        </is>
      </c>
      <c r="E1605" s="40" t="inlineStr">
        <is>
          <t>ALT</t>
        </is>
      </c>
      <c r="F1605" s="40" t="inlineStr">
        <is>
          <t>613200</t>
        </is>
      </c>
      <c r="G1605" s="39" t="inlineStr">
        <is>
          <t>Locations immobilières (loyers)</t>
        </is>
      </c>
      <c r="H1605" s="40" t="inlineStr">
        <is>
          <t>COMPTABLE</t>
        </is>
      </c>
      <c r="I1605" s="41" t="inlineStr">
        <is>
          <t>2024ACT_VDEF</t>
        </is>
      </c>
      <c r="J1605" s="41" t="n">
        <v>2024</v>
      </c>
      <c r="K1605" s="41" t="inlineStr">
        <is>
          <t>EUR</t>
        </is>
      </c>
      <c r="L1605" s="42" t="n">
        <v>34411</v>
      </c>
    </row>
    <row r="1606">
      <c r="B1606" s="39" t="inlineStr">
        <is>
          <t>ISCOM_TLS</t>
        </is>
      </c>
      <c r="C1606" s="40" t="inlineStr">
        <is>
          <t>BAC_COM</t>
        </is>
      </c>
      <c r="D1606" s="40" t="inlineStr">
        <is>
          <t>B2</t>
        </is>
      </c>
      <c r="E1606" s="40" t="inlineStr">
        <is>
          <t>ALT</t>
        </is>
      </c>
      <c r="F1606" s="40" t="inlineStr">
        <is>
          <t>613200</t>
        </is>
      </c>
      <c r="G1606" s="39" t="inlineStr">
        <is>
          <t>Locations immobilières (loyers)</t>
        </is>
      </c>
      <c r="H1606" s="40" t="inlineStr">
        <is>
          <t>COMPTABLE</t>
        </is>
      </c>
      <c r="I1606" s="41" t="inlineStr">
        <is>
          <t>2025FCST_V4</t>
        </is>
      </c>
      <c r="J1606" s="41" t="n">
        <v>2025</v>
      </c>
      <c r="K1606" s="41" t="inlineStr">
        <is>
          <t>EUR</t>
        </is>
      </c>
      <c r="L1606" s="42" t="n">
        <v>36222</v>
      </c>
    </row>
    <row r="1607">
      <c r="B1607" s="39" t="inlineStr">
        <is>
          <t>ISCOM_TLS</t>
        </is>
      </c>
      <c r="C1607" s="40" t="inlineStr">
        <is>
          <t>BAC_COM</t>
        </is>
      </c>
      <c r="D1607" s="40" t="inlineStr">
        <is>
          <t>B2</t>
        </is>
      </c>
      <c r="E1607" s="40" t="inlineStr">
        <is>
          <t>ALT</t>
        </is>
      </c>
      <c r="F1607" s="40" t="inlineStr">
        <is>
          <t>641100</t>
        </is>
      </c>
      <c r="G1607" s="39" t="inlineStr">
        <is>
          <t>Rémunérations du personnel permanent</t>
        </is>
      </c>
      <c r="H1607" s="40" t="inlineStr">
        <is>
          <t>COMPTABLE</t>
        </is>
      </c>
      <c r="I1607" s="41" t="inlineStr">
        <is>
          <t>2023ACT_VDEF</t>
        </is>
      </c>
      <c r="J1607" s="41" t="n">
        <v>2023</v>
      </c>
      <c r="K1607" s="41" t="inlineStr">
        <is>
          <t>EUR</t>
        </is>
      </c>
      <c r="L1607" s="42" t="n">
        <v>81200</v>
      </c>
    </row>
    <row r="1608">
      <c r="B1608" s="39" t="inlineStr">
        <is>
          <t>ISCOM_TLS</t>
        </is>
      </c>
      <c r="C1608" s="40" t="inlineStr">
        <is>
          <t>BAC_COM</t>
        </is>
      </c>
      <c r="D1608" s="40" t="inlineStr">
        <is>
          <t>B2</t>
        </is>
      </c>
      <c r="E1608" s="40" t="inlineStr">
        <is>
          <t>ALT</t>
        </is>
      </c>
      <c r="F1608" s="40" t="inlineStr">
        <is>
          <t>641100</t>
        </is>
      </c>
      <c r="G1608" s="39" t="inlineStr">
        <is>
          <t>Rémunérations du personnel permanent</t>
        </is>
      </c>
      <c r="H1608" s="40" t="inlineStr">
        <is>
          <t>COMPTABLE</t>
        </is>
      </c>
      <c r="I1608" s="41" t="inlineStr">
        <is>
          <t>2024ACT_VDEF</t>
        </is>
      </c>
      <c r="J1608" s="41" t="n">
        <v>2024</v>
      </c>
      <c r="K1608" s="41" t="inlineStr">
        <is>
          <t>EUR</t>
        </is>
      </c>
      <c r="L1608" s="42" t="n">
        <v>85711</v>
      </c>
    </row>
    <row r="1609">
      <c r="B1609" s="39" t="inlineStr">
        <is>
          <t>ISCOM_TLS</t>
        </is>
      </c>
      <c r="C1609" s="40" t="inlineStr">
        <is>
          <t>BAC_COM</t>
        </is>
      </c>
      <c r="D1609" s="40" t="inlineStr">
        <is>
          <t>B2</t>
        </is>
      </c>
      <c r="E1609" s="40" t="inlineStr">
        <is>
          <t>ALT</t>
        </is>
      </c>
      <c r="F1609" s="40" t="inlineStr">
        <is>
          <t>641100</t>
        </is>
      </c>
      <c r="G1609" s="39" t="inlineStr">
        <is>
          <t>Rémunérations du personnel permanent</t>
        </is>
      </c>
      <c r="H1609" s="40" t="inlineStr">
        <is>
          <t>COMPTABLE</t>
        </is>
      </c>
      <c r="I1609" s="41" t="inlineStr">
        <is>
          <t>2025FCST_V4</t>
        </is>
      </c>
      <c r="J1609" s="41" t="n">
        <v>2025</v>
      </c>
      <c r="K1609" s="41" t="inlineStr">
        <is>
          <t>EUR</t>
        </is>
      </c>
      <c r="L1609" s="42" t="n">
        <v>90222</v>
      </c>
    </row>
    <row r="1610">
      <c r="B1610" s="39" t="inlineStr">
        <is>
          <t>ISCOM_TLS</t>
        </is>
      </c>
      <c r="C1610" s="40" t="inlineStr">
        <is>
          <t>BAC_COM</t>
        </is>
      </c>
      <c r="D1610" s="40" t="inlineStr">
        <is>
          <t>B2</t>
        </is>
      </c>
      <c r="E1610" s="40" t="inlineStr">
        <is>
          <t>ALT</t>
        </is>
      </c>
      <c r="F1610" s="40" t="inlineStr">
        <is>
          <t>622600</t>
        </is>
      </c>
      <c r="G1610" s="39" t="inlineStr">
        <is>
          <t>Honoraires &amp; frais de siège (structure groupe)</t>
        </is>
      </c>
      <c r="H1610" s="40" t="inlineStr">
        <is>
          <t>COMPTABLE</t>
        </is>
      </c>
      <c r="I1610" s="41" t="inlineStr">
        <is>
          <t>2023ACT_VDEF</t>
        </is>
      </c>
      <c r="J1610" s="41" t="n">
        <v>2023</v>
      </c>
      <c r="K1610" s="41" t="inlineStr">
        <is>
          <t>EUR</t>
        </is>
      </c>
      <c r="L1610" s="42" t="n">
        <v>29687</v>
      </c>
    </row>
    <row r="1611">
      <c r="B1611" s="39" t="inlineStr">
        <is>
          <t>ISCOM_TLS</t>
        </is>
      </c>
      <c r="C1611" s="40" t="inlineStr">
        <is>
          <t>BAC_COM</t>
        </is>
      </c>
      <c r="D1611" s="40" t="inlineStr">
        <is>
          <t>B2</t>
        </is>
      </c>
      <c r="E1611" s="40" t="inlineStr">
        <is>
          <t>ALT</t>
        </is>
      </c>
      <c r="F1611" s="40" t="inlineStr">
        <is>
          <t>622600</t>
        </is>
      </c>
      <c r="G1611" s="39" t="inlineStr">
        <is>
          <t>Honoraires &amp; frais de siège (structure groupe)</t>
        </is>
      </c>
      <c r="H1611" s="40" t="inlineStr">
        <is>
          <t>COMPTABLE</t>
        </is>
      </c>
      <c r="I1611" s="41" t="inlineStr">
        <is>
          <t>2024ACT_VDEF</t>
        </is>
      </c>
      <c r="J1611" s="41" t="n">
        <v>2024</v>
      </c>
      <c r="K1611" s="41" t="inlineStr">
        <is>
          <t>EUR</t>
        </is>
      </c>
      <c r="L1611" s="42" t="n">
        <v>31337</v>
      </c>
    </row>
    <row r="1612">
      <c r="B1612" s="39" t="inlineStr">
        <is>
          <t>ISCOM_TLS</t>
        </is>
      </c>
      <c r="C1612" s="40" t="inlineStr">
        <is>
          <t>BAC_COM</t>
        </is>
      </c>
      <c r="D1612" s="40" t="inlineStr">
        <is>
          <t>B2</t>
        </is>
      </c>
      <c r="E1612" s="40" t="inlineStr">
        <is>
          <t>ALT</t>
        </is>
      </c>
      <c r="F1612" s="40" t="inlineStr">
        <is>
          <t>622600</t>
        </is>
      </c>
      <c r="G1612" s="39" t="inlineStr">
        <is>
          <t>Honoraires &amp; frais de siège (structure groupe)</t>
        </is>
      </c>
      <c r="H1612" s="40" t="inlineStr">
        <is>
          <t>COMPTABLE</t>
        </is>
      </c>
      <c r="I1612" s="41" t="inlineStr">
        <is>
          <t>2025FCST_V4</t>
        </is>
      </c>
      <c r="J1612" s="41" t="n">
        <v>2025</v>
      </c>
      <c r="K1612" s="41" t="inlineStr">
        <is>
          <t>EUR</t>
        </is>
      </c>
      <c r="L1612" s="42" t="n">
        <v>32986</v>
      </c>
    </row>
    <row r="1613">
      <c r="B1613" s="39" t="inlineStr">
        <is>
          <t>ISCOM_TLS</t>
        </is>
      </c>
      <c r="C1613" s="40" t="inlineStr">
        <is>
          <t>BAC_COM</t>
        </is>
      </c>
      <c r="D1613" s="40" t="inlineStr">
        <is>
          <t>B2</t>
        </is>
      </c>
      <c r="E1613" s="40" t="inlineStr">
        <is>
          <t>ALT</t>
        </is>
      </c>
      <c r="F1613" s="40" t="inlineStr">
        <is>
          <t>606800</t>
        </is>
      </c>
      <c r="G1613" s="39" t="inlineStr">
        <is>
          <t>Autres achats &amp; charges externes</t>
        </is>
      </c>
      <c r="H1613" s="40" t="inlineStr">
        <is>
          <t>COMPTABLE</t>
        </is>
      </c>
      <c r="I1613" s="41" t="inlineStr">
        <is>
          <t>2023ACT_VDEF</t>
        </is>
      </c>
      <c r="J1613" s="41" t="n">
        <v>2023</v>
      </c>
      <c r="K1613" s="41" t="inlineStr">
        <is>
          <t>EUR</t>
        </is>
      </c>
      <c r="L1613" s="42" t="n">
        <v>33624</v>
      </c>
    </row>
    <row r="1614">
      <c r="B1614" s="39" t="inlineStr">
        <is>
          <t>ISCOM_TLS</t>
        </is>
      </c>
      <c r="C1614" s="40" t="inlineStr">
        <is>
          <t>BAC_COM</t>
        </is>
      </c>
      <c r="D1614" s="40" t="inlineStr">
        <is>
          <t>B2</t>
        </is>
      </c>
      <c r="E1614" s="40" t="inlineStr">
        <is>
          <t>ALT</t>
        </is>
      </c>
      <c r="F1614" s="40" t="inlineStr">
        <is>
          <t>606800</t>
        </is>
      </c>
      <c r="G1614" s="39" t="inlineStr">
        <is>
          <t>Autres achats &amp; charges externes</t>
        </is>
      </c>
      <c r="H1614" s="40" t="inlineStr">
        <is>
          <t>COMPTABLE</t>
        </is>
      </c>
      <c r="I1614" s="41" t="inlineStr">
        <is>
          <t>2024ACT_VDEF</t>
        </is>
      </c>
      <c r="J1614" s="41" t="n">
        <v>2024</v>
      </c>
      <c r="K1614" s="41" t="inlineStr">
        <is>
          <t>EUR</t>
        </is>
      </c>
      <c r="L1614" s="42" t="n">
        <v>35492</v>
      </c>
    </row>
    <row r="1615">
      <c r="B1615" s="39" t="inlineStr">
        <is>
          <t>ISCOM_TLS</t>
        </is>
      </c>
      <c r="C1615" s="40" t="inlineStr">
        <is>
          <t>BAC_COM</t>
        </is>
      </c>
      <c r="D1615" s="40" t="inlineStr">
        <is>
          <t>B2</t>
        </is>
      </c>
      <c r="E1615" s="40" t="inlineStr">
        <is>
          <t>ALT</t>
        </is>
      </c>
      <c r="F1615" s="40" t="inlineStr">
        <is>
          <t>606800</t>
        </is>
      </c>
      <c r="G1615" s="39" t="inlineStr">
        <is>
          <t>Autres achats &amp; charges externes</t>
        </is>
      </c>
      <c r="H1615" s="40" t="inlineStr">
        <is>
          <t>COMPTABLE</t>
        </is>
      </c>
      <c r="I1615" s="41" t="inlineStr">
        <is>
          <t>2025FCST_V4</t>
        </is>
      </c>
      <c r="J1615" s="41" t="n">
        <v>2025</v>
      </c>
      <c r="K1615" s="41" t="inlineStr">
        <is>
          <t>EUR</t>
        </is>
      </c>
      <c r="L1615" s="42" t="n">
        <v>37360</v>
      </c>
    </row>
    <row r="1616">
      <c r="B1616" s="39" t="inlineStr">
        <is>
          <t>ISCOM_TLS</t>
        </is>
      </c>
      <c r="C1616" s="40" t="inlineStr">
        <is>
          <t>BAC_COM</t>
        </is>
      </c>
      <c r="D1616" s="40" t="inlineStr">
        <is>
          <t>B2</t>
        </is>
      </c>
      <c r="E1616" s="40" t="inlineStr">
        <is>
          <t>ALT</t>
        </is>
      </c>
      <c r="F1616" s="40" t="inlineStr">
        <is>
          <t>681100</t>
        </is>
      </c>
      <c r="G1616" s="39" t="inlineStr">
        <is>
          <t>Dotations aux amortissements</t>
        </is>
      </c>
      <c r="H1616" s="40" t="inlineStr">
        <is>
          <t>COMPTABLE</t>
        </is>
      </c>
      <c r="I1616" s="41" t="inlineStr">
        <is>
          <t>2023ACT_VDEF</t>
        </is>
      </c>
      <c r="J1616" s="41" t="n">
        <v>2023</v>
      </c>
      <c r="K1616" s="41" t="inlineStr">
        <is>
          <t>EUR</t>
        </is>
      </c>
      <c r="L1616" s="42" t="n">
        <v>17800</v>
      </c>
    </row>
    <row r="1617">
      <c r="B1617" s="39" t="inlineStr">
        <is>
          <t>ISCOM_TLS</t>
        </is>
      </c>
      <c r="C1617" s="40" t="inlineStr">
        <is>
          <t>BAC_COM</t>
        </is>
      </c>
      <c r="D1617" s="40" t="inlineStr">
        <is>
          <t>B2</t>
        </is>
      </c>
      <c r="E1617" s="40" t="inlineStr">
        <is>
          <t>ALT</t>
        </is>
      </c>
      <c r="F1617" s="40" t="inlineStr">
        <is>
          <t>681100</t>
        </is>
      </c>
      <c r="G1617" s="39" t="inlineStr">
        <is>
          <t>Dotations aux amortissements</t>
        </is>
      </c>
      <c r="H1617" s="40" t="inlineStr">
        <is>
          <t>COMPTABLE</t>
        </is>
      </c>
      <c r="I1617" s="41" t="inlineStr">
        <is>
          <t>2024ACT_VDEF</t>
        </is>
      </c>
      <c r="J1617" s="41" t="n">
        <v>2024</v>
      </c>
      <c r="K1617" s="41" t="inlineStr">
        <is>
          <t>EUR</t>
        </is>
      </c>
      <c r="L1617" s="42" t="n">
        <v>18789</v>
      </c>
    </row>
    <row r="1618">
      <c r="B1618" s="39" t="inlineStr">
        <is>
          <t>ISCOM_TLS</t>
        </is>
      </c>
      <c r="C1618" s="40" t="inlineStr">
        <is>
          <t>BAC_COM</t>
        </is>
      </c>
      <c r="D1618" s="40" t="inlineStr">
        <is>
          <t>B2</t>
        </is>
      </c>
      <c r="E1618" s="40" t="inlineStr">
        <is>
          <t>ALT</t>
        </is>
      </c>
      <c r="F1618" s="40" t="inlineStr">
        <is>
          <t>681100</t>
        </is>
      </c>
      <c r="G1618" s="39" t="inlineStr">
        <is>
          <t>Dotations aux amortissements</t>
        </is>
      </c>
      <c r="H1618" s="40" t="inlineStr">
        <is>
          <t>COMPTABLE</t>
        </is>
      </c>
      <c r="I1618" s="41" t="inlineStr">
        <is>
          <t>2025FCST_V4</t>
        </is>
      </c>
      <c r="J1618" s="41" t="n">
        <v>2025</v>
      </c>
      <c r="K1618" s="41" t="inlineStr">
        <is>
          <t>EUR</t>
        </is>
      </c>
      <c r="L1618" s="42" t="n">
        <v>19778</v>
      </c>
    </row>
    <row r="1619">
      <c r="B1619" s="39" t="inlineStr">
        <is>
          <t>ISCOM_TLS</t>
        </is>
      </c>
      <c r="C1619" s="40" t="inlineStr">
        <is>
          <t>BAC_COM</t>
        </is>
      </c>
      <c r="D1619" s="40" t="inlineStr">
        <is>
          <t>B2</t>
        </is>
      </c>
      <c r="E1619" s="40" t="inlineStr">
        <is>
          <t>ALT</t>
        </is>
      </c>
      <c r="F1619" s="40" t="inlineStr">
        <is>
          <t>STA_EFF</t>
        </is>
      </c>
      <c r="G1619" s="39" t="inlineStr">
        <is>
          <t>Effectif inscrit</t>
        </is>
      </c>
      <c r="H1619" s="40" t="inlineStr">
        <is>
          <t>TECHNIQUE</t>
        </is>
      </c>
      <c r="I1619" s="41" t="inlineStr">
        <is>
          <t>2023ACT_VDEF</t>
        </is>
      </c>
      <c r="J1619" s="41" t="n">
        <v>2023</v>
      </c>
      <c r="K1619" s="41" t="inlineStr">
        <is>
          <t>NB</t>
        </is>
      </c>
      <c r="L1619" s="43" t="n">
        <v>36</v>
      </c>
    </row>
    <row r="1620">
      <c r="B1620" s="39" t="inlineStr">
        <is>
          <t>ISCOM_TLS</t>
        </is>
      </c>
      <c r="C1620" s="40" t="inlineStr">
        <is>
          <t>BAC_COM</t>
        </is>
      </c>
      <c r="D1620" s="40" t="inlineStr">
        <is>
          <t>B2</t>
        </is>
      </c>
      <c r="E1620" s="40" t="inlineStr">
        <is>
          <t>ALT</t>
        </is>
      </c>
      <c r="F1620" s="40" t="inlineStr">
        <is>
          <t>STA_EFF</t>
        </is>
      </c>
      <c r="G1620" s="39" t="inlineStr">
        <is>
          <t>Effectif inscrit</t>
        </is>
      </c>
      <c r="H1620" s="40" t="inlineStr">
        <is>
          <t>TECHNIQUE</t>
        </is>
      </c>
      <c r="I1620" s="41" t="inlineStr">
        <is>
          <t>2024ACT_VDEF</t>
        </is>
      </c>
      <c r="J1620" s="41" t="n">
        <v>2024</v>
      </c>
      <c r="K1620" s="41" t="inlineStr">
        <is>
          <t>NB</t>
        </is>
      </c>
      <c r="L1620" s="43" t="n">
        <v>38</v>
      </c>
    </row>
    <row r="1621">
      <c r="B1621" s="39" t="inlineStr">
        <is>
          <t>ISCOM_TLS</t>
        </is>
      </c>
      <c r="C1621" s="40" t="inlineStr">
        <is>
          <t>BAC_COM</t>
        </is>
      </c>
      <c r="D1621" s="40" t="inlineStr">
        <is>
          <t>B2</t>
        </is>
      </c>
      <c r="E1621" s="40" t="inlineStr">
        <is>
          <t>ALT</t>
        </is>
      </c>
      <c r="F1621" s="40" t="inlineStr">
        <is>
          <t>STA_EFF</t>
        </is>
      </c>
      <c r="G1621" s="39" t="inlineStr">
        <is>
          <t>Effectif inscrit</t>
        </is>
      </c>
      <c r="H1621" s="40" t="inlineStr">
        <is>
          <t>TECHNIQUE</t>
        </is>
      </c>
      <c r="I1621" s="41" t="inlineStr">
        <is>
          <t>2025FCST_V4</t>
        </is>
      </c>
      <c r="J1621" s="41" t="n">
        <v>2025</v>
      </c>
      <c r="K1621" s="41" t="inlineStr">
        <is>
          <t>NB</t>
        </is>
      </c>
      <c r="L1621" s="43" t="n">
        <v>40</v>
      </c>
    </row>
    <row r="1622">
      <c r="B1622" s="39" t="inlineStr">
        <is>
          <t>ISCOM_TLS</t>
        </is>
      </c>
      <c r="C1622" s="40" t="inlineStr">
        <is>
          <t>BAC_COM</t>
        </is>
      </c>
      <c r="D1622" s="40" t="inlineStr">
        <is>
          <t>B2</t>
        </is>
      </c>
      <c r="E1622" s="40" t="inlineStr">
        <is>
          <t>ALT</t>
        </is>
      </c>
      <c r="F1622" s="40" t="inlineStr">
        <is>
          <t>STA_REINS</t>
        </is>
      </c>
      <c r="G1622" s="39" t="inlineStr">
        <is>
          <t>Réinscrits</t>
        </is>
      </c>
      <c r="H1622" s="40" t="inlineStr">
        <is>
          <t>TECHNIQUE</t>
        </is>
      </c>
      <c r="I1622" s="41" t="inlineStr">
        <is>
          <t>2023ACT_VDEF</t>
        </is>
      </c>
      <c r="J1622" s="41" t="n">
        <v>2023</v>
      </c>
      <c r="K1622" s="41" t="inlineStr">
        <is>
          <t>NB</t>
        </is>
      </c>
      <c r="L1622" s="43" t="n">
        <v>36</v>
      </c>
    </row>
    <row r="1623">
      <c r="B1623" s="39" t="inlineStr">
        <is>
          <t>ISCOM_TLS</t>
        </is>
      </c>
      <c r="C1623" s="40" t="inlineStr">
        <is>
          <t>BAC_COM</t>
        </is>
      </c>
      <c r="D1623" s="40" t="inlineStr">
        <is>
          <t>B2</t>
        </is>
      </c>
      <c r="E1623" s="40" t="inlineStr">
        <is>
          <t>ALT</t>
        </is>
      </c>
      <c r="F1623" s="40" t="inlineStr">
        <is>
          <t>STA_REINS</t>
        </is>
      </c>
      <c r="G1623" s="39" t="inlineStr">
        <is>
          <t>Réinscrits</t>
        </is>
      </c>
      <c r="H1623" s="40" t="inlineStr">
        <is>
          <t>TECHNIQUE</t>
        </is>
      </c>
      <c r="I1623" s="41" t="inlineStr">
        <is>
          <t>2024ACT_VDEF</t>
        </is>
      </c>
      <c r="J1623" s="41" t="n">
        <v>2024</v>
      </c>
      <c r="K1623" s="41" t="inlineStr">
        <is>
          <t>NB</t>
        </is>
      </c>
      <c r="L1623" s="43" t="n">
        <v>38</v>
      </c>
    </row>
    <row r="1624">
      <c r="B1624" s="39" t="inlineStr">
        <is>
          <t>ISCOM_TLS</t>
        </is>
      </c>
      <c r="C1624" s="40" t="inlineStr">
        <is>
          <t>BAC_COM</t>
        </is>
      </c>
      <c r="D1624" s="40" t="inlineStr">
        <is>
          <t>B2</t>
        </is>
      </c>
      <c r="E1624" s="40" t="inlineStr">
        <is>
          <t>ALT</t>
        </is>
      </c>
      <c r="F1624" s="40" t="inlineStr">
        <is>
          <t>STA_REINS</t>
        </is>
      </c>
      <c r="G1624" s="39" t="inlineStr">
        <is>
          <t>Réinscrits</t>
        </is>
      </c>
      <c r="H1624" s="40" t="inlineStr">
        <is>
          <t>TECHNIQUE</t>
        </is>
      </c>
      <c r="I1624" s="41" t="inlineStr">
        <is>
          <t>2025FCST_V4</t>
        </is>
      </c>
      <c r="J1624" s="41" t="n">
        <v>2025</v>
      </c>
      <c r="K1624" s="41" t="inlineStr">
        <is>
          <t>NB</t>
        </is>
      </c>
      <c r="L1624" s="43" t="n">
        <v>40</v>
      </c>
    </row>
    <row r="1625">
      <c r="B1625" s="39" t="inlineStr">
        <is>
          <t>ISCOM_TLS</t>
        </is>
      </c>
      <c r="C1625" s="40" t="inlineStr">
        <is>
          <t>BAC_COM</t>
        </is>
      </c>
      <c r="D1625" s="40" t="inlineStr">
        <is>
          <t>B2</t>
        </is>
      </c>
      <c r="E1625" s="40" t="inlineStr">
        <is>
          <t>ALT</t>
        </is>
      </c>
      <c r="F1625" s="40" t="inlineStr">
        <is>
          <t>STA_CLASS</t>
        </is>
      </c>
      <c r="G1625" s="39" t="inlineStr">
        <is>
          <t>Nombre de classes</t>
        </is>
      </c>
      <c r="H1625" s="40" t="inlineStr">
        <is>
          <t>TECHNIQUE</t>
        </is>
      </c>
      <c r="I1625" s="41" t="inlineStr">
        <is>
          <t>2023ACT_VDEF</t>
        </is>
      </c>
      <c r="J1625" s="41" t="n">
        <v>2023</v>
      </c>
      <c r="K1625" s="41" t="inlineStr">
        <is>
          <t>NB</t>
        </is>
      </c>
      <c r="L1625" s="43" t="n">
        <v>2</v>
      </c>
    </row>
    <row r="1626">
      <c r="B1626" s="39" t="inlineStr">
        <is>
          <t>ISCOM_TLS</t>
        </is>
      </c>
      <c r="C1626" s="40" t="inlineStr">
        <is>
          <t>BAC_COM</t>
        </is>
      </c>
      <c r="D1626" s="40" t="inlineStr">
        <is>
          <t>B2</t>
        </is>
      </c>
      <c r="E1626" s="40" t="inlineStr">
        <is>
          <t>ALT</t>
        </is>
      </c>
      <c r="F1626" s="40" t="inlineStr">
        <is>
          <t>STA_CLASS</t>
        </is>
      </c>
      <c r="G1626" s="39" t="inlineStr">
        <is>
          <t>Nombre de classes</t>
        </is>
      </c>
      <c r="H1626" s="40" t="inlineStr">
        <is>
          <t>TECHNIQUE</t>
        </is>
      </c>
      <c r="I1626" s="41" t="inlineStr">
        <is>
          <t>2024ACT_VDEF</t>
        </is>
      </c>
      <c r="J1626" s="41" t="n">
        <v>2024</v>
      </c>
      <c r="K1626" s="41" t="inlineStr">
        <is>
          <t>NB</t>
        </is>
      </c>
      <c r="L1626" s="43" t="n">
        <v>2</v>
      </c>
    </row>
    <row r="1627">
      <c r="B1627" s="39" t="inlineStr">
        <is>
          <t>ISCOM_TLS</t>
        </is>
      </c>
      <c r="C1627" s="40" t="inlineStr">
        <is>
          <t>BAC_COM</t>
        </is>
      </c>
      <c r="D1627" s="40" t="inlineStr">
        <is>
          <t>B2</t>
        </is>
      </c>
      <c r="E1627" s="40" t="inlineStr">
        <is>
          <t>ALT</t>
        </is>
      </c>
      <c r="F1627" s="40" t="inlineStr">
        <is>
          <t>STA_CLASS</t>
        </is>
      </c>
      <c r="G1627" s="39" t="inlineStr">
        <is>
          <t>Nombre de classes</t>
        </is>
      </c>
      <c r="H1627" s="40" t="inlineStr">
        <is>
          <t>TECHNIQUE</t>
        </is>
      </c>
      <c r="I1627" s="41" t="inlineStr">
        <is>
          <t>2025FCST_V4</t>
        </is>
      </c>
      <c r="J1627" s="41" t="n">
        <v>2025</v>
      </c>
      <c r="K1627" s="41" t="inlineStr">
        <is>
          <t>NB</t>
        </is>
      </c>
      <c r="L1627" s="43" t="n">
        <v>2</v>
      </c>
    </row>
    <row r="1628">
      <c r="B1628" s="39" t="inlineStr">
        <is>
          <t>ISCOM_TLS</t>
        </is>
      </c>
      <c r="C1628" s="40" t="inlineStr">
        <is>
          <t>BAC_COM</t>
        </is>
      </c>
      <c r="D1628" s="40" t="inlineStr">
        <is>
          <t>B2</t>
        </is>
      </c>
      <c r="E1628" s="40" t="inlineStr">
        <is>
          <t>ALT</t>
        </is>
      </c>
      <c r="F1628" s="40" t="inlineStr">
        <is>
          <t>STA_HEURE</t>
        </is>
      </c>
      <c r="G1628" s="39" t="inlineStr">
        <is>
          <t>Heures d'enseignement</t>
        </is>
      </c>
      <c r="H1628" s="40" t="inlineStr">
        <is>
          <t>TECHNIQUE</t>
        </is>
      </c>
      <c r="I1628" s="41" t="inlineStr">
        <is>
          <t>2023ACT_VDEF</t>
        </is>
      </c>
      <c r="J1628" s="41" t="n">
        <v>2023</v>
      </c>
      <c r="K1628" s="41" t="inlineStr">
        <is>
          <t>NB</t>
        </is>
      </c>
      <c r="L1628" s="43" t="n">
        <v>1008</v>
      </c>
    </row>
    <row r="1629">
      <c r="B1629" s="39" t="inlineStr">
        <is>
          <t>ISCOM_TLS</t>
        </is>
      </c>
      <c r="C1629" s="40" t="inlineStr">
        <is>
          <t>BAC_COM</t>
        </is>
      </c>
      <c r="D1629" s="40" t="inlineStr">
        <is>
          <t>B2</t>
        </is>
      </c>
      <c r="E1629" s="40" t="inlineStr">
        <is>
          <t>ALT</t>
        </is>
      </c>
      <c r="F1629" s="40" t="inlineStr">
        <is>
          <t>STA_HEURE</t>
        </is>
      </c>
      <c r="G1629" s="39" t="inlineStr">
        <is>
          <t>Heures d'enseignement</t>
        </is>
      </c>
      <c r="H1629" s="40" t="inlineStr">
        <is>
          <t>TECHNIQUE</t>
        </is>
      </c>
      <c r="I1629" s="41" t="inlineStr">
        <is>
          <t>2024ACT_VDEF</t>
        </is>
      </c>
      <c r="J1629" s="41" t="n">
        <v>2024</v>
      </c>
      <c r="K1629" s="41" t="inlineStr">
        <is>
          <t>NB</t>
        </is>
      </c>
      <c r="L1629" s="43" t="n">
        <v>1064</v>
      </c>
    </row>
    <row r="1630">
      <c r="B1630" s="39" t="inlineStr">
        <is>
          <t>ISCOM_TLS</t>
        </is>
      </c>
      <c r="C1630" s="40" t="inlineStr">
        <is>
          <t>BAC_COM</t>
        </is>
      </c>
      <c r="D1630" s="40" t="inlineStr">
        <is>
          <t>B2</t>
        </is>
      </c>
      <c r="E1630" s="40" t="inlineStr">
        <is>
          <t>ALT</t>
        </is>
      </c>
      <c r="F1630" s="40" t="inlineStr">
        <is>
          <t>STA_HEURE</t>
        </is>
      </c>
      <c r="G1630" s="39" t="inlineStr">
        <is>
          <t>Heures d'enseignement</t>
        </is>
      </c>
      <c r="H1630" s="40" t="inlineStr">
        <is>
          <t>TECHNIQUE</t>
        </is>
      </c>
      <c r="I1630" s="41" t="inlineStr">
        <is>
          <t>2025FCST_V4</t>
        </is>
      </c>
      <c r="J1630" s="41" t="n">
        <v>2025</v>
      </c>
      <c r="K1630" s="41" t="inlineStr">
        <is>
          <t>NB</t>
        </is>
      </c>
      <c r="L1630" s="43" t="n">
        <v>1120</v>
      </c>
    </row>
    <row r="1631">
      <c r="B1631" s="39" t="inlineStr">
        <is>
          <t>ISCOM_TLS</t>
        </is>
      </c>
      <c r="C1631" s="40" t="inlineStr">
        <is>
          <t>BAC_COM</t>
        </is>
      </c>
      <c r="D1631" s="40" t="inlineStr">
        <is>
          <t>B2</t>
        </is>
      </c>
      <c r="E1631" s="40" t="inlineStr">
        <is>
          <t>ALT</t>
        </is>
      </c>
      <c r="F1631" s="40" t="inlineStr">
        <is>
          <t>STA_CAPA</t>
        </is>
      </c>
      <c r="G1631" s="39" t="inlineStr">
        <is>
          <t>Capacité par classe</t>
        </is>
      </c>
      <c r="H1631" s="40" t="inlineStr">
        <is>
          <t>TECHNIQUE</t>
        </is>
      </c>
      <c r="I1631" s="41" t="inlineStr">
        <is>
          <t>2023ACT_VDEF</t>
        </is>
      </c>
      <c r="J1631" s="41" t="n">
        <v>2023</v>
      </c>
      <c r="K1631" s="41" t="inlineStr">
        <is>
          <t>NB</t>
        </is>
      </c>
      <c r="L1631" s="43" t="n">
        <v>32</v>
      </c>
    </row>
    <row r="1632">
      <c r="B1632" s="39" t="inlineStr">
        <is>
          <t>ISCOM_TLS</t>
        </is>
      </c>
      <c r="C1632" s="40" t="inlineStr">
        <is>
          <t>BAC_COM</t>
        </is>
      </c>
      <c r="D1632" s="40" t="inlineStr">
        <is>
          <t>B2</t>
        </is>
      </c>
      <c r="E1632" s="40" t="inlineStr">
        <is>
          <t>ALT</t>
        </is>
      </c>
      <c r="F1632" s="40" t="inlineStr">
        <is>
          <t>STA_CAPA</t>
        </is>
      </c>
      <c r="G1632" s="39" t="inlineStr">
        <is>
          <t>Capacité par classe</t>
        </is>
      </c>
      <c r="H1632" s="40" t="inlineStr">
        <is>
          <t>TECHNIQUE</t>
        </is>
      </c>
      <c r="I1632" s="41" t="inlineStr">
        <is>
          <t>2024ACT_VDEF</t>
        </is>
      </c>
      <c r="J1632" s="41" t="n">
        <v>2024</v>
      </c>
      <c r="K1632" s="41" t="inlineStr">
        <is>
          <t>NB</t>
        </is>
      </c>
      <c r="L1632" s="43" t="n">
        <v>32</v>
      </c>
    </row>
    <row r="1633">
      <c r="B1633" s="39" t="inlineStr">
        <is>
          <t>ISCOM_TLS</t>
        </is>
      </c>
      <c r="C1633" s="40" t="inlineStr">
        <is>
          <t>BAC_COM</t>
        </is>
      </c>
      <c r="D1633" s="40" t="inlineStr">
        <is>
          <t>B2</t>
        </is>
      </c>
      <c r="E1633" s="40" t="inlineStr">
        <is>
          <t>ALT</t>
        </is>
      </c>
      <c r="F1633" s="40" t="inlineStr">
        <is>
          <t>STA_CAPA</t>
        </is>
      </c>
      <c r="G1633" s="39" t="inlineStr">
        <is>
          <t>Capacité par classe</t>
        </is>
      </c>
      <c r="H1633" s="40" t="inlineStr">
        <is>
          <t>TECHNIQUE</t>
        </is>
      </c>
      <c r="I1633" s="41" t="inlineStr">
        <is>
          <t>2025FCST_V4</t>
        </is>
      </c>
      <c r="J1633" s="41" t="n">
        <v>2025</v>
      </c>
      <c r="K1633" s="41" t="inlineStr">
        <is>
          <t>NB</t>
        </is>
      </c>
      <c r="L1633" s="43" t="n">
        <v>32</v>
      </c>
    </row>
    <row r="1634">
      <c r="B1634" s="39" t="inlineStr">
        <is>
          <t>ISCOM_TLS</t>
        </is>
      </c>
      <c r="C1634" s="40" t="inlineStr">
        <is>
          <t>BAC_COM</t>
        </is>
      </c>
      <c r="D1634" s="40" t="inlineStr">
        <is>
          <t>B2</t>
        </is>
      </c>
      <c r="E1634" s="40" t="inlineStr">
        <is>
          <t>ALT</t>
        </is>
      </c>
      <c r="F1634" s="40" t="inlineStr">
        <is>
          <t>DRV_PASS</t>
        </is>
      </c>
      <c r="G1634" s="39" t="inlineStr">
        <is>
          <t>Taux de passage (réinscription)</t>
        </is>
      </c>
      <c r="H1634" s="40" t="inlineStr">
        <is>
          <t>TECHNIQUE</t>
        </is>
      </c>
      <c r="I1634" s="41" t="inlineStr">
        <is>
          <t>2023ACT_VDEF</t>
        </is>
      </c>
      <c r="J1634" s="41" t="n">
        <v>2023</v>
      </c>
      <c r="K1634" s="41" t="inlineStr">
        <is>
          <t>PCT</t>
        </is>
      </c>
      <c r="L1634" s="44" t="n">
        <v>0.93</v>
      </c>
    </row>
    <row r="1635">
      <c r="B1635" s="39" t="inlineStr">
        <is>
          <t>ISCOM_TLS</t>
        </is>
      </c>
      <c r="C1635" s="40" t="inlineStr">
        <is>
          <t>BAC_COM</t>
        </is>
      </c>
      <c r="D1635" s="40" t="inlineStr">
        <is>
          <t>B2</t>
        </is>
      </c>
      <c r="E1635" s="40" t="inlineStr">
        <is>
          <t>ALT</t>
        </is>
      </c>
      <c r="F1635" s="40" t="inlineStr">
        <is>
          <t>DRV_PASS</t>
        </is>
      </c>
      <c r="G1635" s="39" t="inlineStr">
        <is>
          <t>Taux de passage (réinscription)</t>
        </is>
      </c>
      <c r="H1635" s="40" t="inlineStr">
        <is>
          <t>TECHNIQUE</t>
        </is>
      </c>
      <c r="I1635" s="41" t="inlineStr">
        <is>
          <t>2024ACT_VDEF</t>
        </is>
      </c>
      <c r="J1635" s="41" t="n">
        <v>2024</v>
      </c>
      <c r="K1635" s="41" t="inlineStr">
        <is>
          <t>PCT</t>
        </is>
      </c>
      <c r="L1635" s="44" t="n">
        <v>0.93</v>
      </c>
    </row>
    <row r="1636">
      <c r="B1636" s="39" t="inlineStr">
        <is>
          <t>ISCOM_TLS</t>
        </is>
      </c>
      <c r="C1636" s="40" t="inlineStr">
        <is>
          <t>BAC_COM</t>
        </is>
      </c>
      <c r="D1636" s="40" t="inlineStr">
        <is>
          <t>B2</t>
        </is>
      </c>
      <c r="E1636" s="40" t="inlineStr">
        <is>
          <t>ALT</t>
        </is>
      </c>
      <c r="F1636" s="40" t="inlineStr">
        <is>
          <t>DRV_PASS</t>
        </is>
      </c>
      <c r="G1636" s="39" t="inlineStr">
        <is>
          <t>Taux de passage (réinscription)</t>
        </is>
      </c>
      <c r="H1636" s="40" t="inlineStr">
        <is>
          <t>TECHNIQUE</t>
        </is>
      </c>
      <c r="I1636" s="41" t="inlineStr">
        <is>
          <t>2025FCST_V4</t>
        </is>
      </c>
      <c r="J1636" s="41" t="n">
        <v>2025</v>
      </c>
      <c r="K1636" s="41" t="inlineStr">
        <is>
          <t>PCT</t>
        </is>
      </c>
      <c r="L1636" s="44" t="n">
        <v>0.93</v>
      </c>
    </row>
    <row r="1637">
      <c r="B1637" s="39" t="inlineStr">
        <is>
          <t>ISCOM_TLS</t>
        </is>
      </c>
      <c r="C1637" s="40" t="inlineStr">
        <is>
          <t>BAC_COM</t>
        </is>
      </c>
      <c r="D1637" s="40" t="inlineStr">
        <is>
          <t>B2</t>
        </is>
      </c>
      <c r="E1637" s="40" t="inlineStr">
        <is>
          <t>ALT</t>
        </is>
      </c>
      <c r="F1637" s="40" t="inlineStr">
        <is>
          <t>PRX_TARIF</t>
        </is>
      </c>
      <c r="G1637" s="39" t="inlineStr">
        <is>
          <t>Tarif moyen scolarité</t>
        </is>
      </c>
      <c r="H1637" s="40" t="inlineStr">
        <is>
          <t>TECHNIQUE</t>
        </is>
      </c>
      <c r="I1637" s="41" t="inlineStr">
        <is>
          <t>2023ACT_VDEF</t>
        </is>
      </c>
      <c r="J1637" s="41" t="n">
        <v>2023</v>
      </c>
      <c r="K1637" s="41" t="inlineStr">
        <is>
          <t>EUR</t>
        </is>
      </c>
      <c r="L1637" s="42" t="n">
        <v>8000</v>
      </c>
    </row>
    <row r="1638">
      <c r="B1638" s="39" t="inlineStr">
        <is>
          <t>ISCOM_TLS</t>
        </is>
      </c>
      <c r="C1638" s="40" t="inlineStr">
        <is>
          <t>BAC_COM</t>
        </is>
      </c>
      <c r="D1638" s="40" t="inlineStr">
        <is>
          <t>B2</t>
        </is>
      </c>
      <c r="E1638" s="40" t="inlineStr">
        <is>
          <t>ALT</t>
        </is>
      </c>
      <c r="F1638" s="40" t="inlineStr">
        <is>
          <t>PRX_TARIF</t>
        </is>
      </c>
      <c r="G1638" s="39" t="inlineStr">
        <is>
          <t>Tarif moyen scolarité</t>
        </is>
      </c>
      <c r="H1638" s="40" t="inlineStr">
        <is>
          <t>TECHNIQUE</t>
        </is>
      </c>
      <c r="I1638" s="41" t="inlineStr">
        <is>
          <t>2024ACT_VDEF</t>
        </is>
      </c>
      <c r="J1638" s="41" t="n">
        <v>2024</v>
      </c>
      <c r="K1638" s="41" t="inlineStr">
        <is>
          <t>EUR</t>
        </is>
      </c>
      <c r="L1638" s="42" t="n">
        <v>8000</v>
      </c>
    </row>
    <row r="1639">
      <c r="B1639" s="39" t="inlineStr">
        <is>
          <t>ISCOM_TLS</t>
        </is>
      </c>
      <c r="C1639" s="40" t="inlineStr">
        <is>
          <t>BAC_COM</t>
        </is>
      </c>
      <c r="D1639" s="40" t="inlineStr">
        <is>
          <t>B2</t>
        </is>
      </c>
      <c r="E1639" s="40" t="inlineStr">
        <is>
          <t>ALT</t>
        </is>
      </c>
      <c r="F1639" s="40" t="inlineStr">
        <is>
          <t>PRX_TARIF</t>
        </is>
      </c>
      <c r="G1639" s="39" t="inlineStr">
        <is>
          <t>Tarif moyen scolarité</t>
        </is>
      </c>
      <c r="H1639" s="40" t="inlineStr">
        <is>
          <t>TECHNIQUE</t>
        </is>
      </c>
      <c r="I1639" s="41" t="inlineStr">
        <is>
          <t>2025FCST_V4</t>
        </is>
      </c>
      <c r="J1639" s="41" t="n">
        <v>2025</v>
      </c>
      <c r="K1639" s="41" t="inlineStr">
        <is>
          <t>EUR</t>
        </is>
      </c>
      <c r="L1639" s="42" t="n">
        <v>8000</v>
      </c>
    </row>
    <row r="1640">
      <c r="B1640" s="39" t="inlineStr">
        <is>
          <t>ISCOM_TLS</t>
        </is>
      </c>
      <c r="C1640" s="40" t="inlineStr">
        <is>
          <t>BAC_COM</t>
        </is>
      </c>
      <c r="D1640" s="40" t="inlineStr">
        <is>
          <t>B3</t>
        </is>
      </c>
      <c r="E1640" s="40" t="inlineStr">
        <is>
          <t>ALT</t>
        </is>
      </c>
      <c r="F1640" s="40" t="inlineStr">
        <is>
          <t>706100</t>
        </is>
      </c>
      <c r="G1640" s="39" t="inlineStr">
        <is>
          <t>Droits de scolarité</t>
        </is>
      </c>
      <c r="H1640" s="40" t="inlineStr">
        <is>
          <t>COMPTABLE</t>
        </is>
      </c>
      <c r="I1640" s="41" t="inlineStr">
        <is>
          <t>2023ACT_VDEF</t>
        </is>
      </c>
      <c r="J1640" s="41" t="n">
        <v>2023</v>
      </c>
      <c r="K1640" s="41" t="inlineStr">
        <is>
          <t>EUR</t>
        </is>
      </c>
      <c r="L1640" s="42" t="n">
        <v>252000</v>
      </c>
    </row>
    <row r="1641">
      <c r="B1641" s="39" t="inlineStr">
        <is>
          <t>ISCOM_TLS</t>
        </is>
      </c>
      <c r="C1641" s="40" t="inlineStr">
        <is>
          <t>BAC_COM</t>
        </is>
      </c>
      <c r="D1641" s="40" t="inlineStr">
        <is>
          <t>B3</t>
        </is>
      </c>
      <c r="E1641" s="40" t="inlineStr">
        <is>
          <t>ALT</t>
        </is>
      </c>
      <c r="F1641" s="40" t="inlineStr">
        <is>
          <t>706100</t>
        </is>
      </c>
      <c r="G1641" s="39" t="inlineStr">
        <is>
          <t>Droits de scolarité</t>
        </is>
      </c>
      <c r="H1641" s="40" t="inlineStr">
        <is>
          <t>COMPTABLE</t>
        </is>
      </c>
      <c r="I1641" s="41" t="inlineStr">
        <is>
          <t>2024ACT_VDEF</t>
        </is>
      </c>
      <c r="J1641" s="41" t="n">
        <v>2024</v>
      </c>
      <c r="K1641" s="41" t="inlineStr">
        <is>
          <t>EUR</t>
        </is>
      </c>
      <c r="L1641" s="42" t="n">
        <v>266000</v>
      </c>
    </row>
    <row r="1642">
      <c r="B1642" s="39" t="inlineStr">
        <is>
          <t>ISCOM_TLS</t>
        </is>
      </c>
      <c r="C1642" s="40" t="inlineStr">
        <is>
          <t>BAC_COM</t>
        </is>
      </c>
      <c r="D1642" s="40" t="inlineStr">
        <is>
          <t>B3</t>
        </is>
      </c>
      <c r="E1642" s="40" t="inlineStr">
        <is>
          <t>ALT</t>
        </is>
      </c>
      <c r="F1642" s="40" t="inlineStr">
        <is>
          <t>706100</t>
        </is>
      </c>
      <c r="G1642" s="39" t="inlineStr">
        <is>
          <t>Droits de scolarité</t>
        </is>
      </c>
      <c r="H1642" s="40" t="inlineStr">
        <is>
          <t>COMPTABLE</t>
        </is>
      </c>
      <c r="I1642" s="41" t="inlineStr">
        <is>
          <t>2025FCST_V4</t>
        </is>
      </c>
      <c r="J1642" s="41" t="n">
        <v>2025</v>
      </c>
      <c r="K1642" s="41" t="inlineStr">
        <is>
          <t>EUR</t>
        </is>
      </c>
      <c r="L1642" s="42" t="n">
        <v>280000</v>
      </c>
    </row>
    <row r="1643">
      <c r="B1643" s="39" t="inlineStr">
        <is>
          <t>ISCOM_TLS</t>
        </is>
      </c>
      <c r="C1643" s="40" t="inlineStr">
        <is>
          <t>BAC_COM</t>
        </is>
      </c>
      <c r="D1643" s="40" t="inlineStr">
        <is>
          <t>B3</t>
        </is>
      </c>
      <c r="E1643" s="40" t="inlineStr">
        <is>
          <t>ALT</t>
        </is>
      </c>
      <c r="F1643" s="40" t="inlineStr">
        <is>
          <t>604100</t>
        </is>
      </c>
      <c r="G1643" s="39" t="inlineStr">
        <is>
          <t>Vacations &amp; sous-traitance pédagogique</t>
        </is>
      </c>
      <c r="H1643" s="40" t="inlineStr">
        <is>
          <t>COMPTABLE</t>
        </is>
      </c>
      <c r="I1643" s="41" t="inlineStr">
        <is>
          <t>2023ACT_VDEF</t>
        </is>
      </c>
      <c r="J1643" s="41" t="n">
        <v>2023</v>
      </c>
      <c r="K1643" s="41" t="inlineStr">
        <is>
          <t>EUR</t>
        </is>
      </c>
      <c r="L1643" s="42" t="n">
        <v>58032</v>
      </c>
    </row>
    <row r="1644">
      <c r="B1644" s="39" t="inlineStr">
        <is>
          <t>ISCOM_TLS</t>
        </is>
      </c>
      <c r="C1644" s="40" t="inlineStr">
        <is>
          <t>BAC_COM</t>
        </is>
      </c>
      <c r="D1644" s="40" t="inlineStr">
        <is>
          <t>B3</t>
        </is>
      </c>
      <c r="E1644" s="40" t="inlineStr">
        <is>
          <t>ALT</t>
        </is>
      </c>
      <c r="F1644" s="40" t="inlineStr">
        <is>
          <t>604100</t>
        </is>
      </c>
      <c r="G1644" s="39" t="inlineStr">
        <is>
          <t>Vacations &amp; sous-traitance pédagogique</t>
        </is>
      </c>
      <c r="H1644" s="40" t="inlineStr">
        <is>
          <t>COMPTABLE</t>
        </is>
      </c>
      <c r="I1644" s="41" t="inlineStr">
        <is>
          <t>2024ACT_VDEF</t>
        </is>
      </c>
      <c r="J1644" s="41" t="n">
        <v>2024</v>
      </c>
      <c r="K1644" s="41" t="inlineStr">
        <is>
          <t>EUR</t>
        </is>
      </c>
      <c r="L1644" s="42" t="n">
        <v>61256</v>
      </c>
    </row>
    <row r="1645">
      <c r="B1645" s="39" t="inlineStr">
        <is>
          <t>ISCOM_TLS</t>
        </is>
      </c>
      <c r="C1645" s="40" t="inlineStr">
        <is>
          <t>BAC_COM</t>
        </is>
      </c>
      <c r="D1645" s="40" t="inlineStr">
        <is>
          <t>B3</t>
        </is>
      </c>
      <c r="E1645" s="40" t="inlineStr">
        <is>
          <t>ALT</t>
        </is>
      </c>
      <c r="F1645" s="40" t="inlineStr">
        <is>
          <t>604100</t>
        </is>
      </c>
      <c r="G1645" s="39" t="inlineStr">
        <is>
          <t>Vacations &amp; sous-traitance pédagogique</t>
        </is>
      </c>
      <c r="H1645" s="40" t="inlineStr">
        <is>
          <t>COMPTABLE</t>
        </is>
      </c>
      <c r="I1645" s="41" t="inlineStr">
        <is>
          <t>2025FCST_V4</t>
        </is>
      </c>
      <c r="J1645" s="41" t="n">
        <v>2025</v>
      </c>
      <c r="K1645" s="41" t="inlineStr">
        <is>
          <t>EUR</t>
        </is>
      </c>
      <c r="L1645" s="42" t="n">
        <v>64480</v>
      </c>
    </row>
    <row r="1646">
      <c r="B1646" s="39" t="inlineStr">
        <is>
          <t>ISCOM_TLS</t>
        </is>
      </c>
      <c r="C1646" s="40" t="inlineStr">
        <is>
          <t>BAC_COM</t>
        </is>
      </c>
      <c r="D1646" s="40" t="inlineStr">
        <is>
          <t>B3</t>
        </is>
      </c>
      <c r="E1646" s="40" t="inlineStr">
        <is>
          <t>ALT</t>
        </is>
      </c>
      <c r="F1646" s="40" t="inlineStr">
        <is>
          <t>606300</t>
        </is>
      </c>
      <c r="G1646" s="39" t="inlineStr">
        <is>
          <t>Fournitures &amp; ressources pédagogiques</t>
        </is>
      </c>
      <c r="H1646" s="40" t="inlineStr">
        <is>
          <t>COMPTABLE</t>
        </is>
      </c>
      <c r="I1646" s="41" t="inlineStr">
        <is>
          <t>2023ACT_VDEF</t>
        </is>
      </c>
      <c r="J1646" s="41" t="n">
        <v>2023</v>
      </c>
      <c r="K1646" s="41" t="inlineStr">
        <is>
          <t>EUR</t>
        </is>
      </c>
      <c r="L1646" s="42" t="n">
        <v>17325</v>
      </c>
    </row>
    <row r="1647">
      <c r="B1647" s="39" t="inlineStr">
        <is>
          <t>ISCOM_TLS</t>
        </is>
      </c>
      <c r="C1647" s="40" t="inlineStr">
        <is>
          <t>BAC_COM</t>
        </is>
      </c>
      <c r="D1647" s="40" t="inlineStr">
        <is>
          <t>B3</t>
        </is>
      </c>
      <c r="E1647" s="40" t="inlineStr">
        <is>
          <t>ALT</t>
        </is>
      </c>
      <c r="F1647" s="40" t="inlineStr">
        <is>
          <t>606300</t>
        </is>
      </c>
      <c r="G1647" s="39" t="inlineStr">
        <is>
          <t>Fournitures &amp; ressources pédagogiques</t>
        </is>
      </c>
      <c r="H1647" s="40" t="inlineStr">
        <is>
          <t>COMPTABLE</t>
        </is>
      </c>
      <c r="I1647" s="41" t="inlineStr">
        <is>
          <t>2024ACT_VDEF</t>
        </is>
      </c>
      <c r="J1647" s="41" t="n">
        <v>2024</v>
      </c>
      <c r="K1647" s="41" t="inlineStr">
        <is>
          <t>EUR</t>
        </is>
      </c>
      <c r="L1647" s="42" t="n">
        <v>18288</v>
      </c>
    </row>
    <row r="1648">
      <c r="B1648" s="39" t="inlineStr">
        <is>
          <t>ISCOM_TLS</t>
        </is>
      </c>
      <c r="C1648" s="40" t="inlineStr">
        <is>
          <t>BAC_COM</t>
        </is>
      </c>
      <c r="D1648" s="40" t="inlineStr">
        <is>
          <t>B3</t>
        </is>
      </c>
      <c r="E1648" s="40" t="inlineStr">
        <is>
          <t>ALT</t>
        </is>
      </c>
      <c r="F1648" s="40" t="inlineStr">
        <is>
          <t>606300</t>
        </is>
      </c>
      <c r="G1648" s="39" t="inlineStr">
        <is>
          <t>Fournitures &amp; ressources pédagogiques</t>
        </is>
      </c>
      <c r="H1648" s="40" t="inlineStr">
        <is>
          <t>COMPTABLE</t>
        </is>
      </c>
      <c r="I1648" s="41" t="inlineStr">
        <is>
          <t>2025FCST_V4</t>
        </is>
      </c>
      <c r="J1648" s="41" t="n">
        <v>2025</v>
      </c>
      <c r="K1648" s="41" t="inlineStr">
        <is>
          <t>EUR</t>
        </is>
      </c>
      <c r="L1648" s="42" t="n">
        <v>19250</v>
      </c>
    </row>
    <row r="1649">
      <c r="B1649" s="39" t="inlineStr">
        <is>
          <t>ISCOM_TLS</t>
        </is>
      </c>
      <c r="C1649" s="40" t="inlineStr">
        <is>
          <t>BAC_COM</t>
        </is>
      </c>
      <c r="D1649" s="40" t="inlineStr">
        <is>
          <t>B3</t>
        </is>
      </c>
      <c r="E1649" s="40" t="inlineStr">
        <is>
          <t>ALT</t>
        </is>
      </c>
      <c r="F1649" s="40" t="inlineStr">
        <is>
          <t>613200</t>
        </is>
      </c>
      <c r="G1649" s="39" t="inlineStr">
        <is>
          <t>Locations immobilières (loyers)</t>
        </is>
      </c>
      <c r="H1649" s="40" t="inlineStr">
        <is>
          <t>COMPTABLE</t>
        </is>
      </c>
      <c r="I1649" s="41" t="inlineStr">
        <is>
          <t>2023ACT_VDEF</t>
        </is>
      </c>
      <c r="J1649" s="41" t="n">
        <v>2023</v>
      </c>
      <c r="K1649" s="41" t="inlineStr">
        <is>
          <t>EUR</t>
        </is>
      </c>
      <c r="L1649" s="42" t="n">
        <v>32600</v>
      </c>
    </row>
    <row r="1650">
      <c r="B1650" s="39" t="inlineStr">
        <is>
          <t>ISCOM_TLS</t>
        </is>
      </c>
      <c r="C1650" s="40" t="inlineStr">
        <is>
          <t>BAC_COM</t>
        </is>
      </c>
      <c r="D1650" s="40" t="inlineStr">
        <is>
          <t>B3</t>
        </is>
      </c>
      <c r="E1650" s="40" t="inlineStr">
        <is>
          <t>ALT</t>
        </is>
      </c>
      <c r="F1650" s="40" t="inlineStr">
        <is>
          <t>613200</t>
        </is>
      </c>
      <c r="G1650" s="39" t="inlineStr">
        <is>
          <t>Locations immobilières (loyers)</t>
        </is>
      </c>
      <c r="H1650" s="40" t="inlineStr">
        <is>
          <t>COMPTABLE</t>
        </is>
      </c>
      <c r="I1650" s="41" t="inlineStr">
        <is>
          <t>2024ACT_VDEF</t>
        </is>
      </c>
      <c r="J1650" s="41" t="n">
        <v>2024</v>
      </c>
      <c r="K1650" s="41" t="inlineStr">
        <is>
          <t>EUR</t>
        </is>
      </c>
      <c r="L1650" s="42" t="n">
        <v>34411</v>
      </c>
    </row>
    <row r="1651">
      <c r="B1651" s="39" t="inlineStr">
        <is>
          <t>ISCOM_TLS</t>
        </is>
      </c>
      <c r="C1651" s="40" t="inlineStr">
        <is>
          <t>BAC_COM</t>
        </is>
      </c>
      <c r="D1651" s="40" t="inlineStr">
        <is>
          <t>B3</t>
        </is>
      </c>
      <c r="E1651" s="40" t="inlineStr">
        <is>
          <t>ALT</t>
        </is>
      </c>
      <c r="F1651" s="40" t="inlineStr">
        <is>
          <t>613200</t>
        </is>
      </c>
      <c r="G1651" s="39" t="inlineStr">
        <is>
          <t>Locations immobilières (loyers)</t>
        </is>
      </c>
      <c r="H1651" s="40" t="inlineStr">
        <is>
          <t>COMPTABLE</t>
        </is>
      </c>
      <c r="I1651" s="41" t="inlineStr">
        <is>
          <t>2025FCST_V4</t>
        </is>
      </c>
      <c r="J1651" s="41" t="n">
        <v>2025</v>
      </c>
      <c r="K1651" s="41" t="inlineStr">
        <is>
          <t>EUR</t>
        </is>
      </c>
      <c r="L1651" s="42" t="n">
        <v>36222</v>
      </c>
    </row>
    <row r="1652">
      <c r="B1652" s="39" t="inlineStr">
        <is>
          <t>ISCOM_TLS</t>
        </is>
      </c>
      <c r="C1652" s="40" t="inlineStr">
        <is>
          <t>BAC_COM</t>
        </is>
      </c>
      <c r="D1652" s="40" t="inlineStr">
        <is>
          <t>B3</t>
        </is>
      </c>
      <c r="E1652" s="40" t="inlineStr">
        <is>
          <t>ALT</t>
        </is>
      </c>
      <c r="F1652" s="40" t="inlineStr">
        <is>
          <t>641100</t>
        </is>
      </c>
      <c r="G1652" s="39" t="inlineStr">
        <is>
          <t>Rémunérations du personnel permanent</t>
        </is>
      </c>
      <c r="H1652" s="40" t="inlineStr">
        <is>
          <t>COMPTABLE</t>
        </is>
      </c>
      <c r="I1652" s="41" t="inlineStr">
        <is>
          <t>2023ACT_VDEF</t>
        </is>
      </c>
      <c r="J1652" s="41" t="n">
        <v>2023</v>
      </c>
      <c r="K1652" s="41" t="inlineStr">
        <is>
          <t>EUR</t>
        </is>
      </c>
      <c r="L1652" s="42" t="n">
        <v>81200</v>
      </c>
    </row>
    <row r="1653">
      <c r="B1653" s="39" t="inlineStr">
        <is>
          <t>ISCOM_TLS</t>
        </is>
      </c>
      <c r="C1653" s="40" t="inlineStr">
        <is>
          <t>BAC_COM</t>
        </is>
      </c>
      <c r="D1653" s="40" t="inlineStr">
        <is>
          <t>B3</t>
        </is>
      </c>
      <c r="E1653" s="40" t="inlineStr">
        <is>
          <t>ALT</t>
        </is>
      </c>
      <c r="F1653" s="40" t="inlineStr">
        <is>
          <t>641100</t>
        </is>
      </c>
      <c r="G1653" s="39" t="inlineStr">
        <is>
          <t>Rémunérations du personnel permanent</t>
        </is>
      </c>
      <c r="H1653" s="40" t="inlineStr">
        <is>
          <t>COMPTABLE</t>
        </is>
      </c>
      <c r="I1653" s="41" t="inlineStr">
        <is>
          <t>2024ACT_VDEF</t>
        </is>
      </c>
      <c r="J1653" s="41" t="n">
        <v>2024</v>
      </c>
      <c r="K1653" s="41" t="inlineStr">
        <is>
          <t>EUR</t>
        </is>
      </c>
      <c r="L1653" s="42" t="n">
        <v>85711</v>
      </c>
    </row>
    <row r="1654">
      <c r="B1654" s="39" t="inlineStr">
        <is>
          <t>ISCOM_TLS</t>
        </is>
      </c>
      <c r="C1654" s="40" t="inlineStr">
        <is>
          <t>BAC_COM</t>
        </is>
      </c>
      <c r="D1654" s="40" t="inlineStr">
        <is>
          <t>B3</t>
        </is>
      </c>
      <c r="E1654" s="40" t="inlineStr">
        <is>
          <t>ALT</t>
        </is>
      </c>
      <c r="F1654" s="40" t="inlineStr">
        <is>
          <t>641100</t>
        </is>
      </c>
      <c r="G1654" s="39" t="inlineStr">
        <is>
          <t>Rémunérations du personnel permanent</t>
        </is>
      </c>
      <c r="H1654" s="40" t="inlineStr">
        <is>
          <t>COMPTABLE</t>
        </is>
      </c>
      <c r="I1654" s="41" t="inlineStr">
        <is>
          <t>2025FCST_V4</t>
        </is>
      </c>
      <c r="J1654" s="41" t="n">
        <v>2025</v>
      </c>
      <c r="K1654" s="41" t="inlineStr">
        <is>
          <t>EUR</t>
        </is>
      </c>
      <c r="L1654" s="42" t="n">
        <v>90222</v>
      </c>
    </row>
    <row r="1655">
      <c r="B1655" s="39" t="inlineStr">
        <is>
          <t>ISCOM_TLS</t>
        </is>
      </c>
      <c r="C1655" s="40" t="inlineStr">
        <is>
          <t>BAC_COM</t>
        </is>
      </c>
      <c r="D1655" s="40" t="inlineStr">
        <is>
          <t>B3</t>
        </is>
      </c>
      <c r="E1655" s="40" t="inlineStr">
        <is>
          <t>ALT</t>
        </is>
      </c>
      <c r="F1655" s="40" t="inlineStr">
        <is>
          <t>622600</t>
        </is>
      </c>
      <c r="G1655" s="39" t="inlineStr">
        <is>
          <t>Honoraires &amp; frais de siège (structure groupe)</t>
        </is>
      </c>
      <c r="H1655" s="40" t="inlineStr">
        <is>
          <t>COMPTABLE</t>
        </is>
      </c>
      <c r="I1655" s="41" t="inlineStr">
        <is>
          <t>2023ACT_VDEF</t>
        </is>
      </c>
      <c r="J1655" s="41" t="n">
        <v>2023</v>
      </c>
      <c r="K1655" s="41" t="inlineStr">
        <is>
          <t>EUR</t>
        </is>
      </c>
      <c r="L1655" s="42" t="n">
        <v>29687</v>
      </c>
    </row>
    <row r="1656">
      <c r="B1656" s="39" t="inlineStr">
        <is>
          <t>ISCOM_TLS</t>
        </is>
      </c>
      <c r="C1656" s="40" t="inlineStr">
        <is>
          <t>BAC_COM</t>
        </is>
      </c>
      <c r="D1656" s="40" t="inlineStr">
        <is>
          <t>B3</t>
        </is>
      </c>
      <c r="E1656" s="40" t="inlineStr">
        <is>
          <t>ALT</t>
        </is>
      </c>
      <c r="F1656" s="40" t="inlineStr">
        <is>
          <t>622600</t>
        </is>
      </c>
      <c r="G1656" s="39" t="inlineStr">
        <is>
          <t>Honoraires &amp; frais de siège (structure groupe)</t>
        </is>
      </c>
      <c r="H1656" s="40" t="inlineStr">
        <is>
          <t>COMPTABLE</t>
        </is>
      </c>
      <c r="I1656" s="41" t="inlineStr">
        <is>
          <t>2024ACT_VDEF</t>
        </is>
      </c>
      <c r="J1656" s="41" t="n">
        <v>2024</v>
      </c>
      <c r="K1656" s="41" t="inlineStr">
        <is>
          <t>EUR</t>
        </is>
      </c>
      <c r="L1656" s="42" t="n">
        <v>31337</v>
      </c>
    </row>
    <row r="1657">
      <c r="B1657" s="39" t="inlineStr">
        <is>
          <t>ISCOM_TLS</t>
        </is>
      </c>
      <c r="C1657" s="40" t="inlineStr">
        <is>
          <t>BAC_COM</t>
        </is>
      </c>
      <c r="D1657" s="40" t="inlineStr">
        <is>
          <t>B3</t>
        </is>
      </c>
      <c r="E1657" s="40" t="inlineStr">
        <is>
          <t>ALT</t>
        </is>
      </c>
      <c r="F1657" s="40" t="inlineStr">
        <is>
          <t>622600</t>
        </is>
      </c>
      <c r="G1657" s="39" t="inlineStr">
        <is>
          <t>Honoraires &amp; frais de siège (structure groupe)</t>
        </is>
      </c>
      <c r="H1657" s="40" t="inlineStr">
        <is>
          <t>COMPTABLE</t>
        </is>
      </c>
      <c r="I1657" s="41" t="inlineStr">
        <is>
          <t>2025FCST_V4</t>
        </is>
      </c>
      <c r="J1657" s="41" t="n">
        <v>2025</v>
      </c>
      <c r="K1657" s="41" t="inlineStr">
        <is>
          <t>EUR</t>
        </is>
      </c>
      <c r="L1657" s="42" t="n">
        <v>32986</v>
      </c>
    </row>
    <row r="1658">
      <c r="B1658" s="39" t="inlineStr">
        <is>
          <t>ISCOM_TLS</t>
        </is>
      </c>
      <c r="C1658" s="40" t="inlineStr">
        <is>
          <t>BAC_COM</t>
        </is>
      </c>
      <c r="D1658" s="40" t="inlineStr">
        <is>
          <t>B3</t>
        </is>
      </c>
      <c r="E1658" s="40" t="inlineStr">
        <is>
          <t>ALT</t>
        </is>
      </c>
      <c r="F1658" s="40" t="inlineStr">
        <is>
          <t>606800</t>
        </is>
      </c>
      <c r="G1658" s="39" t="inlineStr">
        <is>
          <t>Autres achats &amp; charges externes</t>
        </is>
      </c>
      <c r="H1658" s="40" t="inlineStr">
        <is>
          <t>COMPTABLE</t>
        </is>
      </c>
      <c r="I1658" s="41" t="inlineStr">
        <is>
          <t>2023ACT_VDEF</t>
        </is>
      </c>
      <c r="J1658" s="41" t="n">
        <v>2023</v>
      </c>
      <c r="K1658" s="41" t="inlineStr">
        <is>
          <t>EUR</t>
        </is>
      </c>
      <c r="L1658" s="42" t="n">
        <v>29421</v>
      </c>
    </row>
    <row r="1659">
      <c r="B1659" s="39" t="inlineStr">
        <is>
          <t>ISCOM_TLS</t>
        </is>
      </c>
      <c r="C1659" s="40" t="inlineStr">
        <is>
          <t>BAC_COM</t>
        </is>
      </c>
      <c r="D1659" s="40" t="inlineStr">
        <is>
          <t>B3</t>
        </is>
      </c>
      <c r="E1659" s="40" t="inlineStr">
        <is>
          <t>ALT</t>
        </is>
      </c>
      <c r="F1659" s="40" t="inlineStr">
        <is>
          <t>606800</t>
        </is>
      </c>
      <c r="G1659" s="39" t="inlineStr">
        <is>
          <t>Autres achats &amp; charges externes</t>
        </is>
      </c>
      <c r="H1659" s="40" t="inlineStr">
        <is>
          <t>COMPTABLE</t>
        </is>
      </c>
      <c r="I1659" s="41" t="inlineStr">
        <is>
          <t>2024ACT_VDEF</t>
        </is>
      </c>
      <c r="J1659" s="41" t="n">
        <v>2024</v>
      </c>
      <c r="K1659" s="41" t="inlineStr">
        <is>
          <t>EUR</t>
        </is>
      </c>
      <c r="L1659" s="42" t="n">
        <v>31056</v>
      </c>
    </row>
    <row r="1660">
      <c r="B1660" s="39" t="inlineStr">
        <is>
          <t>ISCOM_TLS</t>
        </is>
      </c>
      <c r="C1660" s="40" t="inlineStr">
        <is>
          <t>BAC_COM</t>
        </is>
      </c>
      <c r="D1660" s="40" t="inlineStr">
        <is>
          <t>B3</t>
        </is>
      </c>
      <c r="E1660" s="40" t="inlineStr">
        <is>
          <t>ALT</t>
        </is>
      </c>
      <c r="F1660" s="40" t="inlineStr">
        <is>
          <t>606800</t>
        </is>
      </c>
      <c r="G1660" s="39" t="inlineStr">
        <is>
          <t>Autres achats &amp; charges externes</t>
        </is>
      </c>
      <c r="H1660" s="40" t="inlineStr">
        <is>
          <t>COMPTABLE</t>
        </is>
      </c>
      <c r="I1660" s="41" t="inlineStr">
        <is>
          <t>2025FCST_V4</t>
        </is>
      </c>
      <c r="J1660" s="41" t="n">
        <v>2025</v>
      </c>
      <c r="K1660" s="41" t="inlineStr">
        <is>
          <t>EUR</t>
        </is>
      </c>
      <c r="L1660" s="42" t="n">
        <v>32690</v>
      </c>
    </row>
    <row r="1661">
      <c r="B1661" s="39" t="inlineStr">
        <is>
          <t>ISCOM_TLS</t>
        </is>
      </c>
      <c r="C1661" s="40" t="inlineStr">
        <is>
          <t>BAC_COM</t>
        </is>
      </c>
      <c r="D1661" s="40" t="inlineStr">
        <is>
          <t>B3</t>
        </is>
      </c>
      <c r="E1661" s="40" t="inlineStr">
        <is>
          <t>ALT</t>
        </is>
      </c>
      <c r="F1661" s="40" t="inlineStr">
        <is>
          <t>681100</t>
        </is>
      </c>
      <c r="G1661" s="39" t="inlineStr">
        <is>
          <t>Dotations aux amortissements</t>
        </is>
      </c>
      <c r="H1661" s="40" t="inlineStr">
        <is>
          <t>COMPTABLE</t>
        </is>
      </c>
      <c r="I1661" s="41" t="inlineStr">
        <is>
          <t>2023ACT_VDEF</t>
        </is>
      </c>
      <c r="J1661" s="41" t="n">
        <v>2023</v>
      </c>
      <c r="K1661" s="41" t="inlineStr">
        <is>
          <t>EUR</t>
        </is>
      </c>
      <c r="L1661" s="42" t="n">
        <v>17800</v>
      </c>
    </row>
    <row r="1662">
      <c r="B1662" s="39" t="inlineStr">
        <is>
          <t>ISCOM_TLS</t>
        </is>
      </c>
      <c r="C1662" s="40" t="inlineStr">
        <is>
          <t>BAC_COM</t>
        </is>
      </c>
      <c r="D1662" s="40" t="inlineStr">
        <is>
          <t>B3</t>
        </is>
      </c>
      <c r="E1662" s="40" t="inlineStr">
        <is>
          <t>ALT</t>
        </is>
      </c>
      <c r="F1662" s="40" t="inlineStr">
        <is>
          <t>681100</t>
        </is>
      </c>
      <c r="G1662" s="39" t="inlineStr">
        <is>
          <t>Dotations aux amortissements</t>
        </is>
      </c>
      <c r="H1662" s="40" t="inlineStr">
        <is>
          <t>COMPTABLE</t>
        </is>
      </c>
      <c r="I1662" s="41" t="inlineStr">
        <is>
          <t>2024ACT_VDEF</t>
        </is>
      </c>
      <c r="J1662" s="41" t="n">
        <v>2024</v>
      </c>
      <c r="K1662" s="41" t="inlineStr">
        <is>
          <t>EUR</t>
        </is>
      </c>
      <c r="L1662" s="42" t="n">
        <v>18789</v>
      </c>
    </row>
    <row r="1663">
      <c r="B1663" s="39" t="inlineStr">
        <is>
          <t>ISCOM_TLS</t>
        </is>
      </c>
      <c r="C1663" s="40" t="inlineStr">
        <is>
          <t>BAC_COM</t>
        </is>
      </c>
      <c r="D1663" s="40" t="inlineStr">
        <is>
          <t>B3</t>
        </is>
      </c>
      <c r="E1663" s="40" t="inlineStr">
        <is>
          <t>ALT</t>
        </is>
      </c>
      <c r="F1663" s="40" t="inlineStr">
        <is>
          <t>681100</t>
        </is>
      </c>
      <c r="G1663" s="39" t="inlineStr">
        <is>
          <t>Dotations aux amortissements</t>
        </is>
      </c>
      <c r="H1663" s="40" t="inlineStr">
        <is>
          <t>COMPTABLE</t>
        </is>
      </c>
      <c r="I1663" s="41" t="inlineStr">
        <is>
          <t>2025FCST_V4</t>
        </is>
      </c>
      <c r="J1663" s="41" t="n">
        <v>2025</v>
      </c>
      <c r="K1663" s="41" t="inlineStr">
        <is>
          <t>EUR</t>
        </is>
      </c>
      <c r="L1663" s="42" t="n">
        <v>19778</v>
      </c>
    </row>
    <row r="1664">
      <c r="B1664" s="39" t="inlineStr">
        <is>
          <t>ISCOM_TLS</t>
        </is>
      </c>
      <c r="C1664" s="40" t="inlineStr">
        <is>
          <t>BAC_COM</t>
        </is>
      </c>
      <c r="D1664" s="40" t="inlineStr">
        <is>
          <t>B3</t>
        </is>
      </c>
      <c r="E1664" s="40" t="inlineStr">
        <is>
          <t>ALT</t>
        </is>
      </c>
      <c r="F1664" s="40" t="inlineStr">
        <is>
          <t>STA_EFF</t>
        </is>
      </c>
      <c r="G1664" s="39" t="inlineStr">
        <is>
          <t>Effectif inscrit</t>
        </is>
      </c>
      <c r="H1664" s="40" t="inlineStr">
        <is>
          <t>TECHNIQUE</t>
        </is>
      </c>
      <c r="I1664" s="41" t="inlineStr">
        <is>
          <t>2023ACT_VDEF</t>
        </is>
      </c>
      <c r="J1664" s="41" t="n">
        <v>2023</v>
      </c>
      <c r="K1664" s="41" t="inlineStr">
        <is>
          <t>NB</t>
        </is>
      </c>
      <c r="L1664" s="43" t="n">
        <v>32</v>
      </c>
    </row>
    <row r="1665">
      <c r="B1665" s="39" t="inlineStr">
        <is>
          <t>ISCOM_TLS</t>
        </is>
      </c>
      <c r="C1665" s="40" t="inlineStr">
        <is>
          <t>BAC_COM</t>
        </is>
      </c>
      <c r="D1665" s="40" t="inlineStr">
        <is>
          <t>B3</t>
        </is>
      </c>
      <c r="E1665" s="40" t="inlineStr">
        <is>
          <t>ALT</t>
        </is>
      </c>
      <c r="F1665" s="40" t="inlineStr">
        <is>
          <t>STA_EFF</t>
        </is>
      </c>
      <c r="G1665" s="39" t="inlineStr">
        <is>
          <t>Effectif inscrit</t>
        </is>
      </c>
      <c r="H1665" s="40" t="inlineStr">
        <is>
          <t>TECHNIQUE</t>
        </is>
      </c>
      <c r="I1665" s="41" t="inlineStr">
        <is>
          <t>2024ACT_VDEF</t>
        </is>
      </c>
      <c r="J1665" s="41" t="n">
        <v>2024</v>
      </c>
      <c r="K1665" s="41" t="inlineStr">
        <is>
          <t>NB</t>
        </is>
      </c>
      <c r="L1665" s="43" t="n">
        <v>33</v>
      </c>
    </row>
    <row r="1666">
      <c r="B1666" s="39" t="inlineStr">
        <is>
          <t>ISCOM_TLS</t>
        </is>
      </c>
      <c r="C1666" s="40" t="inlineStr">
        <is>
          <t>BAC_COM</t>
        </is>
      </c>
      <c r="D1666" s="40" t="inlineStr">
        <is>
          <t>B3</t>
        </is>
      </c>
      <c r="E1666" s="40" t="inlineStr">
        <is>
          <t>ALT</t>
        </is>
      </c>
      <c r="F1666" s="40" t="inlineStr">
        <is>
          <t>STA_EFF</t>
        </is>
      </c>
      <c r="G1666" s="39" t="inlineStr">
        <is>
          <t>Effectif inscrit</t>
        </is>
      </c>
      <c r="H1666" s="40" t="inlineStr">
        <is>
          <t>TECHNIQUE</t>
        </is>
      </c>
      <c r="I1666" s="41" t="inlineStr">
        <is>
          <t>2025FCST_V4</t>
        </is>
      </c>
      <c r="J1666" s="41" t="n">
        <v>2025</v>
      </c>
      <c r="K1666" s="41" t="inlineStr">
        <is>
          <t>NB</t>
        </is>
      </c>
      <c r="L1666" s="43" t="n">
        <v>35</v>
      </c>
    </row>
    <row r="1667">
      <c r="B1667" s="39" t="inlineStr">
        <is>
          <t>ISCOM_TLS</t>
        </is>
      </c>
      <c r="C1667" s="40" t="inlineStr">
        <is>
          <t>BAC_COM</t>
        </is>
      </c>
      <c r="D1667" s="40" t="inlineStr">
        <is>
          <t>B3</t>
        </is>
      </c>
      <c r="E1667" s="40" t="inlineStr">
        <is>
          <t>ALT</t>
        </is>
      </c>
      <c r="F1667" s="40" t="inlineStr">
        <is>
          <t>STA_REINS</t>
        </is>
      </c>
      <c r="G1667" s="39" t="inlineStr">
        <is>
          <t>Réinscrits</t>
        </is>
      </c>
      <c r="H1667" s="40" t="inlineStr">
        <is>
          <t>TECHNIQUE</t>
        </is>
      </c>
      <c r="I1667" s="41" t="inlineStr">
        <is>
          <t>2023ACT_VDEF</t>
        </is>
      </c>
      <c r="J1667" s="41" t="n">
        <v>2023</v>
      </c>
      <c r="K1667" s="41" t="inlineStr">
        <is>
          <t>NB</t>
        </is>
      </c>
      <c r="L1667" s="43" t="n">
        <v>32</v>
      </c>
    </row>
    <row r="1668">
      <c r="B1668" s="39" t="inlineStr">
        <is>
          <t>ISCOM_TLS</t>
        </is>
      </c>
      <c r="C1668" s="40" t="inlineStr">
        <is>
          <t>BAC_COM</t>
        </is>
      </c>
      <c r="D1668" s="40" t="inlineStr">
        <is>
          <t>B3</t>
        </is>
      </c>
      <c r="E1668" s="40" t="inlineStr">
        <is>
          <t>ALT</t>
        </is>
      </c>
      <c r="F1668" s="40" t="inlineStr">
        <is>
          <t>STA_REINS</t>
        </is>
      </c>
      <c r="G1668" s="39" t="inlineStr">
        <is>
          <t>Réinscrits</t>
        </is>
      </c>
      <c r="H1668" s="40" t="inlineStr">
        <is>
          <t>TECHNIQUE</t>
        </is>
      </c>
      <c r="I1668" s="41" t="inlineStr">
        <is>
          <t>2024ACT_VDEF</t>
        </is>
      </c>
      <c r="J1668" s="41" t="n">
        <v>2024</v>
      </c>
      <c r="K1668" s="41" t="inlineStr">
        <is>
          <t>NB</t>
        </is>
      </c>
      <c r="L1668" s="43" t="n">
        <v>33</v>
      </c>
    </row>
    <row r="1669">
      <c r="B1669" s="39" t="inlineStr">
        <is>
          <t>ISCOM_TLS</t>
        </is>
      </c>
      <c r="C1669" s="40" t="inlineStr">
        <is>
          <t>BAC_COM</t>
        </is>
      </c>
      <c r="D1669" s="40" t="inlineStr">
        <is>
          <t>B3</t>
        </is>
      </c>
      <c r="E1669" s="40" t="inlineStr">
        <is>
          <t>ALT</t>
        </is>
      </c>
      <c r="F1669" s="40" t="inlineStr">
        <is>
          <t>STA_REINS</t>
        </is>
      </c>
      <c r="G1669" s="39" t="inlineStr">
        <is>
          <t>Réinscrits</t>
        </is>
      </c>
      <c r="H1669" s="40" t="inlineStr">
        <is>
          <t>TECHNIQUE</t>
        </is>
      </c>
      <c r="I1669" s="41" t="inlineStr">
        <is>
          <t>2025FCST_V4</t>
        </is>
      </c>
      <c r="J1669" s="41" t="n">
        <v>2025</v>
      </c>
      <c r="K1669" s="41" t="inlineStr">
        <is>
          <t>NB</t>
        </is>
      </c>
      <c r="L1669" s="43" t="n">
        <v>35</v>
      </c>
    </row>
    <row r="1670">
      <c r="B1670" s="39" t="inlineStr">
        <is>
          <t>ISCOM_TLS</t>
        </is>
      </c>
      <c r="C1670" s="40" t="inlineStr">
        <is>
          <t>BAC_COM</t>
        </is>
      </c>
      <c r="D1670" s="40" t="inlineStr">
        <is>
          <t>B3</t>
        </is>
      </c>
      <c r="E1670" s="40" t="inlineStr">
        <is>
          <t>ALT</t>
        </is>
      </c>
      <c r="F1670" s="40" t="inlineStr">
        <is>
          <t>STA_CLASS</t>
        </is>
      </c>
      <c r="G1670" s="39" t="inlineStr">
        <is>
          <t>Nombre de classes</t>
        </is>
      </c>
      <c r="H1670" s="40" t="inlineStr">
        <is>
          <t>TECHNIQUE</t>
        </is>
      </c>
      <c r="I1670" s="41" t="inlineStr">
        <is>
          <t>2023ACT_VDEF</t>
        </is>
      </c>
      <c r="J1670" s="41" t="n">
        <v>2023</v>
      </c>
      <c r="K1670" s="41" t="inlineStr">
        <is>
          <t>NB</t>
        </is>
      </c>
      <c r="L1670" s="43" t="n">
        <v>2</v>
      </c>
    </row>
    <row r="1671">
      <c r="B1671" s="39" t="inlineStr">
        <is>
          <t>ISCOM_TLS</t>
        </is>
      </c>
      <c r="C1671" s="40" t="inlineStr">
        <is>
          <t>BAC_COM</t>
        </is>
      </c>
      <c r="D1671" s="40" t="inlineStr">
        <is>
          <t>B3</t>
        </is>
      </c>
      <c r="E1671" s="40" t="inlineStr">
        <is>
          <t>ALT</t>
        </is>
      </c>
      <c r="F1671" s="40" t="inlineStr">
        <is>
          <t>STA_CLASS</t>
        </is>
      </c>
      <c r="G1671" s="39" t="inlineStr">
        <is>
          <t>Nombre de classes</t>
        </is>
      </c>
      <c r="H1671" s="40" t="inlineStr">
        <is>
          <t>TECHNIQUE</t>
        </is>
      </c>
      <c r="I1671" s="41" t="inlineStr">
        <is>
          <t>2024ACT_VDEF</t>
        </is>
      </c>
      <c r="J1671" s="41" t="n">
        <v>2024</v>
      </c>
      <c r="K1671" s="41" t="inlineStr">
        <is>
          <t>NB</t>
        </is>
      </c>
      <c r="L1671" s="43" t="n">
        <v>2</v>
      </c>
    </row>
    <row r="1672">
      <c r="B1672" s="39" t="inlineStr">
        <is>
          <t>ISCOM_TLS</t>
        </is>
      </c>
      <c r="C1672" s="40" t="inlineStr">
        <is>
          <t>BAC_COM</t>
        </is>
      </c>
      <c r="D1672" s="40" t="inlineStr">
        <is>
          <t>B3</t>
        </is>
      </c>
      <c r="E1672" s="40" t="inlineStr">
        <is>
          <t>ALT</t>
        </is>
      </c>
      <c r="F1672" s="40" t="inlineStr">
        <is>
          <t>STA_CLASS</t>
        </is>
      </c>
      <c r="G1672" s="39" t="inlineStr">
        <is>
          <t>Nombre de classes</t>
        </is>
      </c>
      <c r="H1672" s="40" t="inlineStr">
        <is>
          <t>TECHNIQUE</t>
        </is>
      </c>
      <c r="I1672" s="41" t="inlineStr">
        <is>
          <t>2025FCST_V4</t>
        </is>
      </c>
      <c r="J1672" s="41" t="n">
        <v>2025</v>
      </c>
      <c r="K1672" s="41" t="inlineStr">
        <is>
          <t>NB</t>
        </is>
      </c>
      <c r="L1672" s="43" t="n">
        <v>2</v>
      </c>
    </row>
    <row r="1673">
      <c r="B1673" s="39" t="inlineStr">
        <is>
          <t>ISCOM_TLS</t>
        </is>
      </c>
      <c r="C1673" s="40" t="inlineStr">
        <is>
          <t>BAC_COM</t>
        </is>
      </c>
      <c r="D1673" s="40" t="inlineStr">
        <is>
          <t>B3</t>
        </is>
      </c>
      <c r="E1673" s="40" t="inlineStr">
        <is>
          <t>ALT</t>
        </is>
      </c>
      <c r="F1673" s="40" t="inlineStr">
        <is>
          <t>STA_HEURE</t>
        </is>
      </c>
      <c r="G1673" s="39" t="inlineStr">
        <is>
          <t>Heures d'enseignement</t>
        </is>
      </c>
      <c r="H1673" s="40" t="inlineStr">
        <is>
          <t>TECHNIQUE</t>
        </is>
      </c>
      <c r="I1673" s="41" t="inlineStr">
        <is>
          <t>2023ACT_VDEF</t>
        </is>
      </c>
      <c r="J1673" s="41" t="n">
        <v>2023</v>
      </c>
      <c r="K1673" s="41" t="inlineStr">
        <is>
          <t>NB</t>
        </is>
      </c>
      <c r="L1673" s="43" t="n">
        <v>936</v>
      </c>
    </row>
    <row r="1674">
      <c r="B1674" s="39" t="inlineStr">
        <is>
          <t>ISCOM_TLS</t>
        </is>
      </c>
      <c r="C1674" s="40" t="inlineStr">
        <is>
          <t>BAC_COM</t>
        </is>
      </c>
      <c r="D1674" s="40" t="inlineStr">
        <is>
          <t>B3</t>
        </is>
      </c>
      <c r="E1674" s="40" t="inlineStr">
        <is>
          <t>ALT</t>
        </is>
      </c>
      <c r="F1674" s="40" t="inlineStr">
        <is>
          <t>STA_HEURE</t>
        </is>
      </c>
      <c r="G1674" s="39" t="inlineStr">
        <is>
          <t>Heures d'enseignement</t>
        </is>
      </c>
      <c r="H1674" s="40" t="inlineStr">
        <is>
          <t>TECHNIQUE</t>
        </is>
      </c>
      <c r="I1674" s="41" t="inlineStr">
        <is>
          <t>2024ACT_VDEF</t>
        </is>
      </c>
      <c r="J1674" s="41" t="n">
        <v>2024</v>
      </c>
      <c r="K1674" s="41" t="inlineStr">
        <is>
          <t>NB</t>
        </is>
      </c>
      <c r="L1674" s="43" t="n">
        <v>988</v>
      </c>
    </row>
    <row r="1675">
      <c r="B1675" s="39" t="inlineStr">
        <is>
          <t>ISCOM_TLS</t>
        </is>
      </c>
      <c r="C1675" s="40" t="inlineStr">
        <is>
          <t>BAC_COM</t>
        </is>
      </c>
      <c r="D1675" s="40" t="inlineStr">
        <is>
          <t>B3</t>
        </is>
      </c>
      <c r="E1675" s="40" t="inlineStr">
        <is>
          <t>ALT</t>
        </is>
      </c>
      <c r="F1675" s="40" t="inlineStr">
        <is>
          <t>STA_HEURE</t>
        </is>
      </c>
      <c r="G1675" s="39" t="inlineStr">
        <is>
          <t>Heures d'enseignement</t>
        </is>
      </c>
      <c r="H1675" s="40" t="inlineStr">
        <is>
          <t>TECHNIQUE</t>
        </is>
      </c>
      <c r="I1675" s="41" t="inlineStr">
        <is>
          <t>2025FCST_V4</t>
        </is>
      </c>
      <c r="J1675" s="41" t="n">
        <v>2025</v>
      </c>
      <c r="K1675" s="41" t="inlineStr">
        <is>
          <t>NB</t>
        </is>
      </c>
      <c r="L1675" s="43" t="n">
        <v>1040</v>
      </c>
    </row>
    <row r="1676">
      <c r="B1676" s="39" t="inlineStr">
        <is>
          <t>ISCOM_TLS</t>
        </is>
      </c>
      <c r="C1676" s="40" t="inlineStr">
        <is>
          <t>BAC_COM</t>
        </is>
      </c>
      <c r="D1676" s="40" t="inlineStr">
        <is>
          <t>B3</t>
        </is>
      </c>
      <c r="E1676" s="40" t="inlineStr">
        <is>
          <t>ALT</t>
        </is>
      </c>
      <c r="F1676" s="40" t="inlineStr">
        <is>
          <t>STA_CAPA</t>
        </is>
      </c>
      <c r="G1676" s="39" t="inlineStr">
        <is>
          <t>Capacité par classe</t>
        </is>
      </c>
      <c r="H1676" s="40" t="inlineStr">
        <is>
          <t>TECHNIQUE</t>
        </is>
      </c>
      <c r="I1676" s="41" t="inlineStr">
        <is>
          <t>2023ACT_VDEF</t>
        </is>
      </c>
      <c r="J1676" s="41" t="n">
        <v>2023</v>
      </c>
      <c r="K1676" s="41" t="inlineStr">
        <is>
          <t>NB</t>
        </is>
      </c>
      <c r="L1676" s="43" t="n">
        <v>32</v>
      </c>
    </row>
    <row r="1677">
      <c r="B1677" s="39" t="inlineStr">
        <is>
          <t>ISCOM_TLS</t>
        </is>
      </c>
      <c r="C1677" s="40" t="inlineStr">
        <is>
          <t>BAC_COM</t>
        </is>
      </c>
      <c r="D1677" s="40" t="inlineStr">
        <is>
          <t>B3</t>
        </is>
      </c>
      <c r="E1677" s="40" t="inlineStr">
        <is>
          <t>ALT</t>
        </is>
      </c>
      <c r="F1677" s="40" t="inlineStr">
        <is>
          <t>STA_CAPA</t>
        </is>
      </c>
      <c r="G1677" s="39" t="inlineStr">
        <is>
          <t>Capacité par classe</t>
        </is>
      </c>
      <c r="H1677" s="40" t="inlineStr">
        <is>
          <t>TECHNIQUE</t>
        </is>
      </c>
      <c r="I1677" s="41" t="inlineStr">
        <is>
          <t>2024ACT_VDEF</t>
        </is>
      </c>
      <c r="J1677" s="41" t="n">
        <v>2024</v>
      </c>
      <c r="K1677" s="41" t="inlineStr">
        <is>
          <t>NB</t>
        </is>
      </c>
      <c r="L1677" s="43" t="n">
        <v>32</v>
      </c>
    </row>
    <row r="1678">
      <c r="B1678" s="39" t="inlineStr">
        <is>
          <t>ISCOM_TLS</t>
        </is>
      </c>
      <c r="C1678" s="40" t="inlineStr">
        <is>
          <t>BAC_COM</t>
        </is>
      </c>
      <c r="D1678" s="40" t="inlineStr">
        <is>
          <t>B3</t>
        </is>
      </c>
      <c r="E1678" s="40" t="inlineStr">
        <is>
          <t>ALT</t>
        </is>
      </c>
      <c r="F1678" s="40" t="inlineStr">
        <is>
          <t>STA_CAPA</t>
        </is>
      </c>
      <c r="G1678" s="39" t="inlineStr">
        <is>
          <t>Capacité par classe</t>
        </is>
      </c>
      <c r="H1678" s="40" t="inlineStr">
        <is>
          <t>TECHNIQUE</t>
        </is>
      </c>
      <c r="I1678" s="41" t="inlineStr">
        <is>
          <t>2025FCST_V4</t>
        </is>
      </c>
      <c r="J1678" s="41" t="n">
        <v>2025</v>
      </c>
      <c r="K1678" s="41" t="inlineStr">
        <is>
          <t>NB</t>
        </is>
      </c>
      <c r="L1678" s="43" t="n">
        <v>32</v>
      </c>
    </row>
    <row r="1679">
      <c r="B1679" s="39" t="inlineStr">
        <is>
          <t>ISCOM_TLS</t>
        </is>
      </c>
      <c r="C1679" s="40" t="inlineStr">
        <is>
          <t>BAC_COM</t>
        </is>
      </c>
      <c r="D1679" s="40" t="inlineStr">
        <is>
          <t>B3</t>
        </is>
      </c>
      <c r="E1679" s="40" t="inlineStr">
        <is>
          <t>ALT</t>
        </is>
      </c>
      <c r="F1679" s="40" t="inlineStr">
        <is>
          <t>DRV_PASS</t>
        </is>
      </c>
      <c r="G1679" s="39" t="inlineStr">
        <is>
          <t>Taux de passage (réinscription)</t>
        </is>
      </c>
      <c r="H1679" s="40" t="inlineStr">
        <is>
          <t>TECHNIQUE</t>
        </is>
      </c>
      <c r="I1679" s="41" t="inlineStr">
        <is>
          <t>2023ACT_VDEF</t>
        </is>
      </c>
      <c r="J1679" s="41" t="n">
        <v>2023</v>
      </c>
      <c r="K1679" s="41" t="inlineStr">
        <is>
          <t>PCT</t>
        </is>
      </c>
      <c r="L1679" s="44" t="n">
        <v>0.95</v>
      </c>
    </row>
    <row r="1680">
      <c r="B1680" s="39" t="inlineStr">
        <is>
          <t>ISCOM_TLS</t>
        </is>
      </c>
      <c r="C1680" s="40" t="inlineStr">
        <is>
          <t>BAC_COM</t>
        </is>
      </c>
      <c r="D1680" s="40" t="inlineStr">
        <is>
          <t>B3</t>
        </is>
      </c>
      <c r="E1680" s="40" t="inlineStr">
        <is>
          <t>ALT</t>
        </is>
      </c>
      <c r="F1680" s="40" t="inlineStr">
        <is>
          <t>DRV_PASS</t>
        </is>
      </c>
      <c r="G1680" s="39" t="inlineStr">
        <is>
          <t>Taux de passage (réinscription)</t>
        </is>
      </c>
      <c r="H1680" s="40" t="inlineStr">
        <is>
          <t>TECHNIQUE</t>
        </is>
      </c>
      <c r="I1680" s="41" t="inlineStr">
        <is>
          <t>2024ACT_VDEF</t>
        </is>
      </c>
      <c r="J1680" s="41" t="n">
        <v>2024</v>
      </c>
      <c r="K1680" s="41" t="inlineStr">
        <is>
          <t>PCT</t>
        </is>
      </c>
      <c r="L1680" s="44" t="n">
        <v>0.95</v>
      </c>
    </row>
    <row r="1681">
      <c r="B1681" s="39" t="inlineStr">
        <is>
          <t>ISCOM_TLS</t>
        </is>
      </c>
      <c r="C1681" s="40" t="inlineStr">
        <is>
          <t>BAC_COM</t>
        </is>
      </c>
      <c r="D1681" s="40" t="inlineStr">
        <is>
          <t>B3</t>
        </is>
      </c>
      <c r="E1681" s="40" t="inlineStr">
        <is>
          <t>ALT</t>
        </is>
      </c>
      <c r="F1681" s="40" t="inlineStr">
        <is>
          <t>DRV_PASS</t>
        </is>
      </c>
      <c r="G1681" s="39" t="inlineStr">
        <is>
          <t>Taux de passage (réinscription)</t>
        </is>
      </c>
      <c r="H1681" s="40" t="inlineStr">
        <is>
          <t>TECHNIQUE</t>
        </is>
      </c>
      <c r="I1681" s="41" t="inlineStr">
        <is>
          <t>2025FCST_V4</t>
        </is>
      </c>
      <c r="J1681" s="41" t="n">
        <v>2025</v>
      </c>
      <c r="K1681" s="41" t="inlineStr">
        <is>
          <t>PCT</t>
        </is>
      </c>
      <c r="L1681" s="44" t="n">
        <v>0.95</v>
      </c>
    </row>
    <row r="1682">
      <c r="B1682" s="39" t="inlineStr">
        <is>
          <t>ISCOM_TLS</t>
        </is>
      </c>
      <c r="C1682" s="40" t="inlineStr">
        <is>
          <t>BAC_COM</t>
        </is>
      </c>
      <c r="D1682" s="40" t="inlineStr">
        <is>
          <t>B3</t>
        </is>
      </c>
      <c r="E1682" s="40" t="inlineStr">
        <is>
          <t>ALT</t>
        </is>
      </c>
      <c r="F1682" s="40" t="inlineStr">
        <is>
          <t>PRX_TARIF</t>
        </is>
      </c>
      <c r="G1682" s="39" t="inlineStr">
        <is>
          <t>Tarif moyen scolarité</t>
        </is>
      </c>
      <c r="H1682" s="40" t="inlineStr">
        <is>
          <t>TECHNIQUE</t>
        </is>
      </c>
      <c r="I1682" s="41" t="inlineStr">
        <is>
          <t>2023ACT_VDEF</t>
        </is>
      </c>
      <c r="J1682" s="41" t="n">
        <v>2023</v>
      </c>
      <c r="K1682" s="41" t="inlineStr">
        <is>
          <t>EUR</t>
        </is>
      </c>
      <c r="L1682" s="42" t="n">
        <v>8000</v>
      </c>
    </row>
    <row r="1683">
      <c r="B1683" s="39" t="inlineStr">
        <is>
          <t>ISCOM_TLS</t>
        </is>
      </c>
      <c r="C1683" s="40" t="inlineStr">
        <is>
          <t>BAC_COM</t>
        </is>
      </c>
      <c r="D1683" s="40" t="inlineStr">
        <is>
          <t>B3</t>
        </is>
      </c>
      <c r="E1683" s="40" t="inlineStr">
        <is>
          <t>ALT</t>
        </is>
      </c>
      <c r="F1683" s="40" t="inlineStr">
        <is>
          <t>PRX_TARIF</t>
        </is>
      </c>
      <c r="G1683" s="39" t="inlineStr">
        <is>
          <t>Tarif moyen scolarité</t>
        </is>
      </c>
      <c r="H1683" s="40" t="inlineStr">
        <is>
          <t>TECHNIQUE</t>
        </is>
      </c>
      <c r="I1683" s="41" t="inlineStr">
        <is>
          <t>2024ACT_VDEF</t>
        </is>
      </c>
      <c r="J1683" s="41" t="n">
        <v>2024</v>
      </c>
      <c r="K1683" s="41" t="inlineStr">
        <is>
          <t>EUR</t>
        </is>
      </c>
      <c r="L1683" s="42" t="n">
        <v>8000</v>
      </c>
    </row>
    <row r="1684">
      <c r="B1684" s="39" t="inlineStr">
        <is>
          <t>ISCOM_TLS</t>
        </is>
      </c>
      <c r="C1684" s="40" t="inlineStr">
        <is>
          <t>BAC_COM</t>
        </is>
      </c>
      <c r="D1684" s="40" t="inlineStr">
        <is>
          <t>B3</t>
        </is>
      </c>
      <c r="E1684" s="40" t="inlineStr">
        <is>
          <t>ALT</t>
        </is>
      </c>
      <c r="F1684" s="40" t="inlineStr">
        <is>
          <t>PRX_TARIF</t>
        </is>
      </c>
      <c r="G1684" s="39" t="inlineStr">
        <is>
          <t>Tarif moyen scolarité</t>
        </is>
      </c>
      <c r="H1684" s="40" t="inlineStr">
        <is>
          <t>TECHNIQUE</t>
        </is>
      </c>
      <c r="I1684" s="41" t="inlineStr">
        <is>
          <t>2025FCST_V4</t>
        </is>
      </c>
      <c r="J1684" s="41" t="n">
        <v>2025</v>
      </c>
      <c r="K1684" s="41" t="inlineStr">
        <is>
          <t>EUR</t>
        </is>
      </c>
      <c r="L1684" s="42" t="n">
        <v>8000</v>
      </c>
    </row>
    <row r="1685">
      <c r="B1685" s="39" t="inlineStr">
        <is>
          <t>ISCOM_TLS</t>
        </is>
      </c>
      <c r="C1685" s="40" t="inlineStr">
        <is>
          <t>MAS_COM</t>
        </is>
      </c>
      <c r="D1685" s="40" t="inlineStr">
        <is>
          <t>M1</t>
        </is>
      </c>
      <c r="E1685" s="40" t="inlineStr">
        <is>
          <t>ALT</t>
        </is>
      </c>
      <c r="F1685" s="40" t="inlineStr">
        <is>
          <t>706100</t>
        </is>
      </c>
      <c r="G1685" s="39" t="inlineStr">
        <is>
          <t>Droits de scolarité</t>
        </is>
      </c>
      <c r="H1685" s="40" t="inlineStr">
        <is>
          <t>COMPTABLE</t>
        </is>
      </c>
      <c r="I1685" s="41" t="inlineStr">
        <is>
          <t>2023ACT_VDEF</t>
        </is>
      </c>
      <c r="J1685" s="41" t="n">
        <v>2023</v>
      </c>
      <c r="K1685" s="41" t="inlineStr">
        <is>
          <t>EUR</t>
        </is>
      </c>
      <c r="L1685" s="42" t="n">
        <v>226800</v>
      </c>
    </row>
    <row r="1686">
      <c r="B1686" s="39" t="inlineStr">
        <is>
          <t>ISCOM_TLS</t>
        </is>
      </c>
      <c r="C1686" s="40" t="inlineStr">
        <is>
          <t>MAS_COM</t>
        </is>
      </c>
      <c r="D1686" s="40" t="inlineStr">
        <is>
          <t>M1</t>
        </is>
      </c>
      <c r="E1686" s="40" t="inlineStr">
        <is>
          <t>ALT</t>
        </is>
      </c>
      <c r="F1686" s="40" t="inlineStr">
        <is>
          <t>706100</t>
        </is>
      </c>
      <c r="G1686" s="39" t="inlineStr">
        <is>
          <t>Droits de scolarité</t>
        </is>
      </c>
      <c r="H1686" s="40" t="inlineStr">
        <is>
          <t>COMPTABLE</t>
        </is>
      </c>
      <c r="I1686" s="41" t="inlineStr">
        <is>
          <t>2024ACT_VDEF</t>
        </is>
      </c>
      <c r="J1686" s="41" t="n">
        <v>2024</v>
      </c>
      <c r="K1686" s="41" t="inlineStr">
        <is>
          <t>EUR</t>
        </is>
      </c>
      <c r="L1686" s="42" t="n">
        <v>239400</v>
      </c>
    </row>
    <row r="1687">
      <c r="B1687" s="39" t="inlineStr">
        <is>
          <t>ISCOM_TLS</t>
        </is>
      </c>
      <c r="C1687" s="40" t="inlineStr">
        <is>
          <t>MAS_COM</t>
        </is>
      </c>
      <c r="D1687" s="40" t="inlineStr">
        <is>
          <t>M1</t>
        </is>
      </c>
      <c r="E1687" s="40" t="inlineStr">
        <is>
          <t>ALT</t>
        </is>
      </c>
      <c r="F1687" s="40" t="inlineStr">
        <is>
          <t>706100</t>
        </is>
      </c>
      <c r="G1687" s="39" t="inlineStr">
        <is>
          <t>Droits de scolarité</t>
        </is>
      </c>
      <c r="H1687" s="40" t="inlineStr">
        <is>
          <t>COMPTABLE</t>
        </is>
      </c>
      <c r="I1687" s="41" t="inlineStr">
        <is>
          <t>2025FCST_V4</t>
        </is>
      </c>
      <c r="J1687" s="41" t="n">
        <v>2025</v>
      </c>
      <c r="K1687" s="41" t="inlineStr">
        <is>
          <t>EUR</t>
        </is>
      </c>
      <c r="L1687" s="42" t="n">
        <v>252000</v>
      </c>
    </row>
    <row r="1688">
      <c r="B1688" s="39" t="inlineStr">
        <is>
          <t>ISCOM_TLS</t>
        </is>
      </c>
      <c r="C1688" s="40" t="inlineStr">
        <is>
          <t>MAS_COM</t>
        </is>
      </c>
      <c r="D1688" s="40" t="inlineStr">
        <is>
          <t>M1</t>
        </is>
      </c>
      <c r="E1688" s="40" t="inlineStr">
        <is>
          <t>ALT</t>
        </is>
      </c>
      <c r="F1688" s="40" t="inlineStr">
        <is>
          <t>708500</t>
        </is>
      </c>
      <c r="G1688" s="39" t="inlineStr">
        <is>
          <t>Frais de dossier / inscription</t>
        </is>
      </c>
      <c r="H1688" s="40" t="inlineStr">
        <is>
          <t>COMPTABLE</t>
        </is>
      </c>
      <c r="I1688" s="41" t="inlineStr">
        <is>
          <t>2023ACT_VDEF</t>
        </is>
      </c>
      <c r="J1688" s="41" t="n">
        <v>2023</v>
      </c>
      <c r="K1688" s="41" t="inlineStr">
        <is>
          <t>EUR</t>
        </is>
      </c>
      <c r="L1688" s="42" t="n">
        <v>2268</v>
      </c>
    </row>
    <row r="1689">
      <c r="B1689" s="39" t="inlineStr">
        <is>
          <t>ISCOM_TLS</t>
        </is>
      </c>
      <c r="C1689" s="40" t="inlineStr">
        <is>
          <t>MAS_COM</t>
        </is>
      </c>
      <c r="D1689" s="40" t="inlineStr">
        <is>
          <t>M1</t>
        </is>
      </c>
      <c r="E1689" s="40" t="inlineStr">
        <is>
          <t>ALT</t>
        </is>
      </c>
      <c r="F1689" s="40" t="inlineStr">
        <is>
          <t>708500</t>
        </is>
      </c>
      <c r="G1689" s="39" t="inlineStr">
        <is>
          <t>Frais de dossier / inscription</t>
        </is>
      </c>
      <c r="H1689" s="40" t="inlineStr">
        <is>
          <t>COMPTABLE</t>
        </is>
      </c>
      <c r="I1689" s="41" t="inlineStr">
        <is>
          <t>2024ACT_VDEF</t>
        </is>
      </c>
      <c r="J1689" s="41" t="n">
        <v>2024</v>
      </c>
      <c r="K1689" s="41" t="inlineStr">
        <is>
          <t>EUR</t>
        </is>
      </c>
      <c r="L1689" s="42" t="n">
        <v>2394</v>
      </c>
    </row>
    <row r="1690">
      <c r="B1690" s="39" t="inlineStr">
        <is>
          <t>ISCOM_TLS</t>
        </is>
      </c>
      <c r="C1690" s="40" t="inlineStr">
        <is>
          <t>MAS_COM</t>
        </is>
      </c>
      <c r="D1690" s="40" t="inlineStr">
        <is>
          <t>M1</t>
        </is>
      </c>
      <c r="E1690" s="40" t="inlineStr">
        <is>
          <t>ALT</t>
        </is>
      </c>
      <c r="F1690" s="40" t="inlineStr">
        <is>
          <t>708500</t>
        </is>
      </c>
      <c r="G1690" s="39" t="inlineStr">
        <is>
          <t>Frais de dossier / inscription</t>
        </is>
      </c>
      <c r="H1690" s="40" t="inlineStr">
        <is>
          <t>COMPTABLE</t>
        </is>
      </c>
      <c r="I1690" s="41" t="inlineStr">
        <is>
          <t>2025FCST_V4</t>
        </is>
      </c>
      <c r="J1690" s="41" t="n">
        <v>2025</v>
      </c>
      <c r="K1690" s="41" t="inlineStr">
        <is>
          <t>EUR</t>
        </is>
      </c>
      <c r="L1690" s="42" t="n">
        <v>2520</v>
      </c>
    </row>
    <row r="1691">
      <c r="B1691" s="39" t="inlineStr">
        <is>
          <t>ISCOM_TLS</t>
        </is>
      </c>
      <c r="C1691" s="40" t="inlineStr">
        <is>
          <t>MAS_COM</t>
        </is>
      </c>
      <c r="D1691" s="40" t="inlineStr">
        <is>
          <t>M1</t>
        </is>
      </c>
      <c r="E1691" s="40" t="inlineStr">
        <is>
          <t>ALT</t>
        </is>
      </c>
      <c r="F1691" s="40" t="inlineStr">
        <is>
          <t>604100</t>
        </is>
      </c>
      <c r="G1691" s="39" t="inlineStr">
        <is>
          <t>Vacations &amp; sous-traitance pédagogique</t>
        </is>
      </c>
      <c r="H1691" s="40" t="inlineStr">
        <is>
          <t>COMPTABLE</t>
        </is>
      </c>
      <c r="I1691" s="41" t="inlineStr">
        <is>
          <t>2023ACT_VDEF</t>
        </is>
      </c>
      <c r="J1691" s="41" t="n">
        <v>2023</v>
      </c>
      <c r="K1691" s="41" t="inlineStr">
        <is>
          <t>EUR</t>
        </is>
      </c>
      <c r="L1691" s="42" t="n">
        <v>63936</v>
      </c>
    </row>
    <row r="1692">
      <c r="B1692" s="39" t="inlineStr">
        <is>
          <t>ISCOM_TLS</t>
        </is>
      </c>
      <c r="C1692" s="40" t="inlineStr">
        <is>
          <t>MAS_COM</t>
        </is>
      </c>
      <c r="D1692" s="40" t="inlineStr">
        <is>
          <t>M1</t>
        </is>
      </c>
      <c r="E1692" s="40" t="inlineStr">
        <is>
          <t>ALT</t>
        </is>
      </c>
      <c r="F1692" s="40" t="inlineStr">
        <is>
          <t>604100</t>
        </is>
      </c>
      <c r="G1692" s="39" t="inlineStr">
        <is>
          <t>Vacations &amp; sous-traitance pédagogique</t>
        </is>
      </c>
      <c r="H1692" s="40" t="inlineStr">
        <is>
          <t>COMPTABLE</t>
        </is>
      </c>
      <c r="I1692" s="41" t="inlineStr">
        <is>
          <t>2024ACT_VDEF</t>
        </is>
      </c>
      <c r="J1692" s="41" t="n">
        <v>2024</v>
      </c>
      <c r="K1692" s="41" t="inlineStr">
        <is>
          <t>EUR</t>
        </is>
      </c>
      <c r="L1692" s="42" t="n">
        <v>67488</v>
      </c>
    </row>
    <row r="1693">
      <c r="B1693" s="39" t="inlineStr">
        <is>
          <t>ISCOM_TLS</t>
        </is>
      </c>
      <c r="C1693" s="40" t="inlineStr">
        <is>
          <t>MAS_COM</t>
        </is>
      </c>
      <c r="D1693" s="40" t="inlineStr">
        <is>
          <t>M1</t>
        </is>
      </c>
      <c r="E1693" s="40" t="inlineStr">
        <is>
          <t>ALT</t>
        </is>
      </c>
      <c r="F1693" s="40" t="inlineStr">
        <is>
          <t>604100</t>
        </is>
      </c>
      <c r="G1693" s="39" t="inlineStr">
        <is>
          <t>Vacations &amp; sous-traitance pédagogique</t>
        </is>
      </c>
      <c r="H1693" s="40" t="inlineStr">
        <is>
          <t>COMPTABLE</t>
        </is>
      </c>
      <c r="I1693" s="41" t="inlineStr">
        <is>
          <t>2025FCST_V4</t>
        </is>
      </c>
      <c r="J1693" s="41" t="n">
        <v>2025</v>
      </c>
      <c r="K1693" s="41" t="inlineStr">
        <is>
          <t>EUR</t>
        </is>
      </c>
      <c r="L1693" s="42" t="n">
        <v>71040</v>
      </c>
    </row>
    <row r="1694">
      <c r="B1694" s="39" t="inlineStr">
        <is>
          <t>ISCOM_TLS</t>
        </is>
      </c>
      <c r="C1694" s="40" t="inlineStr">
        <is>
          <t>MAS_COM</t>
        </is>
      </c>
      <c r="D1694" s="40" t="inlineStr">
        <is>
          <t>M1</t>
        </is>
      </c>
      <c r="E1694" s="40" t="inlineStr">
        <is>
          <t>ALT</t>
        </is>
      </c>
      <c r="F1694" s="40" t="inlineStr">
        <is>
          <t>606300</t>
        </is>
      </c>
      <c r="G1694" s="39" t="inlineStr">
        <is>
          <t>Fournitures &amp; ressources pédagogiques</t>
        </is>
      </c>
      <c r="H1694" s="40" t="inlineStr">
        <is>
          <t>COMPTABLE</t>
        </is>
      </c>
      <c r="I1694" s="41" t="inlineStr">
        <is>
          <t>2023ACT_VDEF</t>
        </is>
      </c>
      <c r="J1694" s="41" t="n">
        <v>2023</v>
      </c>
      <c r="K1694" s="41" t="inlineStr">
        <is>
          <t>EUR</t>
        </is>
      </c>
      <c r="L1694" s="42" t="n">
        <v>16884</v>
      </c>
    </row>
    <row r="1695">
      <c r="B1695" s="39" t="inlineStr">
        <is>
          <t>ISCOM_TLS</t>
        </is>
      </c>
      <c r="C1695" s="40" t="inlineStr">
        <is>
          <t>MAS_COM</t>
        </is>
      </c>
      <c r="D1695" s="40" t="inlineStr">
        <is>
          <t>M1</t>
        </is>
      </c>
      <c r="E1695" s="40" t="inlineStr">
        <is>
          <t>ALT</t>
        </is>
      </c>
      <c r="F1695" s="40" t="inlineStr">
        <is>
          <t>606300</t>
        </is>
      </c>
      <c r="G1695" s="39" t="inlineStr">
        <is>
          <t>Fournitures &amp; ressources pédagogiques</t>
        </is>
      </c>
      <c r="H1695" s="40" t="inlineStr">
        <is>
          <t>COMPTABLE</t>
        </is>
      </c>
      <c r="I1695" s="41" t="inlineStr">
        <is>
          <t>2024ACT_VDEF</t>
        </is>
      </c>
      <c r="J1695" s="41" t="n">
        <v>2024</v>
      </c>
      <c r="K1695" s="41" t="inlineStr">
        <is>
          <t>EUR</t>
        </is>
      </c>
      <c r="L1695" s="42" t="n">
        <v>17822</v>
      </c>
    </row>
    <row r="1696">
      <c r="B1696" s="39" t="inlineStr">
        <is>
          <t>ISCOM_TLS</t>
        </is>
      </c>
      <c r="C1696" s="40" t="inlineStr">
        <is>
          <t>MAS_COM</t>
        </is>
      </c>
      <c r="D1696" s="40" t="inlineStr">
        <is>
          <t>M1</t>
        </is>
      </c>
      <c r="E1696" s="40" t="inlineStr">
        <is>
          <t>ALT</t>
        </is>
      </c>
      <c r="F1696" s="40" t="inlineStr">
        <is>
          <t>606300</t>
        </is>
      </c>
      <c r="G1696" s="39" t="inlineStr">
        <is>
          <t>Fournitures &amp; ressources pédagogiques</t>
        </is>
      </c>
      <c r="H1696" s="40" t="inlineStr">
        <is>
          <t>COMPTABLE</t>
        </is>
      </c>
      <c r="I1696" s="41" t="inlineStr">
        <is>
          <t>2025FCST_V4</t>
        </is>
      </c>
      <c r="J1696" s="41" t="n">
        <v>2025</v>
      </c>
      <c r="K1696" s="41" t="inlineStr">
        <is>
          <t>EUR</t>
        </is>
      </c>
      <c r="L1696" s="42" t="n">
        <v>18760</v>
      </c>
    </row>
    <row r="1697">
      <c r="B1697" s="39" t="inlineStr">
        <is>
          <t>ISCOM_TLS</t>
        </is>
      </c>
      <c r="C1697" s="40" t="inlineStr">
        <is>
          <t>MAS_COM</t>
        </is>
      </c>
      <c r="D1697" s="40" t="inlineStr">
        <is>
          <t>M1</t>
        </is>
      </c>
      <c r="E1697" s="40" t="inlineStr">
        <is>
          <t>ALT</t>
        </is>
      </c>
      <c r="F1697" s="40" t="inlineStr">
        <is>
          <t>623000</t>
        </is>
      </c>
      <c r="G1697" s="39" t="inlineStr">
        <is>
          <t>Publicité &amp; marketing (acquisition)</t>
        </is>
      </c>
      <c r="H1697" s="40" t="inlineStr">
        <is>
          <t>COMPTABLE</t>
        </is>
      </c>
      <c r="I1697" s="41" t="inlineStr">
        <is>
          <t>2023ACT_VDEF</t>
        </is>
      </c>
      <c r="J1697" s="41" t="n">
        <v>2023</v>
      </c>
      <c r="K1697" s="41" t="inlineStr">
        <is>
          <t>EUR</t>
        </is>
      </c>
      <c r="L1697" s="42" t="n">
        <v>15120</v>
      </c>
    </row>
    <row r="1698">
      <c r="B1698" s="39" t="inlineStr">
        <is>
          <t>ISCOM_TLS</t>
        </is>
      </c>
      <c r="C1698" s="40" t="inlineStr">
        <is>
          <t>MAS_COM</t>
        </is>
      </c>
      <c r="D1698" s="40" t="inlineStr">
        <is>
          <t>M1</t>
        </is>
      </c>
      <c r="E1698" s="40" t="inlineStr">
        <is>
          <t>ALT</t>
        </is>
      </c>
      <c r="F1698" s="40" t="inlineStr">
        <is>
          <t>623000</t>
        </is>
      </c>
      <c r="G1698" s="39" t="inlineStr">
        <is>
          <t>Publicité &amp; marketing (acquisition)</t>
        </is>
      </c>
      <c r="H1698" s="40" t="inlineStr">
        <is>
          <t>COMPTABLE</t>
        </is>
      </c>
      <c r="I1698" s="41" t="inlineStr">
        <is>
          <t>2024ACT_VDEF</t>
        </is>
      </c>
      <c r="J1698" s="41" t="n">
        <v>2024</v>
      </c>
      <c r="K1698" s="41" t="inlineStr">
        <is>
          <t>EUR</t>
        </is>
      </c>
      <c r="L1698" s="42" t="n">
        <v>15960</v>
      </c>
    </row>
    <row r="1699">
      <c r="B1699" s="39" t="inlineStr">
        <is>
          <t>ISCOM_TLS</t>
        </is>
      </c>
      <c r="C1699" s="40" t="inlineStr">
        <is>
          <t>MAS_COM</t>
        </is>
      </c>
      <c r="D1699" s="40" t="inlineStr">
        <is>
          <t>M1</t>
        </is>
      </c>
      <c r="E1699" s="40" t="inlineStr">
        <is>
          <t>ALT</t>
        </is>
      </c>
      <c r="F1699" s="40" t="inlineStr">
        <is>
          <t>623000</t>
        </is>
      </c>
      <c r="G1699" s="39" t="inlineStr">
        <is>
          <t>Publicité &amp; marketing (acquisition)</t>
        </is>
      </c>
      <c r="H1699" s="40" t="inlineStr">
        <is>
          <t>COMPTABLE</t>
        </is>
      </c>
      <c r="I1699" s="41" t="inlineStr">
        <is>
          <t>2025FCST_V4</t>
        </is>
      </c>
      <c r="J1699" s="41" t="n">
        <v>2025</v>
      </c>
      <c r="K1699" s="41" t="inlineStr">
        <is>
          <t>EUR</t>
        </is>
      </c>
      <c r="L1699" s="42" t="n">
        <v>16800</v>
      </c>
    </row>
    <row r="1700">
      <c r="B1700" s="39" t="inlineStr">
        <is>
          <t>ISCOM_TLS</t>
        </is>
      </c>
      <c r="C1700" s="40" t="inlineStr">
        <is>
          <t>MAS_COM</t>
        </is>
      </c>
      <c r="D1700" s="40" t="inlineStr">
        <is>
          <t>M1</t>
        </is>
      </c>
      <c r="E1700" s="40" t="inlineStr">
        <is>
          <t>ALT</t>
        </is>
      </c>
      <c r="F1700" s="40" t="inlineStr">
        <is>
          <t>613200</t>
        </is>
      </c>
      <c r="G1700" s="39" t="inlineStr">
        <is>
          <t>Locations immobilières (loyers)</t>
        </is>
      </c>
      <c r="H1700" s="40" t="inlineStr">
        <is>
          <t>COMPTABLE</t>
        </is>
      </c>
      <c r="I1700" s="41" t="inlineStr">
        <is>
          <t>2023ACT_VDEF</t>
        </is>
      </c>
      <c r="J1700" s="41" t="n">
        <v>2023</v>
      </c>
      <c r="K1700" s="41" t="inlineStr">
        <is>
          <t>EUR</t>
        </is>
      </c>
      <c r="L1700" s="42" t="n">
        <v>32600</v>
      </c>
    </row>
    <row r="1701">
      <c r="B1701" s="39" t="inlineStr">
        <is>
          <t>ISCOM_TLS</t>
        </is>
      </c>
      <c r="C1701" s="40" t="inlineStr">
        <is>
          <t>MAS_COM</t>
        </is>
      </c>
      <c r="D1701" s="40" t="inlineStr">
        <is>
          <t>M1</t>
        </is>
      </c>
      <c r="E1701" s="40" t="inlineStr">
        <is>
          <t>ALT</t>
        </is>
      </c>
      <c r="F1701" s="40" t="inlineStr">
        <is>
          <t>613200</t>
        </is>
      </c>
      <c r="G1701" s="39" t="inlineStr">
        <is>
          <t>Locations immobilières (loyers)</t>
        </is>
      </c>
      <c r="H1701" s="40" t="inlineStr">
        <is>
          <t>COMPTABLE</t>
        </is>
      </c>
      <c r="I1701" s="41" t="inlineStr">
        <is>
          <t>2024ACT_VDEF</t>
        </is>
      </c>
      <c r="J1701" s="41" t="n">
        <v>2024</v>
      </c>
      <c r="K1701" s="41" t="inlineStr">
        <is>
          <t>EUR</t>
        </is>
      </c>
      <c r="L1701" s="42" t="n">
        <v>34411</v>
      </c>
    </row>
    <row r="1702">
      <c r="B1702" s="39" t="inlineStr">
        <is>
          <t>ISCOM_TLS</t>
        </is>
      </c>
      <c r="C1702" s="40" t="inlineStr">
        <is>
          <t>MAS_COM</t>
        </is>
      </c>
      <c r="D1702" s="40" t="inlineStr">
        <is>
          <t>M1</t>
        </is>
      </c>
      <c r="E1702" s="40" t="inlineStr">
        <is>
          <t>ALT</t>
        </is>
      </c>
      <c r="F1702" s="40" t="inlineStr">
        <is>
          <t>613200</t>
        </is>
      </c>
      <c r="G1702" s="39" t="inlineStr">
        <is>
          <t>Locations immobilières (loyers)</t>
        </is>
      </c>
      <c r="H1702" s="40" t="inlineStr">
        <is>
          <t>COMPTABLE</t>
        </is>
      </c>
      <c r="I1702" s="41" t="inlineStr">
        <is>
          <t>2025FCST_V4</t>
        </is>
      </c>
      <c r="J1702" s="41" t="n">
        <v>2025</v>
      </c>
      <c r="K1702" s="41" t="inlineStr">
        <is>
          <t>EUR</t>
        </is>
      </c>
      <c r="L1702" s="42" t="n">
        <v>36222</v>
      </c>
    </row>
    <row r="1703">
      <c r="B1703" s="39" t="inlineStr">
        <is>
          <t>ISCOM_TLS</t>
        </is>
      </c>
      <c r="C1703" s="40" t="inlineStr">
        <is>
          <t>MAS_COM</t>
        </is>
      </c>
      <c r="D1703" s="40" t="inlineStr">
        <is>
          <t>M1</t>
        </is>
      </c>
      <c r="E1703" s="40" t="inlineStr">
        <is>
          <t>ALT</t>
        </is>
      </c>
      <c r="F1703" s="40" t="inlineStr">
        <is>
          <t>641100</t>
        </is>
      </c>
      <c r="G1703" s="39" t="inlineStr">
        <is>
          <t>Rémunérations du personnel permanent</t>
        </is>
      </c>
      <c r="H1703" s="40" t="inlineStr">
        <is>
          <t>COMPTABLE</t>
        </is>
      </c>
      <c r="I1703" s="41" t="inlineStr">
        <is>
          <t>2023ACT_VDEF</t>
        </is>
      </c>
      <c r="J1703" s="41" t="n">
        <v>2023</v>
      </c>
      <c r="K1703" s="41" t="inlineStr">
        <is>
          <t>EUR</t>
        </is>
      </c>
      <c r="L1703" s="42" t="n">
        <v>81200</v>
      </c>
    </row>
    <row r="1704">
      <c r="B1704" s="39" t="inlineStr">
        <is>
          <t>ISCOM_TLS</t>
        </is>
      </c>
      <c r="C1704" s="40" t="inlineStr">
        <is>
          <t>MAS_COM</t>
        </is>
      </c>
      <c r="D1704" s="40" t="inlineStr">
        <is>
          <t>M1</t>
        </is>
      </c>
      <c r="E1704" s="40" t="inlineStr">
        <is>
          <t>ALT</t>
        </is>
      </c>
      <c r="F1704" s="40" t="inlineStr">
        <is>
          <t>641100</t>
        </is>
      </c>
      <c r="G1704" s="39" t="inlineStr">
        <is>
          <t>Rémunérations du personnel permanent</t>
        </is>
      </c>
      <c r="H1704" s="40" t="inlineStr">
        <is>
          <t>COMPTABLE</t>
        </is>
      </c>
      <c r="I1704" s="41" t="inlineStr">
        <is>
          <t>2024ACT_VDEF</t>
        </is>
      </c>
      <c r="J1704" s="41" t="n">
        <v>2024</v>
      </c>
      <c r="K1704" s="41" t="inlineStr">
        <is>
          <t>EUR</t>
        </is>
      </c>
      <c r="L1704" s="42" t="n">
        <v>85711</v>
      </c>
    </row>
    <row r="1705">
      <c r="B1705" s="39" t="inlineStr">
        <is>
          <t>ISCOM_TLS</t>
        </is>
      </c>
      <c r="C1705" s="40" t="inlineStr">
        <is>
          <t>MAS_COM</t>
        </is>
      </c>
      <c r="D1705" s="40" t="inlineStr">
        <is>
          <t>M1</t>
        </is>
      </c>
      <c r="E1705" s="40" t="inlineStr">
        <is>
          <t>ALT</t>
        </is>
      </c>
      <c r="F1705" s="40" t="inlineStr">
        <is>
          <t>641100</t>
        </is>
      </c>
      <c r="G1705" s="39" t="inlineStr">
        <is>
          <t>Rémunérations du personnel permanent</t>
        </is>
      </c>
      <c r="H1705" s="40" t="inlineStr">
        <is>
          <t>COMPTABLE</t>
        </is>
      </c>
      <c r="I1705" s="41" t="inlineStr">
        <is>
          <t>2025FCST_V4</t>
        </is>
      </c>
      <c r="J1705" s="41" t="n">
        <v>2025</v>
      </c>
      <c r="K1705" s="41" t="inlineStr">
        <is>
          <t>EUR</t>
        </is>
      </c>
      <c r="L1705" s="42" t="n">
        <v>90222</v>
      </c>
    </row>
    <row r="1706">
      <c r="B1706" s="39" t="inlineStr">
        <is>
          <t>ISCOM_TLS</t>
        </is>
      </c>
      <c r="C1706" s="40" t="inlineStr">
        <is>
          <t>MAS_COM</t>
        </is>
      </c>
      <c r="D1706" s="40" t="inlineStr">
        <is>
          <t>M1</t>
        </is>
      </c>
      <c r="E1706" s="40" t="inlineStr">
        <is>
          <t>ALT</t>
        </is>
      </c>
      <c r="F1706" s="40" t="inlineStr">
        <is>
          <t>622600</t>
        </is>
      </c>
      <c r="G1706" s="39" t="inlineStr">
        <is>
          <t>Honoraires &amp; frais de siège (structure groupe)</t>
        </is>
      </c>
      <c r="H1706" s="40" t="inlineStr">
        <is>
          <t>COMPTABLE</t>
        </is>
      </c>
      <c r="I1706" s="41" t="inlineStr">
        <is>
          <t>2023ACT_VDEF</t>
        </is>
      </c>
      <c r="J1706" s="41" t="n">
        <v>2023</v>
      </c>
      <c r="K1706" s="41" t="inlineStr">
        <is>
          <t>EUR</t>
        </is>
      </c>
      <c r="L1706" s="42" t="n">
        <v>29687</v>
      </c>
    </row>
    <row r="1707">
      <c r="B1707" s="39" t="inlineStr">
        <is>
          <t>ISCOM_TLS</t>
        </is>
      </c>
      <c r="C1707" s="40" t="inlineStr">
        <is>
          <t>MAS_COM</t>
        </is>
      </c>
      <c r="D1707" s="40" t="inlineStr">
        <is>
          <t>M1</t>
        </is>
      </c>
      <c r="E1707" s="40" t="inlineStr">
        <is>
          <t>ALT</t>
        </is>
      </c>
      <c r="F1707" s="40" t="inlineStr">
        <is>
          <t>622600</t>
        </is>
      </c>
      <c r="G1707" s="39" t="inlineStr">
        <is>
          <t>Honoraires &amp; frais de siège (structure groupe)</t>
        </is>
      </c>
      <c r="H1707" s="40" t="inlineStr">
        <is>
          <t>COMPTABLE</t>
        </is>
      </c>
      <c r="I1707" s="41" t="inlineStr">
        <is>
          <t>2024ACT_VDEF</t>
        </is>
      </c>
      <c r="J1707" s="41" t="n">
        <v>2024</v>
      </c>
      <c r="K1707" s="41" t="inlineStr">
        <is>
          <t>EUR</t>
        </is>
      </c>
      <c r="L1707" s="42" t="n">
        <v>31337</v>
      </c>
    </row>
    <row r="1708">
      <c r="B1708" s="39" t="inlineStr">
        <is>
          <t>ISCOM_TLS</t>
        </is>
      </c>
      <c r="C1708" s="40" t="inlineStr">
        <is>
          <t>MAS_COM</t>
        </is>
      </c>
      <c r="D1708" s="40" t="inlineStr">
        <is>
          <t>M1</t>
        </is>
      </c>
      <c r="E1708" s="40" t="inlineStr">
        <is>
          <t>ALT</t>
        </is>
      </c>
      <c r="F1708" s="40" t="inlineStr">
        <is>
          <t>622600</t>
        </is>
      </c>
      <c r="G1708" s="39" t="inlineStr">
        <is>
          <t>Honoraires &amp; frais de siège (structure groupe)</t>
        </is>
      </c>
      <c r="H1708" s="40" t="inlineStr">
        <is>
          <t>COMPTABLE</t>
        </is>
      </c>
      <c r="I1708" s="41" t="inlineStr">
        <is>
          <t>2025FCST_V4</t>
        </is>
      </c>
      <c r="J1708" s="41" t="n">
        <v>2025</v>
      </c>
      <c r="K1708" s="41" t="inlineStr">
        <is>
          <t>EUR</t>
        </is>
      </c>
      <c r="L1708" s="42" t="n">
        <v>32986</v>
      </c>
    </row>
    <row r="1709">
      <c r="B1709" s="39" t="inlineStr">
        <is>
          <t>ISCOM_TLS</t>
        </is>
      </c>
      <c r="C1709" s="40" t="inlineStr">
        <is>
          <t>MAS_COM</t>
        </is>
      </c>
      <c r="D1709" s="40" t="inlineStr">
        <is>
          <t>M1</t>
        </is>
      </c>
      <c r="E1709" s="40" t="inlineStr">
        <is>
          <t>ALT</t>
        </is>
      </c>
      <c r="F1709" s="40" t="inlineStr">
        <is>
          <t>606800</t>
        </is>
      </c>
      <c r="G1709" s="39" t="inlineStr">
        <is>
          <t>Autres achats &amp; charges externes</t>
        </is>
      </c>
      <c r="H1709" s="40" t="inlineStr">
        <is>
          <t>COMPTABLE</t>
        </is>
      </c>
      <c r="I1709" s="41" t="inlineStr">
        <is>
          <t>2023ACT_VDEF</t>
        </is>
      </c>
      <c r="J1709" s="41" t="n">
        <v>2023</v>
      </c>
      <c r="K1709" s="41" t="inlineStr">
        <is>
          <t>EUR</t>
        </is>
      </c>
      <c r="L1709" s="42" t="n">
        <v>23537</v>
      </c>
    </row>
    <row r="1710">
      <c r="B1710" s="39" t="inlineStr">
        <is>
          <t>ISCOM_TLS</t>
        </is>
      </c>
      <c r="C1710" s="40" t="inlineStr">
        <is>
          <t>MAS_COM</t>
        </is>
      </c>
      <c r="D1710" s="40" t="inlineStr">
        <is>
          <t>M1</t>
        </is>
      </c>
      <c r="E1710" s="40" t="inlineStr">
        <is>
          <t>ALT</t>
        </is>
      </c>
      <c r="F1710" s="40" t="inlineStr">
        <is>
          <t>606800</t>
        </is>
      </c>
      <c r="G1710" s="39" t="inlineStr">
        <is>
          <t>Autres achats &amp; charges externes</t>
        </is>
      </c>
      <c r="H1710" s="40" t="inlineStr">
        <is>
          <t>COMPTABLE</t>
        </is>
      </c>
      <c r="I1710" s="41" t="inlineStr">
        <is>
          <t>2024ACT_VDEF</t>
        </is>
      </c>
      <c r="J1710" s="41" t="n">
        <v>2024</v>
      </c>
      <c r="K1710" s="41" t="inlineStr">
        <is>
          <t>EUR</t>
        </is>
      </c>
      <c r="L1710" s="42" t="n">
        <v>24844</v>
      </c>
    </row>
    <row r="1711">
      <c r="B1711" s="39" t="inlineStr">
        <is>
          <t>ISCOM_TLS</t>
        </is>
      </c>
      <c r="C1711" s="40" t="inlineStr">
        <is>
          <t>MAS_COM</t>
        </is>
      </c>
      <c r="D1711" s="40" t="inlineStr">
        <is>
          <t>M1</t>
        </is>
      </c>
      <c r="E1711" s="40" t="inlineStr">
        <is>
          <t>ALT</t>
        </is>
      </c>
      <c r="F1711" s="40" t="inlineStr">
        <is>
          <t>606800</t>
        </is>
      </c>
      <c r="G1711" s="39" t="inlineStr">
        <is>
          <t>Autres achats &amp; charges externes</t>
        </is>
      </c>
      <c r="H1711" s="40" t="inlineStr">
        <is>
          <t>COMPTABLE</t>
        </is>
      </c>
      <c r="I1711" s="41" t="inlineStr">
        <is>
          <t>2025FCST_V4</t>
        </is>
      </c>
      <c r="J1711" s="41" t="n">
        <v>2025</v>
      </c>
      <c r="K1711" s="41" t="inlineStr">
        <is>
          <t>EUR</t>
        </is>
      </c>
      <c r="L1711" s="42" t="n">
        <v>26152</v>
      </c>
    </row>
    <row r="1712">
      <c r="B1712" s="39" t="inlineStr">
        <is>
          <t>ISCOM_TLS</t>
        </is>
      </c>
      <c r="C1712" s="40" t="inlineStr">
        <is>
          <t>MAS_COM</t>
        </is>
      </c>
      <c r="D1712" s="40" t="inlineStr">
        <is>
          <t>M1</t>
        </is>
      </c>
      <c r="E1712" s="40" t="inlineStr">
        <is>
          <t>ALT</t>
        </is>
      </c>
      <c r="F1712" s="40" t="inlineStr">
        <is>
          <t>681100</t>
        </is>
      </c>
      <c r="G1712" s="39" t="inlineStr">
        <is>
          <t>Dotations aux amortissements</t>
        </is>
      </c>
      <c r="H1712" s="40" t="inlineStr">
        <is>
          <t>COMPTABLE</t>
        </is>
      </c>
      <c r="I1712" s="41" t="inlineStr">
        <is>
          <t>2023ACT_VDEF</t>
        </is>
      </c>
      <c r="J1712" s="41" t="n">
        <v>2023</v>
      </c>
      <c r="K1712" s="41" t="inlineStr">
        <is>
          <t>EUR</t>
        </is>
      </c>
      <c r="L1712" s="42" t="n">
        <v>17800</v>
      </c>
    </row>
    <row r="1713">
      <c r="B1713" s="39" t="inlineStr">
        <is>
          <t>ISCOM_TLS</t>
        </is>
      </c>
      <c r="C1713" s="40" t="inlineStr">
        <is>
          <t>MAS_COM</t>
        </is>
      </c>
      <c r="D1713" s="40" t="inlineStr">
        <is>
          <t>M1</t>
        </is>
      </c>
      <c r="E1713" s="40" t="inlineStr">
        <is>
          <t>ALT</t>
        </is>
      </c>
      <c r="F1713" s="40" t="inlineStr">
        <is>
          <t>681100</t>
        </is>
      </c>
      <c r="G1713" s="39" t="inlineStr">
        <is>
          <t>Dotations aux amortissements</t>
        </is>
      </c>
      <c r="H1713" s="40" t="inlineStr">
        <is>
          <t>COMPTABLE</t>
        </is>
      </c>
      <c r="I1713" s="41" t="inlineStr">
        <is>
          <t>2024ACT_VDEF</t>
        </is>
      </c>
      <c r="J1713" s="41" t="n">
        <v>2024</v>
      </c>
      <c r="K1713" s="41" t="inlineStr">
        <is>
          <t>EUR</t>
        </is>
      </c>
      <c r="L1713" s="42" t="n">
        <v>18789</v>
      </c>
    </row>
    <row r="1714">
      <c r="B1714" s="39" t="inlineStr">
        <is>
          <t>ISCOM_TLS</t>
        </is>
      </c>
      <c r="C1714" s="40" t="inlineStr">
        <is>
          <t>MAS_COM</t>
        </is>
      </c>
      <c r="D1714" s="40" t="inlineStr">
        <is>
          <t>M1</t>
        </is>
      </c>
      <c r="E1714" s="40" t="inlineStr">
        <is>
          <t>ALT</t>
        </is>
      </c>
      <c r="F1714" s="40" t="inlineStr">
        <is>
          <t>681100</t>
        </is>
      </c>
      <c r="G1714" s="39" t="inlineStr">
        <is>
          <t>Dotations aux amortissements</t>
        </is>
      </c>
      <c r="H1714" s="40" t="inlineStr">
        <is>
          <t>COMPTABLE</t>
        </is>
      </c>
      <c r="I1714" s="41" t="inlineStr">
        <is>
          <t>2025FCST_V4</t>
        </is>
      </c>
      <c r="J1714" s="41" t="n">
        <v>2025</v>
      </c>
      <c r="K1714" s="41" t="inlineStr">
        <is>
          <t>EUR</t>
        </is>
      </c>
      <c r="L1714" s="42" t="n">
        <v>19778</v>
      </c>
    </row>
    <row r="1715">
      <c r="B1715" s="39" t="inlineStr">
        <is>
          <t>ISCOM_TLS</t>
        </is>
      </c>
      <c r="C1715" s="40" t="inlineStr">
        <is>
          <t>MAS_COM</t>
        </is>
      </c>
      <c r="D1715" s="40" t="inlineStr">
        <is>
          <t>M1</t>
        </is>
      </c>
      <c r="E1715" s="40" t="inlineStr">
        <is>
          <t>ALT</t>
        </is>
      </c>
      <c r="F1715" s="40" t="inlineStr">
        <is>
          <t>STA_EFF</t>
        </is>
      </c>
      <c r="G1715" s="39" t="inlineStr">
        <is>
          <t>Effectif inscrit</t>
        </is>
      </c>
      <c r="H1715" s="40" t="inlineStr">
        <is>
          <t>TECHNIQUE</t>
        </is>
      </c>
      <c r="I1715" s="41" t="inlineStr">
        <is>
          <t>2023ACT_VDEF</t>
        </is>
      </c>
      <c r="J1715" s="41" t="n">
        <v>2023</v>
      </c>
      <c r="K1715" s="41" t="inlineStr">
        <is>
          <t>NB</t>
        </is>
      </c>
      <c r="L1715" s="43" t="n">
        <v>25</v>
      </c>
    </row>
    <row r="1716">
      <c r="B1716" s="39" t="inlineStr">
        <is>
          <t>ISCOM_TLS</t>
        </is>
      </c>
      <c r="C1716" s="40" t="inlineStr">
        <is>
          <t>MAS_COM</t>
        </is>
      </c>
      <c r="D1716" s="40" t="inlineStr">
        <is>
          <t>M1</t>
        </is>
      </c>
      <c r="E1716" s="40" t="inlineStr">
        <is>
          <t>ALT</t>
        </is>
      </c>
      <c r="F1716" s="40" t="inlineStr">
        <is>
          <t>STA_EFF</t>
        </is>
      </c>
      <c r="G1716" s="39" t="inlineStr">
        <is>
          <t>Effectif inscrit</t>
        </is>
      </c>
      <c r="H1716" s="40" t="inlineStr">
        <is>
          <t>TECHNIQUE</t>
        </is>
      </c>
      <c r="I1716" s="41" t="inlineStr">
        <is>
          <t>2024ACT_VDEF</t>
        </is>
      </c>
      <c r="J1716" s="41" t="n">
        <v>2024</v>
      </c>
      <c r="K1716" s="41" t="inlineStr">
        <is>
          <t>NB</t>
        </is>
      </c>
      <c r="L1716" s="43" t="n">
        <v>27</v>
      </c>
    </row>
    <row r="1717">
      <c r="B1717" s="39" t="inlineStr">
        <is>
          <t>ISCOM_TLS</t>
        </is>
      </c>
      <c r="C1717" s="40" t="inlineStr">
        <is>
          <t>MAS_COM</t>
        </is>
      </c>
      <c r="D1717" s="40" t="inlineStr">
        <is>
          <t>M1</t>
        </is>
      </c>
      <c r="E1717" s="40" t="inlineStr">
        <is>
          <t>ALT</t>
        </is>
      </c>
      <c r="F1717" s="40" t="inlineStr">
        <is>
          <t>STA_EFF</t>
        </is>
      </c>
      <c r="G1717" s="39" t="inlineStr">
        <is>
          <t>Effectif inscrit</t>
        </is>
      </c>
      <c r="H1717" s="40" t="inlineStr">
        <is>
          <t>TECHNIQUE</t>
        </is>
      </c>
      <c r="I1717" s="41" t="inlineStr">
        <is>
          <t>2025FCST_V4</t>
        </is>
      </c>
      <c r="J1717" s="41" t="n">
        <v>2025</v>
      </c>
      <c r="K1717" s="41" t="inlineStr">
        <is>
          <t>NB</t>
        </is>
      </c>
      <c r="L1717" s="43" t="n">
        <v>28</v>
      </c>
    </row>
    <row r="1718">
      <c r="B1718" s="39" t="inlineStr">
        <is>
          <t>ISCOM_TLS</t>
        </is>
      </c>
      <c r="C1718" s="40" t="inlineStr">
        <is>
          <t>MAS_COM</t>
        </is>
      </c>
      <c r="D1718" s="40" t="inlineStr">
        <is>
          <t>M1</t>
        </is>
      </c>
      <c r="E1718" s="40" t="inlineStr">
        <is>
          <t>ALT</t>
        </is>
      </c>
      <c r="F1718" s="40" t="inlineStr">
        <is>
          <t>STA_CAND</t>
        </is>
      </c>
      <c r="G1718" s="39" t="inlineStr">
        <is>
          <t>Candidatures reçues</t>
        </is>
      </c>
      <c r="H1718" s="40" t="inlineStr">
        <is>
          <t>TECHNIQUE</t>
        </is>
      </c>
      <c r="I1718" s="41" t="inlineStr">
        <is>
          <t>2023ACT_VDEF</t>
        </is>
      </c>
      <c r="J1718" s="41" t="n">
        <v>2023</v>
      </c>
      <c r="K1718" s="41" t="inlineStr">
        <is>
          <t>NB</t>
        </is>
      </c>
      <c r="L1718" s="43" t="n">
        <v>68</v>
      </c>
    </row>
    <row r="1719">
      <c r="B1719" s="39" t="inlineStr">
        <is>
          <t>ISCOM_TLS</t>
        </is>
      </c>
      <c r="C1719" s="40" t="inlineStr">
        <is>
          <t>MAS_COM</t>
        </is>
      </c>
      <c r="D1719" s="40" t="inlineStr">
        <is>
          <t>M1</t>
        </is>
      </c>
      <c r="E1719" s="40" t="inlineStr">
        <is>
          <t>ALT</t>
        </is>
      </c>
      <c r="F1719" s="40" t="inlineStr">
        <is>
          <t>STA_CAND</t>
        </is>
      </c>
      <c r="G1719" s="39" t="inlineStr">
        <is>
          <t>Candidatures reçues</t>
        </is>
      </c>
      <c r="H1719" s="40" t="inlineStr">
        <is>
          <t>TECHNIQUE</t>
        </is>
      </c>
      <c r="I1719" s="41" t="inlineStr">
        <is>
          <t>2024ACT_VDEF</t>
        </is>
      </c>
      <c r="J1719" s="41" t="n">
        <v>2024</v>
      </c>
      <c r="K1719" s="41" t="inlineStr">
        <is>
          <t>NB</t>
        </is>
      </c>
      <c r="L1719" s="43" t="n">
        <v>71</v>
      </c>
    </row>
    <row r="1720">
      <c r="B1720" s="39" t="inlineStr">
        <is>
          <t>ISCOM_TLS</t>
        </is>
      </c>
      <c r="C1720" s="40" t="inlineStr">
        <is>
          <t>MAS_COM</t>
        </is>
      </c>
      <c r="D1720" s="40" t="inlineStr">
        <is>
          <t>M1</t>
        </is>
      </c>
      <c r="E1720" s="40" t="inlineStr">
        <is>
          <t>ALT</t>
        </is>
      </c>
      <c r="F1720" s="40" t="inlineStr">
        <is>
          <t>STA_CAND</t>
        </is>
      </c>
      <c r="G1720" s="39" t="inlineStr">
        <is>
          <t>Candidatures reçues</t>
        </is>
      </c>
      <c r="H1720" s="40" t="inlineStr">
        <is>
          <t>TECHNIQUE</t>
        </is>
      </c>
      <c r="I1720" s="41" t="inlineStr">
        <is>
          <t>2025FCST_V4</t>
        </is>
      </c>
      <c r="J1720" s="41" t="n">
        <v>2025</v>
      </c>
      <c r="K1720" s="41" t="inlineStr">
        <is>
          <t>NB</t>
        </is>
      </c>
      <c r="L1720" s="43" t="n">
        <v>75</v>
      </c>
    </row>
    <row r="1721">
      <c r="B1721" s="39" t="inlineStr">
        <is>
          <t>ISCOM_TLS</t>
        </is>
      </c>
      <c r="C1721" s="40" t="inlineStr">
        <is>
          <t>MAS_COM</t>
        </is>
      </c>
      <c r="D1721" s="40" t="inlineStr">
        <is>
          <t>M1</t>
        </is>
      </c>
      <c r="E1721" s="40" t="inlineStr">
        <is>
          <t>ALT</t>
        </is>
      </c>
      <c r="F1721" s="40" t="inlineStr">
        <is>
          <t>STA_ADMIS</t>
        </is>
      </c>
      <c r="G1721" s="39" t="inlineStr">
        <is>
          <t>Candidats admis</t>
        </is>
      </c>
      <c r="H1721" s="40" t="inlineStr">
        <is>
          <t>TECHNIQUE</t>
        </is>
      </c>
      <c r="I1721" s="41" t="inlineStr">
        <is>
          <t>2023ACT_VDEF</t>
        </is>
      </c>
      <c r="J1721" s="41" t="n">
        <v>2023</v>
      </c>
      <c r="K1721" s="41" t="inlineStr">
        <is>
          <t>NB</t>
        </is>
      </c>
      <c r="L1721" s="43" t="n">
        <v>41</v>
      </c>
    </row>
    <row r="1722">
      <c r="B1722" s="39" t="inlineStr">
        <is>
          <t>ISCOM_TLS</t>
        </is>
      </c>
      <c r="C1722" s="40" t="inlineStr">
        <is>
          <t>MAS_COM</t>
        </is>
      </c>
      <c r="D1722" s="40" t="inlineStr">
        <is>
          <t>M1</t>
        </is>
      </c>
      <c r="E1722" s="40" t="inlineStr">
        <is>
          <t>ALT</t>
        </is>
      </c>
      <c r="F1722" s="40" t="inlineStr">
        <is>
          <t>STA_ADMIS</t>
        </is>
      </c>
      <c r="G1722" s="39" t="inlineStr">
        <is>
          <t>Candidats admis</t>
        </is>
      </c>
      <c r="H1722" s="40" t="inlineStr">
        <is>
          <t>TECHNIQUE</t>
        </is>
      </c>
      <c r="I1722" s="41" t="inlineStr">
        <is>
          <t>2024ACT_VDEF</t>
        </is>
      </c>
      <c r="J1722" s="41" t="n">
        <v>2024</v>
      </c>
      <c r="K1722" s="41" t="inlineStr">
        <is>
          <t>NB</t>
        </is>
      </c>
      <c r="L1722" s="43" t="n">
        <v>44</v>
      </c>
    </row>
    <row r="1723">
      <c r="B1723" s="39" t="inlineStr">
        <is>
          <t>ISCOM_TLS</t>
        </is>
      </c>
      <c r="C1723" s="40" t="inlineStr">
        <is>
          <t>MAS_COM</t>
        </is>
      </c>
      <c r="D1723" s="40" t="inlineStr">
        <is>
          <t>M1</t>
        </is>
      </c>
      <c r="E1723" s="40" t="inlineStr">
        <is>
          <t>ALT</t>
        </is>
      </c>
      <c r="F1723" s="40" t="inlineStr">
        <is>
          <t>STA_ADMIS</t>
        </is>
      </c>
      <c r="G1723" s="39" t="inlineStr">
        <is>
          <t>Candidats admis</t>
        </is>
      </c>
      <c r="H1723" s="40" t="inlineStr">
        <is>
          <t>TECHNIQUE</t>
        </is>
      </c>
      <c r="I1723" s="41" t="inlineStr">
        <is>
          <t>2025FCST_V4</t>
        </is>
      </c>
      <c r="J1723" s="41" t="n">
        <v>2025</v>
      </c>
      <c r="K1723" s="41" t="inlineStr">
        <is>
          <t>NB</t>
        </is>
      </c>
      <c r="L1723" s="43" t="n">
        <v>46</v>
      </c>
    </row>
    <row r="1724">
      <c r="B1724" s="39" t="inlineStr">
        <is>
          <t>ISCOM_TLS</t>
        </is>
      </c>
      <c r="C1724" s="40" t="inlineStr">
        <is>
          <t>MAS_COM</t>
        </is>
      </c>
      <c r="D1724" s="40" t="inlineStr">
        <is>
          <t>M1</t>
        </is>
      </c>
      <c r="E1724" s="40" t="inlineStr">
        <is>
          <t>ALT</t>
        </is>
      </c>
      <c r="F1724" s="40" t="inlineStr">
        <is>
          <t>STA_NOUV</t>
        </is>
      </c>
      <c r="G1724" s="39" t="inlineStr">
        <is>
          <t>Nouveaux inscrits</t>
        </is>
      </c>
      <c r="H1724" s="40" t="inlineStr">
        <is>
          <t>TECHNIQUE</t>
        </is>
      </c>
      <c r="I1724" s="41" t="inlineStr">
        <is>
          <t>2023ACT_VDEF</t>
        </is>
      </c>
      <c r="J1724" s="41" t="n">
        <v>2023</v>
      </c>
      <c r="K1724" s="41" t="inlineStr">
        <is>
          <t>NB</t>
        </is>
      </c>
      <c r="L1724" s="43" t="n">
        <v>25</v>
      </c>
    </row>
    <row r="1725">
      <c r="B1725" s="39" t="inlineStr">
        <is>
          <t>ISCOM_TLS</t>
        </is>
      </c>
      <c r="C1725" s="40" t="inlineStr">
        <is>
          <t>MAS_COM</t>
        </is>
      </c>
      <c r="D1725" s="40" t="inlineStr">
        <is>
          <t>M1</t>
        </is>
      </c>
      <c r="E1725" s="40" t="inlineStr">
        <is>
          <t>ALT</t>
        </is>
      </c>
      <c r="F1725" s="40" t="inlineStr">
        <is>
          <t>STA_NOUV</t>
        </is>
      </c>
      <c r="G1725" s="39" t="inlineStr">
        <is>
          <t>Nouveaux inscrits</t>
        </is>
      </c>
      <c r="H1725" s="40" t="inlineStr">
        <is>
          <t>TECHNIQUE</t>
        </is>
      </c>
      <c r="I1725" s="41" t="inlineStr">
        <is>
          <t>2024ACT_VDEF</t>
        </is>
      </c>
      <c r="J1725" s="41" t="n">
        <v>2024</v>
      </c>
      <c r="K1725" s="41" t="inlineStr">
        <is>
          <t>NB</t>
        </is>
      </c>
      <c r="L1725" s="43" t="n">
        <v>27</v>
      </c>
    </row>
    <row r="1726">
      <c r="B1726" s="39" t="inlineStr">
        <is>
          <t>ISCOM_TLS</t>
        </is>
      </c>
      <c r="C1726" s="40" t="inlineStr">
        <is>
          <t>MAS_COM</t>
        </is>
      </c>
      <c r="D1726" s="40" t="inlineStr">
        <is>
          <t>M1</t>
        </is>
      </c>
      <c r="E1726" s="40" t="inlineStr">
        <is>
          <t>ALT</t>
        </is>
      </c>
      <c r="F1726" s="40" t="inlineStr">
        <is>
          <t>STA_NOUV</t>
        </is>
      </c>
      <c r="G1726" s="39" t="inlineStr">
        <is>
          <t>Nouveaux inscrits</t>
        </is>
      </c>
      <c r="H1726" s="40" t="inlineStr">
        <is>
          <t>TECHNIQUE</t>
        </is>
      </c>
      <c r="I1726" s="41" t="inlineStr">
        <is>
          <t>2025FCST_V4</t>
        </is>
      </c>
      <c r="J1726" s="41" t="n">
        <v>2025</v>
      </c>
      <c r="K1726" s="41" t="inlineStr">
        <is>
          <t>NB</t>
        </is>
      </c>
      <c r="L1726" s="43" t="n">
        <v>28</v>
      </c>
    </row>
    <row r="1727">
      <c r="B1727" s="39" t="inlineStr">
        <is>
          <t>ISCOM_TLS</t>
        </is>
      </c>
      <c r="C1727" s="40" t="inlineStr">
        <is>
          <t>MAS_COM</t>
        </is>
      </c>
      <c r="D1727" s="40" t="inlineStr">
        <is>
          <t>M1</t>
        </is>
      </c>
      <c r="E1727" s="40" t="inlineStr">
        <is>
          <t>ALT</t>
        </is>
      </c>
      <c r="F1727" s="40" t="inlineStr">
        <is>
          <t>STA_CLASS</t>
        </is>
      </c>
      <c r="G1727" s="39" t="inlineStr">
        <is>
          <t>Nombre de classes</t>
        </is>
      </c>
      <c r="H1727" s="40" t="inlineStr">
        <is>
          <t>TECHNIQUE</t>
        </is>
      </c>
      <c r="I1727" s="41" t="inlineStr">
        <is>
          <t>2023ACT_VDEF</t>
        </is>
      </c>
      <c r="J1727" s="41" t="n">
        <v>2023</v>
      </c>
      <c r="K1727" s="41" t="inlineStr">
        <is>
          <t>NB</t>
        </is>
      </c>
      <c r="L1727" s="43" t="n">
        <v>2</v>
      </c>
    </row>
    <row r="1728">
      <c r="B1728" s="39" t="inlineStr">
        <is>
          <t>ISCOM_TLS</t>
        </is>
      </c>
      <c r="C1728" s="40" t="inlineStr">
        <is>
          <t>MAS_COM</t>
        </is>
      </c>
      <c r="D1728" s="40" t="inlineStr">
        <is>
          <t>M1</t>
        </is>
      </c>
      <c r="E1728" s="40" t="inlineStr">
        <is>
          <t>ALT</t>
        </is>
      </c>
      <c r="F1728" s="40" t="inlineStr">
        <is>
          <t>STA_CLASS</t>
        </is>
      </c>
      <c r="G1728" s="39" t="inlineStr">
        <is>
          <t>Nombre de classes</t>
        </is>
      </c>
      <c r="H1728" s="40" t="inlineStr">
        <is>
          <t>TECHNIQUE</t>
        </is>
      </c>
      <c r="I1728" s="41" t="inlineStr">
        <is>
          <t>2024ACT_VDEF</t>
        </is>
      </c>
      <c r="J1728" s="41" t="n">
        <v>2024</v>
      </c>
      <c r="K1728" s="41" t="inlineStr">
        <is>
          <t>NB</t>
        </is>
      </c>
      <c r="L1728" s="43" t="n">
        <v>2</v>
      </c>
    </row>
    <row r="1729">
      <c r="B1729" s="39" t="inlineStr">
        <is>
          <t>ISCOM_TLS</t>
        </is>
      </c>
      <c r="C1729" s="40" t="inlineStr">
        <is>
          <t>MAS_COM</t>
        </is>
      </c>
      <c r="D1729" s="40" t="inlineStr">
        <is>
          <t>M1</t>
        </is>
      </c>
      <c r="E1729" s="40" t="inlineStr">
        <is>
          <t>ALT</t>
        </is>
      </c>
      <c r="F1729" s="40" t="inlineStr">
        <is>
          <t>STA_CLASS</t>
        </is>
      </c>
      <c r="G1729" s="39" t="inlineStr">
        <is>
          <t>Nombre de classes</t>
        </is>
      </c>
      <c r="H1729" s="40" t="inlineStr">
        <is>
          <t>TECHNIQUE</t>
        </is>
      </c>
      <c r="I1729" s="41" t="inlineStr">
        <is>
          <t>2025FCST_V4</t>
        </is>
      </c>
      <c r="J1729" s="41" t="n">
        <v>2025</v>
      </c>
      <c r="K1729" s="41" t="inlineStr">
        <is>
          <t>NB</t>
        </is>
      </c>
      <c r="L1729" s="43" t="n">
        <v>2</v>
      </c>
    </row>
    <row r="1730">
      <c r="B1730" s="39" t="inlineStr">
        <is>
          <t>ISCOM_TLS</t>
        </is>
      </c>
      <c r="C1730" s="40" t="inlineStr">
        <is>
          <t>MAS_COM</t>
        </is>
      </c>
      <c r="D1730" s="40" t="inlineStr">
        <is>
          <t>M1</t>
        </is>
      </c>
      <c r="E1730" s="40" t="inlineStr">
        <is>
          <t>ALT</t>
        </is>
      </c>
      <c r="F1730" s="40" t="inlineStr">
        <is>
          <t>STA_HEURE</t>
        </is>
      </c>
      <c r="G1730" s="39" t="inlineStr">
        <is>
          <t>Heures d'enseignement</t>
        </is>
      </c>
      <c r="H1730" s="40" t="inlineStr">
        <is>
          <t>TECHNIQUE</t>
        </is>
      </c>
      <c r="I1730" s="41" t="inlineStr">
        <is>
          <t>2023ACT_VDEF</t>
        </is>
      </c>
      <c r="J1730" s="41" t="n">
        <v>2023</v>
      </c>
      <c r="K1730" s="41" t="inlineStr">
        <is>
          <t>NB</t>
        </is>
      </c>
      <c r="L1730" s="43" t="n">
        <v>864</v>
      </c>
    </row>
    <row r="1731">
      <c r="B1731" s="39" t="inlineStr">
        <is>
          <t>ISCOM_TLS</t>
        </is>
      </c>
      <c r="C1731" s="40" t="inlineStr">
        <is>
          <t>MAS_COM</t>
        </is>
      </c>
      <c r="D1731" s="40" t="inlineStr">
        <is>
          <t>M1</t>
        </is>
      </c>
      <c r="E1731" s="40" t="inlineStr">
        <is>
          <t>ALT</t>
        </is>
      </c>
      <c r="F1731" s="40" t="inlineStr">
        <is>
          <t>STA_HEURE</t>
        </is>
      </c>
      <c r="G1731" s="39" t="inlineStr">
        <is>
          <t>Heures d'enseignement</t>
        </is>
      </c>
      <c r="H1731" s="40" t="inlineStr">
        <is>
          <t>TECHNIQUE</t>
        </is>
      </c>
      <c r="I1731" s="41" t="inlineStr">
        <is>
          <t>2024ACT_VDEF</t>
        </is>
      </c>
      <c r="J1731" s="41" t="n">
        <v>2024</v>
      </c>
      <c r="K1731" s="41" t="inlineStr">
        <is>
          <t>NB</t>
        </is>
      </c>
      <c r="L1731" s="43" t="n">
        <v>912</v>
      </c>
    </row>
    <row r="1732">
      <c r="B1732" s="39" t="inlineStr">
        <is>
          <t>ISCOM_TLS</t>
        </is>
      </c>
      <c r="C1732" s="40" t="inlineStr">
        <is>
          <t>MAS_COM</t>
        </is>
      </c>
      <c r="D1732" s="40" t="inlineStr">
        <is>
          <t>M1</t>
        </is>
      </c>
      <c r="E1732" s="40" t="inlineStr">
        <is>
          <t>ALT</t>
        </is>
      </c>
      <c r="F1732" s="40" t="inlineStr">
        <is>
          <t>STA_HEURE</t>
        </is>
      </c>
      <c r="G1732" s="39" t="inlineStr">
        <is>
          <t>Heures d'enseignement</t>
        </is>
      </c>
      <c r="H1732" s="40" t="inlineStr">
        <is>
          <t>TECHNIQUE</t>
        </is>
      </c>
      <c r="I1732" s="41" t="inlineStr">
        <is>
          <t>2025FCST_V4</t>
        </is>
      </c>
      <c r="J1732" s="41" t="n">
        <v>2025</v>
      </c>
      <c r="K1732" s="41" t="inlineStr">
        <is>
          <t>NB</t>
        </is>
      </c>
      <c r="L1732" s="43" t="n">
        <v>960</v>
      </c>
    </row>
    <row r="1733">
      <c r="B1733" s="39" t="inlineStr">
        <is>
          <t>ISCOM_TLS</t>
        </is>
      </c>
      <c r="C1733" s="40" t="inlineStr">
        <is>
          <t>MAS_COM</t>
        </is>
      </c>
      <c r="D1733" s="40" t="inlineStr">
        <is>
          <t>M1</t>
        </is>
      </c>
      <c r="E1733" s="40" t="inlineStr">
        <is>
          <t>ALT</t>
        </is>
      </c>
      <c r="F1733" s="40" t="inlineStr">
        <is>
          <t>STA_CAPA</t>
        </is>
      </c>
      <c r="G1733" s="39" t="inlineStr">
        <is>
          <t>Capacité par classe</t>
        </is>
      </c>
      <c r="H1733" s="40" t="inlineStr">
        <is>
          <t>TECHNIQUE</t>
        </is>
      </c>
      <c r="I1733" s="41" t="inlineStr">
        <is>
          <t>2023ACT_VDEF</t>
        </is>
      </c>
      <c r="J1733" s="41" t="n">
        <v>2023</v>
      </c>
      <c r="K1733" s="41" t="inlineStr">
        <is>
          <t>NB</t>
        </is>
      </c>
      <c r="L1733" s="43" t="n">
        <v>26</v>
      </c>
    </row>
    <row r="1734">
      <c r="B1734" s="39" t="inlineStr">
        <is>
          <t>ISCOM_TLS</t>
        </is>
      </c>
      <c r="C1734" s="40" t="inlineStr">
        <is>
          <t>MAS_COM</t>
        </is>
      </c>
      <c r="D1734" s="40" t="inlineStr">
        <is>
          <t>M1</t>
        </is>
      </c>
      <c r="E1734" s="40" t="inlineStr">
        <is>
          <t>ALT</t>
        </is>
      </c>
      <c r="F1734" s="40" t="inlineStr">
        <is>
          <t>STA_CAPA</t>
        </is>
      </c>
      <c r="G1734" s="39" t="inlineStr">
        <is>
          <t>Capacité par classe</t>
        </is>
      </c>
      <c r="H1734" s="40" t="inlineStr">
        <is>
          <t>TECHNIQUE</t>
        </is>
      </c>
      <c r="I1734" s="41" t="inlineStr">
        <is>
          <t>2024ACT_VDEF</t>
        </is>
      </c>
      <c r="J1734" s="41" t="n">
        <v>2024</v>
      </c>
      <c r="K1734" s="41" t="inlineStr">
        <is>
          <t>NB</t>
        </is>
      </c>
      <c r="L1734" s="43" t="n">
        <v>26</v>
      </c>
    </row>
    <row r="1735">
      <c r="B1735" s="39" t="inlineStr">
        <is>
          <t>ISCOM_TLS</t>
        </is>
      </c>
      <c r="C1735" s="40" t="inlineStr">
        <is>
          <t>MAS_COM</t>
        </is>
      </c>
      <c r="D1735" s="40" t="inlineStr">
        <is>
          <t>M1</t>
        </is>
      </c>
      <c r="E1735" s="40" t="inlineStr">
        <is>
          <t>ALT</t>
        </is>
      </c>
      <c r="F1735" s="40" t="inlineStr">
        <is>
          <t>STA_CAPA</t>
        </is>
      </c>
      <c r="G1735" s="39" t="inlineStr">
        <is>
          <t>Capacité par classe</t>
        </is>
      </c>
      <c r="H1735" s="40" t="inlineStr">
        <is>
          <t>TECHNIQUE</t>
        </is>
      </c>
      <c r="I1735" s="41" t="inlineStr">
        <is>
          <t>2025FCST_V4</t>
        </is>
      </c>
      <c r="J1735" s="41" t="n">
        <v>2025</v>
      </c>
      <c r="K1735" s="41" t="inlineStr">
        <is>
          <t>NB</t>
        </is>
      </c>
      <c r="L1735" s="43" t="n">
        <v>26</v>
      </c>
    </row>
    <row r="1736">
      <c r="B1736" s="39" t="inlineStr">
        <is>
          <t>ISCOM_TLS</t>
        </is>
      </c>
      <c r="C1736" s="40" t="inlineStr">
        <is>
          <t>MAS_COM</t>
        </is>
      </c>
      <c r="D1736" s="40" t="inlineStr">
        <is>
          <t>M1</t>
        </is>
      </c>
      <c r="E1736" s="40" t="inlineStr">
        <is>
          <t>ALT</t>
        </is>
      </c>
      <c r="F1736" s="40" t="inlineStr">
        <is>
          <t>DRV_CONV</t>
        </is>
      </c>
      <c r="G1736" s="39" t="inlineStr">
        <is>
          <t>Taux de conversion candidat→inscrit</t>
        </is>
      </c>
      <c r="H1736" s="40" t="inlineStr">
        <is>
          <t>TECHNIQUE</t>
        </is>
      </c>
      <c r="I1736" s="41" t="inlineStr">
        <is>
          <t>2023ACT_VDEF</t>
        </is>
      </c>
      <c r="J1736" s="41" t="n">
        <v>2023</v>
      </c>
      <c r="K1736" s="41" t="inlineStr">
        <is>
          <t>PCT</t>
        </is>
      </c>
      <c r="L1736" s="44" t="n">
        <v>0.3733</v>
      </c>
    </row>
    <row r="1737">
      <c r="B1737" s="39" t="inlineStr">
        <is>
          <t>ISCOM_TLS</t>
        </is>
      </c>
      <c r="C1737" s="40" t="inlineStr">
        <is>
          <t>MAS_COM</t>
        </is>
      </c>
      <c r="D1737" s="40" t="inlineStr">
        <is>
          <t>M1</t>
        </is>
      </c>
      <c r="E1737" s="40" t="inlineStr">
        <is>
          <t>ALT</t>
        </is>
      </c>
      <c r="F1737" s="40" t="inlineStr">
        <is>
          <t>DRV_CONV</t>
        </is>
      </c>
      <c r="G1737" s="39" t="inlineStr">
        <is>
          <t>Taux de conversion candidat→inscrit</t>
        </is>
      </c>
      <c r="H1737" s="40" t="inlineStr">
        <is>
          <t>TECHNIQUE</t>
        </is>
      </c>
      <c r="I1737" s="41" t="inlineStr">
        <is>
          <t>2024ACT_VDEF</t>
        </is>
      </c>
      <c r="J1737" s="41" t="n">
        <v>2024</v>
      </c>
      <c r="K1737" s="41" t="inlineStr">
        <is>
          <t>PCT</t>
        </is>
      </c>
      <c r="L1737" s="44" t="n">
        <v>0.3733</v>
      </c>
    </row>
    <row r="1738">
      <c r="B1738" s="39" t="inlineStr">
        <is>
          <t>ISCOM_TLS</t>
        </is>
      </c>
      <c r="C1738" s="40" t="inlineStr">
        <is>
          <t>MAS_COM</t>
        </is>
      </c>
      <c r="D1738" s="40" t="inlineStr">
        <is>
          <t>M1</t>
        </is>
      </c>
      <c r="E1738" s="40" t="inlineStr">
        <is>
          <t>ALT</t>
        </is>
      </c>
      <c r="F1738" s="40" t="inlineStr">
        <is>
          <t>DRV_CONV</t>
        </is>
      </c>
      <c r="G1738" s="39" t="inlineStr">
        <is>
          <t>Taux de conversion candidat→inscrit</t>
        </is>
      </c>
      <c r="H1738" s="40" t="inlineStr">
        <is>
          <t>TECHNIQUE</t>
        </is>
      </c>
      <c r="I1738" s="41" t="inlineStr">
        <is>
          <t>2025FCST_V4</t>
        </is>
      </c>
      <c r="J1738" s="41" t="n">
        <v>2025</v>
      </c>
      <c r="K1738" s="41" t="inlineStr">
        <is>
          <t>PCT</t>
        </is>
      </c>
      <c r="L1738" s="44" t="n">
        <v>0.3733</v>
      </c>
    </row>
    <row r="1739">
      <c r="B1739" s="39" t="inlineStr">
        <is>
          <t>ISCOM_TLS</t>
        </is>
      </c>
      <c r="C1739" s="40" t="inlineStr">
        <is>
          <t>MAS_COM</t>
        </is>
      </c>
      <c r="D1739" s="40" t="inlineStr">
        <is>
          <t>M1</t>
        </is>
      </c>
      <c r="E1739" s="40" t="inlineStr">
        <is>
          <t>ALT</t>
        </is>
      </c>
      <c r="F1739" s="40" t="inlineStr">
        <is>
          <t>PRX_TARIF</t>
        </is>
      </c>
      <c r="G1739" s="39" t="inlineStr">
        <is>
          <t>Tarif moyen scolarité</t>
        </is>
      </c>
      <c r="H1739" s="40" t="inlineStr">
        <is>
          <t>TECHNIQUE</t>
        </is>
      </c>
      <c r="I1739" s="41" t="inlineStr">
        <is>
          <t>2023ACT_VDEF</t>
        </is>
      </c>
      <c r="J1739" s="41" t="n">
        <v>2023</v>
      </c>
      <c r="K1739" s="41" t="inlineStr">
        <is>
          <t>EUR</t>
        </is>
      </c>
      <c r="L1739" s="42" t="n">
        <v>9000</v>
      </c>
    </row>
    <row r="1740">
      <c r="B1740" s="39" t="inlineStr">
        <is>
          <t>ISCOM_TLS</t>
        </is>
      </c>
      <c r="C1740" s="40" t="inlineStr">
        <is>
          <t>MAS_COM</t>
        </is>
      </c>
      <c r="D1740" s="40" t="inlineStr">
        <is>
          <t>M1</t>
        </is>
      </c>
      <c r="E1740" s="40" t="inlineStr">
        <is>
          <t>ALT</t>
        </is>
      </c>
      <c r="F1740" s="40" t="inlineStr">
        <is>
          <t>PRX_TARIF</t>
        </is>
      </c>
      <c r="G1740" s="39" t="inlineStr">
        <is>
          <t>Tarif moyen scolarité</t>
        </is>
      </c>
      <c r="H1740" s="40" t="inlineStr">
        <is>
          <t>TECHNIQUE</t>
        </is>
      </c>
      <c r="I1740" s="41" t="inlineStr">
        <is>
          <t>2024ACT_VDEF</t>
        </is>
      </c>
      <c r="J1740" s="41" t="n">
        <v>2024</v>
      </c>
      <c r="K1740" s="41" t="inlineStr">
        <is>
          <t>EUR</t>
        </is>
      </c>
      <c r="L1740" s="42" t="n">
        <v>9000</v>
      </c>
    </row>
    <row r="1741">
      <c r="B1741" s="39" t="inlineStr">
        <is>
          <t>ISCOM_TLS</t>
        </is>
      </c>
      <c r="C1741" s="40" t="inlineStr">
        <is>
          <t>MAS_COM</t>
        </is>
      </c>
      <c r="D1741" s="40" t="inlineStr">
        <is>
          <t>M1</t>
        </is>
      </c>
      <c r="E1741" s="40" t="inlineStr">
        <is>
          <t>ALT</t>
        </is>
      </c>
      <c r="F1741" s="40" t="inlineStr">
        <is>
          <t>PRX_TARIF</t>
        </is>
      </c>
      <c r="G1741" s="39" t="inlineStr">
        <is>
          <t>Tarif moyen scolarité</t>
        </is>
      </c>
      <c r="H1741" s="40" t="inlineStr">
        <is>
          <t>TECHNIQUE</t>
        </is>
      </c>
      <c r="I1741" s="41" t="inlineStr">
        <is>
          <t>2025FCST_V4</t>
        </is>
      </c>
      <c r="J1741" s="41" t="n">
        <v>2025</v>
      </c>
      <c r="K1741" s="41" t="inlineStr">
        <is>
          <t>EUR</t>
        </is>
      </c>
      <c r="L1741" s="42" t="n">
        <v>9000</v>
      </c>
    </row>
    <row r="1742">
      <c r="B1742" s="39" t="inlineStr">
        <is>
          <t>ISCOM_TLS</t>
        </is>
      </c>
      <c r="C1742" s="40" t="inlineStr">
        <is>
          <t>MAS_COM</t>
        </is>
      </c>
      <c r="D1742" s="40" t="inlineStr">
        <is>
          <t>M1</t>
        </is>
      </c>
      <c r="E1742" s="40" t="inlineStr">
        <is>
          <t>ALT</t>
        </is>
      </c>
      <c r="F1742" s="40" t="inlineStr">
        <is>
          <t>CAC_LEAD</t>
        </is>
      </c>
      <c r="G1742" s="39" t="inlineStr">
        <is>
          <t>Coût d'acquisition par lead</t>
        </is>
      </c>
      <c r="H1742" s="40" t="inlineStr">
        <is>
          <t>TECHNIQUE</t>
        </is>
      </c>
      <c r="I1742" s="41" t="inlineStr">
        <is>
          <t>2023ACT_VDEF</t>
        </is>
      </c>
      <c r="J1742" s="41" t="n">
        <v>2023</v>
      </c>
      <c r="K1742" s="41" t="inlineStr">
        <is>
          <t>EUR</t>
        </is>
      </c>
      <c r="L1742" s="42" t="n">
        <v>600</v>
      </c>
    </row>
    <row r="1743">
      <c r="B1743" s="39" t="inlineStr">
        <is>
          <t>ISCOM_TLS</t>
        </is>
      </c>
      <c r="C1743" s="40" t="inlineStr">
        <is>
          <t>MAS_COM</t>
        </is>
      </c>
      <c r="D1743" s="40" t="inlineStr">
        <is>
          <t>M1</t>
        </is>
      </c>
      <c r="E1743" s="40" t="inlineStr">
        <is>
          <t>ALT</t>
        </is>
      </c>
      <c r="F1743" s="40" t="inlineStr">
        <is>
          <t>CAC_LEAD</t>
        </is>
      </c>
      <c r="G1743" s="39" t="inlineStr">
        <is>
          <t>Coût d'acquisition par lead</t>
        </is>
      </c>
      <c r="H1743" s="40" t="inlineStr">
        <is>
          <t>TECHNIQUE</t>
        </is>
      </c>
      <c r="I1743" s="41" t="inlineStr">
        <is>
          <t>2024ACT_VDEF</t>
        </is>
      </c>
      <c r="J1743" s="41" t="n">
        <v>2024</v>
      </c>
      <c r="K1743" s="41" t="inlineStr">
        <is>
          <t>EUR</t>
        </is>
      </c>
      <c r="L1743" s="42" t="n">
        <v>600</v>
      </c>
    </row>
    <row r="1744">
      <c r="B1744" s="39" t="inlineStr">
        <is>
          <t>ISCOM_TLS</t>
        </is>
      </c>
      <c r="C1744" s="40" t="inlineStr">
        <is>
          <t>MAS_COM</t>
        </is>
      </c>
      <c r="D1744" s="40" t="inlineStr">
        <is>
          <t>M1</t>
        </is>
      </c>
      <c r="E1744" s="40" t="inlineStr">
        <is>
          <t>ALT</t>
        </is>
      </c>
      <c r="F1744" s="40" t="inlineStr">
        <is>
          <t>CAC_LEAD</t>
        </is>
      </c>
      <c r="G1744" s="39" t="inlineStr">
        <is>
          <t>Coût d'acquisition par lead</t>
        </is>
      </c>
      <c r="H1744" s="40" t="inlineStr">
        <is>
          <t>TECHNIQUE</t>
        </is>
      </c>
      <c r="I1744" s="41" t="inlineStr">
        <is>
          <t>2025FCST_V4</t>
        </is>
      </c>
      <c r="J1744" s="41" t="n">
        <v>2025</v>
      </c>
      <c r="K1744" s="41" t="inlineStr">
        <is>
          <t>EUR</t>
        </is>
      </c>
      <c r="L1744" s="42" t="n">
        <v>600</v>
      </c>
    </row>
    <row r="1745">
      <c r="B1745" s="39" t="inlineStr">
        <is>
          <t>ISCOM_TLS</t>
        </is>
      </c>
      <c r="C1745" s="40" t="inlineStr">
        <is>
          <t>MAS_COM</t>
        </is>
      </c>
      <c r="D1745" s="40" t="inlineStr">
        <is>
          <t>M2</t>
        </is>
      </c>
      <c r="E1745" s="40" t="inlineStr">
        <is>
          <t>ALT</t>
        </is>
      </c>
      <c r="F1745" s="40" t="inlineStr">
        <is>
          <t>706100</t>
        </is>
      </c>
      <c r="G1745" s="39" t="inlineStr">
        <is>
          <t>Droits de scolarité</t>
        </is>
      </c>
      <c r="H1745" s="40" t="inlineStr">
        <is>
          <t>COMPTABLE</t>
        </is>
      </c>
      <c r="I1745" s="41" t="inlineStr">
        <is>
          <t>2023ACT_VDEF</t>
        </is>
      </c>
      <c r="J1745" s="41" t="n">
        <v>2023</v>
      </c>
      <c r="K1745" s="41" t="inlineStr">
        <is>
          <t>EUR</t>
        </is>
      </c>
      <c r="L1745" s="42" t="n">
        <v>202500</v>
      </c>
    </row>
    <row r="1746">
      <c r="B1746" s="39" t="inlineStr">
        <is>
          <t>ISCOM_TLS</t>
        </is>
      </c>
      <c r="C1746" s="40" t="inlineStr">
        <is>
          <t>MAS_COM</t>
        </is>
      </c>
      <c r="D1746" s="40" t="inlineStr">
        <is>
          <t>M2</t>
        </is>
      </c>
      <c r="E1746" s="40" t="inlineStr">
        <is>
          <t>ALT</t>
        </is>
      </c>
      <c r="F1746" s="40" t="inlineStr">
        <is>
          <t>706100</t>
        </is>
      </c>
      <c r="G1746" s="39" t="inlineStr">
        <is>
          <t>Droits de scolarité</t>
        </is>
      </c>
      <c r="H1746" s="40" t="inlineStr">
        <is>
          <t>COMPTABLE</t>
        </is>
      </c>
      <c r="I1746" s="41" t="inlineStr">
        <is>
          <t>2024ACT_VDEF</t>
        </is>
      </c>
      <c r="J1746" s="41" t="n">
        <v>2024</v>
      </c>
      <c r="K1746" s="41" t="inlineStr">
        <is>
          <t>EUR</t>
        </is>
      </c>
      <c r="L1746" s="42" t="n">
        <v>213750</v>
      </c>
    </row>
    <row r="1747">
      <c r="B1747" s="39" t="inlineStr">
        <is>
          <t>ISCOM_TLS</t>
        </is>
      </c>
      <c r="C1747" s="40" t="inlineStr">
        <is>
          <t>MAS_COM</t>
        </is>
      </c>
      <c r="D1747" s="40" t="inlineStr">
        <is>
          <t>M2</t>
        </is>
      </c>
      <c r="E1747" s="40" t="inlineStr">
        <is>
          <t>ALT</t>
        </is>
      </c>
      <c r="F1747" s="40" t="inlineStr">
        <is>
          <t>706100</t>
        </is>
      </c>
      <c r="G1747" s="39" t="inlineStr">
        <is>
          <t>Droits de scolarité</t>
        </is>
      </c>
      <c r="H1747" s="40" t="inlineStr">
        <is>
          <t>COMPTABLE</t>
        </is>
      </c>
      <c r="I1747" s="41" t="inlineStr">
        <is>
          <t>2025FCST_V4</t>
        </is>
      </c>
      <c r="J1747" s="41" t="n">
        <v>2025</v>
      </c>
      <c r="K1747" s="41" t="inlineStr">
        <is>
          <t>EUR</t>
        </is>
      </c>
      <c r="L1747" s="42" t="n">
        <v>225000</v>
      </c>
    </row>
    <row r="1748">
      <c r="B1748" s="39" t="inlineStr">
        <is>
          <t>ISCOM_TLS</t>
        </is>
      </c>
      <c r="C1748" s="40" t="inlineStr">
        <is>
          <t>MAS_COM</t>
        </is>
      </c>
      <c r="D1748" s="40" t="inlineStr">
        <is>
          <t>M2</t>
        </is>
      </c>
      <c r="E1748" s="40" t="inlineStr">
        <is>
          <t>ALT</t>
        </is>
      </c>
      <c r="F1748" s="40" t="inlineStr">
        <is>
          <t>604100</t>
        </is>
      </c>
      <c r="G1748" s="39" t="inlineStr">
        <is>
          <t>Vacations &amp; sous-traitance pédagogique</t>
        </is>
      </c>
      <c r="H1748" s="40" t="inlineStr">
        <is>
          <t>COMPTABLE</t>
        </is>
      </c>
      <c r="I1748" s="41" t="inlineStr">
        <is>
          <t>2023ACT_VDEF</t>
        </is>
      </c>
      <c r="J1748" s="41" t="n">
        <v>2023</v>
      </c>
      <c r="K1748" s="41" t="inlineStr">
        <is>
          <t>EUR</t>
        </is>
      </c>
      <c r="L1748" s="42" t="n">
        <v>29304</v>
      </c>
    </row>
    <row r="1749">
      <c r="B1749" s="39" t="inlineStr">
        <is>
          <t>ISCOM_TLS</t>
        </is>
      </c>
      <c r="C1749" s="40" t="inlineStr">
        <is>
          <t>MAS_COM</t>
        </is>
      </c>
      <c r="D1749" s="40" t="inlineStr">
        <is>
          <t>M2</t>
        </is>
      </c>
      <c r="E1749" s="40" t="inlineStr">
        <is>
          <t>ALT</t>
        </is>
      </c>
      <c r="F1749" s="40" t="inlineStr">
        <is>
          <t>604100</t>
        </is>
      </c>
      <c r="G1749" s="39" t="inlineStr">
        <is>
          <t>Vacations &amp; sous-traitance pédagogique</t>
        </is>
      </c>
      <c r="H1749" s="40" t="inlineStr">
        <is>
          <t>COMPTABLE</t>
        </is>
      </c>
      <c r="I1749" s="41" t="inlineStr">
        <is>
          <t>2024ACT_VDEF</t>
        </is>
      </c>
      <c r="J1749" s="41" t="n">
        <v>2024</v>
      </c>
      <c r="K1749" s="41" t="inlineStr">
        <is>
          <t>EUR</t>
        </is>
      </c>
      <c r="L1749" s="42" t="n">
        <v>30932</v>
      </c>
    </row>
    <row r="1750">
      <c r="B1750" s="39" t="inlineStr">
        <is>
          <t>ISCOM_TLS</t>
        </is>
      </c>
      <c r="C1750" s="40" t="inlineStr">
        <is>
          <t>MAS_COM</t>
        </is>
      </c>
      <c r="D1750" s="40" t="inlineStr">
        <is>
          <t>M2</t>
        </is>
      </c>
      <c r="E1750" s="40" t="inlineStr">
        <is>
          <t>ALT</t>
        </is>
      </c>
      <c r="F1750" s="40" t="inlineStr">
        <is>
          <t>604100</t>
        </is>
      </c>
      <c r="G1750" s="39" t="inlineStr">
        <is>
          <t>Vacations &amp; sous-traitance pédagogique</t>
        </is>
      </c>
      <c r="H1750" s="40" t="inlineStr">
        <is>
          <t>COMPTABLE</t>
        </is>
      </c>
      <c r="I1750" s="41" t="inlineStr">
        <is>
          <t>2025FCST_V4</t>
        </is>
      </c>
      <c r="J1750" s="41" t="n">
        <v>2025</v>
      </c>
      <c r="K1750" s="41" t="inlineStr">
        <is>
          <t>EUR</t>
        </is>
      </c>
      <c r="L1750" s="42" t="n">
        <v>32560</v>
      </c>
    </row>
    <row r="1751">
      <c r="B1751" s="39" t="inlineStr">
        <is>
          <t>ISCOM_TLS</t>
        </is>
      </c>
      <c r="C1751" s="40" t="inlineStr">
        <is>
          <t>MAS_COM</t>
        </is>
      </c>
      <c r="D1751" s="40" t="inlineStr">
        <is>
          <t>M2</t>
        </is>
      </c>
      <c r="E1751" s="40" t="inlineStr">
        <is>
          <t>ALT</t>
        </is>
      </c>
      <c r="F1751" s="40" t="inlineStr">
        <is>
          <t>606300</t>
        </is>
      </c>
      <c r="G1751" s="39" t="inlineStr">
        <is>
          <t>Fournitures &amp; ressources pédagogiques</t>
        </is>
      </c>
      <c r="H1751" s="40" t="inlineStr">
        <is>
          <t>COMPTABLE</t>
        </is>
      </c>
      <c r="I1751" s="41" t="inlineStr">
        <is>
          <t>2023ACT_VDEF</t>
        </is>
      </c>
      <c r="J1751" s="41" t="n">
        <v>2023</v>
      </c>
      <c r="K1751" s="41" t="inlineStr">
        <is>
          <t>EUR</t>
        </is>
      </c>
      <c r="L1751" s="42" t="n">
        <v>15075</v>
      </c>
    </row>
    <row r="1752">
      <c r="B1752" s="39" t="inlineStr">
        <is>
          <t>ISCOM_TLS</t>
        </is>
      </c>
      <c r="C1752" s="40" t="inlineStr">
        <is>
          <t>MAS_COM</t>
        </is>
      </c>
      <c r="D1752" s="40" t="inlineStr">
        <is>
          <t>M2</t>
        </is>
      </c>
      <c r="E1752" s="40" t="inlineStr">
        <is>
          <t>ALT</t>
        </is>
      </c>
      <c r="F1752" s="40" t="inlineStr">
        <is>
          <t>606300</t>
        </is>
      </c>
      <c r="G1752" s="39" t="inlineStr">
        <is>
          <t>Fournitures &amp; ressources pédagogiques</t>
        </is>
      </c>
      <c r="H1752" s="40" t="inlineStr">
        <is>
          <t>COMPTABLE</t>
        </is>
      </c>
      <c r="I1752" s="41" t="inlineStr">
        <is>
          <t>2024ACT_VDEF</t>
        </is>
      </c>
      <c r="J1752" s="41" t="n">
        <v>2024</v>
      </c>
      <c r="K1752" s="41" t="inlineStr">
        <is>
          <t>EUR</t>
        </is>
      </c>
      <c r="L1752" s="42" t="n">
        <v>15912</v>
      </c>
    </row>
    <row r="1753">
      <c r="B1753" s="39" t="inlineStr">
        <is>
          <t>ISCOM_TLS</t>
        </is>
      </c>
      <c r="C1753" s="40" t="inlineStr">
        <is>
          <t>MAS_COM</t>
        </is>
      </c>
      <c r="D1753" s="40" t="inlineStr">
        <is>
          <t>M2</t>
        </is>
      </c>
      <c r="E1753" s="40" t="inlineStr">
        <is>
          <t>ALT</t>
        </is>
      </c>
      <c r="F1753" s="40" t="inlineStr">
        <is>
          <t>606300</t>
        </is>
      </c>
      <c r="G1753" s="39" t="inlineStr">
        <is>
          <t>Fournitures &amp; ressources pédagogiques</t>
        </is>
      </c>
      <c r="H1753" s="40" t="inlineStr">
        <is>
          <t>COMPTABLE</t>
        </is>
      </c>
      <c r="I1753" s="41" t="inlineStr">
        <is>
          <t>2025FCST_V4</t>
        </is>
      </c>
      <c r="J1753" s="41" t="n">
        <v>2025</v>
      </c>
      <c r="K1753" s="41" t="inlineStr">
        <is>
          <t>EUR</t>
        </is>
      </c>
      <c r="L1753" s="42" t="n">
        <v>16750</v>
      </c>
    </row>
    <row r="1754">
      <c r="B1754" s="39" t="inlineStr">
        <is>
          <t>ISCOM_TLS</t>
        </is>
      </c>
      <c r="C1754" s="40" t="inlineStr">
        <is>
          <t>MAS_COM</t>
        </is>
      </c>
      <c r="D1754" s="40" t="inlineStr">
        <is>
          <t>M2</t>
        </is>
      </c>
      <c r="E1754" s="40" t="inlineStr">
        <is>
          <t>ALT</t>
        </is>
      </c>
      <c r="F1754" s="40" t="inlineStr">
        <is>
          <t>613200</t>
        </is>
      </c>
      <c r="G1754" s="39" t="inlineStr">
        <is>
          <t>Locations immobilières (loyers)</t>
        </is>
      </c>
      <c r="H1754" s="40" t="inlineStr">
        <is>
          <t>COMPTABLE</t>
        </is>
      </c>
      <c r="I1754" s="41" t="inlineStr">
        <is>
          <t>2023ACT_VDEF</t>
        </is>
      </c>
      <c r="J1754" s="41" t="n">
        <v>2023</v>
      </c>
      <c r="K1754" s="41" t="inlineStr">
        <is>
          <t>EUR</t>
        </is>
      </c>
      <c r="L1754" s="42" t="n">
        <v>16300</v>
      </c>
    </row>
    <row r="1755">
      <c r="B1755" s="39" t="inlineStr">
        <is>
          <t>ISCOM_TLS</t>
        </is>
      </c>
      <c r="C1755" s="40" t="inlineStr">
        <is>
          <t>MAS_COM</t>
        </is>
      </c>
      <c r="D1755" s="40" t="inlineStr">
        <is>
          <t>M2</t>
        </is>
      </c>
      <c r="E1755" s="40" t="inlineStr">
        <is>
          <t>ALT</t>
        </is>
      </c>
      <c r="F1755" s="40" t="inlineStr">
        <is>
          <t>613200</t>
        </is>
      </c>
      <c r="G1755" s="39" t="inlineStr">
        <is>
          <t>Locations immobilières (loyers)</t>
        </is>
      </c>
      <c r="H1755" s="40" t="inlineStr">
        <is>
          <t>COMPTABLE</t>
        </is>
      </c>
      <c r="I1755" s="41" t="inlineStr">
        <is>
          <t>2024ACT_VDEF</t>
        </is>
      </c>
      <c r="J1755" s="41" t="n">
        <v>2024</v>
      </c>
      <c r="K1755" s="41" t="inlineStr">
        <is>
          <t>EUR</t>
        </is>
      </c>
      <c r="L1755" s="42" t="n">
        <v>17205</v>
      </c>
    </row>
    <row r="1756">
      <c r="B1756" s="39" t="inlineStr">
        <is>
          <t>ISCOM_TLS</t>
        </is>
      </c>
      <c r="C1756" s="40" t="inlineStr">
        <is>
          <t>MAS_COM</t>
        </is>
      </c>
      <c r="D1756" s="40" t="inlineStr">
        <is>
          <t>M2</t>
        </is>
      </c>
      <c r="E1756" s="40" t="inlineStr">
        <is>
          <t>ALT</t>
        </is>
      </c>
      <c r="F1756" s="40" t="inlineStr">
        <is>
          <t>613200</t>
        </is>
      </c>
      <c r="G1756" s="39" t="inlineStr">
        <is>
          <t>Locations immobilières (loyers)</t>
        </is>
      </c>
      <c r="H1756" s="40" t="inlineStr">
        <is>
          <t>COMPTABLE</t>
        </is>
      </c>
      <c r="I1756" s="41" t="inlineStr">
        <is>
          <t>2025FCST_V4</t>
        </is>
      </c>
      <c r="J1756" s="41" t="n">
        <v>2025</v>
      </c>
      <c r="K1756" s="41" t="inlineStr">
        <is>
          <t>EUR</t>
        </is>
      </c>
      <c r="L1756" s="42" t="n">
        <v>18111</v>
      </c>
    </row>
    <row r="1757">
      <c r="B1757" s="39" t="inlineStr">
        <is>
          <t>ISCOM_TLS</t>
        </is>
      </c>
      <c r="C1757" s="40" t="inlineStr">
        <is>
          <t>MAS_COM</t>
        </is>
      </c>
      <c r="D1757" s="40" t="inlineStr">
        <is>
          <t>M2</t>
        </is>
      </c>
      <c r="E1757" s="40" t="inlineStr">
        <is>
          <t>ALT</t>
        </is>
      </c>
      <c r="F1757" s="40" t="inlineStr">
        <is>
          <t>641100</t>
        </is>
      </c>
      <c r="G1757" s="39" t="inlineStr">
        <is>
          <t>Rémunérations du personnel permanent</t>
        </is>
      </c>
      <c r="H1757" s="40" t="inlineStr">
        <is>
          <t>COMPTABLE</t>
        </is>
      </c>
      <c r="I1757" s="41" t="inlineStr">
        <is>
          <t>2023ACT_VDEF</t>
        </is>
      </c>
      <c r="J1757" s="41" t="n">
        <v>2023</v>
      </c>
      <c r="K1757" s="41" t="inlineStr">
        <is>
          <t>EUR</t>
        </is>
      </c>
      <c r="L1757" s="42" t="n">
        <v>40600</v>
      </c>
    </row>
    <row r="1758">
      <c r="B1758" s="39" t="inlineStr">
        <is>
          <t>ISCOM_TLS</t>
        </is>
      </c>
      <c r="C1758" s="40" t="inlineStr">
        <is>
          <t>MAS_COM</t>
        </is>
      </c>
      <c r="D1758" s="40" t="inlineStr">
        <is>
          <t>M2</t>
        </is>
      </c>
      <c r="E1758" s="40" t="inlineStr">
        <is>
          <t>ALT</t>
        </is>
      </c>
      <c r="F1758" s="40" t="inlineStr">
        <is>
          <t>641100</t>
        </is>
      </c>
      <c r="G1758" s="39" t="inlineStr">
        <is>
          <t>Rémunérations du personnel permanent</t>
        </is>
      </c>
      <c r="H1758" s="40" t="inlineStr">
        <is>
          <t>COMPTABLE</t>
        </is>
      </c>
      <c r="I1758" s="41" t="inlineStr">
        <is>
          <t>2024ACT_VDEF</t>
        </is>
      </c>
      <c r="J1758" s="41" t="n">
        <v>2024</v>
      </c>
      <c r="K1758" s="41" t="inlineStr">
        <is>
          <t>EUR</t>
        </is>
      </c>
      <c r="L1758" s="42" t="n">
        <v>42855</v>
      </c>
    </row>
    <row r="1759">
      <c r="B1759" s="39" t="inlineStr">
        <is>
          <t>ISCOM_TLS</t>
        </is>
      </c>
      <c r="C1759" s="40" t="inlineStr">
        <is>
          <t>MAS_COM</t>
        </is>
      </c>
      <c r="D1759" s="40" t="inlineStr">
        <is>
          <t>M2</t>
        </is>
      </c>
      <c r="E1759" s="40" t="inlineStr">
        <is>
          <t>ALT</t>
        </is>
      </c>
      <c r="F1759" s="40" t="inlineStr">
        <is>
          <t>641100</t>
        </is>
      </c>
      <c r="G1759" s="39" t="inlineStr">
        <is>
          <t>Rémunérations du personnel permanent</t>
        </is>
      </c>
      <c r="H1759" s="40" t="inlineStr">
        <is>
          <t>COMPTABLE</t>
        </is>
      </c>
      <c r="I1759" s="41" t="inlineStr">
        <is>
          <t>2025FCST_V4</t>
        </is>
      </c>
      <c r="J1759" s="41" t="n">
        <v>2025</v>
      </c>
      <c r="K1759" s="41" t="inlineStr">
        <is>
          <t>EUR</t>
        </is>
      </c>
      <c r="L1759" s="42" t="n">
        <v>45111</v>
      </c>
    </row>
    <row r="1760">
      <c r="B1760" s="39" t="inlineStr">
        <is>
          <t>ISCOM_TLS</t>
        </is>
      </c>
      <c r="C1760" s="40" t="inlineStr">
        <is>
          <t>MAS_COM</t>
        </is>
      </c>
      <c r="D1760" s="40" t="inlineStr">
        <is>
          <t>M2</t>
        </is>
      </c>
      <c r="E1760" s="40" t="inlineStr">
        <is>
          <t>ALT</t>
        </is>
      </c>
      <c r="F1760" s="40" t="inlineStr">
        <is>
          <t>622600</t>
        </is>
      </c>
      <c r="G1760" s="39" t="inlineStr">
        <is>
          <t>Honoraires &amp; frais de siège (structure groupe)</t>
        </is>
      </c>
      <c r="H1760" s="40" t="inlineStr">
        <is>
          <t>COMPTABLE</t>
        </is>
      </c>
      <c r="I1760" s="41" t="inlineStr">
        <is>
          <t>2023ACT_VDEF</t>
        </is>
      </c>
      <c r="J1760" s="41" t="n">
        <v>2023</v>
      </c>
      <c r="K1760" s="41" t="inlineStr">
        <is>
          <t>EUR</t>
        </is>
      </c>
      <c r="L1760" s="42" t="n">
        <v>14844</v>
      </c>
    </row>
    <row r="1761">
      <c r="B1761" s="39" t="inlineStr">
        <is>
          <t>ISCOM_TLS</t>
        </is>
      </c>
      <c r="C1761" s="40" t="inlineStr">
        <is>
          <t>MAS_COM</t>
        </is>
      </c>
      <c r="D1761" s="40" t="inlineStr">
        <is>
          <t>M2</t>
        </is>
      </c>
      <c r="E1761" s="40" t="inlineStr">
        <is>
          <t>ALT</t>
        </is>
      </c>
      <c r="F1761" s="40" t="inlineStr">
        <is>
          <t>622600</t>
        </is>
      </c>
      <c r="G1761" s="39" t="inlineStr">
        <is>
          <t>Honoraires &amp; frais de siège (structure groupe)</t>
        </is>
      </c>
      <c r="H1761" s="40" t="inlineStr">
        <is>
          <t>COMPTABLE</t>
        </is>
      </c>
      <c r="I1761" s="41" t="inlineStr">
        <is>
          <t>2024ACT_VDEF</t>
        </is>
      </c>
      <c r="J1761" s="41" t="n">
        <v>2024</v>
      </c>
      <c r="K1761" s="41" t="inlineStr">
        <is>
          <t>EUR</t>
        </is>
      </c>
      <c r="L1761" s="42" t="n">
        <v>15668</v>
      </c>
    </row>
    <row r="1762">
      <c r="B1762" s="39" t="inlineStr">
        <is>
          <t>ISCOM_TLS</t>
        </is>
      </c>
      <c r="C1762" s="40" t="inlineStr">
        <is>
          <t>MAS_COM</t>
        </is>
      </c>
      <c r="D1762" s="40" t="inlineStr">
        <is>
          <t>M2</t>
        </is>
      </c>
      <c r="E1762" s="40" t="inlineStr">
        <is>
          <t>ALT</t>
        </is>
      </c>
      <c r="F1762" s="40" t="inlineStr">
        <is>
          <t>622600</t>
        </is>
      </c>
      <c r="G1762" s="39" t="inlineStr">
        <is>
          <t>Honoraires &amp; frais de siège (structure groupe)</t>
        </is>
      </c>
      <c r="H1762" s="40" t="inlineStr">
        <is>
          <t>COMPTABLE</t>
        </is>
      </c>
      <c r="I1762" s="41" t="inlineStr">
        <is>
          <t>2025FCST_V4</t>
        </is>
      </c>
      <c r="J1762" s="41" t="n">
        <v>2025</v>
      </c>
      <c r="K1762" s="41" t="inlineStr">
        <is>
          <t>EUR</t>
        </is>
      </c>
      <c r="L1762" s="42" t="n">
        <v>16493</v>
      </c>
    </row>
    <row r="1763">
      <c r="B1763" s="39" t="inlineStr">
        <is>
          <t>ISCOM_TLS</t>
        </is>
      </c>
      <c r="C1763" s="40" t="inlineStr">
        <is>
          <t>MAS_COM</t>
        </is>
      </c>
      <c r="D1763" s="40" t="inlineStr">
        <is>
          <t>M2</t>
        </is>
      </c>
      <c r="E1763" s="40" t="inlineStr">
        <is>
          <t>ALT</t>
        </is>
      </c>
      <c r="F1763" s="40" t="inlineStr">
        <is>
          <t>606800</t>
        </is>
      </c>
      <c r="G1763" s="39" t="inlineStr">
        <is>
          <t>Autres achats &amp; charges externes</t>
        </is>
      </c>
      <c r="H1763" s="40" t="inlineStr">
        <is>
          <t>COMPTABLE</t>
        </is>
      </c>
      <c r="I1763" s="41" t="inlineStr">
        <is>
          <t>2023ACT_VDEF</t>
        </is>
      </c>
      <c r="J1763" s="41" t="n">
        <v>2023</v>
      </c>
      <c r="K1763" s="41" t="inlineStr">
        <is>
          <t>EUR</t>
        </is>
      </c>
      <c r="L1763" s="42" t="n">
        <v>21015</v>
      </c>
    </row>
    <row r="1764">
      <c r="B1764" s="39" t="inlineStr">
        <is>
          <t>ISCOM_TLS</t>
        </is>
      </c>
      <c r="C1764" s="40" t="inlineStr">
        <is>
          <t>MAS_COM</t>
        </is>
      </c>
      <c r="D1764" s="40" t="inlineStr">
        <is>
          <t>M2</t>
        </is>
      </c>
      <c r="E1764" s="40" t="inlineStr">
        <is>
          <t>ALT</t>
        </is>
      </c>
      <c r="F1764" s="40" t="inlineStr">
        <is>
          <t>606800</t>
        </is>
      </c>
      <c r="G1764" s="39" t="inlineStr">
        <is>
          <t>Autres achats &amp; charges externes</t>
        </is>
      </c>
      <c r="H1764" s="40" t="inlineStr">
        <is>
          <t>COMPTABLE</t>
        </is>
      </c>
      <c r="I1764" s="41" t="inlineStr">
        <is>
          <t>2024ACT_VDEF</t>
        </is>
      </c>
      <c r="J1764" s="41" t="n">
        <v>2024</v>
      </c>
      <c r="K1764" s="41" t="inlineStr">
        <is>
          <t>EUR</t>
        </is>
      </c>
      <c r="L1764" s="42" t="n">
        <v>22182</v>
      </c>
    </row>
    <row r="1765">
      <c r="B1765" s="39" t="inlineStr">
        <is>
          <t>ISCOM_TLS</t>
        </is>
      </c>
      <c r="C1765" s="40" t="inlineStr">
        <is>
          <t>MAS_COM</t>
        </is>
      </c>
      <c r="D1765" s="40" t="inlineStr">
        <is>
          <t>M2</t>
        </is>
      </c>
      <c r="E1765" s="40" t="inlineStr">
        <is>
          <t>ALT</t>
        </is>
      </c>
      <c r="F1765" s="40" t="inlineStr">
        <is>
          <t>606800</t>
        </is>
      </c>
      <c r="G1765" s="39" t="inlineStr">
        <is>
          <t>Autres achats &amp; charges externes</t>
        </is>
      </c>
      <c r="H1765" s="40" t="inlineStr">
        <is>
          <t>COMPTABLE</t>
        </is>
      </c>
      <c r="I1765" s="41" t="inlineStr">
        <is>
          <t>2025FCST_V4</t>
        </is>
      </c>
      <c r="J1765" s="41" t="n">
        <v>2025</v>
      </c>
      <c r="K1765" s="41" t="inlineStr">
        <is>
          <t>EUR</t>
        </is>
      </c>
      <c r="L1765" s="42" t="n">
        <v>23350</v>
      </c>
    </row>
    <row r="1766">
      <c r="B1766" s="39" t="inlineStr">
        <is>
          <t>ISCOM_TLS</t>
        </is>
      </c>
      <c r="C1766" s="40" t="inlineStr">
        <is>
          <t>MAS_COM</t>
        </is>
      </c>
      <c r="D1766" s="40" t="inlineStr">
        <is>
          <t>M2</t>
        </is>
      </c>
      <c r="E1766" s="40" t="inlineStr">
        <is>
          <t>ALT</t>
        </is>
      </c>
      <c r="F1766" s="40" t="inlineStr">
        <is>
          <t>681100</t>
        </is>
      </c>
      <c r="G1766" s="39" t="inlineStr">
        <is>
          <t>Dotations aux amortissements</t>
        </is>
      </c>
      <c r="H1766" s="40" t="inlineStr">
        <is>
          <t>COMPTABLE</t>
        </is>
      </c>
      <c r="I1766" s="41" t="inlineStr">
        <is>
          <t>2023ACT_VDEF</t>
        </is>
      </c>
      <c r="J1766" s="41" t="n">
        <v>2023</v>
      </c>
      <c r="K1766" s="41" t="inlineStr">
        <is>
          <t>EUR</t>
        </is>
      </c>
      <c r="L1766" s="42" t="n">
        <v>8900</v>
      </c>
    </row>
    <row r="1767">
      <c r="B1767" s="39" t="inlineStr">
        <is>
          <t>ISCOM_TLS</t>
        </is>
      </c>
      <c r="C1767" s="40" t="inlineStr">
        <is>
          <t>MAS_COM</t>
        </is>
      </c>
      <c r="D1767" s="40" t="inlineStr">
        <is>
          <t>M2</t>
        </is>
      </c>
      <c r="E1767" s="40" t="inlineStr">
        <is>
          <t>ALT</t>
        </is>
      </c>
      <c r="F1767" s="40" t="inlineStr">
        <is>
          <t>681100</t>
        </is>
      </c>
      <c r="G1767" s="39" t="inlineStr">
        <is>
          <t>Dotations aux amortissements</t>
        </is>
      </c>
      <c r="H1767" s="40" t="inlineStr">
        <is>
          <t>COMPTABLE</t>
        </is>
      </c>
      <c r="I1767" s="41" t="inlineStr">
        <is>
          <t>2024ACT_VDEF</t>
        </is>
      </c>
      <c r="J1767" s="41" t="n">
        <v>2024</v>
      </c>
      <c r="K1767" s="41" t="inlineStr">
        <is>
          <t>EUR</t>
        </is>
      </c>
      <c r="L1767" s="42" t="n">
        <v>9395</v>
      </c>
    </row>
    <row r="1768">
      <c r="B1768" s="39" t="inlineStr">
        <is>
          <t>ISCOM_TLS</t>
        </is>
      </c>
      <c r="C1768" s="40" t="inlineStr">
        <is>
          <t>MAS_COM</t>
        </is>
      </c>
      <c r="D1768" s="40" t="inlineStr">
        <is>
          <t>M2</t>
        </is>
      </c>
      <c r="E1768" s="40" t="inlineStr">
        <is>
          <t>ALT</t>
        </is>
      </c>
      <c r="F1768" s="40" t="inlineStr">
        <is>
          <t>681100</t>
        </is>
      </c>
      <c r="G1768" s="39" t="inlineStr">
        <is>
          <t>Dotations aux amortissements</t>
        </is>
      </c>
      <c r="H1768" s="40" t="inlineStr">
        <is>
          <t>COMPTABLE</t>
        </is>
      </c>
      <c r="I1768" s="41" t="inlineStr">
        <is>
          <t>2025FCST_V4</t>
        </is>
      </c>
      <c r="J1768" s="41" t="n">
        <v>2025</v>
      </c>
      <c r="K1768" s="41" t="inlineStr">
        <is>
          <t>EUR</t>
        </is>
      </c>
      <c r="L1768" s="42" t="n">
        <v>9889</v>
      </c>
    </row>
    <row r="1769">
      <c r="B1769" s="39" t="inlineStr">
        <is>
          <t>ISCOM_TLS</t>
        </is>
      </c>
      <c r="C1769" s="40" t="inlineStr">
        <is>
          <t>MAS_COM</t>
        </is>
      </c>
      <c r="D1769" s="40" t="inlineStr">
        <is>
          <t>M2</t>
        </is>
      </c>
      <c r="E1769" s="40" t="inlineStr">
        <is>
          <t>ALT</t>
        </is>
      </c>
      <c r="F1769" s="40" t="inlineStr">
        <is>
          <t>STA_EFF</t>
        </is>
      </c>
      <c r="G1769" s="39" t="inlineStr">
        <is>
          <t>Effectif inscrit</t>
        </is>
      </c>
      <c r="H1769" s="40" t="inlineStr">
        <is>
          <t>TECHNIQUE</t>
        </is>
      </c>
      <c r="I1769" s="41" t="inlineStr">
        <is>
          <t>2023ACT_VDEF</t>
        </is>
      </c>
      <c r="J1769" s="41" t="n">
        <v>2023</v>
      </c>
      <c r="K1769" s="41" t="inlineStr">
        <is>
          <t>NB</t>
        </is>
      </c>
      <c r="L1769" s="43" t="n">
        <v>22</v>
      </c>
    </row>
    <row r="1770">
      <c r="B1770" s="39" t="inlineStr">
        <is>
          <t>ISCOM_TLS</t>
        </is>
      </c>
      <c r="C1770" s="40" t="inlineStr">
        <is>
          <t>MAS_COM</t>
        </is>
      </c>
      <c r="D1770" s="40" t="inlineStr">
        <is>
          <t>M2</t>
        </is>
      </c>
      <c r="E1770" s="40" t="inlineStr">
        <is>
          <t>ALT</t>
        </is>
      </c>
      <c r="F1770" s="40" t="inlineStr">
        <is>
          <t>STA_EFF</t>
        </is>
      </c>
      <c r="G1770" s="39" t="inlineStr">
        <is>
          <t>Effectif inscrit</t>
        </is>
      </c>
      <c r="H1770" s="40" t="inlineStr">
        <is>
          <t>TECHNIQUE</t>
        </is>
      </c>
      <c r="I1770" s="41" t="inlineStr">
        <is>
          <t>2024ACT_VDEF</t>
        </is>
      </c>
      <c r="J1770" s="41" t="n">
        <v>2024</v>
      </c>
      <c r="K1770" s="41" t="inlineStr">
        <is>
          <t>NB</t>
        </is>
      </c>
      <c r="L1770" s="43" t="n">
        <v>24</v>
      </c>
    </row>
    <row r="1771">
      <c r="B1771" s="39" t="inlineStr">
        <is>
          <t>ISCOM_TLS</t>
        </is>
      </c>
      <c r="C1771" s="40" t="inlineStr">
        <is>
          <t>MAS_COM</t>
        </is>
      </c>
      <c r="D1771" s="40" t="inlineStr">
        <is>
          <t>M2</t>
        </is>
      </c>
      <c r="E1771" s="40" t="inlineStr">
        <is>
          <t>ALT</t>
        </is>
      </c>
      <c r="F1771" s="40" t="inlineStr">
        <is>
          <t>STA_EFF</t>
        </is>
      </c>
      <c r="G1771" s="39" t="inlineStr">
        <is>
          <t>Effectif inscrit</t>
        </is>
      </c>
      <c r="H1771" s="40" t="inlineStr">
        <is>
          <t>TECHNIQUE</t>
        </is>
      </c>
      <c r="I1771" s="41" t="inlineStr">
        <is>
          <t>2025FCST_V4</t>
        </is>
      </c>
      <c r="J1771" s="41" t="n">
        <v>2025</v>
      </c>
      <c r="K1771" s="41" t="inlineStr">
        <is>
          <t>NB</t>
        </is>
      </c>
      <c r="L1771" s="43" t="n">
        <v>25</v>
      </c>
    </row>
    <row r="1772">
      <c r="B1772" s="39" t="inlineStr">
        <is>
          <t>ISCOM_TLS</t>
        </is>
      </c>
      <c r="C1772" s="40" t="inlineStr">
        <is>
          <t>MAS_COM</t>
        </is>
      </c>
      <c r="D1772" s="40" t="inlineStr">
        <is>
          <t>M2</t>
        </is>
      </c>
      <c r="E1772" s="40" t="inlineStr">
        <is>
          <t>ALT</t>
        </is>
      </c>
      <c r="F1772" s="40" t="inlineStr">
        <is>
          <t>STA_REINS</t>
        </is>
      </c>
      <c r="G1772" s="39" t="inlineStr">
        <is>
          <t>Réinscrits</t>
        </is>
      </c>
      <c r="H1772" s="40" t="inlineStr">
        <is>
          <t>TECHNIQUE</t>
        </is>
      </c>
      <c r="I1772" s="41" t="inlineStr">
        <is>
          <t>2023ACT_VDEF</t>
        </is>
      </c>
      <c r="J1772" s="41" t="n">
        <v>2023</v>
      </c>
      <c r="K1772" s="41" t="inlineStr">
        <is>
          <t>NB</t>
        </is>
      </c>
      <c r="L1772" s="43" t="n">
        <v>22</v>
      </c>
    </row>
    <row r="1773">
      <c r="B1773" s="39" t="inlineStr">
        <is>
          <t>ISCOM_TLS</t>
        </is>
      </c>
      <c r="C1773" s="40" t="inlineStr">
        <is>
          <t>MAS_COM</t>
        </is>
      </c>
      <c r="D1773" s="40" t="inlineStr">
        <is>
          <t>M2</t>
        </is>
      </c>
      <c r="E1773" s="40" t="inlineStr">
        <is>
          <t>ALT</t>
        </is>
      </c>
      <c r="F1773" s="40" t="inlineStr">
        <is>
          <t>STA_REINS</t>
        </is>
      </c>
      <c r="G1773" s="39" t="inlineStr">
        <is>
          <t>Réinscrits</t>
        </is>
      </c>
      <c r="H1773" s="40" t="inlineStr">
        <is>
          <t>TECHNIQUE</t>
        </is>
      </c>
      <c r="I1773" s="41" t="inlineStr">
        <is>
          <t>2024ACT_VDEF</t>
        </is>
      </c>
      <c r="J1773" s="41" t="n">
        <v>2024</v>
      </c>
      <c r="K1773" s="41" t="inlineStr">
        <is>
          <t>NB</t>
        </is>
      </c>
      <c r="L1773" s="43" t="n">
        <v>24</v>
      </c>
    </row>
    <row r="1774">
      <c r="B1774" s="39" t="inlineStr">
        <is>
          <t>ISCOM_TLS</t>
        </is>
      </c>
      <c r="C1774" s="40" t="inlineStr">
        <is>
          <t>MAS_COM</t>
        </is>
      </c>
      <c r="D1774" s="40" t="inlineStr">
        <is>
          <t>M2</t>
        </is>
      </c>
      <c r="E1774" s="40" t="inlineStr">
        <is>
          <t>ALT</t>
        </is>
      </c>
      <c r="F1774" s="40" t="inlineStr">
        <is>
          <t>STA_REINS</t>
        </is>
      </c>
      <c r="G1774" s="39" t="inlineStr">
        <is>
          <t>Réinscrits</t>
        </is>
      </c>
      <c r="H1774" s="40" t="inlineStr">
        <is>
          <t>TECHNIQUE</t>
        </is>
      </c>
      <c r="I1774" s="41" t="inlineStr">
        <is>
          <t>2025FCST_V4</t>
        </is>
      </c>
      <c r="J1774" s="41" t="n">
        <v>2025</v>
      </c>
      <c r="K1774" s="41" t="inlineStr">
        <is>
          <t>NB</t>
        </is>
      </c>
      <c r="L1774" s="43" t="n">
        <v>25</v>
      </c>
    </row>
    <row r="1775">
      <c r="B1775" s="39" t="inlineStr">
        <is>
          <t>ISCOM_TLS</t>
        </is>
      </c>
      <c r="C1775" s="40" t="inlineStr">
        <is>
          <t>MAS_COM</t>
        </is>
      </c>
      <c r="D1775" s="40" t="inlineStr">
        <is>
          <t>M2</t>
        </is>
      </c>
      <c r="E1775" s="40" t="inlineStr">
        <is>
          <t>ALT</t>
        </is>
      </c>
      <c r="F1775" s="40" t="inlineStr">
        <is>
          <t>STA_CLASS</t>
        </is>
      </c>
      <c r="G1775" s="39" t="inlineStr">
        <is>
          <t>Nombre de classes</t>
        </is>
      </c>
      <c r="H1775" s="40" t="inlineStr">
        <is>
          <t>TECHNIQUE</t>
        </is>
      </c>
      <c r="I1775" s="41" t="inlineStr">
        <is>
          <t>2023ACT_VDEF</t>
        </is>
      </c>
      <c r="J1775" s="41" t="n">
        <v>2023</v>
      </c>
      <c r="K1775" s="41" t="inlineStr">
        <is>
          <t>NB</t>
        </is>
      </c>
      <c r="L1775" s="43" t="n">
        <v>1</v>
      </c>
    </row>
    <row r="1776">
      <c r="B1776" s="39" t="inlineStr">
        <is>
          <t>ISCOM_TLS</t>
        </is>
      </c>
      <c r="C1776" s="40" t="inlineStr">
        <is>
          <t>MAS_COM</t>
        </is>
      </c>
      <c r="D1776" s="40" t="inlineStr">
        <is>
          <t>M2</t>
        </is>
      </c>
      <c r="E1776" s="40" t="inlineStr">
        <is>
          <t>ALT</t>
        </is>
      </c>
      <c r="F1776" s="40" t="inlineStr">
        <is>
          <t>STA_CLASS</t>
        </is>
      </c>
      <c r="G1776" s="39" t="inlineStr">
        <is>
          <t>Nombre de classes</t>
        </is>
      </c>
      <c r="H1776" s="40" t="inlineStr">
        <is>
          <t>TECHNIQUE</t>
        </is>
      </c>
      <c r="I1776" s="41" t="inlineStr">
        <is>
          <t>2024ACT_VDEF</t>
        </is>
      </c>
      <c r="J1776" s="41" t="n">
        <v>2024</v>
      </c>
      <c r="K1776" s="41" t="inlineStr">
        <is>
          <t>NB</t>
        </is>
      </c>
      <c r="L1776" s="43" t="n">
        <v>1</v>
      </c>
    </row>
    <row r="1777">
      <c r="B1777" s="39" t="inlineStr">
        <is>
          <t>ISCOM_TLS</t>
        </is>
      </c>
      <c r="C1777" s="40" t="inlineStr">
        <is>
          <t>MAS_COM</t>
        </is>
      </c>
      <c r="D1777" s="40" t="inlineStr">
        <is>
          <t>M2</t>
        </is>
      </c>
      <c r="E1777" s="40" t="inlineStr">
        <is>
          <t>ALT</t>
        </is>
      </c>
      <c r="F1777" s="40" t="inlineStr">
        <is>
          <t>STA_CLASS</t>
        </is>
      </c>
      <c r="G1777" s="39" t="inlineStr">
        <is>
          <t>Nombre de classes</t>
        </is>
      </c>
      <c r="H1777" s="40" t="inlineStr">
        <is>
          <t>TECHNIQUE</t>
        </is>
      </c>
      <c r="I1777" s="41" t="inlineStr">
        <is>
          <t>2025FCST_V4</t>
        </is>
      </c>
      <c r="J1777" s="41" t="n">
        <v>2025</v>
      </c>
      <c r="K1777" s="41" t="inlineStr">
        <is>
          <t>NB</t>
        </is>
      </c>
      <c r="L1777" s="43" t="n">
        <v>1</v>
      </c>
    </row>
    <row r="1778">
      <c r="B1778" s="39" t="inlineStr">
        <is>
          <t>ISCOM_TLS</t>
        </is>
      </c>
      <c r="C1778" s="40" t="inlineStr">
        <is>
          <t>MAS_COM</t>
        </is>
      </c>
      <c r="D1778" s="40" t="inlineStr">
        <is>
          <t>M2</t>
        </is>
      </c>
      <c r="E1778" s="40" t="inlineStr">
        <is>
          <t>ALT</t>
        </is>
      </c>
      <c r="F1778" s="40" t="inlineStr">
        <is>
          <t>STA_HEURE</t>
        </is>
      </c>
      <c r="G1778" s="39" t="inlineStr">
        <is>
          <t>Heures d'enseignement</t>
        </is>
      </c>
      <c r="H1778" s="40" t="inlineStr">
        <is>
          <t>TECHNIQUE</t>
        </is>
      </c>
      <c r="I1778" s="41" t="inlineStr">
        <is>
          <t>2023ACT_VDEF</t>
        </is>
      </c>
      <c r="J1778" s="41" t="n">
        <v>2023</v>
      </c>
      <c r="K1778" s="41" t="inlineStr">
        <is>
          <t>NB</t>
        </is>
      </c>
      <c r="L1778" s="43" t="n">
        <v>396</v>
      </c>
    </row>
    <row r="1779">
      <c r="B1779" s="39" t="inlineStr">
        <is>
          <t>ISCOM_TLS</t>
        </is>
      </c>
      <c r="C1779" s="40" t="inlineStr">
        <is>
          <t>MAS_COM</t>
        </is>
      </c>
      <c r="D1779" s="40" t="inlineStr">
        <is>
          <t>M2</t>
        </is>
      </c>
      <c r="E1779" s="40" t="inlineStr">
        <is>
          <t>ALT</t>
        </is>
      </c>
      <c r="F1779" s="40" t="inlineStr">
        <is>
          <t>STA_HEURE</t>
        </is>
      </c>
      <c r="G1779" s="39" t="inlineStr">
        <is>
          <t>Heures d'enseignement</t>
        </is>
      </c>
      <c r="H1779" s="40" t="inlineStr">
        <is>
          <t>TECHNIQUE</t>
        </is>
      </c>
      <c r="I1779" s="41" t="inlineStr">
        <is>
          <t>2024ACT_VDEF</t>
        </is>
      </c>
      <c r="J1779" s="41" t="n">
        <v>2024</v>
      </c>
      <c r="K1779" s="41" t="inlineStr">
        <is>
          <t>NB</t>
        </is>
      </c>
      <c r="L1779" s="43" t="n">
        <v>418</v>
      </c>
    </row>
    <row r="1780">
      <c r="B1780" s="39" t="inlineStr">
        <is>
          <t>ISCOM_TLS</t>
        </is>
      </c>
      <c r="C1780" s="40" t="inlineStr">
        <is>
          <t>MAS_COM</t>
        </is>
      </c>
      <c r="D1780" s="40" t="inlineStr">
        <is>
          <t>M2</t>
        </is>
      </c>
      <c r="E1780" s="40" t="inlineStr">
        <is>
          <t>ALT</t>
        </is>
      </c>
      <c r="F1780" s="40" t="inlineStr">
        <is>
          <t>STA_HEURE</t>
        </is>
      </c>
      <c r="G1780" s="39" t="inlineStr">
        <is>
          <t>Heures d'enseignement</t>
        </is>
      </c>
      <c r="H1780" s="40" t="inlineStr">
        <is>
          <t>TECHNIQUE</t>
        </is>
      </c>
      <c r="I1780" s="41" t="inlineStr">
        <is>
          <t>2025FCST_V4</t>
        </is>
      </c>
      <c r="J1780" s="41" t="n">
        <v>2025</v>
      </c>
      <c r="K1780" s="41" t="inlineStr">
        <is>
          <t>NB</t>
        </is>
      </c>
      <c r="L1780" s="43" t="n">
        <v>440</v>
      </c>
    </row>
    <row r="1781">
      <c r="B1781" s="39" t="inlineStr">
        <is>
          <t>ISCOM_TLS</t>
        </is>
      </c>
      <c r="C1781" s="40" t="inlineStr">
        <is>
          <t>MAS_COM</t>
        </is>
      </c>
      <c r="D1781" s="40" t="inlineStr">
        <is>
          <t>M2</t>
        </is>
      </c>
      <c r="E1781" s="40" t="inlineStr">
        <is>
          <t>ALT</t>
        </is>
      </c>
      <c r="F1781" s="40" t="inlineStr">
        <is>
          <t>STA_CAPA</t>
        </is>
      </c>
      <c r="G1781" s="39" t="inlineStr">
        <is>
          <t>Capacité par classe</t>
        </is>
      </c>
      <c r="H1781" s="40" t="inlineStr">
        <is>
          <t>TECHNIQUE</t>
        </is>
      </c>
      <c r="I1781" s="41" t="inlineStr">
        <is>
          <t>2023ACT_VDEF</t>
        </is>
      </c>
      <c r="J1781" s="41" t="n">
        <v>2023</v>
      </c>
      <c r="K1781" s="41" t="inlineStr">
        <is>
          <t>NB</t>
        </is>
      </c>
      <c r="L1781" s="43" t="n">
        <v>26</v>
      </c>
    </row>
    <row r="1782">
      <c r="B1782" s="39" t="inlineStr">
        <is>
          <t>ISCOM_TLS</t>
        </is>
      </c>
      <c r="C1782" s="40" t="inlineStr">
        <is>
          <t>MAS_COM</t>
        </is>
      </c>
      <c r="D1782" s="40" t="inlineStr">
        <is>
          <t>M2</t>
        </is>
      </c>
      <c r="E1782" s="40" t="inlineStr">
        <is>
          <t>ALT</t>
        </is>
      </c>
      <c r="F1782" s="40" t="inlineStr">
        <is>
          <t>STA_CAPA</t>
        </is>
      </c>
      <c r="G1782" s="39" t="inlineStr">
        <is>
          <t>Capacité par classe</t>
        </is>
      </c>
      <c r="H1782" s="40" t="inlineStr">
        <is>
          <t>TECHNIQUE</t>
        </is>
      </c>
      <c r="I1782" s="41" t="inlineStr">
        <is>
          <t>2024ACT_VDEF</t>
        </is>
      </c>
      <c r="J1782" s="41" t="n">
        <v>2024</v>
      </c>
      <c r="K1782" s="41" t="inlineStr">
        <is>
          <t>NB</t>
        </is>
      </c>
      <c r="L1782" s="43" t="n">
        <v>26</v>
      </c>
    </row>
    <row r="1783">
      <c r="B1783" s="39" t="inlineStr">
        <is>
          <t>ISCOM_TLS</t>
        </is>
      </c>
      <c r="C1783" s="40" t="inlineStr">
        <is>
          <t>MAS_COM</t>
        </is>
      </c>
      <c r="D1783" s="40" t="inlineStr">
        <is>
          <t>M2</t>
        </is>
      </c>
      <c r="E1783" s="40" t="inlineStr">
        <is>
          <t>ALT</t>
        </is>
      </c>
      <c r="F1783" s="40" t="inlineStr">
        <is>
          <t>STA_CAPA</t>
        </is>
      </c>
      <c r="G1783" s="39" t="inlineStr">
        <is>
          <t>Capacité par classe</t>
        </is>
      </c>
      <c r="H1783" s="40" t="inlineStr">
        <is>
          <t>TECHNIQUE</t>
        </is>
      </c>
      <c r="I1783" s="41" t="inlineStr">
        <is>
          <t>2025FCST_V4</t>
        </is>
      </c>
      <c r="J1783" s="41" t="n">
        <v>2025</v>
      </c>
      <c r="K1783" s="41" t="inlineStr">
        <is>
          <t>NB</t>
        </is>
      </c>
      <c r="L1783" s="43" t="n">
        <v>26</v>
      </c>
    </row>
    <row r="1784">
      <c r="B1784" s="39" t="inlineStr">
        <is>
          <t>ISCOM_TLS</t>
        </is>
      </c>
      <c r="C1784" s="40" t="inlineStr">
        <is>
          <t>MAS_COM</t>
        </is>
      </c>
      <c r="D1784" s="40" t="inlineStr">
        <is>
          <t>M2</t>
        </is>
      </c>
      <c r="E1784" s="40" t="inlineStr">
        <is>
          <t>ALT</t>
        </is>
      </c>
      <c r="F1784" s="40" t="inlineStr">
        <is>
          <t>DRV_PASS</t>
        </is>
      </c>
      <c r="G1784" s="39" t="inlineStr">
        <is>
          <t>Taux de passage (réinscription)</t>
        </is>
      </c>
      <c r="H1784" s="40" t="inlineStr">
        <is>
          <t>TECHNIQUE</t>
        </is>
      </c>
      <c r="I1784" s="41" t="inlineStr">
        <is>
          <t>2023ACT_VDEF</t>
        </is>
      </c>
      <c r="J1784" s="41" t="n">
        <v>2023</v>
      </c>
      <c r="K1784" s="41" t="inlineStr">
        <is>
          <t>PCT</t>
        </is>
      </c>
      <c r="L1784" s="44" t="n">
        <v>0.96</v>
      </c>
    </row>
    <row r="1785">
      <c r="B1785" s="39" t="inlineStr">
        <is>
          <t>ISCOM_TLS</t>
        </is>
      </c>
      <c r="C1785" s="40" t="inlineStr">
        <is>
          <t>MAS_COM</t>
        </is>
      </c>
      <c r="D1785" s="40" t="inlineStr">
        <is>
          <t>M2</t>
        </is>
      </c>
      <c r="E1785" s="40" t="inlineStr">
        <is>
          <t>ALT</t>
        </is>
      </c>
      <c r="F1785" s="40" t="inlineStr">
        <is>
          <t>DRV_PASS</t>
        </is>
      </c>
      <c r="G1785" s="39" t="inlineStr">
        <is>
          <t>Taux de passage (réinscription)</t>
        </is>
      </c>
      <c r="H1785" s="40" t="inlineStr">
        <is>
          <t>TECHNIQUE</t>
        </is>
      </c>
      <c r="I1785" s="41" t="inlineStr">
        <is>
          <t>2024ACT_VDEF</t>
        </is>
      </c>
      <c r="J1785" s="41" t="n">
        <v>2024</v>
      </c>
      <c r="K1785" s="41" t="inlineStr">
        <is>
          <t>PCT</t>
        </is>
      </c>
      <c r="L1785" s="44" t="n">
        <v>0.96</v>
      </c>
    </row>
    <row r="1786">
      <c r="B1786" s="39" t="inlineStr">
        <is>
          <t>ISCOM_TLS</t>
        </is>
      </c>
      <c r="C1786" s="40" t="inlineStr">
        <is>
          <t>MAS_COM</t>
        </is>
      </c>
      <c r="D1786" s="40" t="inlineStr">
        <is>
          <t>M2</t>
        </is>
      </c>
      <c r="E1786" s="40" t="inlineStr">
        <is>
          <t>ALT</t>
        </is>
      </c>
      <c r="F1786" s="40" t="inlineStr">
        <is>
          <t>DRV_PASS</t>
        </is>
      </c>
      <c r="G1786" s="39" t="inlineStr">
        <is>
          <t>Taux de passage (réinscription)</t>
        </is>
      </c>
      <c r="H1786" s="40" t="inlineStr">
        <is>
          <t>TECHNIQUE</t>
        </is>
      </c>
      <c r="I1786" s="41" t="inlineStr">
        <is>
          <t>2025FCST_V4</t>
        </is>
      </c>
      <c r="J1786" s="41" t="n">
        <v>2025</v>
      </c>
      <c r="K1786" s="41" t="inlineStr">
        <is>
          <t>PCT</t>
        </is>
      </c>
      <c r="L1786" s="44" t="n">
        <v>0.96</v>
      </c>
    </row>
    <row r="1787">
      <c r="B1787" s="39" t="inlineStr">
        <is>
          <t>ISCOM_TLS</t>
        </is>
      </c>
      <c r="C1787" s="40" t="inlineStr">
        <is>
          <t>MAS_COM</t>
        </is>
      </c>
      <c r="D1787" s="40" t="inlineStr">
        <is>
          <t>M2</t>
        </is>
      </c>
      <c r="E1787" s="40" t="inlineStr">
        <is>
          <t>ALT</t>
        </is>
      </c>
      <c r="F1787" s="40" t="inlineStr">
        <is>
          <t>PRX_TARIF</t>
        </is>
      </c>
      <c r="G1787" s="39" t="inlineStr">
        <is>
          <t>Tarif moyen scolarité</t>
        </is>
      </c>
      <c r="H1787" s="40" t="inlineStr">
        <is>
          <t>TECHNIQUE</t>
        </is>
      </c>
      <c r="I1787" s="41" t="inlineStr">
        <is>
          <t>2023ACT_VDEF</t>
        </is>
      </c>
      <c r="J1787" s="41" t="n">
        <v>2023</v>
      </c>
      <c r="K1787" s="41" t="inlineStr">
        <is>
          <t>EUR</t>
        </is>
      </c>
      <c r="L1787" s="42" t="n">
        <v>9000</v>
      </c>
    </row>
    <row r="1788">
      <c r="B1788" s="39" t="inlineStr">
        <is>
          <t>ISCOM_TLS</t>
        </is>
      </c>
      <c r="C1788" s="40" t="inlineStr">
        <is>
          <t>MAS_COM</t>
        </is>
      </c>
      <c r="D1788" s="40" t="inlineStr">
        <is>
          <t>M2</t>
        </is>
      </c>
      <c r="E1788" s="40" t="inlineStr">
        <is>
          <t>ALT</t>
        </is>
      </c>
      <c r="F1788" s="40" t="inlineStr">
        <is>
          <t>PRX_TARIF</t>
        </is>
      </c>
      <c r="G1788" s="39" t="inlineStr">
        <is>
          <t>Tarif moyen scolarité</t>
        </is>
      </c>
      <c r="H1788" s="40" t="inlineStr">
        <is>
          <t>TECHNIQUE</t>
        </is>
      </c>
      <c r="I1788" s="41" t="inlineStr">
        <is>
          <t>2024ACT_VDEF</t>
        </is>
      </c>
      <c r="J1788" s="41" t="n">
        <v>2024</v>
      </c>
      <c r="K1788" s="41" t="inlineStr">
        <is>
          <t>EUR</t>
        </is>
      </c>
      <c r="L1788" s="42" t="n">
        <v>9000</v>
      </c>
    </row>
    <row r="1789">
      <c r="B1789" s="39" t="inlineStr">
        <is>
          <t>ISCOM_TLS</t>
        </is>
      </c>
      <c r="C1789" s="40" t="inlineStr">
        <is>
          <t>MAS_COM</t>
        </is>
      </c>
      <c r="D1789" s="40" t="inlineStr">
        <is>
          <t>M2</t>
        </is>
      </c>
      <c r="E1789" s="40" t="inlineStr">
        <is>
          <t>ALT</t>
        </is>
      </c>
      <c r="F1789" s="40" t="inlineStr">
        <is>
          <t>PRX_TARIF</t>
        </is>
      </c>
      <c r="G1789" s="39" t="inlineStr">
        <is>
          <t>Tarif moyen scolarité</t>
        </is>
      </c>
      <c r="H1789" s="40" t="inlineStr">
        <is>
          <t>TECHNIQUE</t>
        </is>
      </c>
      <c r="I1789" s="41" t="inlineStr">
        <is>
          <t>2025FCST_V4</t>
        </is>
      </c>
      <c r="J1789" s="41" t="n">
        <v>2025</v>
      </c>
      <c r="K1789" s="41" t="inlineStr">
        <is>
          <t>EUR</t>
        </is>
      </c>
      <c r="L1789" s="42" t="n">
        <v>9000</v>
      </c>
    </row>
    <row r="1790">
      <c r="B1790" s="39" t="inlineStr">
        <is>
          <t>IPAC_NAN</t>
        </is>
      </c>
      <c r="C1790" s="40" t="inlineStr">
        <is>
          <t>BAC_CCE</t>
        </is>
      </c>
      <c r="D1790" s="40" t="inlineStr">
        <is>
          <t>B1</t>
        </is>
      </c>
      <c r="E1790" s="40" t="inlineStr">
        <is>
          <t>ALT</t>
        </is>
      </c>
      <c r="F1790" s="40" t="inlineStr">
        <is>
          <t>706100</t>
        </is>
      </c>
      <c r="G1790" s="39" t="inlineStr">
        <is>
          <t>Droits de scolarité</t>
        </is>
      </c>
      <c r="H1790" s="40" t="inlineStr">
        <is>
          <t>COMPTABLE</t>
        </is>
      </c>
      <c r="I1790" s="41" t="inlineStr">
        <is>
          <t>2023ACT_VDEF</t>
        </is>
      </c>
      <c r="J1790" s="41" t="n">
        <v>2023</v>
      </c>
      <c r="K1790" s="41" t="inlineStr">
        <is>
          <t>EUR</t>
        </is>
      </c>
      <c r="L1790" s="42" t="n">
        <v>360000</v>
      </c>
    </row>
    <row r="1791">
      <c r="B1791" s="39" t="inlineStr">
        <is>
          <t>IPAC_NAN</t>
        </is>
      </c>
      <c r="C1791" s="40" t="inlineStr">
        <is>
          <t>BAC_CCE</t>
        </is>
      </c>
      <c r="D1791" s="40" t="inlineStr">
        <is>
          <t>B1</t>
        </is>
      </c>
      <c r="E1791" s="40" t="inlineStr">
        <is>
          <t>ALT</t>
        </is>
      </c>
      <c r="F1791" s="40" t="inlineStr">
        <is>
          <t>706100</t>
        </is>
      </c>
      <c r="G1791" s="39" t="inlineStr">
        <is>
          <t>Droits de scolarité</t>
        </is>
      </c>
      <c r="H1791" s="40" t="inlineStr">
        <is>
          <t>COMPTABLE</t>
        </is>
      </c>
      <c r="I1791" s="41" t="inlineStr">
        <is>
          <t>2024ACT_VDEF</t>
        </is>
      </c>
      <c r="J1791" s="41" t="n">
        <v>2024</v>
      </c>
      <c r="K1791" s="41" t="inlineStr">
        <is>
          <t>EUR</t>
        </is>
      </c>
      <c r="L1791" s="42" t="n">
        <v>380000</v>
      </c>
    </row>
    <row r="1792">
      <c r="B1792" s="39" t="inlineStr">
        <is>
          <t>IPAC_NAN</t>
        </is>
      </c>
      <c r="C1792" s="40" t="inlineStr">
        <is>
          <t>BAC_CCE</t>
        </is>
      </c>
      <c r="D1792" s="40" t="inlineStr">
        <is>
          <t>B1</t>
        </is>
      </c>
      <c r="E1792" s="40" t="inlineStr">
        <is>
          <t>ALT</t>
        </is>
      </c>
      <c r="F1792" s="40" t="inlineStr">
        <is>
          <t>706100</t>
        </is>
      </c>
      <c r="G1792" s="39" t="inlineStr">
        <is>
          <t>Droits de scolarité</t>
        </is>
      </c>
      <c r="H1792" s="40" t="inlineStr">
        <is>
          <t>COMPTABLE</t>
        </is>
      </c>
      <c r="I1792" s="41" t="inlineStr">
        <is>
          <t>2025FCST_V4</t>
        </is>
      </c>
      <c r="J1792" s="41" t="n">
        <v>2025</v>
      </c>
      <c r="K1792" s="41" t="inlineStr">
        <is>
          <t>EUR</t>
        </is>
      </c>
      <c r="L1792" s="42" t="n">
        <v>400000</v>
      </c>
    </row>
    <row r="1793">
      <c r="B1793" s="39" t="inlineStr">
        <is>
          <t>IPAC_NAN</t>
        </is>
      </c>
      <c r="C1793" s="40" t="inlineStr">
        <is>
          <t>BAC_CCE</t>
        </is>
      </c>
      <c r="D1793" s="40" t="inlineStr">
        <is>
          <t>B1</t>
        </is>
      </c>
      <c r="E1793" s="40" t="inlineStr">
        <is>
          <t>ALT</t>
        </is>
      </c>
      <c r="F1793" s="40" t="inlineStr">
        <is>
          <t>708500</t>
        </is>
      </c>
      <c r="G1793" s="39" t="inlineStr">
        <is>
          <t>Frais de dossier / inscription</t>
        </is>
      </c>
      <c r="H1793" s="40" t="inlineStr">
        <is>
          <t>COMPTABLE</t>
        </is>
      </c>
      <c r="I1793" s="41" t="inlineStr">
        <is>
          <t>2023ACT_VDEF</t>
        </is>
      </c>
      <c r="J1793" s="41" t="n">
        <v>2023</v>
      </c>
      <c r="K1793" s="41" t="inlineStr">
        <is>
          <t>EUR</t>
        </is>
      </c>
      <c r="L1793" s="42" t="n">
        <v>4050</v>
      </c>
    </row>
    <row r="1794">
      <c r="B1794" s="39" t="inlineStr">
        <is>
          <t>IPAC_NAN</t>
        </is>
      </c>
      <c r="C1794" s="40" t="inlineStr">
        <is>
          <t>BAC_CCE</t>
        </is>
      </c>
      <c r="D1794" s="40" t="inlineStr">
        <is>
          <t>B1</t>
        </is>
      </c>
      <c r="E1794" s="40" t="inlineStr">
        <is>
          <t>ALT</t>
        </is>
      </c>
      <c r="F1794" s="40" t="inlineStr">
        <is>
          <t>708500</t>
        </is>
      </c>
      <c r="G1794" s="39" t="inlineStr">
        <is>
          <t>Frais de dossier / inscription</t>
        </is>
      </c>
      <c r="H1794" s="40" t="inlineStr">
        <is>
          <t>COMPTABLE</t>
        </is>
      </c>
      <c r="I1794" s="41" t="inlineStr">
        <is>
          <t>2024ACT_VDEF</t>
        </is>
      </c>
      <c r="J1794" s="41" t="n">
        <v>2024</v>
      </c>
      <c r="K1794" s="41" t="inlineStr">
        <is>
          <t>EUR</t>
        </is>
      </c>
      <c r="L1794" s="42" t="n">
        <v>4275</v>
      </c>
    </row>
    <row r="1795">
      <c r="B1795" s="39" t="inlineStr">
        <is>
          <t>IPAC_NAN</t>
        </is>
      </c>
      <c r="C1795" s="40" t="inlineStr">
        <is>
          <t>BAC_CCE</t>
        </is>
      </c>
      <c r="D1795" s="40" t="inlineStr">
        <is>
          <t>B1</t>
        </is>
      </c>
      <c r="E1795" s="40" t="inlineStr">
        <is>
          <t>ALT</t>
        </is>
      </c>
      <c r="F1795" s="40" t="inlineStr">
        <is>
          <t>708500</t>
        </is>
      </c>
      <c r="G1795" s="39" t="inlineStr">
        <is>
          <t>Frais de dossier / inscription</t>
        </is>
      </c>
      <c r="H1795" s="40" t="inlineStr">
        <is>
          <t>COMPTABLE</t>
        </is>
      </c>
      <c r="I1795" s="41" t="inlineStr">
        <is>
          <t>2025FCST_V4</t>
        </is>
      </c>
      <c r="J1795" s="41" t="n">
        <v>2025</v>
      </c>
      <c r="K1795" s="41" t="inlineStr">
        <is>
          <t>EUR</t>
        </is>
      </c>
      <c r="L1795" s="42" t="n">
        <v>4500</v>
      </c>
    </row>
    <row r="1796">
      <c r="B1796" s="39" t="inlineStr">
        <is>
          <t>IPAC_NAN</t>
        </is>
      </c>
      <c r="C1796" s="40" t="inlineStr">
        <is>
          <t>BAC_CCE</t>
        </is>
      </c>
      <c r="D1796" s="40" t="inlineStr">
        <is>
          <t>B1</t>
        </is>
      </c>
      <c r="E1796" s="40" t="inlineStr">
        <is>
          <t>ALT</t>
        </is>
      </c>
      <c r="F1796" s="40" t="inlineStr">
        <is>
          <t>604100</t>
        </is>
      </c>
      <c r="G1796" s="39" t="inlineStr">
        <is>
          <t>Vacations &amp; sous-traitance pédagogique</t>
        </is>
      </c>
      <c r="H1796" s="40" t="inlineStr">
        <is>
          <t>COMPTABLE</t>
        </is>
      </c>
      <c r="I1796" s="41" t="inlineStr">
        <is>
          <t>2023ACT_VDEF</t>
        </is>
      </c>
      <c r="J1796" s="41" t="n">
        <v>2023</v>
      </c>
      <c r="K1796" s="41" t="inlineStr">
        <is>
          <t>EUR</t>
        </is>
      </c>
      <c r="L1796" s="42" t="n">
        <v>62640</v>
      </c>
    </row>
    <row r="1797">
      <c r="B1797" s="39" t="inlineStr">
        <is>
          <t>IPAC_NAN</t>
        </is>
      </c>
      <c r="C1797" s="40" t="inlineStr">
        <is>
          <t>BAC_CCE</t>
        </is>
      </c>
      <c r="D1797" s="40" t="inlineStr">
        <is>
          <t>B1</t>
        </is>
      </c>
      <c r="E1797" s="40" t="inlineStr">
        <is>
          <t>ALT</t>
        </is>
      </c>
      <c r="F1797" s="40" t="inlineStr">
        <is>
          <t>604100</t>
        </is>
      </c>
      <c r="G1797" s="39" t="inlineStr">
        <is>
          <t>Vacations &amp; sous-traitance pédagogique</t>
        </is>
      </c>
      <c r="H1797" s="40" t="inlineStr">
        <is>
          <t>COMPTABLE</t>
        </is>
      </c>
      <c r="I1797" s="41" t="inlineStr">
        <is>
          <t>2024ACT_VDEF</t>
        </is>
      </c>
      <c r="J1797" s="41" t="n">
        <v>2024</v>
      </c>
      <c r="K1797" s="41" t="inlineStr">
        <is>
          <t>EUR</t>
        </is>
      </c>
      <c r="L1797" s="42" t="n">
        <v>66120</v>
      </c>
    </row>
    <row r="1798">
      <c r="B1798" s="39" t="inlineStr">
        <is>
          <t>IPAC_NAN</t>
        </is>
      </c>
      <c r="C1798" s="40" t="inlineStr">
        <is>
          <t>BAC_CCE</t>
        </is>
      </c>
      <c r="D1798" s="40" t="inlineStr">
        <is>
          <t>B1</t>
        </is>
      </c>
      <c r="E1798" s="40" t="inlineStr">
        <is>
          <t>ALT</t>
        </is>
      </c>
      <c r="F1798" s="40" t="inlineStr">
        <is>
          <t>604100</t>
        </is>
      </c>
      <c r="G1798" s="39" t="inlineStr">
        <is>
          <t>Vacations &amp; sous-traitance pédagogique</t>
        </is>
      </c>
      <c r="H1798" s="40" t="inlineStr">
        <is>
          <t>COMPTABLE</t>
        </is>
      </c>
      <c r="I1798" s="41" t="inlineStr">
        <is>
          <t>2025FCST_V4</t>
        </is>
      </c>
      <c r="J1798" s="41" t="n">
        <v>2025</v>
      </c>
      <c r="K1798" s="41" t="inlineStr">
        <is>
          <t>EUR</t>
        </is>
      </c>
      <c r="L1798" s="42" t="n">
        <v>69600</v>
      </c>
    </row>
    <row r="1799">
      <c r="B1799" s="39" t="inlineStr">
        <is>
          <t>IPAC_NAN</t>
        </is>
      </c>
      <c r="C1799" s="40" t="inlineStr">
        <is>
          <t>BAC_CCE</t>
        </is>
      </c>
      <c r="D1799" s="40" t="inlineStr">
        <is>
          <t>B1</t>
        </is>
      </c>
      <c r="E1799" s="40" t="inlineStr">
        <is>
          <t>ALT</t>
        </is>
      </c>
      <c r="F1799" s="40" t="inlineStr">
        <is>
          <t>606300</t>
        </is>
      </c>
      <c r="G1799" s="39" t="inlineStr">
        <is>
          <t>Fournitures &amp; ressources pédagogiques</t>
        </is>
      </c>
      <c r="H1799" s="40" t="inlineStr">
        <is>
          <t>COMPTABLE</t>
        </is>
      </c>
      <c r="I1799" s="41" t="inlineStr">
        <is>
          <t>2023ACT_VDEF</t>
        </is>
      </c>
      <c r="J1799" s="41" t="n">
        <v>2023</v>
      </c>
      <c r="K1799" s="41" t="inlineStr">
        <is>
          <t>EUR</t>
        </is>
      </c>
      <c r="L1799" s="42" t="n">
        <v>17100</v>
      </c>
    </row>
    <row r="1800">
      <c r="B1800" s="39" t="inlineStr">
        <is>
          <t>IPAC_NAN</t>
        </is>
      </c>
      <c r="C1800" s="40" t="inlineStr">
        <is>
          <t>BAC_CCE</t>
        </is>
      </c>
      <c r="D1800" s="40" t="inlineStr">
        <is>
          <t>B1</t>
        </is>
      </c>
      <c r="E1800" s="40" t="inlineStr">
        <is>
          <t>ALT</t>
        </is>
      </c>
      <c r="F1800" s="40" t="inlineStr">
        <is>
          <t>606300</t>
        </is>
      </c>
      <c r="G1800" s="39" t="inlineStr">
        <is>
          <t>Fournitures &amp; ressources pédagogiques</t>
        </is>
      </c>
      <c r="H1800" s="40" t="inlineStr">
        <is>
          <t>COMPTABLE</t>
        </is>
      </c>
      <c r="I1800" s="41" t="inlineStr">
        <is>
          <t>2024ACT_VDEF</t>
        </is>
      </c>
      <c r="J1800" s="41" t="n">
        <v>2024</v>
      </c>
      <c r="K1800" s="41" t="inlineStr">
        <is>
          <t>EUR</t>
        </is>
      </c>
      <c r="L1800" s="42" t="n">
        <v>18050</v>
      </c>
    </row>
    <row r="1801">
      <c r="B1801" s="39" t="inlineStr">
        <is>
          <t>IPAC_NAN</t>
        </is>
      </c>
      <c r="C1801" s="40" t="inlineStr">
        <is>
          <t>BAC_CCE</t>
        </is>
      </c>
      <c r="D1801" s="40" t="inlineStr">
        <is>
          <t>B1</t>
        </is>
      </c>
      <c r="E1801" s="40" t="inlineStr">
        <is>
          <t>ALT</t>
        </is>
      </c>
      <c r="F1801" s="40" t="inlineStr">
        <is>
          <t>606300</t>
        </is>
      </c>
      <c r="G1801" s="39" t="inlineStr">
        <is>
          <t>Fournitures &amp; ressources pédagogiques</t>
        </is>
      </c>
      <c r="H1801" s="40" t="inlineStr">
        <is>
          <t>COMPTABLE</t>
        </is>
      </c>
      <c r="I1801" s="41" t="inlineStr">
        <is>
          <t>2025FCST_V4</t>
        </is>
      </c>
      <c r="J1801" s="41" t="n">
        <v>2025</v>
      </c>
      <c r="K1801" s="41" t="inlineStr">
        <is>
          <t>EUR</t>
        </is>
      </c>
      <c r="L1801" s="42" t="n">
        <v>19000</v>
      </c>
    </row>
    <row r="1802">
      <c r="B1802" s="39" t="inlineStr">
        <is>
          <t>IPAC_NAN</t>
        </is>
      </c>
      <c r="C1802" s="40" t="inlineStr">
        <is>
          <t>BAC_CCE</t>
        </is>
      </c>
      <c r="D1802" s="40" t="inlineStr">
        <is>
          <t>B1</t>
        </is>
      </c>
      <c r="E1802" s="40" t="inlineStr">
        <is>
          <t>ALT</t>
        </is>
      </c>
      <c r="F1802" s="40" t="inlineStr">
        <is>
          <t>623000</t>
        </is>
      </c>
      <c r="G1802" s="39" t="inlineStr">
        <is>
          <t>Publicité &amp; marketing (acquisition)</t>
        </is>
      </c>
      <c r="H1802" s="40" t="inlineStr">
        <is>
          <t>COMPTABLE</t>
        </is>
      </c>
      <c r="I1802" s="41" t="inlineStr">
        <is>
          <t>2023ACT_VDEF</t>
        </is>
      </c>
      <c r="J1802" s="41" t="n">
        <v>2023</v>
      </c>
      <c r="K1802" s="41" t="inlineStr">
        <is>
          <t>EUR</t>
        </is>
      </c>
      <c r="L1802" s="42" t="n">
        <v>14400</v>
      </c>
    </row>
    <row r="1803">
      <c r="B1803" s="39" t="inlineStr">
        <is>
          <t>IPAC_NAN</t>
        </is>
      </c>
      <c r="C1803" s="40" t="inlineStr">
        <is>
          <t>BAC_CCE</t>
        </is>
      </c>
      <c r="D1803" s="40" t="inlineStr">
        <is>
          <t>B1</t>
        </is>
      </c>
      <c r="E1803" s="40" t="inlineStr">
        <is>
          <t>ALT</t>
        </is>
      </c>
      <c r="F1803" s="40" t="inlineStr">
        <is>
          <t>623000</t>
        </is>
      </c>
      <c r="G1803" s="39" t="inlineStr">
        <is>
          <t>Publicité &amp; marketing (acquisition)</t>
        </is>
      </c>
      <c r="H1803" s="40" t="inlineStr">
        <is>
          <t>COMPTABLE</t>
        </is>
      </c>
      <c r="I1803" s="41" t="inlineStr">
        <is>
          <t>2024ACT_VDEF</t>
        </is>
      </c>
      <c r="J1803" s="41" t="n">
        <v>2024</v>
      </c>
      <c r="K1803" s="41" t="inlineStr">
        <is>
          <t>EUR</t>
        </is>
      </c>
      <c r="L1803" s="42" t="n">
        <v>15200</v>
      </c>
    </row>
    <row r="1804">
      <c r="B1804" s="39" t="inlineStr">
        <is>
          <t>IPAC_NAN</t>
        </is>
      </c>
      <c r="C1804" s="40" t="inlineStr">
        <is>
          <t>BAC_CCE</t>
        </is>
      </c>
      <c r="D1804" s="40" t="inlineStr">
        <is>
          <t>B1</t>
        </is>
      </c>
      <c r="E1804" s="40" t="inlineStr">
        <is>
          <t>ALT</t>
        </is>
      </c>
      <c r="F1804" s="40" t="inlineStr">
        <is>
          <t>623000</t>
        </is>
      </c>
      <c r="G1804" s="39" t="inlineStr">
        <is>
          <t>Publicité &amp; marketing (acquisition)</t>
        </is>
      </c>
      <c r="H1804" s="40" t="inlineStr">
        <is>
          <t>COMPTABLE</t>
        </is>
      </c>
      <c r="I1804" s="41" t="inlineStr">
        <is>
          <t>2025FCST_V4</t>
        </is>
      </c>
      <c r="J1804" s="41" t="n">
        <v>2025</v>
      </c>
      <c r="K1804" s="41" t="inlineStr">
        <is>
          <t>EUR</t>
        </is>
      </c>
      <c r="L1804" s="42" t="n">
        <v>16000</v>
      </c>
    </row>
    <row r="1805">
      <c r="B1805" s="39" t="inlineStr">
        <is>
          <t>IPAC_NAN</t>
        </is>
      </c>
      <c r="C1805" s="40" t="inlineStr">
        <is>
          <t>BAC_CCE</t>
        </is>
      </c>
      <c r="D1805" s="40" t="inlineStr">
        <is>
          <t>B1</t>
        </is>
      </c>
      <c r="E1805" s="40" t="inlineStr">
        <is>
          <t>ALT</t>
        </is>
      </c>
      <c r="F1805" s="40" t="inlineStr">
        <is>
          <t>613200</t>
        </is>
      </c>
      <c r="G1805" s="39" t="inlineStr">
        <is>
          <t>Locations immobilières (loyers)</t>
        </is>
      </c>
      <c r="H1805" s="40" t="inlineStr">
        <is>
          <t>COMPTABLE</t>
        </is>
      </c>
      <c r="I1805" s="41" t="inlineStr">
        <is>
          <t>2023ACT_VDEF</t>
        </is>
      </c>
      <c r="J1805" s="41" t="n">
        <v>2023</v>
      </c>
      <c r="K1805" s="41" t="inlineStr">
        <is>
          <t>EUR</t>
        </is>
      </c>
      <c r="L1805" s="42" t="n">
        <v>34500</v>
      </c>
    </row>
    <row r="1806">
      <c r="B1806" s="39" t="inlineStr">
        <is>
          <t>IPAC_NAN</t>
        </is>
      </c>
      <c r="C1806" s="40" t="inlineStr">
        <is>
          <t>BAC_CCE</t>
        </is>
      </c>
      <c r="D1806" s="40" t="inlineStr">
        <is>
          <t>B1</t>
        </is>
      </c>
      <c r="E1806" s="40" t="inlineStr">
        <is>
          <t>ALT</t>
        </is>
      </c>
      <c r="F1806" s="40" t="inlineStr">
        <is>
          <t>613200</t>
        </is>
      </c>
      <c r="G1806" s="39" t="inlineStr">
        <is>
          <t>Locations immobilières (loyers)</t>
        </is>
      </c>
      <c r="H1806" s="40" t="inlineStr">
        <is>
          <t>COMPTABLE</t>
        </is>
      </c>
      <c r="I1806" s="41" t="inlineStr">
        <is>
          <t>2024ACT_VDEF</t>
        </is>
      </c>
      <c r="J1806" s="41" t="n">
        <v>2024</v>
      </c>
      <c r="K1806" s="41" t="inlineStr">
        <is>
          <t>EUR</t>
        </is>
      </c>
      <c r="L1806" s="42" t="n">
        <v>36416</v>
      </c>
    </row>
    <row r="1807">
      <c r="B1807" s="39" t="inlineStr">
        <is>
          <t>IPAC_NAN</t>
        </is>
      </c>
      <c r="C1807" s="40" t="inlineStr">
        <is>
          <t>BAC_CCE</t>
        </is>
      </c>
      <c r="D1807" s="40" t="inlineStr">
        <is>
          <t>B1</t>
        </is>
      </c>
      <c r="E1807" s="40" t="inlineStr">
        <is>
          <t>ALT</t>
        </is>
      </c>
      <c r="F1807" s="40" t="inlineStr">
        <is>
          <t>613200</t>
        </is>
      </c>
      <c r="G1807" s="39" t="inlineStr">
        <is>
          <t>Locations immobilières (loyers)</t>
        </is>
      </c>
      <c r="H1807" s="40" t="inlineStr">
        <is>
          <t>COMPTABLE</t>
        </is>
      </c>
      <c r="I1807" s="41" t="inlineStr">
        <is>
          <t>2025FCST_V4</t>
        </is>
      </c>
      <c r="J1807" s="41" t="n">
        <v>2025</v>
      </c>
      <c r="K1807" s="41" t="inlineStr">
        <is>
          <t>EUR</t>
        </is>
      </c>
      <c r="L1807" s="42" t="n">
        <v>38333</v>
      </c>
    </row>
    <row r="1808">
      <c r="B1808" s="39" t="inlineStr">
        <is>
          <t>IPAC_NAN</t>
        </is>
      </c>
      <c r="C1808" s="40" t="inlineStr">
        <is>
          <t>BAC_CCE</t>
        </is>
      </c>
      <c r="D1808" s="40" t="inlineStr">
        <is>
          <t>B1</t>
        </is>
      </c>
      <c r="E1808" s="40" t="inlineStr">
        <is>
          <t>ALT</t>
        </is>
      </c>
      <c r="F1808" s="40" t="inlineStr">
        <is>
          <t>641100</t>
        </is>
      </c>
      <c r="G1808" s="39" t="inlineStr">
        <is>
          <t>Rémunérations du personnel permanent</t>
        </is>
      </c>
      <c r="H1808" s="40" t="inlineStr">
        <is>
          <t>COMPTABLE</t>
        </is>
      </c>
      <c r="I1808" s="41" t="inlineStr">
        <is>
          <t>2023ACT_VDEF</t>
        </is>
      </c>
      <c r="J1808" s="41" t="n">
        <v>2023</v>
      </c>
      <c r="K1808" s="41" t="inlineStr">
        <is>
          <t>EUR</t>
        </is>
      </c>
      <c r="L1808" s="42" t="n">
        <v>87000</v>
      </c>
    </row>
    <row r="1809">
      <c r="B1809" s="39" t="inlineStr">
        <is>
          <t>IPAC_NAN</t>
        </is>
      </c>
      <c r="C1809" s="40" t="inlineStr">
        <is>
          <t>BAC_CCE</t>
        </is>
      </c>
      <c r="D1809" s="40" t="inlineStr">
        <is>
          <t>B1</t>
        </is>
      </c>
      <c r="E1809" s="40" t="inlineStr">
        <is>
          <t>ALT</t>
        </is>
      </c>
      <c r="F1809" s="40" t="inlineStr">
        <is>
          <t>641100</t>
        </is>
      </c>
      <c r="G1809" s="39" t="inlineStr">
        <is>
          <t>Rémunérations du personnel permanent</t>
        </is>
      </c>
      <c r="H1809" s="40" t="inlineStr">
        <is>
          <t>COMPTABLE</t>
        </is>
      </c>
      <c r="I1809" s="41" t="inlineStr">
        <is>
          <t>2024ACT_VDEF</t>
        </is>
      </c>
      <c r="J1809" s="41" t="n">
        <v>2024</v>
      </c>
      <c r="K1809" s="41" t="inlineStr">
        <is>
          <t>EUR</t>
        </is>
      </c>
      <c r="L1809" s="42" t="n">
        <v>91834</v>
      </c>
    </row>
    <row r="1810">
      <c r="B1810" s="39" t="inlineStr">
        <is>
          <t>IPAC_NAN</t>
        </is>
      </c>
      <c r="C1810" s="40" t="inlineStr">
        <is>
          <t>BAC_CCE</t>
        </is>
      </c>
      <c r="D1810" s="40" t="inlineStr">
        <is>
          <t>B1</t>
        </is>
      </c>
      <c r="E1810" s="40" t="inlineStr">
        <is>
          <t>ALT</t>
        </is>
      </c>
      <c r="F1810" s="40" t="inlineStr">
        <is>
          <t>641100</t>
        </is>
      </c>
      <c r="G1810" s="39" t="inlineStr">
        <is>
          <t>Rémunérations du personnel permanent</t>
        </is>
      </c>
      <c r="H1810" s="40" t="inlineStr">
        <is>
          <t>COMPTABLE</t>
        </is>
      </c>
      <c r="I1810" s="41" t="inlineStr">
        <is>
          <t>2025FCST_V4</t>
        </is>
      </c>
      <c r="J1810" s="41" t="n">
        <v>2025</v>
      </c>
      <c r="K1810" s="41" t="inlineStr">
        <is>
          <t>EUR</t>
        </is>
      </c>
      <c r="L1810" s="42" t="n">
        <v>96667</v>
      </c>
    </row>
    <row r="1811">
      <c r="B1811" s="39" t="inlineStr">
        <is>
          <t>IPAC_NAN</t>
        </is>
      </c>
      <c r="C1811" s="40" t="inlineStr">
        <is>
          <t>BAC_CCE</t>
        </is>
      </c>
      <c r="D1811" s="40" t="inlineStr">
        <is>
          <t>B1</t>
        </is>
      </c>
      <c r="E1811" s="40" t="inlineStr">
        <is>
          <t>ALT</t>
        </is>
      </c>
      <c r="F1811" s="40" t="inlineStr">
        <is>
          <t>622600</t>
        </is>
      </c>
      <c r="G1811" s="39" t="inlineStr">
        <is>
          <t>Honoraires &amp; frais de siège (structure groupe)</t>
        </is>
      </c>
      <c r="H1811" s="40" t="inlineStr">
        <is>
          <t>COMPTABLE</t>
        </is>
      </c>
      <c r="I1811" s="41" t="inlineStr">
        <is>
          <t>2023ACT_VDEF</t>
        </is>
      </c>
      <c r="J1811" s="41" t="n">
        <v>2023</v>
      </c>
      <c r="K1811" s="41" t="inlineStr">
        <is>
          <t>EUR</t>
        </is>
      </c>
      <c r="L1811" s="42" t="n">
        <v>31355</v>
      </c>
    </row>
    <row r="1812">
      <c r="B1812" s="39" t="inlineStr">
        <is>
          <t>IPAC_NAN</t>
        </is>
      </c>
      <c r="C1812" s="40" t="inlineStr">
        <is>
          <t>BAC_CCE</t>
        </is>
      </c>
      <c r="D1812" s="40" t="inlineStr">
        <is>
          <t>B1</t>
        </is>
      </c>
      <c r="E1812" s="40" t="inlineStr">
        <is>
          <t>ALT</t>
        </is>
      </c>
      <c r="F1812" s="40" t="inlineStr">
        <is>
          <t>622600</t>
        </is>
      </c>
      <c r="G1812" s="39" t="inlineStr">
        <is>
          <t>Honoraires &amp; frais de siège (structure groupe)</t>
        </is>
      </c>
      <c r="H1812" s="40" t="inlineStr">
        <is>
          <t>COMPTABLE</t>
        </is>
      </c>
      <c r="I1812" s="41" t="inlineStr">
        <is>
          <t>2024ACT_VDEF</t>
        </is>
      </c>
      <c r="J1812" s="41" t="n">
        <v>2024</v>
      </c>
      <c r="K1812" s="41" t="inlineStr">
        <is>
          <t>EUR</t>
        </is>
      </c>
      <c r="L1812" s="42" t="n">
        <v>33097</v>
      </c>
    </row>
    <row r="1813">
      <c r="B1813" s="39" t="inlineStr">
        <is>
          <t>IPAC_NAN</t>
        </is>
      </c>
      <c r="C1813" s="40" t="inlineStr">
        <is>
          <t>BAC_CCE</t>
        </is>
      </c>
      <c r="D1813" s="40" t="inlineStr">
        <is>
          <t>B1</t>
        </is>
      </c>
      <c r="E1813" s="40" t="inlineStr">
        <is>
          <t>ALT</t>
        </is>
      </c>
      <c r="F1813" s="40" t="inlineStr">
        <is>
          <t>622600</t>
        </is>
      </c>
      <c r="G1813" s="39" t="inlineStr">
        <is>
          <t>Honoraires &amp; frais de siège (structure groupe)</t>
        </is>
      </c>
      <c r="H1813" s="40" t="inlineStr">
        <is>
          <t>COMPTABLE</t>
        </is>
      </c>
      <c r="I1813" s="41" t="inlineStr">
        <is>
          <t>2025FCST_V4</t>
        </is>
      </c>
      <c r="J1813" s="41" t="n">
        <v>2025</v>
      </c>
      <c r="K1813" s="41" t="inlineStr">
        <is>
          <t>EUR</t>
        </is>
      </c>
      <c r="L1813" s="42" t="n">
        <v>34839</v>
      </c>
    </row>
    <row r="1814">
      <c r="B1814" s="39" t="inlineStr">
        <is>
          <t>IPAC_NAN</t>
        </is>
      </c>
      <c r="C1814" s="40" t="inlineStr">
        <is>
          <t>BAC_CCE</t>
        </is>
      </c>
      <c r="D1814" s="40" t="inlineStr">
        <is>
          <t>B1</t>
        </is>
      </c>
      <c r="E1814" s="40" t="inlineStr">
        <is>
          <t>ALT</t>
        </is>
      </c>
      <c r="F1814" s="40" t="inlineStr">
        <is>
          <t>606800</t>
        </is>
      </c>
      <c r="G1814" s="39" t="inlineStr">
        <is>
          <t>Autres achats &amp; charges externes</t>
        </is>
      </c>
      <c r="H1814" s="40" t="inlineStr">
        <is>
          <t>COMPTABLE</t>
        </is>
      </c>
      <c r="I1814" s="41" t="inlineStr">
        <is>
          <t>2023ACT_VDEF</t>
        </is>
      </c>
      <c r="J1814" s="41" t="n">
        <v>2023</v>
      </c>
      <c r="K1814" s="41" t="inlineStr">
        <is>
          <t>EUR</t>
        </is>
      </c>
      <c r="L1814" s="42" t="n">
        <v>42030</v>
      </c>
    </row>
    <row r="1815">
      <c r="B1815" s="39" t="inlineStr">
        <is>
          <t>IPAC_NAN</t>
        </is>
      </c>
      <c r="C1815" s="40" t="inlineStr">
        <is>
          <t>BAC_CCE</t>
        </is>
      </c>
      <c r="D1815" s="40" t="inlineStr">
        <is>
          <t>B1</t>
        </is>
      </c>
      <c r="E1815" s="40" t="inlineStr">
        <is>
          <t>ALT</t>
        </is>
      </c>
      <c r="F1815" s="40" t="inlineStr">
        <is>
          <t>606800</t>
        </is>
      </c>
      <c r="G1815" s="39" t="inlineStr">
        <is>
          <t>Autres achats &amp; charges externes</t>
        </is>
      </c>
      <c r="H1815" s="40" t="inlineStr">
        <is>
          <t>COMPTABLE</t>
        </is>
      </c>
      <c r="I1815" s="41" t="inlineStr">
        <is>
          <t>2024ACT_VDEF</t>
        </is>
      </c>
      <c r="J1815" s="41" t="n">
        <v>2024</v>
      </c>
      <c r="K1815" s="41" t="inlineStr">
        <is>
          <t>EUR</t>
        </is>
      </c>
      <c r="L1815" s="42" t="n">
        <v>44365</v>
      </c>
    </row>
    <row r="1816">
      <c r="B1816" s="39" t="inlineStr">
        <is>
          <t>IPAC_NAN</t>
        </is>
      </c>
      <c r="C1816" s="40" t="inlineStr">
        <is>
          <t>BAC_CCE</t>
        </is>
      </c>
      <c r="D1816" s="40" t="inlineStr">
        <is>
          <t>B1</t>
        </is>
      </c>
      <c r="E1816" s="40" t="inlineStr">
        <is>
          <t>ALT</t>
        </is>
      </c>
      <c r="F1816" s="40" t="inlineStr">
        <is>
          <t>606800</t>
        </is>
      </c>
      <c r="G1816" s="39" t="inlineStr">
        <is>
          <t>Autres achats &amp; charges externes</t>
        </is>
      </c>
      <c r="H1816" s="40" t="inlineStr">
        <is>
          <t>COMPTABLE</t>
        </is>
      </c>
      <c r="I1816" s="41" t="inlineStr">
        <is>
          <t>2025FCST_V4</t>
        </is>
      </c>
      <c r="J1816" s="41" t="n">
        <v>2025</v>
      </c>
      <c r="K1816" s="41" t="inlineStr">
        <is>
          <t>EUR</t>
        </is>
      </c>
      <c r="L1816" s="42" t="n">
        <v>46700</v>
      </c>
    </row>
    <row r="1817">
      <c r="B1817" s="39" t="inlineStr">
        <is>
          <t>IPAC_NAN</t>
        </is>
      </c>
      <c r="C1817" s="40" t="inlineStr">
        <is>
          <t>BAC_CCE</t>
        </is>
      </c>
      <c r="D1817" s="40" t="inlineStr">
        <is>
          <t>B1</t>
        </is>
      </c>
      <c r="E1817" s="40" t="inlineStr">
        <is>
          <t>ALT</t>
        </is>
      </c>
      <c r="F1817" s="40" t="inlineStr">
        <is>
          <t>681100</t>
        </is>
      </c>
      <c r="G1817" s="39" t="inlineStr">
        <is>
          <t>Dotations aux amortissements</t>
        </is>
      </c>
      <c r="H1817" s="40" t="inlineStr">
        <is>
          <t>COMPTABLE</t>
        </is>
      </c>
      <c r="I1817" s="41" t="inlineStr">
        <is>
          <t>2023ACT_VDEF</t>
        </is>
      </c>
      <c r="J1817" s="41" t="n">
        <v>2023</v>
      </c>
      <c r="K1817" s="41" t="inlineStr">
        <is>
          <t>EUR</t>
        </is>
      </c>
      <c r="L1817" s="42" t="n">
        <v>18900</v>
      </c>
    </row>
    <row r="1818">
      <c r="B1818" s="39" t="inlineStr">
        <is>
          <t>IPAC_NAN</t>
        </is>
      </c>
      <c r="C1818" s="40" t="inlineStr">
        <is>
          <t>BAC_CCE</t>
        </is>
      </c>
      <c r="D1818" s="40" t="inlineStr">
        <is>
          <t>B1</t>
        </is>
      </c>
      <c r="E1818" s="40" t="inlineStr">
        <is>
          <t>ALT</t>
        </is>
      </c>
      <c r="F1818" s="40" t="inlineStr">
        <is>
          <t>681100</t>
        </is>
      </c>
      <c r="G1818" s="39" t="inlineStr">
        <is>
          <t>Dotations aux amortissements</t>
        </is>
      </c>
      <c r="H1818" s="40" t="inlineStr">
        <is>
          <t>COMPTABLE</t>
        </is>
      </c>
      <c r="I1818" s="41" t="inlineStr">
        <is>
          <t>2024ACT_VDEF</t>
        </is>
      </c>
      <c r="J1818" s="41" t="n">
        <v>2024</v>
      </c>
      <c r="K1818" s="41" t="inlineStr">
        <is>
          <t>EUR</t>
        </is>
      </c>
      <c r="L1818" s="42" t="n">
        <v>19950</v>
      </c>
    </row>
    <row r="1819">
      <c r="B1819" s="39" t="inlineStr">
        <is>
          <t>IPAC_NAN</t>
        </is>
      </c>
      <c r="C1819" s="40" t="inlineStr">
        <is>
          <t>BAC_CCE</t>
        </is>
      </c>
      <c r="D1819" s="40" t="inlineStr">
        <is>
          <t>B1</t>
        </is>
      </c>
      <c r="E1819" s="40" t="inlineStr">
        <is>
          <t>ALT</t>
        </is>
      </c>
      <c r="F1819" s="40" t="inlineStr">
        <is>
          <t>681100</t>
        </is>
      </c>
      <c r="G1819" s="39" t="inlineStr">
        <is>
          <t>Dotations aux amortissements</t>
        </is>
      </c>
      <c r="H1819" s="40" t="inlineStr">
        <is>
          <t>COMPTABLE</t>
        </is>
      </c>
      <c r="I1819" s="41" t="inlineStr">
        <is>
          <t>2025FCST_V4</t>
        </is>
      </c>
      <c r="J1819" s="41" t="n">
        <v>2025</v>
      </c>
      <c r="K1819" s="41" t="inlineStr">
        <is>
          <t>EUR</t>
        </is>
      </c>
      <c r="L1819" s="42" t="n">
        <v>21000</v>
      </c>
    </row>
    <row r="1820">
      <c r="B1820" s="39" t="inlineStr">
        <is>
          <t>IPAC_NAN</t>
        </is>
      </c>
      <c r="C1820" s="40" t="inlineStr">
        <is>
          <t>BAC_CCE</t>
        </is>
      </c>
      <c r="D1820" s="40" t="inlineStr">
        <is>
          <t>B1</t>
        </is>
      </c>
      <c r="E1820" s="40" t="inlineStr">
        <is>
          <t>ALT</t>
        </is>
      </c>
      <c r="F1820" s="40" t="inlineStr">
        <is>
          <t>STA_EFF</t>
        </is>
      </c>
      <c r="G1820" s="39" t="inlineStr">
        <is>
          <t>Effectif inscrit</t>
        </is>
      </c>
      <c r="H1820" s="40" t="inlineStr">
        <is>
          <t>TECHNIQUE</t>
        </is>
      </c>
      <c r="I1820" s="41" t="inlineStr">
        <is>
          <t>2023ACT_VDEF</t>
        </is>
      </c>
      <c r="J1820" s="41" t="n">
        <v>2023</v>
      </c>
      <c r="K1820" s="41" t="inlineStr">
        <is>
          <t>NB</t>
        </is>
      </c>
      <c r="L1820" s="43" t="n">
        <v>45</v>
      </c>
    </row>
    <row r="1821">
      <c r="B1821" s="39" t="inlineStr">
        <is>
          <t>IPAC_NAN</t>
        </is>
      </c>
      <c r="C1821" s="40" t="inlineStr">
        <is>
          <t>BAC_CCE</t>
        </is>
      </c>
      <c r="D1821" s="40" t="inlineStr">
        <is>
          <t>B1</t>
        </is>
      </c>
      <c r="E1821" s="40" t="inlineStr">
        <is>
          <t>ALT</t>
        </is>
      </c>
      <c r="F1821" s="40" t="inlineStr">
        <is>
          <t>STA_EFF</t>
        </is>
      </c>
      <c r="G1821" s="39" t="inlineStr">
        <is>
          <t>Effectif inscrit</t>
        </is>
      </c>
      <c r="H1821" s="40" t="inlineStr">
        <is>
          <t>TECHNIQUE</t>
        </is>
      </c>
      <c r="I1821" s="41" t="inlineStr">
        <is>
          <t>2024ACT_VDEF</t>
        </is>
      </c>
      <c r="J1821" s="41" t="n">
        <v>2024</v>
      </c>
      <c r="K1821" s="41" t="inlineStr">
        <is>
          <t>NB</t>
        </is>
      </c>
      <c r="L1821" s="43" t="n">
        <v>48</v>
      </c>
    </row>
    <row r="1822">
      <c r="B1822" s="39" t="inlineStr">
        <is>
          <t>IPAC_NAN</t>
        </is>
      </c>
      <c r="C1822" s="40" t="inlineStr">
        <is>
          <t>BAC_CCE</t>
        </is>
      </c>
      <c r="D1822" s="40" t="inlineStr">
        <is>
          <t>B1</t>
        </is>
      </c>
      <c r="E1822" s="40" t="inlineStr">
        <is>
          <t>ALT</t>
        </is>
      </c>
      <c r="F1822" s="40" t="inlineStr">
        <is>
          <t>STA_EFF</t>
        </is>
      </c>
      <c r="G1822" s="39" t="inlineStr">
        <is>
          <t>Effectif inscrit</t>
        </is>
      </c>
      <c r="H1822" s="40" t="inlineStr">
        <is>
          <t>TECHNIQUE</t>
        </is>
      </c>
      <c r="I1822" s="41" t="inlineStr">
        <is>
          <t>2025FCST_V4</t>
        </is>
      </c>
      <c r="J1822" s="41" t="n">
        <v>2025</v>
      </c>
      <c r="K1822" s="41" t="inlineStr">
        <is>
          <t>NB</t>
        </is>
      </c>
      <c r="L1822" s="43" t="n">
        <v>50</v>
      </c>
    </row>
    <row r="1823">
      <c r="B1823" s="39" t="inlineStr">
        <is>
          <t>IPAC_NAN</t>
        </is>
      </c>
      <c r="C1823" s="40" t="inlineStr">
        <is>
          <t>BAC_CCE</t>
        </is>
      </c>
      <c r="D1823" s="40" t="inlineStr">
        <is>
          <t>B1</t>
        </is>
      </c>
      <c r="E1823" s="40" t="inlineStr">
        <is>
          <t>ALT</t>
        </is>
      </c>
      <c r="F1823" s="40" t="inlineStr">
        <is>
          <t>STA_CAND</t>
        </is>
      </c>
      <c r="G1823" s="39" t="inlineStr">
        <is>
          <t>Candidatures reçues</t>
        </is>
      </c>
      <c r="H1823" s="40" t="inlineStr">
        <is>
          <t>TECHNIQUE</t>
        </is>
      </c>
      <c r="I1823" s="41" t="inlineStr">
        <is>
          <t>2023ACT_VDEF</t>
        </is>
      </c>
      <c r="J1823" s="41" t="n">
        <v>2023</v>
      </c>
      <c r="K1823" s="41" t="inlineStr">
        <is>
          <t>NB</t>
        </is>
      </c>
      <c r="L1823" s="43" t="n">
        <v>121</v>
      </c>
    </row>
    <row r="1824">
      <c r="B1824" s="39" t="inlineStr">
        <is>
          <t>IPAC_NAN</t>
        </is>
      </c>
      <c r="C1824" s="40" t="inlineStr">
        <is>
          <t>BAC_CCE</t>
        </is>
      </c>
      <c r="D1824" s="40" t="inlineStr">
        <is>
          <t>B1</t>
        </is>
      </c>
      <c r="E1824" s="40" t="inlineStr">
        <is>
          <t>ALT</t>
        </is>
      </c>
      <c r="F1824" s="40" t="inlineStr">
        <is>
          <t>STA_CAND</t>
        </is>
      </c>
      <c r="G1824" s="39" t="inlineStr">
        <is>
          <t>Candidatures reçues</t>
        </is>
      </c>
      <c r="H1824" s="40" t="inlineStr">
        <is>
          <t>TECHNIQUE</t>
        </is>
      </c>
      <c r="I1824" s="41" t="inlineStr">
        <is>
          <t>2024ACT_VDEF</t>
        </is>
      </c>
      <c r="J1824" s="41" t="n">
        <v>2024</v>
      </c>
      <c r="K1824" s="41" t="inlineStr">
        <is>
          <t>NB</t>
        </is>
      </c>
      <c r="L1824" s="43" t="n">
        <v>127</v>
      </c>
    </row>
    <row r="1825">
      <c r="B1825" s="39" t="inlineStr">
        <is>
          <t>IPAC_NAN</t>
        </is>
      </c>
      <c r="C1825" s="40" t="inlineStr">
        <is>
          <t>BAC_CCE</t>
        </is>
      </c>
      <c r="D1825" s="40" t="inlineStr">
        <is>
          <t>B1</t>
        </is>
      </c>
      <c r="E1825" s="40" t="inlineStr">
        <is>
          <t>ALT</t>
        </is>
      </c>
      <c r="F1825" s="40" t="inlineStr">
        <is>
          <t>STA_CAND</t>
        </is>
      </c>
      <c r="G1825" s="39" t="inlineStr">
        <is>
          <t>Candidatures reçues</t>
        </is>
      </c>
      <c r="H1825" s="40" t="inlineStr">
        <is>
          <t>TECHNIQUE</t>
        </is>
      </c>
      <c r="I1825" s="41" t="inlineStr">
        <is>
          <t>2025FCST_V4</t>
        </is>
      </c>
      <c r="J1825" s="41" t="n">
        <v>2025</v>
      </c>
      <c r="K1825" s="41" t="inlineStr">
        <is>
          <t>NB</t>
        </is>
      </c>
      <c r="L1825" s="43" t="n">
        <v>134</v>
      </c>
    </row>
    <row r="1826">
      <c r="B1826" s="39" t="inlineStr">
        <is>
          <t>IPAC_NAN</t>
        </is>
      </c>
      <c r="C1826" s="40" t="inlineStr">
        <is>
          <t>BAC_CCE</t>
        </is>
      </c>
      <c r="D1826" s="40" t="inlineStr">
        <is>
          <t>B1</t>
        </is>
      </c>
      <c r="E1826" s="40" t="inlineStr">
        <is>
          <t>ALT</t>
        </is>
      </c>
      <c r="F1826" s="40" t="inlineStr">
        <is>
          <t>STA_ADMIS</t>
        </is>
      </c>
      <c r="G1826" s="39" t="inlineStr">
        <is>
          <t>Candidats admis</t>
        </is>
      </c>
      <c r="H1826" s="40" t="inlineStr">
        <is>
          <t>TECHNIQUE</t>
        </is>
      </c>
      <c r="I1826" s="41" t="inlineStr">
        <is>
          <t>2023ACT_VDEF</t>
        </is>
      </c>
      <c r="J1826" s="41" t="n">
        <v>2023</v>
      </c>
      <c r="K1826" s="41" t="inlineStr">
        <is>
          <t>NB</t>
        </is>
      </c>
      <c r="L1826" s="43" t="n">
        <v>75</v>
      </c>
    </row>
    <row r="1827">
      <c r="B1827" s="39" t="inlineStr">
        <is>
          <t>IPAC_NAN</t>
        </is>
      </c>
      <c r="C1827" s="40" t="inlineStr">
        <is>
          <t>BAC_CCE</t>
        </is>
      </c>
      <c r="D1827" s="40" t="inlineStr">
        <is>
          <t>B1</t>
        </is>
      </c>
      <c r="E1827" s="40" t="inlineStr">
        <is>
          <t>ALT</t>
        </is>
      </c>
      <c r="F1827" s="40" t="inlineStr">
        <is>
          <t>STA_ADMIS</t>
        </is>
      </c>
      <c r="G1827" s="39" t="inlineStr">
        <is>
          <t>Candidats admis</t>
        </is>
      </c>
      <c r="H1827" s="40" t="inlineStr">
        <is>
          <t>TECHNIQUE</t>
        </is>
      </c>
      <c r="I1827" s="41" t="inlineStr">
        <is>
          <t>2024ACT_VDEF</t>
        </is>
      </c>
      <c r="J1827" s="41" t="n">
        <v>2024</v>
      </c>
      <c r="K1827" s="41" t="inlineStr">
        <is>
          <t>NB</t>
        </is>
      </c>
      <c r="L1827" s="43" t="n">
        <v>79</v>
      </c>
    </row>
    <row r="1828">
      <c r="B1828" s="39" t="inlineStr">
        <is>
          <t>IPAC_NAN</t>
        </is>
      </c>
      <c r="C1828" s="40" t="inlineStr">
        <is>
          <t>BAC_CCE</t>
        </is>
      </c>
      <c r="D1828" s="40" t="inlineStr">
        <is>
          <t>B1</t>
        </is>
      </c>
      <c r="E1828" s="40" t="inlineStr">
        <is>
          <t>ALT</t>
        </is>
      </c>
      <c r="F1828" s="40" t="inlineStr">
        <is>
          <t>STA_ADMIS</t>
        </is>
      </c>
      <c r="G1828" s="39" t="inlineStr">
        <is>
          <t>Candidats admis</t>
        </is>
      </c>
      <c r="H1828" s="40" t="inlineStr">
        <is>
          <t>TECHNIQUE</t>
        </is>
      </c>
      <c r="I1828" s="41" t="inlineStr">
        <is>
          <t>2025FCST_V4</t>
        </is>
      </c>
      <c r="J1828" s="41" t="n">
        <v>2025</v>
      </c>
      <c r="K1828" s="41" t="inlineStr">
        <is>
          <t>NB</t>
        </is>
      </c>
      <c r="L1828" s="43" t="n">
        <v>83</v>
      </c>
    </row>
    <row r="1829">
      <c r="B1829" s="39" t="inlineStr">
        <is>
          <t>IPAC_NAN</t>
        </is>
      </c>
      <c r="C1829" s="40" t="inlineStr">
        <is>
          <t>BAC_CCE</t>
        </is>
      </c>
      <c r="D1829" s="40" t="inlineStr">
        <is>
          <t>B1</t>
        </is>
      </c>
      <c r="E1829" s="40" t="inlineStr">
        <is>
          <t>ALT</t>
        </is>
      </c>
      <c r="F1829" s="40" t="inlineStr">
        <is>
          <t>STA_NOUV</t>
        </is>
      </c>
      <c r="G1829" s="39" t="inlineStr">
        <is>
          <t>Nouveaux inscrits</t>
        </is>
      </c>
      <c r="H1829" s="40" t="inlineStr">
        <is>
          <t>TECHNIQUE</t>
        </is>
      </c>
      <c r="I1829" s="41" t="inlineStr">
        <is>
          <t>2023ACT_VDEF</t>
        </is>
      </c>
      <c r="J1829" s="41" t="n">
        <v>2023</v>
      </c>
      <c r="K1829" s="41" t="inlineStr">
        <is>
          <t>NB</t>
        </is>
      </c>
      <c r="L1829" s="43" t="n">
        <v>45</v>
      </c>
    </row>
    <row r="1830">
      <c r="B1830" s="39" t="inlineStr">
        <is>
          <t>IPAC_NAN</t>
        </is>
      </c>
      <c r="C1830" s="40" t="inlineStr">
        <is>
          <t>BAC_CCE</t>
        </is>
      </c>
      <c r="D1830" s="40" t="inlineStr">
        <is>
          <t>B1</t>
        </is>
      </c>
      <c r="E1830" s="40" t="inlineStr">
        <is>
          <t>ALT</t>
        </is>
      </c>
      <c r="F1830" s="40" t="inlineStr">
        <is>
          <t>STA_NOUV</t>
        </is>
      </c>
      <c r="G1830" s="39" t="inlineStr">
        <is>
          <t>Nouveaux inscrits</t>
        </is>
      </c>
      <c r="H1830" s="40" t="inlineStr">
        <is>
          <t>TECHNIQUE</t>
        </is>
      </c>
      <c r="I1830" s="41" t="inlineStr">
        <is>
          <t>2024ACT_VDEF</t>
        </is>
      </c>
      <c r="J1830" s="41" t="n">
        <v>2024</v>
      </c>
      <c r="K1830" s="41" t="inlineStr">
        <is>
          <t>NB</t>
        </is>
      </c>
      <c r="L1830" s="43" t="n">
        <v>48</v>
      </c>
    </row>
    <row r="1831">
      <c r="B1831" s="39" t="inlineStr">
        <is>
          <t>IPAC_NAN</t>
        </is>
      </c>
      <c r="C1831" s="40" t="inlineStr">
        <is>
          <t>BAC_CCE</t>
        </is>
      </c>
      <c r="D1831" s="40" t="inlineStr">
        <is>
          <t>B1</t>
        </is>
      </c>
      <c r="E1831" s="40" t="inlineStr">
        <is>
          <t>ALT</t>
        </is>
      </c>
      <c r="F1831" s="40" t="inlineStr">
        <is>
          <t>STA_NOUV</t>
        </is>
      </c>
      <c r="G1831" s="39" t="inlineStr">
        <is>
          <t>Nouveaux inscrits</t>
        </is>
      </c>
      <c r="H1831" s="40" t="inlineStr">
        <is>
          <t>TECHNIQUE</t>
        </is>
      </c>
      <c r="I1831" s="41" t="inlineStr">
        <is>
          <t>2025FCST_V4</t>
        </is>
      </c>
      <c r="J1831" s="41" t="n">
        <v>2025</v>
      </c>
      <c r="K1831" s="41" t="inlineStr">
        <is>
          <t>NB</t>
        </is>
      </c>
      <c r="L1831" s="43" t="n">
        <v>50</v>
      </c>
    </row>
    <row r="1832">
      <c r="B1832" s="39" t="inlineStr">
        <is>
          <t>IPAC_NAN</t>
        </is>
      </c>
      <c r="C1832" s="40" t="inlineStr">
        <is>
          <t>BAC_CCE</t>
        </is>
      </c>
      <c r="D1832" s="40" t="inlineStr">
        <is>
          <t>B1</t>
        </is>
      </c>
      <c r="E1832" s="40" t="inlineStr">
        <is>
          <t>ALT</t>
        </is>
      </c>
      <c r="F1832" s="40" t="inlineStr">
        <is>
          <t>STA_CLASS</t>
        </is>
      </c>
      <c r="G1832" s="39" t="inlineStr">
        <is>
          <t>Nombre de classes</t>
        </is>
      </c>
      <c r="H1832" s="40" t="inlineStr">
        <is>
          <t>TECHNIQUE</t>
        </is>
      </c>
      <c r="I1832" s="41" t="inlineStr">
        <is>
          <t>2023ACT_VDEF</t>
        </is>
      </c>
      <c r="J1832" s="41" t="n">
        <v>2023</v>
      </c>
      <c r="K1832" s="41" t="inlineStr">
        <is>
          <t>NB</t>
        </is>
      </c>
      <c r="L1832" s="43" t="n">
        <v>2</v>
      </c>
    </row>
    <row r="1833">
      <c r="B1833" s="39" t="inlineStr">
        <is>
          <t>IPAC_NAN</t>
        </is>
      </c>
      <c r="C1833" s="40" t="inlineStr">
        <is>
          <t>BAC_CCE</t>
        </is>
      </c>
      <c r="D1833" s="40" t="inlineStr">
        <is>
          <t>B1</t>
        </is>
      </c>
      <c r="E1833" s="40" t="inlineStr">
        <is>
          <t>ALT</t>
        </is>
      </c>
      <c r="F1833" s="40" t="inlineStr">
        <is>
          <t>STA_CLASS</t>
        </is>
      </c>
      <c r="G1833" s="39" t="inlineStr">
        <is>
          <t>Nombre de classes</t>
        </is>
      </c>
      <c r="H1833" s="40" t="inlineStr">
        <is>
          <t>TECHNIQUE</t>
        </is>
      </c>
      <c r="I1833" s="41" t="inlineStr">
        <is>
          <t>2024ACT_VDEF</t>
        </is>
      </c>
      <c r="J1833" s="41" t="n">
        <v>2024</v>
      </c>
      <c r="K1833" s="41" t="inlineStr">
        <is>
          <t>NB</t>
        </is>
      </c>
      <c r="L1833" s="43" t="n">
        <v>2</v>
      </c>
    </row>
    <row r="1834">
      <c r="B1834" s="39" t="inlineStr">
        <is>
          <t>IPAC_NAN</t>
        </is>
      </c>
      <c r="C1834" s="40" t="inlineStr">
        <is>
          <t>BAC_CCE</t>
        </is>
      </c>
      <c r="D1834" s="40" t="inlineStr">
        <is>
          <t>B1</t>
        </is>
      </c>
      <c r="E1834" s="40" t="inlineStr">
        <is>
          <t>ALT</t>
        </is>
      </c>
      <c r="F1834" s="40" t="inlineStr">
        <is>
          <t>STA_CLASS</t>
        </is>
      </c>
      <c r="G1834" s="39" t="inlineStr">
        <is>
          <t>Nombre de classes</t>
        </is>
      </c>
      <c r="H1834" s="40" t="inlineStr">
        <is>
          <t>TECHNIQUE</t>
        </is>
      </c>
      <c r="I1834" s="41" t="inlineStr">
        <is>
          <t>2025FCST_V4</t>
        </is>
      </c>
      <c r="J1834" s="41" t="n">
        <v>2025</v>
      </c>
      <c r="K1834" s="41" t="inlineStr">
        <is>
          <t>NB</t>
        </is>
      </c>
      <c r="L1834" s="43" t="n">
        <v>2</v>
      </c>
    </row>
    <row r="1835">
      <c r="B1835" s="39" t="inlineStr">
        <is>
          <t>IPAC_NAN</t>
        </is>
      </c>
      <c r="C1835" s="40" t="inlineStr">
        <is>
          <t>BAC_CCE</t>
        </is>
      </c>
      <c r="D1835" s="40" t="inlineStr">
        <is>
          <t>B1</t>
        </is>
      </c>
      <c r="E1835" s="40" t="inlineStr">
        <is>
          <t>ALT</t>
        </is>
      </c>
      <c r="F1835" s="40" t="inlineStr">
        <is>
          <t>STA_HEURE</t>
        </is>
      </c>
      <c r="G1835" s="39" t="inlineStr">
        <is>
          <t>Heures d'enseignement</t>
        </is>
      </c>
      <c r="H1835" s="40" t="inlineStr">
        <is>
          <t>TECHNIQUE</t>
        </is>
      </c>
      <c r="I1835" s="41" t="inlineStr">
        <is>
          <t>2023ACT_VDEF</t>
        </is>
      </c>
      <c r="J1835" s="41" t="n">
        <v>2023</v>
      </c>
      <c r="K1835" s="41" t="inlineStr">
        <is>
          <t>NB</t>
        </is>
      </c>
      <c r="L1835" s="43" t="n">
        <v>1080</v>
      </c>
    </row>
    <row r="1836">
      <c r="B1836" s="39" t="inlineStr">
        <is>
          <t>IPAC_NAN</t>
        </is>
      </c>
      <c r="C1836" s="40" t="inlineStr">
        <is>
          <t>BAC_CCE</t>
        </is>
      </c>
      <c r="D1836" s="40" t="inlineStr">
        <is>
          <t>B1</t>
        </is>
      </c>
      <c r="E1836" s="40" t="inlineStr">
        <is>
          <t>ALT</t>
        </is>
      </c>
      <c r="F1836" s="40" t="inlineStr">
        <is>
          <t>STA_HEURE</t>
        </is>
      </c>
      <c r="G1836" s="39" t="inlineStr">
        <is>
          <t>Heures d'enseignement</t>
        </is>
      </c>
      <c r="H1836" s="40" t="inlineStr">
        <is>
          <t>TECHNIQUE</t>
        </is>
      </c>
      <c r="I1836" s="41" t="inlineStr">
        <is>
          <t>2024ACT_VDEF</t>
        </is>
      </c>
      <c r="J1836" s="41" t="n">
        <v>2024</v>
      </c>
      <c r="K1836" s="41" t="inlineStr">
        <is>
          <t>NB</t>
        </is>
      </c>
      <c r="L1836" s="43" t="n">
        <v>1140</v>
      </c>
    </row>
    <row r="1837">
      <c r="B1837" s="39" t="inlineStr">
        <is>
          <t>IPAC_NAN</t>
        </is>
      </c>
      <c r="C1837" s="40" t="inlineStr">
        <is>
          <t>BAC_CCE</t>
        </is>
      </c>
      <c r="D1837" s="40" t="inlineStr">
        <is>
          <t>B1</t>
        </is>
      </c>
      <c r="E1837" s="40" t="inlineStr">
        <is>
          <t>ALT</t>
        </is>
      </c>
      <c r="F1837" s="40" t="inlineStr">
        <is>
          <t>STA_HEURE</t>
        </is>
      </c>
      <c r="G1837" s="39" t="inlineStr">
        <is>
          <t>Heures d'enseignement</t>
        </is>
      </c>
      <c r="H1837" s="40" t="inlineStr">
        <is>
          <t>TECHNIQUE</t>
        </is>
      </c>
      <c r="I1837" s="41" t="inlineStr">
        <is>
          <t>2025FCST_V4</t>
        </is>
      </c>
      <c r="J1837" s="41" t="n">
        <v>2025</v>
      </c>
      <c r="K1837" s="41" t="inlineStr">
        <is>
          <t>NB</t>
        </is>
      </c>
      <c r="L1837" s="43" t="n">
        <v>1200</v>
      </c>
    </row>
    <row r="1838">
      <c r="B1838" s="39" t="inlineStr">
        <is>
          <t>IPAC_NAN</t>
        </is>
      </c>
      <c r="C1838" s="40" t="inlineStr">
        <is>
          <t>BAC_CCE</t>
        </is>
      </c>
      <c r="D1838" s="40" t="inlineStr">
        <is>
          <t>B1</t>
        </is>
      </c>
      <c r="E1838" s="40" t="inlineStr">
        <is>
          <t>ALT</t>
        </is>
      </c>
      <c r="F1838" s="40" t="inlineStr">
        <is>
          <t>STA_CAPA</t>
        </is>
      </c>
      <c r="G1838" s="39" t="inlineStr">
        <is>
          <t>Capacité par classe</t>
        </is>
      </c>
      <c r="H1838" s="40" t="inlineStr">
        <is>
          <t>TECHNIQUE</t>
        </is>
      </c>
      <c r="I1838" s="41" t="inlineStr">
        <is>
          <t>2023ACT_VDEF</t>
        </is>
      </c>
      <c r="J1838" s="41" t="n">
        <v>2023</v>
      </c>
      <c r="K1838" s="41" t="inlineStr">
        <is>
          <t>NB</t>
        </is>
      </c>
      <c r="L1838" s="43" t="n">
        <v>32</v>
      </c>
    </row>
    <row r="1839">
      <c r="B1839" s="39" t="inlineStr">
        <is>
          <t>IPAC_NAN</t>
        </is>
      </c>
      <c r="C1839" s="40" t="inlineStr">
        <is>
          <t>BAC_CCE</t>
        </is>
      </c>
      <c r="D1839" s="40" t="inlineStr">
        <is>
          <t>B1</t>
        </is>
      </c>
      <c r="E1839" s="40" t="inlineStr">
        <is>
          <t>ALT</t>
        </is>
      </c>
      <c r="F1839" s="40" t="inlineStr">
        <is>
          <t>STA_CAPA</t>
        </is>
      </c>
      <c r="G1839" s="39" t="inlineStr">
        <is>
          <t>Capacité par classe</t>
        </is>
      </c>
      <c r="H1839" s="40" t="inlineStr">
        <is>
          <t>TECHNIQUE</t>
        </is>
      </c>
      <c r="I1839" s="41" t="inlineStr">
        <is>
          <t>2024ACT_VDEF</t>
        </is>
      </c>
      <c r="J1839" s="41" t="n">
        <v>2024</v>
      </c>
      <c r="K1839" s="41" t="inlineStr">
        <is>
          <t>NB</t>
        </is>
      </c>
      <c r="L1839" s="43" t="n">
        <v>32</v>
      </c>
    </row>
    <row r="1840">
      <c r="B1840" s="39" t="inlineStr">
        <is>
          <t>IPAC_NAN</t>
        </is>
      </c>
      <c r="C1840" s="40" t="inlineStr">
        <is>
          <t>BAC_CCE</t>
        </is>
      </c>
      <c r="D1840" s="40" t="inlineStr">
        <is>
          <t>B1</t>
        </is>
      </c>
      <c r="E1840" s="40" t="inlineStr">
        <is>
          <t>ALT</t>
        </is>
      </c>
      <c r="F1840" s="40" t="inlineStr">
        <is>
          <t>STA_CAPA</t>
        </is>
      </c>
      <c r="G1840" s="39" t="inlineStr">
        <is>
          <t>Capacité par classe</t>
        </is>
      </c>
      <c r="H1840" s="40" t="inlineStr">
        <is>
          <t>TECHNIQUE</t>
        </is>
      </c>
      <c r="I1840" s="41" t="inlineStr">
        <is>
          <t>2025FCST_V4</t>
        </is>
      </c>
      <c r="J1840" s="41" t="n">
        <v>2025</v>
      </c>
      <c r="K1840" s="41" t="inlineStr">
        <is>
          <t>NB</t>
        </is>
      </c>
      <c r="L1840" s="43" t="n">
        <v>32</v>
      </c>
    </row>
    <row r="1841">
      <c r="B1841" s="39" t="inlineStr">
        <is>
          <t>IPAC_NAN</t>
        </is>
      </c>
      <c r="C1841" s="40" t="inlineStr">
        <is>
          <t>BAC_CCE</t>
        </is>
      </c>
      <c r="D1841" s="40" t="inlineStr">
        <is>
          <t>B1</t>
        </is>
      </c>
      <c r="E1841" s="40" t="inlineStr">
        <is>
          <t>ALT</t>
        </is>
      </c>
      <c r="F1841" s="40" t="inlineStr">
        <is>
          <t>DRV_CONV</t>
        </is>
      </c>
      <c r="G1841" s="39" t="inlineStr">
        <is>
          <t>Taux de conversion candidat→inscrit</t>
        </is>
      </c>
      <c r="H1841" s="40" t="inlineStr">
        <is>
          <t>TECHNIQUE</t>
        </is>
      </c>
      <c r="I1841" s="41" t="inlineStr">
        <is>
          <t>2023ACT_VDEF</t>
        </is>
      </c>
      <c r="J1841" s="41" t="n">
        <v>2023</v>
      </c>
      <c r="K1841" s="41" t="inlineStr">
        <is>
          <t>PCT</t>
        </is>
      </c>
      <c r="L1841" s="44" t="n">
        <v>0.3731</v>
      </c>
    </row>
    <row r="1842">
      <c r="B1842" s="39" t="inlineStr">
        <is>
          <t>IPAC_NAN</t>
        </is>
      </c>
      <c r="C1842" s="40" t="inlineStr">
        <is>
          <t>BAC_CCE</t>
        </is>
      </c>
      <c r="D1842" s="40" t="inlineStr">
        <is>
          <t>B1</t>
        </is>
      </c>
      <c r="E1842" s="40" t="inlineStr">
        <is>
          <t>ALT</t>
        </is>
      </c>
      <c r="F1842" s="40" t="inlineStr">
        <is>
          <t>DRV_CONV</t>
        </is>
      </c>
      <c r="G1842" s="39" t="inlineStr">
        <is>
          <t>Taux de conversion candidat→inscrit</t>
        </is>
      </c>
      <c r="H1842" s="40" t="inlineStr">
        <is>
          <t>TECHNIQUE</t>
        </is>
      </c>
      <c r="I1842" s="41" t="inlineStr">
        <is>
          <t>2024ACT_VDEF</t>
        </is>
      </c>
      <c r="J1842" s="41" t="n">
        <v>2024</v>
      </c>
      <c r="K1842" s="41" t="inlineStr">
        <is>
          <t>PCT</t>
        </is>
      </c>
      <c r="L1842" s="44" t="n">
        <v>0.3731</v>
      </c>
    </row>
    <row r="1843">
      <c r="B1843" s="39" t="inlineStr">
        <is>
          <t>IPAC_NAN</t>
        </is>
      </c>
      <c r="C1843" s="40" t="inlineStr">
        <is>
          <t>BAC_CCE</t>
        </is>
      </c>
      <c r="D1843" s="40" t="inlineStr">
        <is>
          <t>B1</t>
        </is>
      </c>
      <c r="E1843" s="40" t="inlineStr">
        <is>
          <t>ALT</t>
        </is>
      </c>
      <c r="F1843" s="40" t="inlineStr">
        <is>
          <t>DRV_CONV</t>
        </is>
      </c>
      <c r="G1843" s="39" t="inlineStr">
        <is>
          <t>Taux de conversion candidat→inscrit</t>
        </is>
      </c>
      <c r="H1843" s="40" t="inlineStr">
        <is>
          <t>TECHNIQUE</t>
        </is>
      </c>
      <c r="I1843" s="41" t="inlineStr">
        <is>
          <t>2025FCST_V4</t>
        </is>
      </c>
      <c r="J1843" s="41" t="n">
        <v>2025</v>
      </c>
      <c r="K1843" s="41" t="inlineStr">
        <is>
          <t>PCT</t>
        </is>
      </c>
      <c r="L1843" s="44" t="n">
        <v>0.3731</v>
      </c>
    </row>
    <row r="1844">
      <c r="B1844" s="39" t="inlineStr">
        <is>
          <t>IPAC_NAN</t>
        </is>
      </c>
      <c r="C1844" s="40" t="inlineStr">
        <is>
          <t>BAC_CCE</t>
        </is>
      </c>
      <c r="D1844" s="40" t="inlineStr">
        <is>
          <t>B1</t>
        </is>
      </c>
      <c r="E1844" s="40" t="inlineStr">
        <is>
          <t>ALT</t>
        </is>
      </c>
      <c r="F1844" s="40" t="inlineStr">
        <is>
          <t>PRX_TARIF</t>
        </is>
      </c>
      <c r="G1844" s="39" t="inlineStr">
        <is>
          <t>Tarif moyen scolarité</t>
        </is>
      </c>
      <c r="H1844" s="40" t="inlineStr">
        <is>
          <t>TECHNIQUE</t>
        </is>
      </c>
      <c r="I1844" s="41" t="inlineStr">
        <is>
          <t>2023ACT_VDEF</t>
        </is>
      </c>
      <c r="J1844" s="41" t="n">
        <v>2023</v>
      </c>
      <c r="K1844" s="41" t="inlineStr">
        <is>
          <t>EUR</t>
        </is>
      </c>
      <c r="L1844" s="42" t="n">
        <v>8000</v>
      </c>
    </row>
    <row r="1845">
      <c r="B1845" s="39" t="inlineStr">
        <is>
          <t>IPAC_NAN</t>
        </is>
      </c>
      <c r="C1845" s="40" t="inlineStr">
        <is>
          <t>BAC_CCE</t>
        </is>
      </c>
      <c r="D1845" s="40" t="inlineStr">
        <is>
          <t>B1</t>
        </is>
      </c>
      <c r="E1845" s="40" t="inlineStr">
        <is>
          <t>ALT</t>
        </is>
      </c>
      <c r="F1845" s="40" t="inlineStr">
        <is>
          <t>PRX_TARIF</t>
        </is>
      </c>
      <c r="G1845" s="39" t="inlineStr">
        <is>
          <t>Tarif moyen scolarité</t>
        </is>
      </c>
      <c r="H1845" s="40" t="inlineStr">
        <is>
          <t>TECHNIQUE</t>
        </is>
      </c>
      <c r="I1845" s="41" t="inlineStr">
        <is>
          <t>2024ACT_VDEF</t>
        </is>
      </c>
      <c r="J1845" s="41" t="n">
        <v>2024</v>
      </c>
      <c r="K1845" s="41" t="inlineStr">
        <is>
          <t>EUR</t>
        </is>
      </c>
      <c r="L1845" s="42" t="n">
        <v>8000</v>
      </c>
    </row>
    <row r="1846">
      <c r="B1846" s="39" t="inlineStr">
        <is>
          <t>IPAC_NAN</t>
        </is>
      </c>
      <c r="C1846" s="40" t="inlineStr">
        <is>
          <t>BAC_CCE</t>
        </is>
      </c>
      <c r="D1846" s="40" t="inlineStr">
        <is>
          <t>B1</t>
        </is>
      </c>
      <c r="E1846" s="40" t="inlineStr">
        <is>
          <t>ALT</t>
        </is>
      </c>
      <c r="F1846" s="40" t="inlineStr">
        <is>
          <t>PRX_TARIF</t>
        </is>
      </c>
      <c r="G1846" s="39" t="inlineStr">
        <is>
          <t>Tarif moyen scolarité</t>
        </is>
      </c>
      <c r="H1846" s="40" t="inlineStr">
        <is>
          <t>TECHNIQUE</t>
        </is>
      </c>
      <c r="I1846" s="41" t="inlineStr">
        <is>
          <t>2025FCST_V4</t>
        </is>
      </c>
      <c r="J1846" s="41" t="n">
        <v>2025</v>
      </c>
      <c r="K1846" s="41" t="inlineStr">
        <is>
          <t>EUR</t>
        </is>
      </c>
      <c r="L1846" s="42" t="n">
        <v>8000</v>
      </c>
    </row>
    <row r="1847">
      <c r="B1847" s="39" t="inlineStr">
        <is>
          <t>IPAC_NAN</t>
        </is>
      </c>
      <c r="C1847" s="40" t="inlineStr">
        <is>
          <t>BAC_CCE</t>
        </is>
      </c>
      <c r="D1847" s="40" t="inlineStr">
        <is>
          <t>B1</t>
        </is>
      </c>
      <c r="E1847" s="40" t="inlineStr">
        <is>
          <t>ALT</t>
        </is>
      </c>
      <c r="F1847" s="40" t="inlineStr">
        <is>
          <t>CAC_LEAD</t>
        </is>
      </c>
      <c r="G1847" s="39" t="inlineStr">
        <is>
          <t>Coût d'acquisition par lead</t>
        </is>
      </c>
      <c r="H1847" s="40" t="inlineStr">
        <is>
          <t>TECHNIQUE</t>
        </is>
      </c>
      <c r="I1847" s="41" t="inlineStr">
        <is>
          <t>2023ACT_VDEF</t>
        </is>
      </c>
      <c r="J1847" s="41" t="n">
        <v>2023</v>
      </c>
      <c r="K1847" s="41" t="inlineStr">
        <is>
          <t>EUR</t>
        </is>
      </c>
      <c r="L1847" s="42" t="n">
        <v>320</v>
      </c>
    </row>
    <row r="1848">
      <c r="B1848" s="39" t="inlineStr">
        <is>
          <t>IPAC_NAN</t>
        </is>
      </c>
      <c r="C1848" s="40" t="inlineStr">
        <is>
          <t>BAC_CCE</t>
        </is>
      </c>
      <c r="D1848" s="40" t="inlineStr">
        <is>
          <t>B1</t>
        </is>
      </c>
      <c r="E1848" s="40" t="inlineStr">
        <is>
          <t>ALT</t>
        </is>
      </c>
      <c r="F1848" s="40" t="inlineStr">
        <is>
          <t>CAC_LEAD</t>
        </is>
      </c>
      <c r="G1848" s="39" t="inlineStr">
        <is>
          <t>Coût d'acquisition par lead</t>
        </is>
      </c>
      <c r="H1848" s="40" t="inlineStr">
        <is>
          <t>TECHNIQUE</t>
        </is>
      </c>
      <c r="I1848" s="41" t="inlineStr">
        <is>
          <t>2024ACT_VDEF</t>
        </is>
      </c>
      <c r="J1848" s="41" t="n">
        <v>2024</v>
      </c>
      <c r="K1848" s="41" t="inlineStr">
        <is>
          <t>EUR</t>
        </is>
      </c>
      <c r="L1848" s="42" t="n">
        <v>320</v>
      </c>
    </row>
    <row r="1849">
      <c r="B1849" s="39" t="inlineStr">
        <is>
          <t>IPAC_NAN</t>
        </is>
      </c>
      <c r="C1849" s="40" t="inlineStr">
        <is>
          <t>BAC_CCE</t>
        </is>
      </c>
      <c r="D1849" s="40" t="inlineStr">
        <is>
          <t>B1</t>
        </is>
      </c>
      <c r="E1849" s="40" t="inlineStr">
        <is>
          <t>ALT</t>
        </is>
      </c>
      <c r="F1849" s="40" t="inlineStr">
        <is>
          <t>CAC_LEAD</t>
        </is>
      </c>
      <c r="G1849" s="39" t="inlineStr">
        <is>
          <t>Coût d'acquisition par lead</t>
        </is>
      </c>
      <c r="H1849" s="40" t="inlineStr">
        <is>
          <t>TECHNIQUE</t>
        </is>
      </c>
      <c r="I1849" s="41" t="inlineStr">
        <is>
          <t>2025FCST_V4</t>
        </is>
      </c>
      <c r="J1849" s="41" t="n">
        <v>2025</v>
      </c>
      <c r="K1849" s="41" t="inlineStr">
        <is>
          <t>EUR</t>
        </is>
      </c>
      <c r="L1849" s="42" t="n">
        <v>320</v>
      </c>
    </row>
    <row r="1850">
      <c r="B1850" s="39" t="inlineStr">
        <is>
          <t>IPAC_NAN</t>
        </is>
      </c>
      <c r="C1850" s="40" t="inlineStr">
        <is>
          <t>BAC_CCE</t>
        </is>
      </c>
      <c r="D1850" s="40" t="inlineStr">
        <is>
          <t>B2</t>
        </is>
      </c>
      <c r="E1850" s="40" t="inlineStr">
        <is>
          <t>ALT</t>
        </is>
      </c>
      <c r="F1850" s="40" t="inlineStr">
        <is>
          <t>706100</t>
        </is>
      </c>
      <c r="G1850" s="39" t="inlineStr">
        <is>
          <t>Droits de scolarité</t>
        </is>
      </c>
      <c r="H1850" s="40" t="inlineStr">
        <is>
          <t>COMPTABLE</t>
        </is>
      </c>
      <c r="I1850" s="41" t="inlineStr">
        <is>
          <t>2023ACT_VDEF</t>
        </is>
      </c>
      <c r="J1850" s="41" t="n">
        <v>2023</v>
      </c>
      <c r="K1850" s="41" t="inlineStr">
        <is>
          <t>EUR</t>
        </is>
      </c>
      <c r="L1850" s="42" t="n">
        <v>302400</v>
      </c>
    </row>
    <row r="1851">
      <c r="B1851" s="39" t="inlineStr">
        <is>
          <t>IPAC_NAN</t>
        </is>
      </c>
      <c r="C1851" s="40" t="inlineStr">
        <is>
          <t>BAC_CCE</t>
        </is>
      </c>
      <c r="D1851" s="40" t="inlineStr">
        <is>
          <t>B2</t>
        </is>
      </c>
      <c r="E1851" s="40" t="inlineStr">
        <is>
          <t>ALT</t>
        </is>
      </c>
      <c r="F1851" s="40" t="inlineStr">
        <is>
          <t>706100</t>
        </is>
      </c>
      <c r="G1851" s="39" t="inlineStr">
        <is>
          <t>Droits de scolarité</t>
        </is>
      </c>
      <c r="H1851" s="40" t="inlineStr">
        <is>
          <t>COMPTABLE</t>
        </is>
      </c>
      <c r="I1851" s="41" t="inlineStr">
        <is>
          <t>2024ACT_VDEF</t>
        </is>
      </c>
      <c r="J1851" s="41" t="n">
        <v>2024</v>
      </c>
      <c r="K1851" s="41" t="inlineStr">
        <is>
          <t>EUR</t>
        </is>
      </c>
      <c r="L1851" s="42" t="n">
        <v>319200</v>
      </c>
    </row>
    <row r="1852">
      <c r="B1852" s="39" t="inlineStr">
        <is>
          <t>IPAC_NAN</t>
        </is>
      </c>
      <c r="C1852" s="40" t="inlineStr">
        <is>
          <t>BAC_CCE</t>
        </is>
      </c>
      <c r="D1852" s="40" t="inlineStr">
        <is>
          <t>B2</t>
        </is>
      </c>
      <c r="E1852" s="40" t="inlineStr">
        <is>
          <t>ALT</t>
        </is>
      </c>
      <c r="F1852" s="40" t="inlineStr">
        <is>
          <t>706100</t>
        </is>
      </c>
      <c r="G1852" s="39" t="inlineStr">
        <is>
          <t>Droits de scolarité</t>
        </is>
      </c>
      <c r="H1852" s="40" t="inlineStr">
        <is>
          <t>COMPTABLE</t>
        </is>
      </c>
      <c r="I1852" s="41" t="inlineStr">
        <is>
          <t>2025FCST_V4</t>
        </is>
      </c>
      <c r="J1852" s="41" t="n">
        <v>2025</v>
      </c>
      <c r="K1852" s="41" t="inlineStr">
        <is>
          <t>EUR</t>
        </is>
      </c>
      <c r="L1852" s="42" t="n">
        <v>336000</v>
      </c>
    </row>
    <row r="1853">
      <c r="B1853" s="39" t="inlineStr">
        <is>
          <t>IPAC_NAN</t>
        </is>
      </c>
      <c r="C1853" s="40" t="inlineStr">
        <is>
          <t>BAC_CCE</t>
        </is>
      </c>
      <c r="D1853" s="40" t="inlineStr">
        <is>
          <t>B2</t>
        </is>
      </c>
      <c r="E1853" s="40" t="inlineStr">
        <is>
          <t>ALT</t>
        </is>
      </c>
      <c r="F1853" s="40" t="inlineStr">
        <is>
          <t>604100</t>
        </is>
      </c>
      <c r="G1853" s="39" t="inlineStr">
        <is>
          <t>Vacations &amp; sous-traitance pédagogique</t>
        </is>
      </c>
      <c r="H1853" s="40" t="inlineStr">
        <is>
          <t>COMPTABLE</t>
        </is>
      </c>
      <c r="I1853" s="41" t="inlineStr">
        <is>
          <t>2023ACT_VDEF</t>
        </is>
      </c>
      <c r="J1853" s="41" t="n">
        <v>2023</v>
      </c>
      <c r="K1853" s="41" t="inlineStr">
        <is>
          <t>EUR</t>
        </is>
      </c>
      <c r="L1853" s="42" t="n">
        <v>58464</v>
      </c>
    </row>
    <row r="1854">
      <c r="B1854" s="39" t="inlineStr">
        <is>
          <t>IPAC_NAN</t>
        </is>
      </c>
      <c r="C1854" s="40" t="inlineStr">
        <is>
          <t>BAC_CCE</t>
        </is>
      </c>
      <c r="D1854" s="40" t="inlineStr">
        <is>
          <t>B2</t>
        </is>
      </c>
      <c r="E1854" s="40" t="inlineStr">
        <is>
          <t>ALT</t>
        </is>
      </c>
      <c r="F1854" s="40" t="inlineStr">
        <is>
          <t>604100</t>
        </is>
      </c>
      <c r="G1854" s="39" t="inlineStr">
        <is>
          <t>Vacations &amp; sous-traitance pédagogique</t>
        </is>
      </c>
      <c r="H1854" s="40" t="inlineStr">
        <is>
          <t>COMPTABLE</t>
        </is>
      </c>
      <c r="I1854" s="41" t="inlineStr">
        <is>
          <t>2024ACT_VDEF</t>
        </is>
      </c>
      <c r="J1854" s="41" t="n">
        <v>2024</v>
      </c>
      <c r="K1854" s="41" t="inlineStr">
        <is>
          <t>EUR</t>
        </is>
      </c>
      <c r="L1854" s="42" t="n">
        <v>61712</v>
      </c>
    </row>
    <row r="1855">
      <c r="B1855" s="39" t="inlineStr">
        <is>
          <t>IPAC_NAN</t>
        </is>
      </c>
      <c r="C1855" s="40" t="inlineStr">
        <is>
          <t>BAC_CCE</t>
        </is>
      </c>
      <c r="D1855" s="40" t="inlineStr">
        <is>
          <t>B2</t>
        </is>
      </c>
      <c r="E1855" s="40" t="inlineStr">
        <is>
          <t>ALT</t>
        </is>
      </c>
      <c r="F1855" s="40" t="inlineStr">
        <is>
          <t>604100</t>
        </is>
      </c>
      <c r="G1855" s="39" t="inlineStr">
        <is>
          <t>Vacations &amp; sous-traitance pédagogique</t>
        </is>
      </c>
      <c r="H1855" s="40" t="inlineStr">
        <is>
          <t>COMPTABLE</t>
        </is>
      </c>
      <c r="I1855" s="41" t="inlineStr">
        <is>
          <t>2025FCST_V4</t>
        </is>
      </c>
      <c r="J1855" s="41" t="n">
        <v>2025</v>
      </c>
      <c r="K1855" s="41" t="inlineStr">
        <is>
          <t>EUR</t>
        </is>
      </c>
      <c r="L1855" s="42" t="n">
        <v>64960</v>
      </c>
    </row>
    <row r="1856">
      <c r="B1856" s="39" t="inlineStr">
        <is>
          <t>IPAC_NAN</t>
        </is>
      </c>
      <c r="C1856" s="40" t="inlineStr">
        <is>
          <t>BAC_CCE</t>
        </is>
      </c>
      <c r="D1856" s="40" t="inlineStr">
        <is>
          <t>B2</t>
        </is>
      </c>
      <c r="E1856" s="40" t="inlineStr">
        <is>
          <t>ALT</t>
        </is>
      </c>
      <c r="F1856" s="40" t="inlineStr">
        <is>
          <t>606300</t>
        </is>
      </c>
      <c r="G1856" s="39" t="inlineStr">
        <is>
          <t>Fournitures &amp; ressources pédagogiques</t>
        </is>
      </c>
      <c r="H1856" s="40" t="inlineStr">
        <is>
          <t>COMPTABLE</t>
        </is>
      </c>
      <c r="I1856" s="41" t="inlineStr">
        <is>
          <t>2023ACT_VDEF</t>
        </is>
      </c>
      <c r="J1856" s="41" t="n">
        <v>2023</v>
      </c>
      <c r="K1856" s="41" t="inlineStr">
        <is>
          <t>EUR</t>
        </is>
      </c>
      <c r="L1856" s="42" t="n">
        <v>14364</v>
      </c>
    </row>
    <row r="1857">
      <c r="B1857" s="39" t="inlineStr">
        <is>
          <t>IPAC_NAN</t>
        </is>
      </c>
      <c r="C1857" s="40" t="inlineStr">
        <is>
          <t>BAC_CCE</t>
        </is>
      </c>
      <c r="D1857" s="40" t="inlineStr">
        <is>
          <t>B2</t>
        </is>
      </c>
      <c r="E1857" s="40" t="inlineStr">
        <is>
          <t>ALT</t>
        </is>
      </c>
      <c r="F1857" s="40" t="inlineStr">
        <is>
          <t>606300</t>
        </is>
      </c>
      <c r="G1857" s="39" t="inlineStr">
        <is>
          <t>Fournitures &amp; ressources pédagogiques</t>
        </is>
      </c>
      <c r="H1857" s="40" t="inlineStr">
        <is>
          <t>COMPTABLE</t>
        </is>
      </c>
      <c r="I1857" s="41" t="inlineStr">
        <is>
          <t>2024ACT_VDEF</t>
        </is>
      </c>
      <c r="J1857" s="41" t="n">
        <v>2024</v>
      </c>
      <c r="K1857" s="41" t="inlineStr">
        <is>
          <t>EUR</t>
        </is>
      </c>
      <c r="L1857" s="42" t="n">
        <v>15162</v>
      </c>
    </row>
    <row r="1858">
      <c r="B1858" s="39" t="inlineStr">
        <is>
          <t>IPAC_NAN</t>
        </is>
      </c>
      <c r="C1858" s="40" t="inlineStr">
        <is>
          <t>BAC_CCE</t>
        </is>
      </c>
      <c r="D1858" s="40" t="inlineStr">
        <is>
          <t>B2</t>
        </is>
      </c>
      <c r="E1858" s="40" t="inlineStr">
        <is>
          <t>ALT</t>
        </is>
      </c>
      <c r="F1858" s="40" t="inlineStr">
        <is>
          <t>606300</t>
        </is>
      </c>
      <c r="G1858" s="39" t="inlineStr">
        <is>
          <t>Fournitures &amp; ressources pédagogiques</t>
        </is>
      </c>
      <c r="H1858" s="40" t="inlineStr">
        <is>
          <t>COMPTABLE</t>
        </is>
      </c>
      <c r="I1858" s="41" t="inlineStr">
        <is>
          <t>2025FCST_V4</t>
        </is>
      </c>
      <c r="J1858" s="41" t="n">
        <v>2025</v>
      </c>
      <c r="K1858" s="41" t="inlineStr">
        <is>
          <t>EUR</t>
        </is>
      </c>
      <c r="L1858" s="42" t="n">
        <v>15960</v>
      </c>
    </row>
    <row r="1859">
      <c r="B1859" s="39" t="inlineStr">
        <is>
          <t>IPAC_NAN</t>
        </is>
      </c>
      <c r="C1859" s="40" t="inlineStr">
        <is>
          <t>BAC_CCE</t>
        </is>
      </c>
      <c r="D1859" s="40" t="inlineStr">
        <is>
          <t>B2</t>
        </is>
      </c>
      <c r="E1859" s="40" t="inlineStr">
        <is>
          <t>ALT</t>
        </is>
      </c>
      <c r="F1859" s="40" t="inlineStr">
        <is>
          <t>613200</t>
        </is>
      </c>
      <c r="G1859" s="39" t="inlineStr">
        <is>
          <t>Locations immobilières (loyers)</t>
        </is>
      </c>
      <c r="H1859" s="40" t="inlineStr">
        <is>
          <t>COMPTABLE</t>
        </is>
      </c>
      <c r="I1859" s="41" t="inlineStr">
        <is>
          <t>2023ACT_VDEF</t>
        </is>
      </c>
      <c r="J1859" s="41" t="n">
        <v>2023</v>
      </c>
      <c r="K1859" s="41" t="inlineStr">
        <is>
          <t>EUR</t>
        </is>
      </c>
      <c r="L1859" s="42" t="n">
        <v>34500</v>
      </c>
    </row>
    <row r="1860">
      <c r="B1860" s="39" t="inlineStr">
        <is>
          <t>IPAC_NAN</t>
        </is>
      </c>
      <c r="C1860" s="40" t="inlineStr">
        <is>
          <t>BAC_CCE</t>
        </is>
      </c>
      <c r="D1860" s="40" t="inlineStr">
        <is>
          <t>B2</t>
        </is>
      </c>
      <c r="E1860" s="40" t="inlineStr">
        <is>
          <t>ALT</t>
        </is>
      </c>
      <c r="F1860" s="40" t="inlineStr">
        <is>
          <t>613200</t>
        </is>
      </c>
      <c r="G1860" s="39" t="inlineStr">
        <is>
          <t>Locations immobilières (loyers)</t>
        </is>
      </c>
      <c r="H1860" s="40" t="inlineStr">
        <is>
          <t>COMPTABLE</t>
        </is>
      </c>
      <c r="I1860" s="41" t="inlineStr">
        <is>
          <t>2024ACT_VDEF</t>
        </is>
      </c>
      <c r="J1860" s="41" t="n">
        <v>2024</v>
      </c>
      <c r="K1860" s="41" t="inlineStr">
        <is>
          <t>EUR</t>
        </is>
      </c>
      <c r="L1860" s="42" t="n">
        <v>36416</v>
      </c>
    </row>
    <row r="1861">
      <c r="B1861" s="39" t="inlineStr">
        <is>
          <t>IPAC_NAN</t>
        </is>
      </c>
      <c r="C1861" s="40" t="inlineStr">
        <is>
          <t>BAC_CCE</t>
        </is>
      </c>
      <c r="D1861" s="40" t="inlineStr">
        <is>
          <t>B2</t>
        </is>
      </c>
      <c r="E1861" s="40" t="inlineStr">
        <is>
          <t>ALT</t>
        </is>
      </c>
      <c r="F1861" s="40" t="inlineStr">
        <is>
          <t>613200</t>
        </is>
      </c>
      <c r="G1861" s="39" t="inlineStr">
        <is>
          <t>Locations immobilières (loyers)</t>
        </is>
      </c>
      <c r="H1861" s="40" t="inlineStr">
        <is>
          <t>COMPTABLE</t>
        </is>
      </c>
      <c r="I1861" s="41" t="inlineStr">
        <is>
          <t>2025FCST_V4</t>
        </is>
      </c>
      <c r="J1861" s="41" t="n">
        <v>2025</v>
      </c>
      <c r="K1861" s="41" t="inlineStr">
        <is>
          <t>EUR</t>
        </is>
      </c>
      <c r="L1861" s="42" t="n">
        <v>38333</v>
      </c>
    </row>
    <row r="1862">
      <c r="B1862" s="39" t="inlineStr">
        <is>
          <t>IPAC_NAN</t>
        </is>
      </c>
      <c r="C1862" s="40" t="inlineStr">
        <is>
          <t>BAC_CCE</t>
        </is>
      </c>
      <c r="D1862" s="40" t="inlineStr">
        <is>
          <t>B2</t>
        </is>
      </c>
      <c r="E1862" s="40" t="inlineStr">
        <is>
          <t>ALT</t>
        </is>
      </c>
      <c r="F1862" s="40" t="inlineStr">
        <is>
          <t>641100</t>
        </is>
      </c>
      <c r="G1862" s="39" t="inlineStr">
        <is>
          <t>Rémunérations du personnel permanent</t>
        </is>
      </c>
      <c r="H1862" s="40" t="inlineStr">
        <is>
          <t>COMPTABLE</t>
        </is>
      </c>
      <c r="I1862" s="41" t="inlineStr">
        <is>
          <t>2023ACT_VDEF</t>
        </is>
      </c>
      <c r="J1862" s="41" t="n">
        <v>2023</v>
      </c>
      <c r="K1862" s="41" t="inlineStr">
        <is>
          <t>EUR</t>
        </is>
      </c>
      <c r="L1862" s="42" t="n">
        <v>87000</v>
      </c>
    </row>
    <row r="1863">
      <c r="B1863" s="39" t="inlineStr">
        <is>
          <t>IPAC_NAN</t>
        </is>
      </c>
      <c r="C1863" s="40" t="inlineStr">
        <is>
          <t>BAC_CCE</t>
        </is>
      </c>
      <c r="D1863" s="40" t="inlineStr">
        <is>
          <t>B2</t>
        </is>
      </c>
      <c r="E1863" s="40" t="inlineStr">
        <is>
          <t>ALT</t>
        </is>
      </c>
      <c r="F1863" s="40" t="inlineStr">
        <is>
          <t>641100</t>
        </is>
      </c>
      <c r="G1863" s="39" t="inlineStr">
        <is>
          <t>Rémunérations du personnel permanent</t>
        </is>
      </c>
      <c r="H1863" s="40" t="inlineStr">
        <is>
          <t>COMPTABLE</t>
        </is>
      </c>
      <c r="I1863" s="41" t="inlineStr">
        <is>
          <t>2024ACT_VDEF</t>
        </is>
      </c>
      <c r="J1863" s="41" t="n">
        <v>2024</v>
      </c>
      <c r="K1863" s="41" t="inlineStr">
        <is>
          <t>EUR</t>
        </is>
      </c>
      <c r="L1863" s="42" t="n">
        <v>91834</v>
      </c>
    </row>
    <row r="1864">
      <c r="B1864" s="39" t="inlineStr">
        <is>
          <t>IPAC_NAN</t>
        </is>
      </c>
      <c r="C1864" s="40" t="inlineStr">
        <is>
          <t>BAC_CCE</t>
        </is>
      </c>
      <c r="D1864" s="40" t="inlineStr">
        <is>
          <t>B2</t>
        </is>
      </c>
      <c r="E1864" s="40" t="inlineStr">
        <is>
          <t>ALT</t>
        </is>
      </c>
      <c r="F1864" s="40" t="inlineStr">
        <is>
          <t>641100</t>
        </is>
      </c>
      <c r="G1864" s="39" t="inlineStr">
        <is>
          <t>Rémunérations du personnel permanent</t>
        </is>
      </c>
      <c r="H1864" s="40" t="inlineStr">
        <is>
          <t>COMPTABLE</t>
        </is>
      </c>
      <c r="I1864" s="41" t="inlineStr">
        <is>
          <t>2025FCST_V4</t>
        </is>
      </c>
      <c r="J1864" s="41" t="n">
        <v>2025</v>
      </c>
      <c r="K1864" s="41" t="inlineStr">
        <is>
          <t>EUR</t>
        </is>
      </c>
      <c r="L1864" s="42" t="n">
        <v>96667</v>
      </c>
    </row>
    <row r="1865">
      <c r="B1865" s="39" t="inlineStr">
        <is>
          <t>IPAC_NAN</t>
        </is>
      </c>
      <c r="C1865" s="40" t="inlineStr">
        <is>
          <t>BAC_CCE</t>
        </is>
      </c>
      <c r="D1865" s="40" t="inlineStr">
        <is>
          <t>B2</t>
        </is>
      </c>
      <c r="E1865" s="40" t="inlineStr">
        <is>
          <t>ALT</t>
        </is>
      </c>
      <c r="F1865" s="40" t="inlineStr">
        <is>
          <t>622600</t>
        </is>
      </c>
      <c r="G1865" s="39" t="inlineStr">
        <is>
          <t>Honoraires &amp; frais de siège (structure groupe)</t>
        </is>
      </c>
      <c r="H1865" s="40" t="inlineStr">
        <is>
          <t>COMPTABLE</t>
        </is>
      </c>
      <c r="I1865" s="41" t="inlineStr">
        <is>
          <t>2023ACT_VDEF</t>
        </is>
      </c>
      <c r="J1865" s="41" t="n">
        <v>2023</v>
      </c>
      <c r="K1865" s="41" t="inlineStr">
        <is>
          <t>EUR</t>
        </is>
      </c>
      <c r="L1865" s="42" t="n">
        <v>31355</v>
      </c>
    </row>
    <row r="1866">
      <c r="B1866" s="39" t="inlineStr">
        <is>
          <t>IPAC_NAN</t>
        </is>
      </c>
      <c r="C1866" s="40" t="inlineStr">
        <is>
          <t>BAC_CCE</t>
        </is>
      </c>
      <c r="D1866" s="40" t="inlineStr">
        <is>
          <t>B2</t>
        </is>
      </c>
      <c r="E1866" s="40" t="inlineStr">
        <is>
          <t>ALT</t>
        </is>
      </c>
      <c r="F1866" s="40" t="inlineStr">
        <is>
          <t>622600</t>
        </is>
      </c>
      <c r="G1866" s="39" t="inlineStr">
        <is>
          <t>Honoraires &amp; frais de siège (structure groupe)</t>
        </is>
      </c>
      <c r="H1866" s="40" t="inlineStr">
        <is>
          <t>COMPTABLE</t>
        </is>
      </c>
      <c r="I1866" s="41" t="inlineStr">
        <is>
          <t>2024ACT_VDEF</t>
        </is>
      </c>
      <c r="J1866" s="41" t="n">
        <v>2024</v>
      </c>
      <c r="K1866" s="41" t="inlineStr">
        <is>
          <t>EUR</t>
        </is>
      </c>
      <c r="L1866" s="42" t="n">
        <v>33097</v>
      </c>
    </row>
    <row r="1867">
      <c r="B1867" s="39" t="inlineStr">
        <is>
          <t>IPAC_NAN</t>
        </is>
      </c>
      <c r="C1867" s="40" t="inlineStr">
        <is>
          <t>BAC_CCE</t>
        </is>
      </c>
      <c r="D1867" s="40" t="inlineStr">
        <is>
          <t>B2</t>
        </is>
      </c>
      <c r="E1867" s="40" t="inlineStr">
        <is>
          <t>ALT</t>
        </is>
      </c>
      <c r="F1867" s="40" t="inlineStr">
        <is>
          <t>622600</t>
        </is>
      </c>
      <c r="G1867" s="39" t="inlineStr">
        <is>
          <t>Honoraires &amp; frais de siège (structure groupe)</t>
        </is>
      </c>
      <c r="H1867" s="40" t="inlineStr">
        <is>
          <t>COMPTABLE</t>
        </is>
      </c>
      <c r="I1867" s="41" t="inlineStr">
        <is>
          <t>2025FCST_V4</t>
        </is>
      </c>
      <c r="J1867" s="41" t="n">
        <v>2025</v>
      </c>
      <c r="K1867" s="41" t="inlineStr">
        <is>
          <t>EUR</t>
        </is>
      </c>
      <c r="L1867" s="42" t="n">
        <v>34839</v>
      </c>
    </row>
    <row r="1868">
      <c r="B1868" s="39" t="inlineStr">
        <is>
          <t>IPAC_NAN</t>
        </is>
      </c>
      <c r="C1868" s="40" t="inlineStr">
        <is>
          <t>BAC_CCE</t>
        </is>
      </c>
      <c r="D1868" s="40" t="inlineStr">
        <is>
          <t>B2</t>
        </is>
      </c>
      <c r="E1868" s="40" t="inlineStr">
        <is>
          <t>ALT</t>
        </is>
      </c>
      <c r="F1868" s="40" t="inlineStr">
        <is>
          <t>606800</t>
        </is>
      </c>
      <c r="G1868" s="39" t="inlineStr">
        <is>
          <t>Autres achats &amp; charges externes</t>
        </is>
      </c>
      <c r="H1868" s="40" t="inlineStr">
        <is>
          <t>COMPTABLE</t>
        </is>
      </c>
      <c r="I1868" s="41" t="inlineStr">
        <is>
          <t>2023ACT_VDEF</t>
        </is>
      </c>
      <c r="J1868" s="41" t="n">
        <v>2023</v>
      </c>
      <c r="K1868" s="41" t="inlineStr">
        <is>
          <t>EUR</t>
        </is>
      </c>
      <c r="L1868" s="42" t="n">
        <v>35305</v>
      </c>
    </row>
    <row r="1869">
      <c r="B1869" s="39" t="inlineStr">
        <is>
          <t>IPAC_NAN</t>
        </is>
      </c>
      <c r="C1869" s="40" t="inlineStr">
        <is>
          <t>BAC_CCE</t>
        </is>
      </c>
      <c r="D1869" s="40" t="inlineStr">
        <is>
          <t>B2</t>
        </is>
      </c>
      <c r="E1869" s="40" t="inlineStr">
        <is>
          <t>ALT</t>
        </is>
      </c>
      <c r="F1869" s="40" t="inlineStr">
        <is>
          <t>606800</t>
        </is>
      </c>
      <c r="G1869" s="39" t="inlineStr">
        <is>
          <t>Autres achats &amp; charges externes</t>
        </is>
      </c>
      <c r="H1869" s="40" t="inlineStr">
        <is>
          <t>COMPTABLE</t>
        </is>
      </c>
      <c r="I1869" s="41" t="inlineStr">
        <is>
          <t>2024ACT_VDEF</t>
        </is>
      </c>
      <c r="J1869" s="41" t="n">
        <v>2024</v>
      </c>
      <c r="K1869" s="41" t="inlineStr">
        <is>
          <t>EUR</t>
        </is>
      </c>
      <c r="L1869" s="42" t="n">
        <v>37267</v>
      </c>
    </row>
    <row r="1870">
      <c r="B1870" s="39" t="inlineStr">
        <is>
          <t>IPAC_NAN</t>
        </is>
      </c>
      <c r="C1870" s="40" t="inlineStr">
        <is>
          <t>BAC_CCE</t>
        </is>
      </c>
      <c r="D1870" s="40" t="inlineStr">
        <is>
          <t>B2</t>
        </is>
      </c>
      <c r="E1870" s="40" t="inlineStr">
        <is>
          <t>ALT</t>
        </is>
      </c>
      <c r="F1870" s="40" t="inlineStr">
        <is>
          <t>606800</t>
        </is>
      </c>
      <c r="G1870" s="39" t="inlineStr">
        <is>
          <t>Autres achats &amp; charges externes</t>
        </is>
      </c>
      <c r="H1870" s="40" t="inlineStr">
        <is>
          <t>COMPTABLE</t>
        </is>
      </c>
      <c r="I1870" s="41" t="inlineStr">
        <is>
          <t>2025FCST_V4</t>
        </is>
      </c>
      <c r="J1870" s="41" t="n">
        <v>2025</v>
      </c>
      <c r="K1870" s="41" t="inlineStr">
        <is>
          <t>EUR</t>
        </is>
      </c>
      <c r="L1870" s="42" t="n">
        <v>39228</v>
      </c>
    </row>
    <row r="1871">
      <c r="B1871" s="39" t="inlineStr">
        <is>
          <t>IPAC_NAN</t>
        </is>
      </c>
      <c r="C1871" s="40" t="inlineStr">
        <is>
          <t>BAC_CCE</t>
        </is>
      </c>
      <c r="D1871" s="40" t="inlineStr">
        <is>
          <t>B2</t>
        </is>
      </c>
      <c r="E1871" s="40" t="inlineStr">
        <is>
          <t>ALT</t>
        </is>
      </c>
      <c r="F1871" s="40" t="inlineStr">
        <is>
          <t>681100</t>
        </is>
      </c>
      <c r="G1871" s="39" t="inlineStr">
        <is>
          <t>Dotations aux amortissements</t>
        </is>
      </c>
      <c r="H1871" s="40" t="inlineStr">
        <is>
          <t>COMPTABLE</t>
        </is>
      </c>
      <c r="I1871" s="41" t="inlineStr">
        <is>
          <t>2023ACT_VDEF</t>
        </is>
      </c>
      <c r="J1871" s="41" t="n">
        <v>2023</v>
      </c>
      <c r="K1871" s="41" t="inlineStr">
        <is>
          <t>EUR</t>
        </is>
      </c>
      <c r="L1871" s="42" t="n">
        <v>18900</v>
      </c>
    </row>
    <row r="1872">
      <c r="B1872" s="39" t="inlineStr">
        <is>
          <t>IPAC_NAN</t>
        </is>
      </c>
      <c r="C1872" s="40" t="inlineStr">
        <is>
          <t>BAC_CCE</t>
        </is>
      </c>
      <c r="D1872" s="40" t="inlineStr">
        <is>
          <t>B2</t>
        </is>
      </c>
      <c r="E1872" s="40" t="inlineStr">
        <is>
          <t>ALT</t>
        </is>
      </c>
      <c r="F1872" s="40" t="inlineStr">
        <is>
          <t>681100</t>
        </is>
      </c>
      <c r="G1872" s="39" t="inlineStr">
        <is>
          <t>Dotations aux amortissements</t>
        </is>
      </c>
      <c r="H1872" s="40" t="inlineStr">
        <is>
          <t>COMPTABLE</t>
        </is>
      </c>
      <c r="I1872" s="41" t="inlineStr">
        <is>
          <t>2024ACT_VDEF</t>
        </is>
      </c>
      <c r="J1872" s="41" t="n">
        <v>2024</v>
      </c>
      <c r="K1872" s="41" t="inlineStr">
        <is>
          <t>EUR</t>
        </is>
      </c>
      <c r="L1872" s="42" t="n">
        <v>19950</v>
      </c>
    </row>
    <row r="1873">
      <c r="B1873" s="39" t="inlineStr">
        <is>
          <t>IPAC_NAN</t>
        </is>
      </c>
      <c r="C1873" s="40" t="inlineStr">
        <is>
          <t>BAC_CCE</t>
        </is>
      </c>
      <c r="D1873" s="40" t="inlineStr">
        <is>
          <t>B2</t>
        </is>
      </c>
      <c r="E1873" s="40" t="inlineStr">
        <is>
          <t>ALT</t>
        </is>
      </c>
      <c r="F1873" s="40" t="inlineStr">
        <is>
          <t>681100</t>
        </is>
      </c>
      <c r="G1873" s="39" t="inlineStr">
        <is>
          <t>Dotations aux amortissements</t>
        </is>
      </c>
      <c r="H1873" s="40" t="inlineStr">
        <is>
          <t>COMPTABLE</t>
        </is>
      </c>
      <c r="I1873" s="41" t="inlineStr">
        <is>
          <t>2025FCST_V4</t>
        </is>
      </c>
      <c r="J1873" s="41" t="n">
        <v>2025</v>
      </c>
      <c r="K1873" s="41" t="inlineStr">
        <is>
          <t>EUR</t>
        </is>
      </c>
      <c r="L1873" s="42" t="n">
        <v>21000</v>
      </c>
    </row>
    <row r="1874">
      <c r="B1874" s="39" t="inlineStr">
        <is>
          <t>IPAC_NAN</t>
        </is>
      </c>
      <c r="C1874" s="40" t="inlineStr">
        <is>
          <t>BAC_CCE</t>
        </is>
      </c>
      <c r="D1874" s="40" t="inlineStr">
        <is>
          <t>B2</t>
        </is>
      </c>
      <c r="E1874" s="40" t="inlineStr">
        <is>
          <t>ALT</t>
        </is>
      </c>
      <c r="F1874" s="40" t="inlineStr">
        <is>
          <t>STA_EFF</t>
        </is>
      </c>
      <c r="G1874" s="39" t="inlineStr">
        <is>
          <t>Effectif inscrit</t>
        </is>
      </c>
      <c r="H1874" s="40" t="inlineStr">
        <is>
          <t>TECHNIQUE</t>
        </is>
      </c>
      <c r="I1874" s="41" t="inlineStr">
        <is>
          <t>2023ACT_VDEF</t>
        </is>
      </c>
      <c r="J1874" s="41" t="n">
        <v>2023</v>
      </c>
      <c r="K1874" s="41" t="inlineStr">
        <is>
          <t>NB</t>
        </is>
      </c>
      <c r="L1874" s="43" t="n">
        <v>38</v>
      </c>
    </row>
    <row r="1875">
      <c r="B1875" s="39" t="inlineStr">
        <is>
          <t>IPAC_NAN</t>
        </is>
      </c>
      <c r="C1875" s="40" t="inlineStr">
        <is>
          <t>BAC_CCE</t>
        </is>
      </c>
      <c r="D1875" s="40" t="inlineStr">
        <is>
          <t>B2</t>
        </is>
      </c>
      <c r="E1875" s="40" t="inlineStr">
        <is>
          <t>ALT</t>
        </is>
      </c>
      <c r="F1875" s="40" t="inlineStr">
        <is>
          <t>STA_EFF</t>
        </is>
      </c>
      <c r="G1875" s="39" t="inlineStr">
        <is>
          <t>Effectif inscrit</t>
        </is>
      </c>
      <c r="H1875" s="40" t="inlineStr">
        <is>
          <t>TECHNIQUE</t>
        </is>
      </c>
      <c r="I1875" s="41" t="inlineStr">
        <is>
          <t>2024ACT_VDEF</t>
        </is>
      </c>
      <c r="J1875" s="41" t="n">
        <v>2024</v>
      </c>
      <c r="K1875" s="41" t="inlineStr">
        <is>
          <t>NB</t>
        </is>
      </c>
      <c r="L1875" s="43" t="n">
        <v>40</v>
      </c>
    </row>
    <row r="1876">
      <c r="B1876" s="39" t="inlineStr">
        <is>
          <t>IPAC_NAN</t>
        </is>
      </c>
      <c r="C1876" s="40" t="inlineStr">
        <is>
          <t>BAC_CCE</t>
        </is>
      </c>
      <c r="D1876" s="40" t="inlineStr">
        <is>
          <t>B2</t>
        </is>
      </c>
      <c r="E1876" s="40" t="inlineStr">
        <is>
          <t>ALT</t>
        </is>
      </c>
      <c r="F1876" s="40" t="inlineStr">
        <is>
          <t>STA_EFF</t>
        </is>
      </c>
      <c r="G1876" s="39" t="inlineStr">
        <is>
          <t>Effectif inscrit</t>
        </is>
      </c>
      <c r="H1876" s="40" t="inlineStr">
        <is>
          <t>TECHNIQUE</t>
        </is>
      </c>
      <c r="I1876" s="41" t="inlineStr">
        <is>
          <t>2025FCST_V4</t>
        </is>
      </c>
      <c r="J1876" s="41" t="n">
        <v>2025</v>
      </c>
      <c r="K1876" s="41" t="inlineStr">
        <is>
          <t>NB</t>
        </is>
      </c>
      <c r="L1876" s="43" t="n">
        <v>42</v>
      </c>
    </row>
    <row r="1877">
      <c r="B1877" s="39" t="inlineStr">
        <is>
          <t>IPAC_NAN</t>
        </is>
      </c>
      <c r="C1877" s="40" t="inlineStr">
        <is>
          <t>BAC_CCE</t>
        </is>
      </c>
      <c r="D1877" s="40" t="inlineStr">
        <is>
          <t>B2</t>
        </is>
      </c>
      <c r="E1877" s="40" t="inlineStr">
        <is>
          <t>ALT</t>
        </is>
      </c>
      <c r="F1877" s="40" t="inlineStr">
        <is>
          <t>STA_REINS</t>
        </is>
      </c>
      <c r="G1877" s="39" t="inlineStr">
        <is>
          <t>Réinscrits</t>
        </is>
      </c>
      <c r="H1877" s="40" t="inlineStr">
        <is>
          <t>TECHNIQUE</t>
        </is>
      </c>
      <c r="I1877" s="41" t="inlineStr">
        <is>
          <t>2023ACT_VDEF</t>
        </is>
      </c>
      <c r="J1877" s="41" t="n">
        <v>2023</v>
      </c>
      <c r="K1877" s="41" t="inlineStr">
        <is>
          <t>NB</t>
        </is>
      </c>
      <c r="L1877" s="43" t="n">
        <v>38</v>
      </c>
    </row>
    <row r="1878">
      <c r="B1878" s="39" t="inlineStr">
        <is>
          <t>IPAC_NAN</t>
        </is>
      </c>
      <c r="C1878" s="40" t="inlineStr">
        <is>
          <t>BAC_CCE</t>
        </is>
      </c>
      <c r="D1878" s="40" t="inlineStr">
        <is>
          <t>B2</t>
        </is>
      </c>
      <c r="E1878" s="40" t="inlineStr">
        <is>
          <t>ALT</t>
        </is>
      </c>
      <c r="F1878" s="40" t="inlineStr">
        <is>
          <t>STA_REINS</t>
        </is>
      </c>
      <c r="G1878" s="39" t="inlineStr">
        <is>
          <t>Réinscrits</t>
        </is>
      </c>
      <c r="H1878" s="40" t="inlineStr">
        <is>
          <t>TECHNIQUE</t>
        </is>
      </c>
      <c r="I1878" s="41" t="inlineStr">
        <is>
          <t>2024ACT_VDEF</t>
        </is>
      </c>
      <c r="J1878" s="41" t="n">
        <v>2024</v>
      </c>
      <c r="K1878" s="41" t="inlineStr">
        <is>
          <t>NB</t>
        </is>
      </c>
      <c r="L1878" s="43" t="n">
        <v>40</v>
      </c>
    </row>
    <row r="1879">
      <c r="B1879" s="39" t="inlineStr">
        <is>
          <t>IPAC_NAN</t>
        </is>
      </c>
      <c r="C1879" s="40" t="inlineStr">
        <is>
          <t>BAC_CCE</t>
        </is>
      </c>
      <c r="D1879" s="40" t="inlineStr">
        <is>
          <t>B2</t>
        </is>
      </c>
      <c r="E1879" s="40" t="inlineStr">
        <is>
          <t>ALT</t>
        </is>
      </c>
      <c r="F1879" s="40" t="inlineStr">
        <is>
          <t>STA_REINS</t>
        </is>
      </c>
      <c r="G1879" s="39" t="inlineStr">
        <is>
          <t>Réinscrits</t>
        </is>
      </c>
      <c r="H1879" s="40" t="inlineStr">
        <is>
          <t>TECHNIQUE</t>
        </is>
      </c>
      <c r="I1879" s="41" t="inlineStr">
        <is>
          <t>2025FCST_V4</t>
        </is>
      </c>
      <c r="J1879" s="41" t="n">
        <v>2025</v>
      </c>
      <c r="K1879" s="41" t="inlineStr">
        <is>
          <t>NB</t>
        </is>
      </c>
      <c r="L1879" s="43" t="n">
        <v>42</v>
      </c>
    </row>
    <row r="1880">
      <c r="B1880" s="39" t="inlineStr">
        <is>
          <t>IPAC_NAN</t>
        </is>
      </c>
      <c r="C1880" s="40" t="inlineStr">
        <is>
          <t>BAC_CCE</t>
        </is>
      </c>
      <c r="D1880" s="40" t="inlineStr">
        <is>
          <t>B2</t>
        </is>
      </c>
      <c r="E1880" s="40" t="inlineStr">
        <is>
          <t>ALT</t>
        </is>
      </c>
      <c r="F1880" s="40" t="inlineStr">
        <is>
          <t>STA_CLASS</t>
        </is>
      </c>
      <c r="G1880" s="39" t="inlineStr">
        <is>
          <t>Nombre de classes</t>
        </is>
      </c>
      <c r="H1880" s="40" t="inlineStr">
        <is>
          <t>TECHNIQUE</t>
        </is>
      </c>
      <c r="I1880" s="41" t="inlineStr">
        <is>
          <t>2023ACT_VDEF</t>
        </is>
      </c>
      <c r="J1880" s="41" t="n">
        <v>2023</v>
      </c>
      <c r="K1880" s="41" t="inlineStr">
        <is>
          <t>NB</t>
        </is>
      </c>
      <c r="L1880" s="43" t="n">
        <v>2</v>
      </c>
    </row>
    <row r="1881">
      <c r="B1881" s="39" t="inlineStr">
        <is>
          <t>IPAC_NAN</t>
        </is>
      </c>
      <c r="C1881" s="40" t="inlineStr">
        <is>
          <t>BAC_CCE</t>
        </is>
      </c>
      <c r="D1881" s="40" t="inlineStr">
        <is>
          <t>B2</t>
        </is>
      </c>
      <c r="E1881" s="40" t="inlineStr">
        <is>
          <t>ALT</t>
        </is>
      </c>
      <c r="F1881" s="40" t="inlineStr">
        <is>
          <t>STA_CLASS</t>
        </is>
      </c>
      <c r="G1881" s="39" t="inlineStr">
        <is>
          <t>Nombre de classes</t>
        </is>
      </c>
      <c r="H1881" s="40" t="inlineStr">
        <is>
          <t>TECHNIQUE</t>
        </is>
      </c>
      <c r="I1881" s="41" t="inlineStr">
        <is>
          <t>2024ACT_VDEF</t>
        </is>
      </c>
      <c r="J1881" s="41" t="n">
        <v>2024</v>
      </c>
      <c r="K1881" s="41" t="inlineStr">
        <is>
          <t>NB</t>
        </is>
      </c>
      <c r="L1881" s="43" t="n">
        <v>2</v>
      </c>
    </row>
    <row r="1882">
      <c r="B1882" s="39" t="inlineStr">
        <is>
          <t>IPAC_NAN</t>
        </is>
      </c>
      <c r="C1882" s="40" t="inlineStr">
        <is>
          <t>BAC_CCE</t>
        </is>
      </c>
      <c r="D1882" s="40" t="inlineStr">
        <is>
          <t>B2</t>
        </is>
      </c>
      <c r="E1882" s="40" t="inlineStr">
        <is>
          <t>ALT</t>
        </is>
      </c>
      <c r="F1882" s="40" t="inlineStr">
        <is>
          <t>STA_CLASS</t>
        </is>
      </c>
      <c r="G1882" s="39" t="inlineStr">
        <is>
          <t>Nombre de classes</t>
        </is>
      </c>
      <c r="H1882" s="40" t="inlineStr">
        <is>
          <t>TECHNIQUE</t>
        </is>
      </c>
      <c r="I1882" s="41" t="inlineStr">
        <is>
          <t>2025FCST_V4</t>
        </is>
      </c>
      <c r="J1882" s="41" t="n">
        <v>2025</v>
      </c>
      <c r="K1882" s="41" t="inlineStr">
        <is>
          <t>NB</t>
        </is>
      </c>
      <c r="L1882" s="43" t="n">
        <v>2</v>
      </c>
    </row>
    <row r="1883">
      <c r="B1883" s="39" t="inlineStr">
        <is>
          <t>IPAC_NAN</t>
        </is>
      </c>
      <c r="C1883" s="40" t="inlineStr">
        <is>
          <t>BAC_CCE</t>
        </is>
      </c>
      <c r="D1883" s="40" t="inlineStr">
        <is>
          <t>B2</t>
        </is>
      </c>
      <c r="E1883" s="40" t="inlineStr">
        <is>
          <t>ALT</t>
        </is>
      </c>
      <c r="F1883" s="40" t="inlineStr">
        <is>
          <t>STA_HEURE</t>
        </is>
      </c>
      <c r="G1883" s="39" t="inlineStr">
        <is>
          <t>Heures d'enseignement</t>
        </is>
      </c>
      <c r="H1883" s="40" t="inlineStr">
        <is>
          <t>TECHNIQUE</t>
        </is>
      </c>
      <c r="I1883" s="41" t="inlineStr">
        <is>
          <t>2023ACT_VDEF</t>
        </is>
      </c>
      <c r="J1883" s="41" t="n">
        <v>2023</v>
      </c>
      <c r="K1883" s="41" t="inlineStr">
        <is>
          <t>NB</t>
        </is>
      </c>
      <c r="L1883" s="43" t="n">
        <v>1008</v>
      </c>
    </row>
    <row r="1884">
      <c r="B1884" s="39" t="inlineStr">
        <is>
          <t>IPAC_NAN</t>
        </is>
      </c>
      <c r="C1884" s="40" t="inlineStr">
        <is>
          <t>BAC_CCE</t>
        </is>
      </c>
      <c r="D1884" s="40" t="inlineStr">
        <is>
          <t>B2</t>
        </is>
      </c>
      <c r="E1884" s="40" t="inlineStr">
        <is>
          <t>ALT</t>
        </is>
      </c>
      <c r="F1884" s="40" t="inlineStr">
        <is>
          <t>STA_HEURE</t>
        </is>
      </c>
      <c r="G1884" s="39" t="inlineStr">
        <is>
          <t>Heures d'enseignement</t>
        </is>
      </c>
      <c r="H1884" s="40" t="inlineStr">
        <is>
          <t>TECHNIQUE</t>
        </is>
      </c>
      <c r="I1884" s="41" t="inlineStr">
        <is>
          <t>2024ACT_VDEF</t>
        </is>
      </c>
      <c r="J1884" s="41" t="n">
        <v>2024</v>
      </c>
      <c r="K1884" s="41" t="inlineStr">
        <is>
          <t>NB</t>
        </is>
      </c>
      <c r="L1884" s="43" t="n">
        <v>1064</v>
      </c>
    </row>
    <row r="1885">
      <c r="B1885" s="39" t="inlineStr">
        <is>
          <t>IPAC_NAN</t>
        </is>
      </c>
      <c r="C1885" s="40" t="inlineStr">
        <is>
          <t>BAC_CCE</t>
        </is>
      </c>
      <c r="D1885" s="40" t="inlineStr">
        <is>
          <t>B2</t>
        </is>
      </c>
      <c r="E1885" s="40" t="inlineStr">
        <is>
          <t>ALT</t>
        </is>
      </c>
      <c r="F1885" s="40" t="inlineStr">
        <is>
          <t>STA_HEURE</t>
        </is>
      </c>
      <c r="G1885" s="39" t="inlineStr">
        <is>
          <t>Heures d'enseignement</t>
        </is>
      </c>
      <c r="H1885" s="40" t="inlineStr">
        <is>
          <t>TECHNIQUE</t>
        </is>
      </c>
      <c r="I1885" s="41" t="inlineStr">
        <is>
          <t>2025FCST_V4</t>
        </is>
      </c>
      <c r="J1885" s="41" t="n">
        <v>2025</v>
      </c>
      <c r="K1885" s="41" t="inlineStr">
        <is>
          <t>NB</t>
        </is>
      </c>
      <c r="L1885" s="43" t="n">
        <v>1120</v>
      </c>
    </row>
    <row r="1886">
      <c r="B1886" s="39" t="inlineStr">
        <is>
          <t>IPAC_NAN</t>
        </is>
      </c>
      <c r="C1886" s="40" t="inlineStr">
        <is>
          <t>BAC_CCE</t>
        </is>
      </c>
      <c r="D1886" s="40" t="inlineStr">
        <is>
          <t>B2</t>
        </is>
      </c>
      <c r="E1886" s="40" t="inlineStr">
        <is>
          <t>ALT</t>
        </is>
      </c>
      <c r="F1886" s="40" t="inlineStr">
        <is>
          <t>STA_CAPA</t>
        </is>
      </c>
      <c r="G1886" s="39" t="inlineStr">
        <is>
          <t>Capacité par classe</t>
        </is>
      </c>
      <c r="H1886" s="40" t="inlineStr">
        <is>
          <t>TECHNIQUE</t>
        </is>
      </c>
      <c r="I1886" s="41" t="inlineStr">
        <is>
          <t>2023ACT_VDEF</t>
        </is>
      </c>
      <c r="J1886" s="41" t="n">
        <v>2023</v>
      </c>
      <c r="K1886" s="41" t="inlineStr">
        <is>
          <t>NB</t>
        </is>
      </c>
      <c r="L1886" s="43" t="n">
        <v>32</v>
      </c>
    </row>
    <row r="1887">
      <c r="B1887" s="39" t="inlineStr">
        <is>
          <t>IPAC_NAN</t>
        </is>
      </c>
      <c r="C1887" s="40" t="inlineStr">
        <is>
          <t>BAC_CCE</t>
        </is>
      </c>
      <c r="D1887" s="40" t="inlineStr">
        <is>
          <t>B2</t>
        </is>
      </c>
      <c r="E1887" s="40" t="inlineStr">
        <is>
          <t>ALT</t>
        </is>
      </c>
      <c r="F1887" s="40" t="inlineStr">
        <is>
          <t>STA_CAPA</t>
        </is>
      </c>
      <c r="G1887" s="39" t="inlineStr">
        <is>
          <t>Capacité par classe</t>
        </is>
      </c>
      <c r="H1887" s="40" t="inlineStr">
        <is>
          <t>TECHNIQUE</t>
        </is>
      </c>
      <c r="I1887" s="41" t="inlineStr">
        <is>
          <t>2024ACT_VDEF</t>
        </is>
      </c>
      <c r="J1887" s="41" t="n">
        <v>2024</v>
      </c>
      <c r="K1887" s="41" t="inlineStr">
        <is>
          <t>NB</t>
        </is>
      </c>
      <c r="L1887" s="43" t="n">
        <v>32</v>
      </c>
    </row>
    <row r="1888">
      <c r="B1888" s="39" t="inlineStr">
        <is>
          <t>IPAC_NAN</t>
        </is>
      </c>
      <c r="C1888" s="40" t="inlineStr">
        <is>
          <t>BAC_CCE</t>
        </is>
      </c>
      <c r="D1888" s="40" t="inlineStr">
        <is>
          <t>B2</t>
        </is>
      </c>
      <c r="E1888" s="40" t="inlineStr">
        <is>
          <t>ALT</t>
        </is>
      </c>
      <c r="F1888" s="40" t="inlineStr">
        <is>
          <t>STA_CAPA</t>
        </is>
      </c>
      <c r="G1888" s="39" t="inlineStr">
        <is>
          <t>Capacité par classe</t>
        </is>
      </c>
      <c r="H1888" s="40" t="inlineStr">
        <is>
          <t>TECHNIQUE</t>
        </is>
      </c>
      <c r="I1888" s="41" t="inlineStr">
        <is>
          <t>2025FCST_V4</t>
        </is>
      </c>
      <c r="J1888" s="41" t="n">
        <v>2025</v>
      </c>
      <c r="K1888" s="41" t="inlineStr">
        <is>
          <t>NB</t>
        </is>
      </c>
      <c r="L1888" s="43" t="n">
        <v>32</v>
      </c>
    </row>
    <row r="1889">
      <c r="B1889" s="39" t="inlineStr">
        <is>
          <t>IPAC_NAN</t>
        </is>
      </c>
      <c r="C1889" s="40" t="inlineStr">
        <is>
          <t>BAC_CCE</t>
        </is>
      </c>
      <c r="D1889" s="40" t="inlineStr">
        <is>
          <t>B2</t>
        </is>
      </c>
      <c r="E1889" s="40" t="inlineStr">
        <is>
          <t>ALT</t>
        </is>
      </c>
      <c r="F1889" s="40" t="inlineStr">
        <is>
          <t>DRV_PASS</t>
        </is>
      </c>
      <c r="G1889" s="39" t="inlineStr">
        <is>
          <t>Taux de passage (réinscription)</t>
        </is>
      </c>
      <c r="H1889" s="40" t="inlineStr">
        <is>
          <t>TECHNIQUE</t>
        </is>
      </c>
      <c r="I1889" s="41" t="inlineStr">
        <is>
          <t>2023ACT_VDEF</t>
        </is>
      </c>
      <c r="J1889" s="41" t="n">
        <v>2023</v>
      </c>
      <c r="K1889" s="41" t="inlineStr">
        <is>
          <t>PCT</t>
        </is>
      </c>
      <c r="L1889" s="44" t="n">
        <v>0.93</v>
      </c>
    </row>
    <row r="1890">
      <c r="B1890" s="39" t="inlineStr">
        <is>
          <t>IPAC_NAN</t>
        </is>
      </c>
      <c r="C1890" s="40" t="inlineStr">
        <is>
          <t>BAC_CCE</t>
        </is>
      </c>
      <c r="D1890" s="40" t="inlineStr">
        <is>
          <t>B2</t>
        </is>
      </c>
      <c r="E1890" s="40" t="inlineStr">
        <is>
          <t>ALT</t>
        </is>
      </c>
      <c r="F1890" s="40" t="inlineStr">
        <is>
          <t>DRV_PASS</t>
        </is>
      </c>
      <c r="G1890" s="39" t="inlineStr">
        <is>
          <t>Taux de passage (réinscription)</t>
        </is>
      </c>
      <c r="H1890" s="40" t="inlineStr">
        <is>
          <t>TECHNIQUE</t>
        </is>
      </c>
      <c r="I1890" s="41" t="inlineStr">
        <is>
          <t>2024ACT_VDEF</t>
        </is>
      </c>
      <c r="J1890" s="41" t="n">
        <v>2024</v>
      </c>
      <c r="K1890" s="41" t="inlineStr">
        <is>
          <t>PCT</t>
        </is>
      </c>
      <c r="L1890" s="44" t="n">
        <v>0.93</v>
      </c>
    </row>
    <row r="1891">
      <c r="B1891" s="39" t="inlineStr">
        <is>
          <t>IPAC_NAN</t>
        </is>
      </c>
      <c r="C1891" s="40" t="inlineStr">
        <is>
          <t>BAC_CCE</t>
        </is>
      </c>
      <c r="D1891" s="40" t="inlineStr">
        <is>
          <t>B2</t>
        </is>
      </c>
      <c r="E1891" s="40" t="inlineStr">
        <is>
          <t>ALT</t>
        </is>
      </c>
      <c r="F1891" s="40" t="inlineStr">
        <is>
          <t>DRV_PASS</t>
        </is>
      </c>
      <c r="G1891" s="39" t="inlineStr">
        <is>
          <t>Taux de passage (réinscription)</t>
        </is>
      </c>
      <c r="H1891" s="40" t="inlineStr">
        <is>
          <t>TECHNIQUE</t>
        </is>
      </c>
      <c r="I1891" s="41" t="inlineStr">
        <is>
          <t>2025FCST_V4</t>
        </is>
      </c>
      <c r="J1891" s="41" t="n">
        <v>2025</v>
      </c>
      <c r="K1891" s="41" t="inlineStr">
        <is>
          <t>PCT</t>
        </is>
      </c>
      <c r="L1891" s="44" t="n">
        <v>0.93</v>
      </c>
    </row>
    <row r="1892">
      <c r="B1892" s="39" t="inlineStr">
        <is>
          <t>IPAC_NAN</t>
        </is>
      </c>
      <c r="C1892" s="40" t="inlineStr">
        <is>
          <t>BAC_CCE</t>
        </is>
      </c>
      <c r="D1892" s="40" t="inlineStr">
        <is>
          <t>B2</t>
        </is>
      </c>
      <c r="E1892" s="40" t="inlineStr">
        <is>
          <t>ALT</t>
        </is>
      </c>
      <c r="F1892" s="40" t="inlineStr">
        <is>
          <t>PRX_TARIF</t>
        </is>
      </c>
      <c r="G1892" s="39" t="inlineStr">
        <is>
          <t>Tarif moyen scolarité</t>
        </is>
      </c>
      <c r="H1892" s="40" t="inlineStr">
        <is>
          <t>TECHNIQUE</t>
        </is>
      </c>
      <c r="I1892" s="41" t="inlineStr">
        <is>
          <t>2023ACT_VDEF</t>
        </is>
      </c>
      <c r="J1892" s="41" t="n">
        <v>2023</v>
      </c>
      <c r="K1892" s="41" t="inlineStr">
        <is>
          <t>EUR</t>
        </is>
      </c>
      <c r="L1892" s="42" t="n">
        <v>8000</v>
      </c>
    </row>
    <row r="1893">
      <c r="B1893" s="39" t="inlineStr">
        <is>
          <t>IPAC_NAN</t>
        </is>
      </c>
      <c r="C1893" s="40" t="inlineStr">
        <is>
          <t>BAC_CCE</t>
        </is>
      </c>
      <c r="D1893" s="40" t="inlineStr">
        <is>
          <t>B2</t>
        </is>
      </c>
      <c r="E1893" s="40" t="inlineStr">
        <is>
          <t>ALT</t>
        </is>
      </c>
      <c r="F1893" s="40" t="inlineStr">
        <is>
          <t>PRX_TARIF</t>
        </is>
      </c>
      <c r="G1893" s="39" t="inlineStr">
        <is>
          <t>Tarif moyen scolarité</t>
        </is>
      </c>
      <c r="H1893" s="40" t="inlineStr">
        <is>
          <t>TECHNIQUE</t>
        </is>
      </c>
      <c r="I1893" s="41" t="inlineStr">
        <is>
          <t>2024ACT_VDEF</t>
        </is>
      </c>
      <c r="J1893" s="41" t="n">
        <v>2024</v>
      </c>
      <c r="K1893" s="41" t="inlineStr">
        <is>
          <t>EUR</t>
        </is>
      </c>
      <c r="L1893" s="42" t="n">
        <v>8000</v>
      </c>
    </row>
    <row r="1894">
      <c r="B1894" s="39" t="inlineStr">
        <is>
          <t>IPAC_NAN</t>
        </is>
      </c>
      <c r="C1894" s="40" t="inlineStr">
        <is>
          <t>BAC_CCE</t>
        </is>
      </c>
      <c r="D1894" s="40" t="inlineStr">
        <is>
          <t>B2</t>
        </is>
      </c>
      <c r="E1894" s="40" t="inlineStr">
        <is>
          <t>ALT</t>
        </is>
      </c>
      <c r="F1894" s="40" t="inlineStr">
        <is>
          <t>PRX_TARIF</t>
        </is>
      </c>
      <c r="G1894" s="39" t="inlineStr">
        <is>
          <t>Tarif moyen scolarité</t>
        </is>
      </c>
      <c r="H1894" s="40" t="inlineStr">
        <is>
          <t>TECHNIQUE</t>
        </is>
      </c>
      <c r="I1894" s="41" t="inlineStr">
        <is>
          <t>2025FCST_V4</t>
        </is>
      </c>
      <c r="J1894" s="41" t="n">
        <v>2025</v>
      </c>
      <c r="K1894" s="41" t="inlineStr">
        <is>
          <t>EUR</t>
        </is>
      </c>
      <c r="L1894" s="42" t="n">
        <v>8000</v>
      </c>
    </row>
    <row r="1895">
      <c r="B1895" s="39" t="inlineStr">
        <is>
          <t>IPAC_NAN</t>
        </is>
      </c>
      <c r="C1895" s="40" t="inlineStr">
        <is>
          <t>BAC_CCE</t>
        </is>
      </c>
      <c r="D1895" s="40" t="inlineStr">
        <is>
          <t>B3</t>
        </is>
      </c>
      <c r="E1895" s="40" t="inlineStr">
        <is>
          <t>ALT</t>
        </is>
      </c>
      <c r="F1895" s="40" t="inlineStr">
        <is>
          <t>706100</t>
        </is>
      </c>
      <c r="G1895" s="39" t="inlineStr">
        <is>
          <t>Droits de scolarité</t>
        </is>
      </c>
      <c r="H1895" s="40" t="inlineStr">
        <is>
          <t>COMPTABLE</t>
        </is>
      </c>
      <c r="I1895" s="41" t="inlineStr">
        <is>
          <t>2023ACT_VDEF</t>
        </is>
      </c>
      <c r="J1895" s="41" t="n">
        <v>2023</v>
      </c>
      <c r="K1895" s="41" t="inlineStr">
        <is>
          <t>EUR</t>
        </is>
      </c>
      <c r="L1895" s="42" t="n">
        <v>273600</v>
      </c>
    </row>
    <row r="1896">
      <c r="B1896" s="39" t="inlineStr">
        <is>
          <t>IPAC_NAN</t>
        </is>
      </c>
      <c r="C1896" s="40" t="inlineStr">
        <is>
          <t>BAC_CCE</t>
        </is>
      </c>
      <c r="D1896" s="40" t="inlineStr">
        <is>
          <t>B3</t>
        </is>
      </c>
      <c r="E1896" s="40" t="inlineStr">
        <is>
          <t>ALT</t>
        </is>
      </c>
      <c r="F1896" s="40" t="inlineStr">
        <is>
          <t>706100</t>
        </is>
      </c>
      <c r="G1896" s="39" t="inlineStr">
        <is>
          <t>Droits de scolarité</t>
        </is>
      </c>
      <c r="H1896" s="40" t="inlineStr">
        <is>
          <t>COMPTABLE</t>
        </is>
      </c>
      <c r="I1896" s="41" t="inlineStr">
        <is>
          <t>2024ACT_VDEF</t>
        </is>
      </c>
      <c r="J1896" s="41" t="n">
        <v>2024</v>
      </c>
      <c r="K1896" s="41" t="inlineStr">
        <is>
          <t>EUR</t>
        </is>
      </c>
      <c r="L1896" s="42" t="n">
        <v>288800</v>
      </c>
    </row>
    <row r="1897">
      <c r="B1897" s="39" t="inlineStr">
        <is>
          <t>IPAC_NAN</t>
        </is>
      </c>
      <c r="C1897" s="40" t="inlineStr">
        <is>
          <t>BAC_CCE</t>
        </is>
      </c>
      <c r="D1897" s="40" t="inlineStr">
        <is>
          <t>B3</t>
        </is>
      </c>
      <c r="E1897" s="40" t="inlineStr">
        <is>
          <t>ALT</t>
        </is>
      </c>
      <c r="F1897" s="40" t="inlineStr">
        <is>
          <t>706100</t>
        </is>
      </c>
      <c r="G1897" s="39" t="inlineStr">
        <is>
          <t>Droits de scolarité</t>
        </is>
      </c>
      <c r="H1897" s="40" t="inlineStr">
        <is>
          <t>COMPTABLE</t>
        </is>
      </c>
      <c r="I1897" s="41" t="inlineStr">
        <is>
          <t>2025FCST_V4</t>
        </is>
      </c>
      <c r="J1897" s="41" t="n">
        <v>2025</v>
      </c>
      <c r="K1897" s="41" t="inlineStr">
        <is>
          <t>EUR</t>
        </is>
      </c>
      <c r="L1897" s="42" t="n">
        <v>304000</v>
      </c>
    </row>
    <row r="1898">
      <c r="B1898" s="39" t="inlineStr">
        <is>
          <t>IPAC_NAN</t>
        </is>
      </c>
      <c r="C1898" s="40" t="inlineStr">
        <is>
          <t>BAC_CCE</t>
        </is>
      </c>
      <c r="D1898" s="40" t="inlineStr">
        <is>
          <t>B3</t>
        </is>
      </c>
      <c r="E1898" s="40" t="inlineStr">
        <is>
          <t>ALT</t>
        </is>
      </c>
      <c r="F1898" s="40" t="inlineStr">
        <is>
          <t>604100</t>
        </is>
      </c>
      <c r="G1898" s="39" t="inlineStr">
        <is>
          <t>Vacations &amp; sous-traitance pédagogique</t>
        </is>
      </c>
      <c r="H1898" s="40" t="inlineStr">
        <is>
          <t>COMPTABLE</t>
        </is>
      </c>
      <c r="I1898" s="41" t="inlineStr">
        <is>
          <t>2023ACT_VDEF</t>
        </is>
      </c>
      <c r="J1898" s="41" t="n">
        <v>2023</v>
      </c>
      <c r="K1898" s="41" t="inlineStr">
        <is>
          <t>EUR</t>
        </is>
      </c>
      <c r="L1898" s="42" t="n">
        <v>54288</v>
      </c>
    </row>
    <row r="1899">
      <c r="B1899" s="39" t="inlineStr">
        <is>
          <t>IPAC_NAN</t>
        </is>
      </c>
      <c r="C1899" s="40" t="inlineStr">
        <is>
          <t>BAC_CCE</t>
        </is>
      </c>
      <c r="D1899" s="40" t="inlineStr">
        <is>
          <t>B3</t>
        </is>
      </c>
      <c r="E1899" s="40" t="inlineStr">
        <is>
          <t>ALT</t>
        </is>
      </c>
      <c r="F1899" s="40" t="inlineStr">
        <is>
          <t>604100</t>
        </is>
      </c>
      <c r="G1899" s="39" t="inlineStr">
        <is>
          <t>Vacations &amp; sous-traitance pédagogique</t>
        </is>
      </c>
      <c r="H1899" s="40" t="inlineStr">
        <is>
          <t>COMPTABLE</t>
        </is>
      </c>
      <c r="I1899" s="41" t="inlineStr">
        <is>
          <t>2024ACT_VDEF</t>
        </is>
      </c>
      <c r="J1899" s="41" t="n">
        <v>2024</v>
      </c>
      <c r="K1899" s="41" t="inlineStr">
        <is>
          <t>EUR</t>
        </is>
      </c>
      <c r="L1899" s="42" t="n">
        <v>57304</v>
      </c>
    </row>
    <row r="1900">
      <c r="B1900" s="39" t="inlineStr">
        <is>
          <t>IPAC_NAN</t>
        </is>
      </c>
      <c r="C1900" s="40" t="inlineStr">
        <is>
          <t>BAC_CCE</t>
        </is>
      </c>
      <c r="D1900" s="40" t="inlineStr">
        <is>
          <t>B3</t>
        </is>
      </c>
      <c r="E1900" s="40" t="inlineStr">
        <is>
          <t>ALT</t>
        </is>
      </c>
      <c r="F1900" s="40" t="inlineStr">
        <is>
          <t>604100</t>
        </is>
      </c>
      <c r="G1900" s="39" t="inlineStr">
        <is>
          <t>Vacations &amp; sous-traitance pédagogique</t>
        </is>
      </c>
      <c r="H1900" s="40" t="inlineStr">
        <is>
          <t>COMPTABLE</t>
        </is>
      </c>
      <c r="I1900" s="41" t="inlineStr">
        <is>
          <t>2025FCST_V4</t>
        </is>
      </c>
      <c r="J1900" s="41" t="n">
        <v>2025</v>
      </c>
      <c r="K1900" s="41" t="inlineStr">
        <is>
          <t>EUR</t>
        </is>
      </c>
      <c r="L1900" s="42" t="n">
        <v>60320</v>
      </c>
    </row>
    <row r="1901">
      <c r="B1901" s="39" t="inlineStr">
        <is>
          <t>IPAC_NAN</t>
        </is>
      </c>
      <c r="C1901" s="40" t="inlineStr">
        <is>
          <t>BAC_CCE</t>
        </is>
      </c>
      <c r="D1901" s="40" t="inlineStr">
        <is>
          <t>B3</t>
        </is>
      </c>
      <c r="E1901" s="40" t="inlineStr">
        <is>
          <t>ALT</t>
        </is>
      </c>
      <c r="F1901" s="40" t="inlineStr">
        <is>
          <t>606300</t>
        </is>
      </c>
      <c r="G1901" s="39" t="inlineStr">
        <is>
          <t>Fournitures &amp; ressources pédagogiques</t>
        </is>
      </c>
      <c r="H1901" s="40" t="inlineStr">
        <is>
          <t>COMPTABLE</t>
        </is>
      </c>
      <c r="I1901" s="41" t="inlineStr">
        <is>
          <t>2023ACT_VDEF</t>
        </is>
      </c>
      <c r="J1901" s="41" t="n">
        <v>2023</v>
      </c>
      <c r="K1901" s="41" t="inlineStr">
        <is>
          <t>EUR</t>
        </is>
      </c>
      <c r="L1901" s="42" t="n">
        <v>12996</v>
      </c>
    </row>
    <row r="1902">
      <c r="B1902" s="39" t="inlineStr">
        <is>
          <t>IPAC_NAN</t>
        </is>
      </c>
      <c r="C1902" s="40" t="inlineStr">
        <is>
          <t>BAC_CCE</t>
        </is>
      </c>
      <c r="D1902" s="40" t="inlineStr">
        <is>
          <t>B3</t>
        </is>
      </c>
      <c r="E1902" s="40" t="inlineStr">
        <is>
          <t>ALT</t>
        </is>
      </c>
      <c r="F1902" s="40" t="inlineStr">
        <is>
          <t>606300</t>
        </is>
      </c>
      <c r="G1902" s="39" t="inlineStr">
        <is>
          <t>Fournitures &amp; ressources pédagogiques</t>
        </is>
      </c>
      <c r="H1902" s="40" t="inlineStr">
        <is>
          <t>COMPTABLE</t>
        </is>
      </c>
      <c r="I1902" s="41" t="inlineStr">
        <is>
          <t>2024ACT_VDEF</t>
        </is>
      </c>
      <c r="J1902" s="41" t="n">
        <v>2024</v>
      </c>
      <c r="K1902" s="41" t="inlineStr">
        <is>
          <t>EUR</t>
        </is>
      </c>
      <c r="L1902" s="42" t="n">
        <v>13718</v>
      </c>
    </row>
    <row r="1903">
      <c r="B1903" s="39" t="inlineStr">
        <is>
          <t>IPAC_NAN</t>
        </is>
      </c>
      <c r="C1903" s="40" t="inlineStr">
        <is>
          <t>BAC_CCE</t>
        </is>
      </c>
      <c r="D1903" s="40" t="inlineStr">
        <is>
          <t>B3</t>
        </is>
      </c>
      <c r="E1903" s="40" t="inlineStr">
        <is>
          <t>ALT</t>
        </is>
      </c>
      <c r="F1903" s="40" t="inlineStr">
        <is>
          <t>606300</t>
        </is>
      </c>
      <c r="G1903" s="39" t="inlineStr">
        <is>
          <t>Fournitures &amp; ressources pédagogiques</t>
        </is>
      </c>
      <c r="H1903" s="40" t="inlineStr">
        <is>
          <t>COMPTABLE</t>
        </is>
      </c>
      <c r="I1903" s="41" t="inlineStr">
        <is>
          <t>2025FCST_V4</t>
        </is>
      </c>
      <c r="J1903" s="41" t="n">
        <v>2025</v>
      </c>
      <c r="K1903" s="41" t="inlineStr">
        <is>
          <t>EUR</t>
        </is>
      </c>
      <c r="L1903" s="42" t="n">
        <v>14440</v>
      </c>
    </row>
    <row r="1904">
      <c r="B1904" s="39" t="inlineStr">
        <is>
          <t>IPAC_NAN</t>
        </is>
      </c>
      <c r="C1904" s="40" t="inlineStr">
        <is>
          <t>BAC_CCE</t>
        </is>
      </c>
      <c r="D1904" s="40" t="inlineStr">
        <is>
          <t>B3</t>
        </is>
      </c>
      <c r="E1904" s="40" t="inlineStr">
        <is>
          <t>ALT</t>
        </is>
      </c>
      <c r="F1904" s="40" t="inlineStr">
        <is>
          <t>613200</t>
        </is>
      </c>
      <c r="G1904" s="39" t="inlineStr">
        <is>
          <t>Locations immobilières (loyers)</t>
        </is>
      </c>
      <c r="H1904" s="40" t="inlineStr">
        <is>
          <t>COMPTABLE</t>
        </is>
      </c>
      <c r="I1904" s="41" t="inlineStr">
        <is>
          <t>2023ACT_VDEF</t>
        </is>
      </c>
      <c r="J1904" s="41" t="n">
        <v>2023</v>
      </c>
      <c r="K1904" s="41" t="inlineStr">
        <is>
          <t>EUR</t>
        </is>
      </c>
      <c r="L1904" s="42" t="n">
        <v>34500</v>
      </c>
    </row>
    <row r="1905">
      <c r="B1905" s="39" t="inlineStr">
        <is>
          <t>IPAC_NAN</t>
        </is>
      </c>
      <c r="C1905" s="40" t="inlineStr">
        <is>
          <t>BAC_CCE</t>
        </is>
      </c>
      <c r="D1905" s="40" t="inlineStr">
        <is>
          <t>B3</t>
        </is>
      </c>
      <c r="E1905" s="40" t="inlineStr">
        <is>
          <t>ALT</t>
        </is>
      </c>
      <c r="F1905" s="40" t="inlineStr">
        <is>
          <t>613200</t>
        </is>
      </c>
      <c r="G1905" s="39" t="inlineStr">
        <is>
          <t>Locations immobilières (loyers)</t>
        </is>
      </c>
      <c r="H1905" s="40" t="inlineStr">
        <is>
          <t>COMPTABLE</t>
        </is>
      </c>
      <c r="I1905" s="41" t="inlineStr">
        <is>
          <t>2024ACT_VDEF</t>
        </is>
      </c>
      <c r="J1905" s="41" t="n">
        <v>2024</v>
      </c>
      <c r="K1905" s="41" t="inlineStr">
        <is>
          <t>EUR</t>
        </is>
      </c>
      <c r="L1905" s="42" t="n">
        <v>36416</v>
      </c>
    </row>
    <row r="1906">
      <c r="B1906" s="39" t="inlineStr">
        <is>
          <t>IPAC_NAN</t>
        </is>
      </c>
      <c r="C1906" s="40" t="inlineStr">
        <is>
          <t>BAC_CCE</t>
        </is>
      </c>
      <c r="D1906" s="40" t="inlineStr">
        <is>
          <t>B3</t>
        </is>
      </c>
      <c r="E1906" s="40" t="inlineStr">
        <is>
          <t>ALT</t>
        </is>
      </c>
      <c r="F1906" s="40" t="inlineStr">
        <is>
          <t>613200</t>
        </is>
      </c>
      <c r="G1906" s="39" t="inlineStr">
        <is>
          <t>Locations immobilières (loyers)</t>
        </is>
      </c>
      <c r="H1906" s="40" t="inlineStr">
        <is>
          <t>COMPTABLE</t>
        </is>
      </c>
      <c r="I1906" s="41" t="inlineStr">
        <is>
          <t>2025FCST_V4</t>
        </is>
      </c>
      <c r="J1906" s="41" t="n">
        <v>2025</v>
      </c>
      <c r="K1906" s="41" t="inlineStr">
        <is>
          <t>EUR</t>
        </is>
      </c>
      <c r="L1906" s="42" t="n">
        <v>38333</v>
      </c>
    </row>
    <row r="1907">
      <c r="B1907" s="39" t="inlineStr">
        <is>
          <t>IPAC_NAN</t>
        </is>
      </c>
      <c r="C1907" s="40" t="inlineStr">
        <is>
          <t>BAC_CCE</t>
        </is>
      </c>
      <c r="D1907" s="40" t="inlineStr">
        <is>
          <t>B3</t>
        </is>
      </c>
      <c r="E1907" s="40" t="inlineStr">
        <is>
          <t>ALT</t>
        </is>
      </c>
      <c r="F1907" s="40" t="inlineStr">
        <is>
          <t>641100</t>
        </is>
      </c>
      <c r="G1907" s="39" t="inlineStr">
        <is>
          <t>Rémunérations du personnel permanent</t>
        </is>
      </c>
      <c r="H1907" s="40" t="inlineStr">
        <is>
          <t>COMPTABLE</t>
        </is>
      </c>
      <c r="I1907" s="41" t="inlineStr">
        <is>
          <t>2023ACT_VDEF</t>
        </is>
      </c>
      <c r="J1907" s="41" t="n">
        <v>2023</v>
      </c>
      <c r="K1907" s="41" t="inlineStr">
        <is>
          <t>EUR</t>
        </is>
      </c>
      <c r="L1907" s="42" t="n">
        <v>87000</v>
      </c>
    </row>
    <row r="1908">
      <c r="B1908" s="39" t="inlineStr">
        <is>
          <t>IPAC_NAN</t>
        </is>
      </c>
      <c r="C1908" s="40" t="inlineStr">
        <is>
          <t>BAC_CCE</t>
        </is>
      </c>
      <c r="D1908" s="40" t="inlineStr">
        <is>
          <t>B3</t>
        </is>
      </c>
      <c r="E1908" s="40" t="inlineStr">
        <is>
          <t>ALT</t>
        </is>
      </c>
      <c r="F1908" s="40" t="inlineStr">
        <is>
          <t>641100</t>
        </is>
      </c>
      <c r="G1908" s="39" t="inlineStr">
        <is>
          <t>Rémunérations du personnel permanent</t>
        </is>
      </c>
      <c r="H1908" s="40" t="inlineStr">
        <is>
          <t>COMPTABLE</t>
        </is>
      </c>
      <c r="I1908" s="41" t="inlineStr">
        <is>
          <t>2024ACT_VDEF</t>
        </is>
      </c>
      <c r="J1908" s="41" t="n">
        <v>2024</v>
      </c>
      <c r="K1908" s="41" t="inlineStr">
        <is>
          <t>EUR</t>
        </is>
      </c>
      <c r="L1908" s="42" t="n">
        <v>91834</v>
      </c>
    </row>
    <row r="1909">
      <c r="B1909" s="39" t="inlineStr">
        <is>
          <t>IPAC_NAN</t>
        </is>
      </c>
      <c r="C1909" s="40" t="inlineStr">
        <is>
          <t>BAC_CCE</t>
        </is>
      </c>
      <c r="D1909" s="40" t="inlineStr">
        <is>
          <t>B3</t>
        </is>
      </c>
      <c r="E1909" s="40" t="inlineStr">
        <is>
          <t>ALT</t>
        </is>
      </c>
      <c r="F1909" s="40" t="inlineStr">
        <is>
          <t>641100</t>
        </is>
      </c>
      <c r="G1909" s="39" t="inlineStr">
        <is>
          <t>Rémunérations du personnel permanent</t>
        </is>
      </c>
      <c r="H1909" s="40" t="inlineStr">
        <is>
          <t>COMPTABLE</t>
        </is>
      </c>
      <c r="I1909" s="41" t="inlineStr">
        <is>
          <t>2025FCST_V4</t>
        </is>
      </c>
      <c r="J1909" s="41" t="n">
        <v>2025</v>
      </c>
      <c r="K1909" s="41" t="inlineStr">
        <is>
          <t>EUR</t>
        </is>
      </c>
      <c r="L1909" s="42" t="n">
        <v>96667</v>
      </c>
    </row>
    <row r="1910">
      <c r="B1910" s="39" t="inlineStr">
        <is>
          <t>IPAC_NAN</t>
        </is>
      </c>
      <c r="C1910" s="40" t="inlineStr">
        <is>
          <t>BAC_CCE</t>
        </is>
      </c>
      <c r="D1910" s="40" t="inlineStr">
        <is>
          <t>B3</t>
        </is>
      </c>
      <c r="E1910" s="40" t="inlineStr">
        <is>
          <t>ALT</t>
        </is>
      </c>
      <c r="F1910" s="40" t="inlineStr">
        <is>
          <t>622600</t>
        </is>
      </c>
      <c r="G1910" s="39" t="inlineStr">
        <is>
          <t>Honoraires &amp; frais de siège (structure groupe)</t>
        </is>
      </c>
      <c r="H1910" s="40" t="inlineStr">
        <is>
          <t>COMPTABLE</t>
        </is>
      </c>
      <c r="I1910" s="41" t="inlineStr">
        <is>
          <t>2023ACT_VDEF</t>
        </is>
      </c>
      <c r="J1910" s="41" t="n">
        <v>2023</v>
      </c>
      <c r="K1910" s="41" t="inlineStr">
        <is>
          <t>EUR</t>
        </is>
      </c>
      <c r="L1910" s="42" t="n">
        <v>31355</v>
      </c>
    </row>
    <row r="1911">
      <c r="B1911" s="39" t="inlineStr">
        <is>
          <t>IPAC_NAN</t>
        </is>
      </c>
      <c r="C1911" s="40" t="inlineStr">
        <is>
          <t>BAC_CCE</t>
        </is>
      </c>
      <c r="D1911" s="40" t="inlineStr">
        <is>
          <t>B3</t>
        </is>
      </c>
      <c r="E1911" s="40" t="inlineStr">
        <is>
          <t>ALT</t>
        </is>
      </c>
      <c r="F1911" s="40" t="inlineStr">
        <is>
          <t>622600</t>
        </is>
      </c>
      <c r="G1911" s="39" t="inlineStr">
        <is>
          <t>Honoraires &amp; frais de siège (structure groupe)</t>
        </is>
      </c>
      <c r="H1911" s="40" t="inlineStr">
        <is>
          <t>COMPTABLE</t>
        </is>
      </c>
      <c r="I1911" s="41" t="inlineStr">
        <is>
          <t>2024ACT_VDEF</t>
        </is>
      </c>
      <c r="J1911" s="41" t="n">
        <v>2024</v>
      </c>
      <c r="K1911" s="41" t="inlineStr">
        <is>
          <t>EUR</t>
        </is>
      </c>
      <c r="L1911" s="42" t="n">
        <v>33097</v>
      </c>
    </row>
    <row r="1912">
      <c r="B1912" s="39" t="inlineStr">
        <is>
          <t>IPAC_NAN</t>
        </is>
      </c>
      <c r="C1912" s="40" t="inlineStr">
        <is>
          <t>BAC_CCE</t>
        </is>
      </c>
      <c r="D1912" s="40" t="inlineStr">
        <is>
          <t>B3</t>
        </is>
      </c>
      <c r="E1912" s="40" t="inlineStr">
        <is>
          <t>ALT</t>
        </is>
      </c>
      <c r="F1912" s="40" t="inlineStr">
        <is>
          <t>622600</t>
        </is>
      </c>
      <c r="G1912" s="39" t="inlineStr">
        <is>
          <t>Honoraires &amp; frais de siège (structure groupe)</t>
        </is>
      </c>
      <c r="H1912" s="40" t="inlineStr">
        <is>
          <t>COMPTABLE</t>
        </is>
      </c>
      <c r="I1912" s="41" t="inlineStr">
        <is>
          <t>2025FCST_V4</t>
        </is>
      </c>
      <c r="J1912" s="41" t="n">
        <v>2025</v>
      </c>
      <c r="K1912" s="41" t="inlineStr">
        <is>
          <t>EUR</t>
        </is>
      </c>
      <c r="L1912" s="42" t="n">
        <v>34839</v>
      </c>
    </row>
    <row r="1913">
      <c r="B1913" s="39" t="inlineStr">
        <is>
          <t>IPAC_NAN</t>
        </is>
      </c>
      <c r="C1913" s="40" t="inlineStr">
        <is>
          <t>BAC_CCE</t>
        </is>
      </c>
      <c r="D1913" s="40" t="inlineStr">
        <is>
          <t>B3</t>
        </is>
      </c>
      <c r="E1913" s="40" t="inlineStr">
        <is>
          <t>ALT</t>
        </is>
      </c>
      <c r="F1913" s="40" t="inlineStr">
        <is>
          <t>606800</t>
        </is>
      </c>
      <c r="G1913" s="39" t="inlineStr">
        <is>
          <t>Autres achats &amp; charges externes</t>
        </is>
      </c>
      <c r="H1913" s="40" t="inlineStr">
        <is>
          <t>COMPTABLE</t>
        </is>
      </c>
      <c r="I1913" s="41" t="inlineStr">
        <is>
          <t>2023ACT_VDEF</t>
        </is>
      </c>
      <c r="J1913" s="41" t="n">
        <v>2023</v>
      </c>
      <c r="K1913" s="41" t="inlineStr">
        <is>
          <t>EUR</t>
        </is>
      </c>
      <c r="L1913" s="42" t="n">
        <v>31943</v>
      </c>
    </row>
    <row r="1914">
      <c r="B1914" s="39" t="inlineStr">
        <is>
          <t>IPAC_NAN</t>
        </is>
      </c>
      <c r="C1914" s="40" t="inlineStr">
        <is>
          <t>BAC_CCE</t>
        </is>
      </c>
      <c r="D1914" s="40" t="inlineStr">
        <is>
          <t>B3</t>
        </is>
      </c>
      <c r="E1914" s="40" t="inlineStr">
        <is>
          <t>ALT</t>
        </is>
      </c>
      <c r="F1914" s="40" t="inlineStr">
        <is>
          <t>606800</t>
        </is>
      </c>
      <c r="G1914" s="39" t="inlineStr">
        <is>
          <t>Autres achats &amp; charges externes</t>
        </is>
      </c>
      <c r="H1914" s="40" t="inlineStr">
        <is>
          <t>COMPTABLE</t>
        </is>
      </c>
      <c r="I1914" s="41" t="inlineStr">
        <is>
          <t>2024ACT_VDEF</t>
        </is>
      </c>
      <c r="J1914" s="41" t="n">
        <v>2024</v>
      </c>
      <c r="K1914" s="41" t="inlineStr">
        <is>
          <t>EUR</t>
        </is>
      </c>
      <c r="L1914" s="42" t="n">
        <v>33717</v>
      </c>
    </row>
    <row r="1915">
      <c r="B1915" s="39" t="inlineStr">
        <is>
          <t>IPAC_NAN</t>
        </is>
      </c>
      <c r="C1915" s="40" t="inlineStr">
        <is>
          <t>BAC_CCE</t>
        </is>
      </c>
      <c r="D1915" s="40" t="inlineStr">
        <is>
          <t>B3</t>
        </is>
      </c>
      <c r="E1915" s="40" t="inlineStr">
        <is>
          <t>ALT</t>
        </is>
      </c>
      <c r="F1915" s="40" t="inlineStr">
        <is>
          <t>606800</t>
        </is>
      </c>
      <c r="G1915" s="39" t="inlineStr">
        <is>
          <t>Autres achats &amp; charges externes</t>
        </is>
      </c>
      <c r="H1915" s="40" t="inlineStr">
        <is>
          <t>COMPTABLE</t>
        </is>
      </c>
      <c r="I1915" s="41" t="inlineStr">
        <is>
          <t>2025FCST_V4</t>
        </is>
      </c>
      <c r="J1915" s="41" t="n">
        <v>2025</v>
      </c>
      <c r="K1915" s="41" t="inlineStr">
        <is>
          <t>EUR</t>
        </is>
      </c>
      <c r="L1915" s="42" t="n">
        <v>35492</v>
      </c>
    </row>
    <row r="1916">
      <c r="B1916" s="39" t="inlineStr">
        <is>
          <t>IPAC_NAN</t>
        </is>
      </c>
      <c r="C1916" s="40" t="inlineStr">
        <is>
          <t>BAC_CCE</t>
        </is>
      </c>
      <c r="D1916" s="40" t="inlineStr">
        <is>
          <t>B3</t>
        </is>
      </c>
      <c r="E1916" s="40" t="inlineStr">
        <is>
          <t>ALT</t>
        </is>
      </c>
      <c r="F1916" s="40" t="inlineStr">
        <is>
          <t>681100</t>
        </is>
      </c>
      <c r="G1916" s="39" t="inlineStr">
        <is>
          <t>Dotations aux amortissements</t>
        </is>
      </c>
      <c r="H1916" s="40" t="inlineStr">
        <is>
          <t>COMPTABLE</t>
        </is>
      </c>
      <c r="I1916" s="41" t="inlineStr">
        <is>
          <t>2023ACT_VDEF</t>
        </is>
      </c>
      <c r="J1916" s="41" t="n">
        <v>2023</v>
      </c>
      <c r="K1916" s="41" t="inlineStr">
        <is>
          <t>EUR</t>
        </is>
      </c>
      <c r="L1916" s="42" t="n">
        <v>18900</v>
      </c>
    </row>
    <row r="1917">
      <c r="B1917" s="39" t="inlineStr">
        <is>
          <t>IPAC_NAN</t>
        </is>
      </c>
      <c r="C1917" s="40" t="inlineStr">
        <is>
          <t>BAC_CCE</t>
        </is>
      </c>
      <c r="D1917" s="40" t="inlineStr">
        <is>
          <t>B3</t>
        </is>
      </c>
      <c r="E1917" s="40" t="inlineStr">
        <is>
          <t>ALT</t>
        </is>
      </c>
      <c r="F1917" s="40" t="inlineStr">
        <is>
          <t>681100</t>
        </is>
      </c>
      <c r="G1917" s="39" t="inlineStr">
        <is>
          <t>Dotations aux amortissements</t>
        </is>
      </c>
      <c r="H1917" s="40" t="inlineStr">
        <is>
          <t>COMPTABLE</t>
        </is>
      </c>
      <c r="I1917" s="41" t="inlineStr">
        <is>
          <t>2024ACT_VDEF</t>
        </is>
      </c>
      <c r="J1917" s="41" t="n">
        <v>2024</v>
      </c>
      <c r="K1917" s="41" t="inlineStr">
        <is>
          <t>EUR</t>
        </is>
      </c>
      <c r="L1917" s="42" t="n">
        <v>19950</v>
      </c>
    </row>
    <row r="1918">
      <c r="B1918" s="39" t="inlineStr">
        <is>
          <t>IPAC_NAN</t>
        </is>
      </c>
      <c r="C1918" s="40" t="inlineStr">
        <is>
          <t>BAC_CCE</t>
        </is>
      </c>
      <c r="D1918" s="40" t="inlineStr">
        <is>
          <t>B3</t>
        </is>
      </c>
      <c r="E1918" s="40" t="inlineStr">
        <is>
          <t>ALT</t>
        </is>
      </c>
      <c r="F1918" s="40" t="inlineStr">
        <is>
          <t>681100</t>
        </is>
      </c>
      <c r="G1918" s="39" t="inlineStr">
        <is>
          <t>Dotations aux amortissements</t>
        </is>
      </c>
      <c r="H1918" s="40" t="inlineStr">
        <is>
          <t>COMPTABLE</t>
        </is>
      </c>
      <c r="I1918" s="41" t="inlineStr">
        <is>
          <t>2025FCST_V4</t>
        </is>
      </c>
      <c r="J1918" s="41" t="n">
        <v>2025</v>
      </c>
      <c r="K1918" s="41" t="inlineStr">
        <is>
          <t>EUR</t>
        </is>
      </c>
      <c r="L1918" s="42" t="n">
        <v>21000</v>
      </c>
    </row>
    <row r="1919">
      <c r="B1919" s="39" t="inlineStr">
        <is>
          <t>IPAC_NAN</t>
        </is>
      </c>
      <c r="C1919" s="40" t="inlineStr">
        <is>
          <t>BAC_CCE</t>
        </is>
      </c>
      <c r="D1919" s="40" t="inlineStr">
        <is>
          <t>B3</t>
        </is>
      </c>
      <c r="E1919" s="40" t="inlineStr">
        <is>
          <t>ALT</t>
        </is>
      </c>
      <c r="F1919" s="40" t="inlineStr">
        <is>
          <t>STA_EFF</t>
        </is>
      </c>
      <c r="G1919" s="39" t="inlineStr">
        <is>
          <t>Effectif inscrit</t>
        </is>
      </c>
      <c r="H1919" s="40" t="inlineStr">
        <is>
          <t>TECHNIQUE</t>
        </is>
      </c>
      <c r="I1919" s="41" t="inlineStr">
        <is>
          <t>2023ACT_VDEF</t>
        </is>
      </c>
      <c r="J1919" s="41" t="n">
        <v>2023</v>
      </c>
      <c r="K1919" s="41" t="inlineStr">
        <is>
          <t>NB</t>
        </is>
      </c>
      <c r="L1919" s="43" t="n">
        <v>34</v>
      </c>
    </row>
    <row r="1920">
      <c r="B1920" s="39" t="inlineStr">
        <is>
          <t>IPAC_NAN</t>
        </is>
      </c>
      <c r="C1920" s="40" t="inlineStr">
        <is>
          <t>BAC_CCE</t>
        </is>
      </c>
      <c r="D1920" s="40" t="inlineStr">
        <is>
          <t>B3</t>
        </is>
      </c>
      <c r="E1920" s="40" t="inlineStr">
        <is>
          <t>ALT</t>
        </is>
      </c>
      <c r="F1920" s="40" t="inlineStr">
        <is>
          <t>STA_EFF</t>
        </is>
      </c>
      <c r="G1920" s="39" t="inlineStr">
        <is>
          <t>Effectif inscrit</t>
        </is>
      </c>
      <c r="H1920" s="40" t="inlineStr">
        <is>
          <t>TECHNIQUE</t>
        </is>
      </c>
      <c r="I1920" s="41" t="inlineStr">
        <is>
          <t>2024ACT_VDEF</t>
        </is>
      </c>
      <c r="J1920" s="41" t="n">
        <v>2024</v>
      </c>
      <c r="K1920" s="41" t="inlineStr">
        <is>
          <t>NB</t>
        </is>
      </c>
      <c r="L1920" s="43" t="n">
        <v>36</v>
      </c>
    </row>
    <row r="1921">
      <c r="B1921" s="39" t="inlineStr">
        <is>
          <t>IPAC_NAN</t>
        </is>
      </c>
      <c r="C1921" s="40" t="inlineStr">
        <is>
          <t>BAC_CCE</t>
        </is>
      </c>
      <c r="D1921" s="40" t="inlineStr">
        <is>
          <t>B3</t>
        </is>
      </c>
      <c r="E1921" s="40" t="inlineStr">
        <is>
          <t>ALT</t>
        </is>
      </c>
      <c r="F1921" s="40" t="inlineStr">
        <is>
          <t>STA_EFF</t>
        </is>
      </c>
      <c r="G1921" s="39" t="inlineStr">
        <is>
          <t>Effectif inscrit</t>
        </is>
      </c>
      <c r="H1921" s="40" t="inlineStr">
        <is>
          <t>TECHNIQUE</t>
        </is>
      </c>
      <c r="I1921" s="41" t="inlineStr">
        <is>
          <t>2025FCST_V4</t>
        </is>
      </c>
      <c r="J1921" s="41" t="n">
        <v>2025</v>
      </c>
      <c r="K1921" s="41" t="inlineStr">
        <is>
          <t>NB</t>
        </is>
      </c>
      <c r="L1921" s="43" t="n">
        <v>38</v>
      </c>
    </row>
    <row r="1922">
      <c r="B1922" s="39" t="inlineStr">
        <is>
          <t>IPAC_NAN</t>
        </is>
      </c>
      <c r="C1922" s="40" t="inlineStr">
        <is>
          <t>BAC_CCE</t>
        </is>
      </c>
      <c r="D1922" s="40" t="inlineStr">
        <is>
          <t>B3</t>
        </is>
      </c>
      <c r="E1922" s="40" t="inlineStr">
        <is>
          <t>ALT</t>
        </is>
      </c>
      <c r="F1922" s="40" t="inlineStr">
        <is>
          <t>STA_REINS</t>
        </is>
      </c>
      <c r="G1922" s="39" t="inlineStr">
        <is>
          <t>Réinscrits</t>
        </is>
      </c>
      <c r="H1922" s="40" t="inlineStr">
        <is>
          <t>TECHNIQUE</t>
        </is>
      </c>
      <c r="I1922" s="41" t="inlineStr">
        <is>
          <t>2023ACT_VDEF</t>
        </is>
      </c>
      <c r="J1922" s="41" t="n">
        <v>2023</v>
      </c>
      <c r="K1922" s="41" t="inlineStr">
        <is>
          <t>NB</t>
        </is>
      </c>
      <c r="L1922" s="43" t="n">
        <v>34</v>
      </c>
    </row>
    <row r="1923">
      <c r="B1923" s="39" t="inlineStr">
        <is>
          <t>IPAC_NAN</t>
        </is>
      </c>
      <c r="C1923" s="40" t="inlineStr">
        <is>
          <t>BAC_CCE</t>
        </is>
      </c>
      <c r="D1923" s="40" t="inlineStr">
        <is>
          <t>B3</t>
        </is>
      </c>
      <c r="E1923" s="40" t="inlineStr">
        <is>
          <t>ALT</t>
        </is>
      </c>
      <c r="F1923" s="40" t="inlineStr">
        <is>
          <t>STA_REINS</t>
        </is>
      </c>
      <c r="G1923" s="39" t="inlineStr">
        <is>
          <t>Réinscrits</t>
        </is>
      </c>
      <c r="H1923" s="40" t="inlineStr">
        <is>
          <t>TECHNIQUE</t>
        </is>
      </c>
      <c r="I1923" s="41" t="inlineStr">
        <is>
          <t>2024ACT_VDEF</t>
        </is>
      </c>
      <c r="J1923" s="41" t="n">
        <v>2024</v>
      </c>
      <c r="K1923" s="41" t="inlineStr">
        <is>
          <t>NB</t>
        </is>
      </c>
      <c r="L1923" s="43" t="n">
        <v>36</v>
      </c>
    </row>
    <row r="1924">
      <c r="B1924" s="39" t="inlineStr">
        <is>
          <t>IPAC_NAN</t>
        </is>
      </c>
      <c r="C1924" s="40" t="inlineStr">
        <is>
          <t>BAC_CCE</t>
        </is>
      </c>
      <c r="D1924" s="40" t="inlineStr">
        <is>
          <t>B3</t>
        </is>
      </c>
      <c r="E1924" s="40" t="inlineStr">
        <is>
          <t>ALT</t>
        </is>
      </c>
      <c r="F1924" s="40" t="inlineStr">
        <is>
          <t>STA_REINS</t>
        </is>
      </c>
      <c r="G1924" s="39" t="inlineStr">
        <is>
          <t>Réinscrits</t>
        </is>
      </c>
      <c r="H1924" s="40" t="inlineStr">
        <is>
          <t>TECHNIQUE</t>
        </is>
      </c>
      <c r="I1924" s="41" t="inlineStr">
        <is>
          <t>2025FCST_V4</t>
        </is>
      </c>
      <c r="J1924" s="41" t="n">
        <v>2025</v>
      </c>
      <c r="K1924" s="41" t="inlineStr">
        <is>
          <t>NB</t>
        </is>
      </c>
      <c r="L1924" s="43" t="n">
        <v>38</v>
      </c>
    </row>
    <row r="1925">
      <c r="B1925" s="39" t="inlineStr">
        <is>
          <t>IPAC_NAN</t>
        </is>
      </c>
      <c r="C1925" s="40" t="inlineStr">
        <is>
          <t>BAC_CCE</t>
        </is>
      </c>
      <c r="D1925" s="40" t="inlineStr">
        <is>
          <t>B3</t>
        </is>
      </c>
      <c r="E1925" s="40" t="inlineStr">
        <is>
          <t>ALT</t>
        </is>
      </c>
      <c r="F1925" s="40" t="inlineStr">
        <is>
          <t>STA_CLASS</t>
        </is>
      </c>
      <c r="G1925" s="39" t="inlineStr">
        <is>
          <t>Nombre de classes</t>
        </is>
      </c>
      <c r="H1925" s="40" t="inlineStr">
        <is>
          <t>TECHNIQUE</t>
        </is>
      </c>
      <c r="I1925" s="41" t="inlineStr">
        <is>
          <t>2023ACT_VDEF</t>
        </is>
      </c>
      <c r="J1925" s="41" t="n">
        <v>2023</v>
      </c>
      <c r="K1925" s="41" t="inlineStr">
        <is>
          <t>NB</t>
        </is>
      </c>
      <c r="L1925" s="43" t="n">
        <v>2</v>
      </c>
    </row>
    <row r="1926">
      <c r="B1926" s="39" t="inlineStr">
        <is>
          <t>IPAC_NAN</t>
        </is>
      </c>
      <c r="C1926" s="40" t="inlineStr">
        <is>
          <t>BAC_CCE</t>
        </is>
      </c>
      <c r="D1926" s="40" t="inlineStr">
        <is>
          <t>B3</t>
        </is>
      </c>
      <c r="E1926" s="40" t="inlineStr">
        <is>
          <t>ALT</t>
        </is>
      </c>
      <c r="F1926" s="40" t="inlineStr">
        <is>
          <t>STA_CLASS</t>
        </is>
      </c>
      <c r="G1926" s="39" t="inlineStr">
        <is>
          <t>Nombre de classes</t>
        </is>
      </c>
      <c r="H1926" s="40" t="inlineStr">
        <is>
          <t>TECHNIQUE</t>
        </is>
      </c>
      <c r="I1926" s="41" t="inlineStr">
        <is>
          <t>2024ACT_VDEF</t>
        </is>
      </c>
      <c r="J1926" s="41" t="n">
        <v>2024</v>
      </c>
      <c r="K1926" s="41" t="inlineStr">
        <is>
          <t>NB</t>
        </is>
      </c>
      <c r="L1926" s="43" t="n">
        <v>2</v>
      </c>
    </row>
    <row r="1927">
      <c r="B1927" s="39" t="inlineStr">
        <is>
          <t>IPAC_NAN</t>
        </is>
      </c>
      <c r="C1927" s="40" t="inlineStr">
        <is>
          <t>BAC_CCE</t>
        </is>
      </c>
      <c r="D1927" s="40" t="inlineStr">
        <is>
          <t>B3</t>
        </is>
      </c>
      <c r="E1927" s="40" t="inlineStr">
        <is>
          <t>ALT</t>
        </is>
      </c>
      <c r="F1927" s="40" t="inlineStr">
        <is>
          <t>STA_CLASS</t>
        </is>
      </c>
      <c r="G1927" s="39" t="inlineStr">
        <is>
          <t>Nombre de classes</t>
        </is>
      </c>
      <c r="H1927" s="40" t="inlineStr">
        <is>
          <t>TECHNIQUE</t>
        </is>
      </c>
      <c r="I1927" s="41" t="inlineStr">
        <is>
          <t>2025FCST_V4</t>
        </is>
      </c>
      <c r="J1927" s="41" t="n">
        <v>2025</v>
      </c>
      <c r="K1927" s="41" t="inlineStr">
        <is>
          <t>NB</t>
        </is>
      </c>
      <c r="L1927" s="43" t="n">
        <v>2</v>
      </c>
    </row>
    <row r="1928">
      <c r="B1928" s="39" t="inlineStr">
        <is>
          <t>IPAC_NAN</t>
        </is>
      </c>
      <c r="C1928" s="40" t="inlineStr">
        <is>
          <t>BAC_CCE</t>
        </is>
      </c>
      <c r="D1928" s="40" t="inlineStr">
        <is>
          <t>B3</t>
        </is>
      </c>
      <c r="E1928" s="40" t="inlineStr">
        <is>
          <t>ALT</t>
        </is>
      </c>
      <c r="F1928" s="40" t="inlineStr">
        <is>
          <t>STA_HEURE</t>
        </is>
      </c>
      <c r="G1928" s="39" t="inlineStr">
        <is>
          <t>Heures d'enseignement</t>
        </is>
      </c>
      <c r="H1928" s="40" t="inlineStr">
        <is>
          <t>TECHNIQUE</t>
        </is>
      </c>
      <c r="I1928" s="41" t="inlineStr">
        <is>
          <t>2023ACT_VDEF</t>
        </is>
      </c>
      <c r="J1928" s="41" t="n">
        <v>2023</v>
      </c>
      <c r="K1928" s="41" t="inlineStr">
        <is>
          <t>NB</t>
        </is>
      </c>
      <c r="L1928" s="43" t="n">
        <v>936</v>
      </c>
    </row>
    <row r="1929">
      <c r="B1929" s="39" t="inlineStr">
        <is>
          <t>IPAC_NAN</t>
        </is>
      </c>
      <c r="C1929" s="40" t="inlineStr">
        <is>
          <t>BAC_CCE</t>
        </is>
      </c>
      <c r="D1929" s="40" t="inlineStr">
        <is>
          <t>B3</t>
        </is>
      </c>
      <c r="E1929" s="40" t="inlineStr">
        <is>
          <t>ALT</t>
        </is>
      </c>
      <c r="F1929" s="40" t="inlineStr">
        <is>
          <t>STA_HEURE</t>
        </is>
      </c>
      <c r="G1929" s="39" t="inlineStr">
        <is>
          <t>Heures d'enseignement</t>
        </is>
      </c>
      <c r="H1929" s="40" t="inlineStr">
        <is>
          <t>TECHNIQUE</t>
        </is>
      </c>
      <c r="I1929" s="41" t="inlineStr">
        <is>
          <t>2024ACT_VDEF</t>
        </is>
      </c>
      <c r="J1929" s="41" t="n">
        <v>2024</v>
      </c>
      <c r="K1929" s="41" t="inlineStr">
        <is>
          <t>NB</t>
        </is>
      </c>
      <c r="L1929" s="43" t="n">
        <v>988</v>
      </c>
    </row>
    <row r="1930">
      <c r="B1930" s="39" t="inlineStr">
        <is>
          <t>IPAC_NAN</t>
        </is>
      </c>
      <c r="C1930" s="40" t="inlineStr">
        <is>
          <t>BAC_CCE</t>
        </is>
      </c>
      <c r="D1930" s="40" t="inlineStr">
        <is>
          <t>B3</t>
        </is>
      </c>
      <c r="E1930" s="40" t="inlineStr">
        <is>
          <t>ALT</t>
        </is>
      </c>
      <c r="F1930" s="40" t="inlineStr">
        <is>
          <t>STA_HEURE</t>
        </is>
      </c>
      <c r="G1930" s="39" t="inlineStr">
        <is>
          <t>Heures d'enseignement</t>
        </is>
      </c>
      <c r="H1930" s="40" t="inlineStr">
        <is>
          <t>TECHNIQUE</t>
        </is>
      </c>
      <c r="I1930" s="41" t="inlineStr">
        <is>
          <t>2025FCST_V4</t>
        </is>
      </c>
      <c r="J1930" s="41" t="n">
        <v>2025</v>
      </c>
      <c r="K1930" s="41" t="inlineStr">
        <is>
          <t>NB</t>
        </is>
      </c>
      <c r="L1930" s="43" t="n">
        <v>1040</v>
      </c>
    </row>
    <row r="1931">
      <c r="B1931" s="39" t="inlineStr">
        <is>
          <t>IPAC_NAN</t>
        </is>
      </c>
      <c r="C1931" s="40" t="inlineStr">
        <is>
          <t>BAC_CCE</t>
        </is>
      </c>
      <c r="D1931" s="40" t="inlineStr">
        <is>
          <t>B3</t>
        </is>
      </c>
      <c r="E1931" s="40" t="inlineStr">
        <is>
          <t>ALT</t>
        </is>
      </c>
      <c r="F1931" s="40" t="inlineStr">
        <is>
          <t>STA_CAPA</t>
        </is>
      </c>
      <c r="G1931" s="39" t="inlineStr">
        <is>
          <t>Capacité par classe</t>
        </is>
      </c>
      <c r="H1931" s="40" t="inlineStr">
        <is>
          <t>TECHNIQUE</t>
        </is>
      </c>
      <c r="I1931" s="41" t="inlineStr">
        <is>
          <t>2023ACT_VDEF</t>
        </is>
      </c>
      <c r="J1931" s="41" t="n">
        <v>2023</v>
      </c>
      <c r="K1931" s="41" t="inlineStr">
        <is>
          <t>NB</t>
        </is>
      </c>
      <c r="L1931" s="43" t="n">
        <v>32</v>
      </c>
    </row>
    <row r="1932">
      <c r="B1932" s="39" t="inlineStr">
        <is>
          <t>IPAC_NAN</t>
        </is>
      </c>
      <c r="C1932" s="40" t="inlineStr">
        <is>
          <t>BAC_CCE</t>
        </is>
      </c>
      <c r="D1932" s="40" t="inlineStr">
        <is>
          <t>B3</t>
        </is>
      </c>
      <c r="E1932" s="40" t="inlineStr">
        <is>
          <t>ALT</t>
        </is>
      </c>
      <c r="F1932" s="40" t="inlineStr">
        <is>
          <t>STA_CAPA</t>
        </is>
      </c>
      <c r="G1932" s="39" t="inlineStr">
        <is>
          <t>Capacité par classe</t>
        </is>
      </c>
      <c r="H1932" s="40" t="inlineStr">
        <is>
          <t>TECHNIQUE</t>
        </is>
      </c>
      <c r="I1932" s="41" t="inlineStr">
        <is>
          <t>2024ACT_VDEF</t>
        </is>
      </c>
      <c r="J1932" s="41" t="n">
        <v>2024</v>
      </c>
      <c r="K1932" s="41" t="inlineStr">
        <is>
          <t>NB</t>
        </is>
      </c>
      <c r="L1932" s="43" t="n">
        <v>32</v>
      </c>
    </row>
    <row r="1933">
      <c r="B1933" s="39" t="inlineStr">
        <is>
          <t>IPAC_NAN</t>
        </is>
      </c>
      <c r="C1933" s="40" t="inlineStr">
        <is>
          <t>BAC_CCE</t>
        </is>
      </c>
      <c r="D1933" s="40" t="inlineStr">
        <is>
          <t>B3</t>
        </is>
      </c>
      <c r="E1933" s="40" t="inlineStr">
        <is>
          <t>ALT</t>
        </is>
      </c>
      <c r="F1933" s="40" t="inlineStr">
        <is>
          <t>STA_CAPA</t>
        </is>
      </c>
      <c r="G1933" s="39" t="inlineStr">
        <is>
          <t>Capacité par classe</t>
        </is>
      </c>
      <c r="H1933" s="40" t="inlineStr">
        <is>
          <t>TECHNIQUE</t>
        </is>
      </c>
      <c r="I1933" s="41" t="inlineStr">
        <is>
          <t>2025FCST_V4</t>
        </is>
      </c>
      <c r="J1933" s="41" t="n">
        <v>2025</v>
      </c>
      <c r="K1933" s="41" t="inlineStr">
        <is>
          <t>NB</t>
        </is>
      </c>
      <c r="L1933" s="43" t="n">
        <v>32</v>
      </c>
    </row>
    <row r="1934">
      <c r="B1934" s="39" t="inlineStr">
        <is>
          <t>IPAC_NAN</t>
        </is>
      </c>
      <c r="C1934" s="40" t="inlineStr">
        <is>
          <t>BAC_CCE</t>
        </is>
      </c>
      <c r="D1934" s="40" t="inlineStr">
        <is>
          <t>B3</t>
        </is>
      </c>
      <c r="E1934" s="40" t="inlineStr">
        <is>
          <t>ALT</t>
        </is>
      </c>
      <c r="F1934" s="40" t="inlineStr">
        <is>
          <t>DRV_PASS</t>
        </is>
      </c>
      <c r="G1934" s="39" t="inlineStr">
        <is>
          <t>Taux de passage (réinscription)</t>
        </is>
      </c>
      <c r="H1934" s="40" t="inlineStr">
        <is>
          <t>TECHNIQUE</t>
        </is>
      </c>
      <c r="I1934" s="41" t="inlineStr">
        <is>
          <t>2023ACT_VDEF</t>
        </is>
      </c>
      <c r="J1934" s="41" t="n">
        <v>2023</v>
      </c>
      <c r="K1934" s="41" t="inlineStr">
        <is>
          <t>PCT</t>
        </is>
      </c>
      <c r="L1934" s="44" t="n">
        <v>0.95</v>
      </c>
    </row>
    <row r="1935">
      <c r="B1935" s="39" t="inlineStr">
        <is>
          <t>IPAC_NAN</t>
        </is>
      </c>
      <c r="C1935" s="40" t="inlineStr">
        <is>
          <t>BAC_CCE</t>
        </is>
      </c>
      <c r="D1935" s="40" t="inlineStr">
        <is>
          <t>B3</t>
        </is>
      </c>
      <c r="E1935" s="40" t="inlineStr">
        <is>
          <t>ALT</t>
        </is>
      </c>
      <c r="F1935" s="40" t="inlineStr">
        <is>
          <t>DRV_PASS</t>
        </is>
      </c>
      <c r="G1935" s="39" t="inlineStr">
        <is>
          <t>Taux de passage (réinscription)</t>
        </is>
      </c>
      <c r="H1935" s="40" t="inlineStr">
        <is>
          <t>TECHNIQUE</t>
        </is>
      </c>
      <c r="I1935" s="41" t="inlineStr">
        <is>
          <t>2024ACT_VDEF</t>
        </is>
      </c>
      <c r="J1935" s="41" t="n">
        <v>2024</v>
      </c>
      <c r="K1935" s="41" t="inlineStr">
        <is>
          <t>PCT</t>
        </is>
      </c>
      <c r="L1935" s="44" t="n">
        <v>0.95</v>
      </c>
    </row>
    <row r="1936">
      <c r="B1936" s="39" t="inlineStr">
        <is>
          <t>IPAC_NAN</t>
        </is>
      </c>
      <c r="C1936" s="40" t="inlineStr">
        <is>
          <t>BAC_CCE</t>
        </is>
      </c>
      <c r="D1936" s="40" t="inlineStr">
        <is>
          <t>B3</t>
        </is>
      </c>
      <c r="E1936" s="40" t="inlineStr">
        <is>
          <t>ALT</t>
        </is>
      </c>
      <c r="F1936" s="40" t="inlineStr">
        <is>
          <t>DRV_PASS</t>
        </is>
      </c>
      <c r="G1936" s="39" t="inlineStr">
        <is>
          <t>Taux de passage (réinscription)</t>
        </is>
      </c>
      <c r="H1936" s="40" t="inlineStr">
        <is>
          <t>TECHNIQUE</t>
        </is>
      </c>
      <c r="I1936" s="41" t="inlineStr">
        <is>
          <t>2025FCST_V4</t>
        </is>
      </c>
      <c r="J1936" s="41" t="n">
        <v>2025</v>
      </c>
      <c r="K1936" s="41" t="inlineStr">
        <is>
          <t>PCT</t>
        </is>
      </c>
      <c r="L1936" s="44" t="n">
        <v>0.95</v>
      </c>
    </row>
    <row r="1937">
      <c r="B1937" s="39" t="inlineStr">
        <is>
          <t>IPAC_NAN</t>
        </is>
      </c>
      <c r="C1937" s="40" t="inlineStr">
        <is>
          <t>BAC_CCE</t>
        </is>
      </c>
      <c r="D1937" s="40" t="inlineStr">
        <is>
          <t>B3</t>
        </is>
      </c>
      <c r="E1937" s="40" t="inlineStr">
        <is>
          <t>ALT</t>
        </is>
      </c>
      <c r="F1937" s="40" t="inlineStr">
        <is>
          <t>PRX_TARIF</t>
        </is>
      </c>
      <c r="G1937" s="39" t="inlineStr">
        <is>
          <t>Tarif moyen scolarité</t>
        </is>
      </c>
      <c r="H1937" s="40" t="inlineStr">
        <is>
          <t>TECHNIQUE</t>
        </is>
      </c>
      <c r="I1937" s="41" t="inlineStr">
        <is>
          <t>2023ACT_VDEF</t>
        </is>
      </c>
      <c r="J1937" s="41" t="n">
        <v>2023</v>
      </c>
      <c r="K1937" s="41" t="inlineStr">
        <is>
          <t>EUR</t>
        </is>
      </c>
      <c r="L1937" s="42" t="n">
        <v>8000</v>
      </c>
    </row>
    <row r="1938">
      <c r="B1938" s="39" t="inlineStr">
        <is>
          <t>IPAC_NAN</t>
        </is>
      </c>
      <c r="C1938" s="40" t="inlineStr">
        <is>
          <t>BAC_CCE</t>
        </is>
      </c>
      <c r="D1938" s="40" t="inlineStr">
        <is>
          <t>B3</t>
        </is>
      </c>
      <c r="E1938" s="40" t="inlineStr">
        <is>
          <t>ALT</t>
        </is>
      </c>
      <c r="F1938" s="40" t="inlineStr">
        <is>
          <t>PRX_TARIF</t>
        </is>
      </c>
      <c r="G1938" s="39" t="inlineStr">
        <is>
          <t>Tarif moyen scolarité</t>
        </is>
      </c>
      <c r="H1938" s="40" t="inlineStr">
        <is>
          <t>TECHNIQUE</t>
        </is>
      </c>
      <c r="I1938" s="41" t="inlineStr">
        <is>
          <t>2024ACT_VDEF</t>
        </is>
      </c>
      <c r="J1938" s="41" t="n">
        <v>2024</v>
      </c>
      <c r="K1938" s="41" t="inlineStr">
        <is>
          <t>EUR</t>
        </is>
      </c>
      <c r="L1938" s="42" t="n">
        <v>8000</v>
      </c>
    </row>
    <row r="1939">
      <c r="B1939" s="39" t="inlineStr">
        <is>
          <t>IPAC_NAN</t>
        </is>
      </c>
      <c r="C1939" s="40" t="inlineStr">
        <is>
          <t>BAC_CCE</t>
        </is>
      </c>
      <c r="D1939" s="40" t="inlineStr">
        <is>
          <t>B3</t>
        </is>
      </c>
      <c r="E1939" s="40" t="inlineStr">
        <is>
          <t>ALT</t>
        </is>
      </c>
      <c r="F1939" s="40" t="inlineStr">
        <is>
          <t>PRX_TARIF</t>
        </is>
      </c>
      <c r="G1939" s="39" t="inlineStr">
        <is>
          <t>Tarif moyen scolarité</t>
        </is>
      </c>
      <c r="H1939" s="40" t="inlineStr">
        <is>
          <t>TECHNIQUE</t>
        </is>
      </c>
      <c r="I1939" s="41" t="inlineStr">
        <is>
          <t>2025FCST_V4</t>
        </is>
      </c>
      <c r="J1939" s="41" t="n">
        <v>2025</v>
      </c>
      <c r="K1939" s="41" t="inlineStr">
        <is>
          <t>EUR</t>
        </is>
      </c>
      <c r="L1939" s="42" t="n">
        <v>8000</v>
      </c>
    </row>
    <row r="1940">
      <c r="B1940" s="39" t="inlineStr">
        <is>
          <t>IPAC_REN</t>
        </is>
      </c>
      <c r="C1940" s="40" t="inlineStr">
        <is>
          <t>BAC_CCE</t>
        </is>
      </c>
      <c r="D1940" s="40" t="inlineStr">
        <is>
          <t>B1</t>
        </is>
      </c>
      <c r="E1940" s="40" t="inlineStr">
        <is>
          <t>ALT</t>
        </is>
      </c>
      <c r="F1940" s="40" t="inlineStr">
        <is>
          <t>706100</t>
        </is>
      </c>
      <c r="G1940" s="39" t="inlineStr">
        <is>
          <t>Droits de scolarité</t>
        </is>
      </c>
      <c r="H1940" s="40" t="inlineStr">
        <is>
          <t>COMPTABLE</t>
        </is>
      </c>
      <c r="I1940" s="41" t="inlineStr">
        <is>
          <t>2023ACT_VDEF</t>
        </is>
      </c>
      <c r="J1940" s="41" t="n">
        <v>2023</v>
      </c>
      <c r="K1940" s="41" t="inlineStr">
        <is>
          <t>EUR</t>
        </is>
      </c>
      <c r="L1940" s="42" t="n">
        <v>288000</v>
      </c>
    </row>
    <row r="1941">
      <c r="B1941" s="39" t="inlineStr">
        <is>
          <t>IPAC_REN</t>
        </is>
      </c>
      <c r="C1941" s="40" t="inlineStr">
        <is>
          <t>BAC_CCE</t>
        </is>
      </c>
      <c r="D1941" s="40" t="inlineStr">
        <is>
          <t>B1</t>
        </is>
      </c>
      <c r="E1941" s="40" t="inlineStr">
        <is>
          <t>ALT</t>
        </is>
      </c>
      <c r="F1941" s="40" t="inlineStr">
        <is>
          <t>706100</t>
        </is>
      </c>
      <c r="G1941" s="39" t="inlineStr">
        <is>
          <t>Droits de scolarité</t>
        </is>
      </c>
      <c r="H1941" s="40" t="inlineStr">
        <is>
          <t>COMPTABLE</t>
        </is>
      </c>
      <c r="I1941" s="41" t="inlineStr">
        <is>
          <t>2024ACT_VDEF</t>
        </is>
      </c>
      <c r="J1941" s="41" t="n">
        <v>2024</v>
      </c>
      <c r="K1941" s="41" t="inlineStr">
        <is>
          <t>EUR</t>
        </is>
      </c>
      <c r="L1941" s="42" t="n">
        <v>304000</v>
      </c>
    </row>
    <row r="1942">
      <c r="B1942" s="39" t="inlineStr">
        <is>
          <t>IPAC_REN</t>
        </is>
      </c>
      <c r="C1942" s="40" t="inlineStr">
        <is>
          <t>BAC_CCE</t>
        </is>
      </c>
      <c r="D1942" s="40" t="inlineStr">
        <is>
          <t>B1</t>
        </is>
      </c>
      <c r="E1942" s="40" t="inlineStr">
        <is>
          <t>ALT</t>
        </is>
      </c>
      <c r="F1942" s="40" t="inlineStr">
        <is>
          <t>706100</t>
        </is>
      </c>
      <c r="G1942" s="39" t="inlineStr">
        <is>
          <t>Droits de scolarité</t>
        </is>
      </c>
      <c r="H1942" s="40" t="inlineStr">
        <is>
          <t>COMPTABLE</t>
        </is>
      </c>
      <c r="I1942" s="41" t="inlineStr">
        <is>
          <t>2025FCST_V4</t>
        </is>
      </c>
      <c r="J1942" s="41" t="n">
        <v>2025</v>
      </c>
      <c r="K1942" s="41" t="inlineStr">
        <is>
          <t>EUR</t>
        </is>
      </c>
      <c r="L1942" s="42" t="n">
        <v>320000</v>
      </c>
    </row>
    <row r="1943">
      <c r="B1943" s="39" t="inlineStr">
        <is>
          <t>IPAC_REN</t>
        </is>
      </c>
      <c r="C1943" s="40" t="inlineStr">
        <is>
          <t>BAC_CCE</t>
        </is>
      </c>
      <c r="D1943" s="40" t="inlineStr">
        <is>
          <t>B1</t>
        </is>
      </c>
      <c r="E1943" s="40" t="inlineStr">
        <is>
          <t>ALT</t>
        </is>
      </c>
      <c r="F1943" s="40" t="inlineStr">
        <is>
          <t>708500</t>
        </is>
      </c>
      <c r="G1943" s="39" t="inlineStr">
        <is>
          <t>Frais de dossier / inscription</t>
        </is>
      </c>
      <c r="H1943" s="40" t="inlineStr">
        <is>
          <t>COMPTABLE</t>
        </is>
      </c>
      <c r="I1943" s="41" t="inlineStr">
        <is>
          <t>2023ACT_VDEF</t>
        </is>
      </c>
      <c r="J1943" s="41" t="n">
        <v>2023</v>
      </c>
      <c r="K1943" s="41" t="inlineStr">
        <is>
          <t>EUR</t>
        </is>
      </c>
      <c r="L1943" s="42" t="n">
        <v>3240</v>
      </c>
    </row>
    <row r="1944">
      <c r="B1944" s="39" t="inlineStr">
        <is>
          <t>IPAC_REN</t>
        </is>
      </c>
      <c r="C1944" s="40" t="inlineStr">
        <is>
          <t>BAC_CCE</t>
        </is>
      </c>
      <c r="D1944" s="40" t="inlineStr">
        <is>
          <t>B1</t>
        </is>
      </c>
      <c r="E1944" s="40" t="inlineStr">
        <is>
          <t>ALT</t>
        </is>
      </c>
      <c r="F1944" s="40" t="inlineStr">
        <is>
          <t>708500</t>
        </is>
      </c>
      <c r="G1944" s="39" t="inlineStr">
        <is>
          <t>Frais de dossier / inscription</t>
        </is>
      </c>
      <c r="H1944" s="40" t="inlineStr">
        <is>
          <t>COMPTABLE</t>
        </is>
      </c>
      <c r="I1944" s="41" t="inlineStr">
        <is>
          <t>2024ACT_VDEF</t>
        </is>
      </c>
      <c r="J1944" s="41" t="n">
        <v>2024</v>
      </c>
      <c r="K1944" s="41" t="inlineStr">
        <is>
          <t>EUR</t>
        </is>
      </c>
      <c r="L1944" s="42" t="n">
        <v>3420</v>
      </c>
    </row>
    <row r="1945">
      <c r="B1945" s="39" t="inlineStr">
        <is>
          <t>IPAC_REN</t>
        </is>
      </c>
      <c r="C1945" s="40" t="inlineStr">
        <is>
          <t>BAC_CCE</t>
        </is>
      </c>
      <c r="D1945" s="40" t="inlineStr">
        <is>
          <t>B1</t>
        </is>
      </c>
      <c r="E1945" s="40" t="inlineStr">
        <is>
          <t>ALT</t>
        </is>
      </c>
      <c r="F1945" s="40" t="inlineStr">
        <is>
          <t>708500</t>
        </is>
      </c>
      <c r="G1945" s="39" t="inlineStr">
        <is>
          <t>Frais de dossier / inscription</t>
        </is>
      </c>
      <c r="H1945" s="40" t="inlineStr">
        <is>
          <t>COMPTABLE</t>
        </is>
      </c>
      <c r="I1945" s="41" t="inlineStr">
        <is>
          <t>2025FCST_V4</t>
        </is>
      </c>
      <c r="J1945" s="41" t="n">
        <v>2025</v>
      </c>
      <c r="K1945" s="41" t="inlineStr">
        <is>
          <t>EUR</t>
        </is>
      </c>
      <c r="L1945" s="42" t="n">
        <v>3600</v>
      </c>
    </row>
    <row r="1946">
      <c r="B1946" s="39" t="inlineStr">
        <is>
          <t>IPAC_REN</t>
        </is>
      </c>
      <c r="C1946" s="40" t="inlineStr">
        <is>
          <t>BAC_CCE</t>
        </is>
      </c>
      <c r="D1946" s="40" t="inlineStr">
        <is>
          <t>B1</t>
        </is>
      </c>
      <c r="E1946" s="40" t="inlineStr">
        <is>
          <t>ALT</t>
        </is>
      </c>
      <c r="F1946" s="40" t="inlineStr">
        <is>
          <t>604100</t>
        </is>
      </c>
      <c r="G1946" s="39" t="inlineStr">
        <is>
          <t>Vacations &amp; sous-traitance pédagogique</t>
        </is>
      </c>
      <c r="H1946" s="40" t="inlineStr">
        <is>
          <t>COMPTABLE</t>
        </is>
      </c>
      <c r="I1946" s="41" t="inlineStr">
        <is>
          <t>2023ACT_VDEF</t>
        </is>
      </c>
      <c r="J1946" s="41" t="n">
        <v>2023</v>
      </c>
      <c r="K1946" s="41" t="inlineStr">
        <is>
          <t>EUR</t>
        </is>
      </c>
      <c r="L1946" s="42" t="n">
        <v>62640</v>
      </c>
    </row>
    <row r="1947">
      <c r="B1947" s="39" t="inlineStr">
        <is>
          <t>IPAC_REN</t>
        </is>
      </c>
      <c r="C1947" s="40" t="inlineStr">
        <is>
          <t>BAC_CCE</t>
        </is>
      </c>
      <c r="D1947" s="40" t="inlineStr">
        <is>
          <t>B1</t>
        </is>
      </c>
      <c r="E1947" s="40" t="inlineStr">
        <is>
          <t>ALT</t>
        </is>
      </c>
      <c r="F1947" s="40" t="inlineStr">
        <is>
          <t>604100</t>
        </is>
      </c>
      <c r="G1947" s="39" t="inlineStr">
        <is>
          <t>Vacations &amp; sous-traitance pédagogique</t>
        </is>
      </c>
      <c r="H1947" s="40" t="inlineStr">
        <is>
          <t>COMPTABLE</t>
        </is>
      </c>
      <c r="I1947" s="41" t="inlineStr">
        <is>
          <t>2024ACT_VDEF</t>
        </is>
      </c>
      <c r="J1947" s="41" t="n">
        <v>2024</v>
      </c>
      <c r="K1947" s="41" t="inlineStr">
        <is>
          <t>EUR</t>
        </is>
      </c>
      <c r="L1947" s="42" t="n">
        <v>66120</v>
      </c>
    </row>
    <row r="1948">
      <c r="B1948" s="39" t="inlineStr">
        <is>
          <t>IPAC_REN</t>
        </is>
      </c>
      <c r="C1948" s="40" t="inlineStr">
        <is>
          <t>BAC_CCE</t>
        </is>
      </c>
      <c r="D1948" s="40" t="inlineStr">
        <is>
          <t>B1</t>
        </is>
      </c>
      <c r="E1948" s="40" t="inlineStr">
        <is>
          <t>ALT</t>
        </is>
      </c>
      <c r="F1948" s="40" t="inlineStr">
        <is>
          <t>604100</t>
        </is>
      </c>
      <c r="G1948" s="39" t="inlineStr">
        <is>
          <t>Vacations &amp; sous-traitance pédagogique</t>
        </is>
      </c>
      <c r="H1948" s="40" t="inlineStr">
        <is>
          <t>COMPTABLE</t>
        </is>
      </c>
      <c r="I1948" s="41" t="inlineStr">
        <is>
          <t>2025FCST_V4</t>
        </is>
      </c>
      <c r="J1948" s="41" t="n">
        <v>2025</v>
      </c>
      <c r="K1948" s="41" t="inlineStr">
        <is>
          <t>EUR</t>
        </is>
      </c>
      <c r="L1948" s="42" t="n">
        <v>69600</v>
      </c>
    </row>
    <row r="1949">
      <c r="B1949" s="39" t="inlineStr">
        <is>
          <t>IPAC_REN</t>
        </is>
      </c>
      <c r="C1949" s="40" t="inlineStr">
        <is>
          <t>BAC_CCE</t>
        </is>
      </c>
      <c r="D1949" s="40" t="inlineStr">
        <is>
          <t>B1</t>
        </is>
      </c>
      <c r="E1949" s="40" t="inlineStr">
        <is>
          <t>ALT</t>
        </is>
      </c>
      <c r="F1949" s="40" t="inlineStr">
        <is>
          <t>606300</t>
        </is>
      </c>
      <c r="G1949" s="39" t="inlineStr">
        <is>
          <t>Fournitures &amp; ressources pédagogiques</t>
        </is>
      </c>
      <c r="H1949" s="40" t="inlineStr">
        <is>
          <t>COMPTABLE</t>
        </is>
      </c>
      <c r="I1949" s="41" t="inlineStr">
        <is>
          <t>2023ACT_VDEF</t>
        </is>
      </c>
      <c r="J1949" s="41" t="n">
        <v>2023</v>
      </c>
      <c r="K1949" s="41" t="inlineStr">
        <is>
          <t>EUR</t>
        </is>
      </c>
      <c r="L1949" s="42" t="n">
        <v>13680</v>
      </c>
    </row>
    <row r="1950">
      <c r="B1950" s="39" t="inlineStr">
        <is>
          <t>IPAC_REN</t>
        </is>
      </c>
      <c r="C1950" s="40" t="inlineStr">
        <is>
          <t>BAC_CCE</t>
        </is>
      </c>
      <c r="D1950" s="40" t="inlineStr">
        <is>
          <t>B1</t>
        </is>
      </c>
      <c r="E1950" s="40" t="inlineStr">
        <is>
          <t>ALT</t>
        </is>
      </c>
      <c r="F1950" s="40" t="inlineStr">
        <is>
          <t>606300</t>
        </is>
      </c>
      <c r="G1950" s="39" t="inlineStr">
        <is>
          <t>Fournitures &amp; ressources pédagogiques</t>
        </is>
      </c>
      <c r="H1950" s="40" t="inlineStr">
        <is>
          <t>COMPTABLE</t>
        </is>
      </c>
      <c r="I1950" s="41" t="inlineStr">
        <is>
          <t>2024ACT_VDEF</t>
        </is>
      </c>
      <c r="J1950" s="41" t="n">
        <v>2024</v>
      </c>
      <c r="K1950" s="41" t="inlineStr">
        <is>
          <t>EUR</t>
        </is>
      </c>
      <c r="L1950" s="42" t="n">
        <v>14440</v>
      </c>
    </row>
    <row r="1951">
      <c r="B1951" s="39" t="inlineStr">
        <is>
          <t>IPAC_REN</t>
        </is>
      </c>
      <c r="C1951" s="40" t="inlineStr">
        <is>
          <t>BAC_CCE</t>
        </is>
      </c>
      <c r="D1951" s="40" t="inlineStr">
        <is>
          <t>B1</t>
        </is>
      </c>
      <c r="E1951" s="40" t="inlineStr">
        <is>
          <t>ALT</t>
        </is>
      </c>
      <c r="F1951" s="40" t="inlineStr">
        <is>
          <t>606300</t>
        </is>
      </c>
      <c r="G1951" s="39" t="inlineStr">
        <is>
          <t>Fournitures &amp; ressources pédagogiques</t>
        </is>
      </c>
      <c r="H1951" s="40" t="inlineStr">
        <is>
          <t>COMPTABLE</t>
        </is>
      </c>
      <c r="I1951" s="41" t="inlineStr">
        <is>
          <t>2025FCST_V4</t>
        </is>
      </c>
      <c r="J1951" s="41" t="n">
        <v>2025</v>
      </c>
      <c r="K1951" s="41" t="inlineStr">
        <is>
          <t>EUR</t>
        </is>
      </c>
      <c r="L1951" s="42" t="n">
        <v>15200</v>
      </c>
    </row>
    <row r="1952">
      <c r="B1952" s="39" t="inlineStr">
        <is>
          <t>IPAC_REN</t>
        </is>
      </c>
      <c r="C1952" s="40" t="inlineStr">
        <is>
          <t>BAC_CCE</t>
        </is>
      </c>
      <c r="D1952" s="40" t="inlineStr">
        <is>
          <t>B1</t>
        </is>
      </c>
      <c r="E1952" s="40" t="inlineStr">
        <is>
          <t>ALT</t>
        </is>
      </c>
      <c r="F1952" s="40" t="inlineStr">
        <is>
          <t>623000</t>
        </is>
      </c>
      <c r="G1952" s="39" t="inlineStr">
        <is>
          <t>Publicité &amp; marketing (acquisition)</t>
        </is>
      </c>
      <c r="H1952" s="40" t="inlineStr">
        <is>
          <t>COMPTABLE</t>
        </is>
      </c>
      <c r="I1952" s="41" t="inlineStr">
        <is>
          <t>2023ACT_VDEF</t>
        </is>
      </c>
      <c r="J1952" s="41" t="n">
        <v>2023</v>
      </c>
      <c r="K1952" s="41" t="inlineStr">
        <is>
          <t>EUR</t>
        </is>
      </c>
      <c r="L1952" s="42" t="n">
        <v>11520</v>
      </c>
    </row>
    <row r="1953">
      <c r="B1953" s="39" t="inlineStr">
        <is>
          <t>IPAC_REN</t>
        </is>
      </c>
      <c r="C1953" s="40" t="inlineStr">
        <is>
          <t>BAC_CCE</t>
        </is>
      </c>
      <c r="D1953" s="40" t="inlineStr">
        <is>
          <t>B1</t>
        </is>
      </c>
      <c r="E1953" s="40" t="inlineStr">
        <is>
          <t>ALT</t>
        </is>
      </c>
      <c r="F1953" s="40" t="inlineStr">
        <is>
          <t>623000</t>
        </is>
      </c>
      <c r="G1953" s="39" t="inlineStr">
        <is>
          <t>Publicité &amp; marketing (acquisition)</t>
        </is>
      </c>
      <c r="H1953" s="40" t="inlineStr">
        <is>
          <t>COMPTABLE</t>
        </is>
      </c>
      <c r="I1953" s="41" t="inlineStr">
        <is>
          <t>2024ACT_VDEF</t>
        </is>
      </c>
      <c r="J1953" s="41" t="n">
        <v>2024</v>
      </c>
      <c r="K1953" s="41" t="inlineStr">
        <is>
          <t>EUR</t>
        </is>
      </c>
      <c r="L1953" s="42" t="n">
        <v>12160</v>
      </c>
    </row>
    <row r="1954">
      <c r="B1954" s="39" t="inlineStr">
        <is>
          <t>IPAC_REN</t>
        </is>
      </c>
      <c r="C1954" s="40" t="inlineStr">
        <is>
          <t>BAC_CCE</t>
        </is>
      </c>
      <c r="D1954" s="40" t="inlineStr">
        <is>
          <t>B1</t>
        </is>
      </c>
      <c r="E1954" s="40" t="inlineStr">
        <is>
          <t>ALT</t>
        </is>
      </c>
      <c r="F1954" s="40" t="inlineStr">
        <is>
          <t>623000</t>
        </is>
      </c>
      <c r="G1954" s="39" t="inlineStr">
        <is>
          <t>Publicité &amp; marketing (acquisition)</t>
        </is>
      </c>
      <c r="H1954" s="40" t="inlineStr">
        <is>
          <t>COMPTABLE</t>
        </is>
      </c>
      <c r="I1954" s="41" t="inlineStr">
        <is>
          <t>2025FCST_V4</t>
        </is>
      </c>
      <c r="J1954" s="41" t="n">
        <v>2025</v>
      </c>
      <c r="K1954" s="41" t="inlineStr">
        <is>
          <t>EUR</t>
        </is>
      </c>
      <c r="L1954" s="42" t="n">
        <v>12800</v>
      </c>
    </row>
    <row r="1955">
      <c r="B1955" s="39" t="inlineStr">
        <is>
          <t>IPAC_REN</t>
        </is>
      </c>
      <c r="C1955" s="40" t="inlineStr">
        <is>
          <t>BAC_CCE</t>
        </is>
      </c>
      <c r="D1955" s="40" t="inlineStr">
        <is>
          <t>B1</t>
        </is>
      </c>
      <c r="E1955" s="40" t="inlineStr">
        <is>
          <t>ALT</t>
        </is>
      </c>
      <c r="F1955" s="40" t="inlineStr">
        <is>
          <t>613200</t>
        </is>
      </c>
      <c r="G1955" s="39" t="inlineStr">
        <is>
          <t>Locations immobilières (loyers)</t>
        </is>
      </c>
      <c r="H1955" s="40" t="inlineStr">
        <is>
          <t>COMPTABLE</t>
        </is>
      </c>
      <c r="I1955" s="41" t="inlineStr">
        <is>
          <t>2023ACT_VDEF</t>
        </is>
      </c>
      <c r="J1955" s="41" t="n">
        <v>2023</v>
      </c>
      <c r="K1955" s="41" t="inlineStr">
        <is>
          <t>EUR</t>
        </is>
      </c>
      <c r="L1955" s="42" t="n">
        <v>33120</v>
      </c>
    </row>
    <row r="1956">
      <c r="B1956" s="39" t="inlineStr">
        <is>
          <t>IPAC_REN</t>
        </is>
      </c>
      <c r="C1956" s="40" t="inlineStr">
        <is>
          <t>BAC_CCE</t>
        </is>
      </c>
      <c r="D1956" s="40" t="inlineStr">
        <is>
          <t>B1</t>
        </is>
      </c>
      <c r="E1956" s="40" t="inlineStr">
        <is>
          <t>ALT</t>
        </is>
      </c>
      <c r="F1956" s="40" t="inlineStr">
        <is>
          <t>613200</t>
        </is>
      </c>
      <c r="G1956" s="39" t="inlineStr">
        <is>
          <t>Locations immobilières (loyers)</t>
        </is>
      </c>
      <c r="H1956" s="40" t="inlineStr">
        <is>
          <t>COMPTABLE</t>
        </is>
      </c>
      <c r="I1956" s="41" t="inlineStr">
        <is>
          <t>2024ACT_VDEF</t>
        </is>
      </c>
      <c r="J1956" s="41" t="n">
        <v>2024</v>
      </c>
      <c r="K1956" s="41" t="inlineStr">
        <is>
          <t>EUR</t>
        </is>
      </c>
      <c r="L1956" s="42" t="n">
        <v>34960</v>
      </c>
    </row>
    <row r="1957">
      <c r="B1957" s="39" t="inlineStr">
        <is>
          <t>IPAC_REN</t>
        </is>
      </c>
      <c r="C1957" s="40" t="inlineStr">
        <is>
          <t>BAC_CCE</t>
        </is>
      </c>
      <c r="D1957" s="40" t="inlineStr">
        <is>
          <t>B1</t>
        </is>
      </c>
      <c r="E1957" s="40" t="inlineStr">
        <is>
          <t>ALT</t>
        </is>
      </c>
      <c r="F1957" s="40" t="inlineStr">
        <is>
          <t>613200</t>
        </is>
      </c>
      <c r="G1957" s="39" t="inlineStr">
        <is>
          <t>Locations immobilières (loyers)</t>
        </is>
      </c>
      <c r="H1957" s="40" t="inlineStr">
        <is>
          <t>COMPTABLE</t>
        </is>
      </c>
      <c r="I1957" s="41" t="inlineStr">
        <is>
          <t>2025FCST_V4</t>
        </is>
      </c>
      <c r="J1957" s="41" t="n">
        <v>2025</v>
      </c>
      <c r="K1957" s="41" t="inlineStr">
        <is>
          <t>EUR</t>
        </is>
      </c>
      <c r="L1957" s="42" t="n">
        <v>36800</v>
      </c>
    </row>
    <row r="1958">
      <c r="B1958" s="39" t="inlineStr">
        <is>
          <t>IPAC_REN</t>
        </is>
      </c>
      <c r="C1958" s="40" t="inlineStr">
        <is>
          <t>BAC_CCE</t>
        </is>
      </c>
      <c r="D1958" s="40" t="inlineStr">
        <is>
          <t>B1</t>
        </is>
      </c>
      <c r="E1958" s="40" t="inlineStr">
        <is>
          <t>ALT</t>
        </is>
      </c>
      <c r="F1958" s="40" t="inlineStr">
        <is>
          <t>641100</t>
        </is>
      </c>
      <c r="G1958" s="39" t="inlineStr">
        <is>
          <t>Rémunérations du personnel permanent</t>
        </is>
      </c>
      <c r="H1958" s="40" t="inlineStr">
        <is>
          <t>COMPTABLE</t>
        </is>
      </c>
      <c r="I1958" s="41" t="inlineStr">
        <is>
          <t>2023ACT_VDEF</t>
        </is>
      </c>
      <c r="J1958" s="41" t="n">
        <v>2023</v>
      </c>
      <c r="K1958" s="41" t="inlineStr">
        <is>
          <t>EUR</t>
        </is>
      </c>
      <c r="L1958" s="42" t="n">
        <v>83520</v>
      </c>
    </row>
    <row r="1959">
      <c r="B1959" s="39" t="inlineStr">
        <is>
          <t>IPAC_REN</t>
        </is>
      </c>
      <c r="C1959" s="40" t="inlineStr">
        <is>
          <t>BAC_CCE</t>
        </is>
      </c>
      <c r="D1959" s="40" t="inlineStr">
        <is>
          <t>B1</t>
        </is>
      </c>
      <c r="E1959" s="40" t="inlineStr">
        <is>
          <t>ALT</t>
        </is>
      </c>
      <c r="F1959" s="40" t="inlineStr">
        <is>
          <t>641100</t>
        </is>
      </c>
      <c r="G1959" s="39" t="inlineStr">
        <is>
          <t>Rémunérations du personnel permanent</t>
        </is>
      </c>
      <c r="H1959" s="40" t="inlineStr">
        <is>
          <t>COMPTABLE</t>
        </is>
      </c>
      <c r="I1959" s="41" t="inlineStr">
        <is>
          <t>2024ACT_VDEF</t>
        </is>
      </c>
      <c r="J1959" s="41" t="n">
        <v>2024</v>
      </c>
      <c r="K1959" s="41" t="inlineStr">
        <is>
          <t>EUR</t>
        </is>
      </c>
      <c r="L1959" s="42" t="n">
        <v>88160</v>
      </c>
    </row>
    <row r="1960">
      <c r="B1960" s="39" t="inlineStr">
        <is>
          <t>IPAC_REN</t>
        </is>
      </c>
      <c r="C1960" s="40" t="inlineStr">
        <is>
          <t>BAC_CCE</t>
        </is>
      </c>
      <c r="D1960" s="40" t="inlineStr">
        <is>
          <t>B1</t>
        </is>
      </c>
      <c r="E1960" s="40" t="inlineStr">
        <is>
          <t>ALT</t>
        </is>
      </c>
      <c r="F1960" s="40" t="inlineStr">
        <is>
          <t>641100</t>
        </is>
      </c>
      <c r="G1960" s="39" t="inlineStr">
        <is>
          <t>Rémunérations du personnel permanent</t>
        </is>
      </c>
      <c r="H1960" s="40" t="inlineStr">
        <is>
          <t>COMPTABLE</t>
        </is>
      </c>
      <c r="I1960" s="41" t="inlineStr">
        <is>
          <t>2025FCST_V4</t>
        </is>
      </c>
      <c r="J1960" s="41" t="n">
        <v>2025</v>
      </c>
      <c r="K1960" s="41" t="inlineStr">
        <is>
          <t>EUR</t>
        </is>
      </c>
      <c r="L1960" s="42" t="n">
        <v>92800</v>
      </c>
    </row>
    <row r="1961">
      <c r="B1961" s="39" t="inlineStr">
        <is>
          <t>IPAC_REN</t>
        </is>
      </c>
      <c r="C1961" s="40" t="inlineStr">
        <is>
          <t>BAC_CCE</t>
        </is>
      </c>
      <c r="D1961" s="40" t="inlineStr">
        <is>
          <t>B1</t>
        </is>
      </c>
      <c r="E1961" s="40" t="inlineStr">
        <is>
          <t>ALT</t>
        </is>
      </c>
      <c r="F1961" s="40" t="inlineStr">
        <is>
          <t>622600</t>
        </is>
      </c>
      <c r="G1961" s="39" t="inlineStr">
        <is>
          <t>Honoraires &amp; frais de siège (structure groupe)</t>
        </is>
      </c>
      <c r="H1961" s="40" t="inlineStr">
        <is>
          <t>COMPTABLE</t>
        </is>
      </c>
      <c r="I1961" s="41" t="inlineStr">
        <is>
          <t>2023ACT_VDEF</t>
        </is>
      </c>
      <c r="J1961" s="41" t="n">
        <v>2023</v>
      </c>
      <c r="K1961" s="41" t="inlineStr">
        <is>
          <t>EUR</t>
        </is>
      </c>
      <c r="L1961" s="42" t="n">
        <v>30101</v>
      </c>
    </row>
    <row r="1962">
      <c r="B1962" s="39" t="inlineStr">
        <is>
          <t>IPAC_REN</t>
        </is>
      </c>
      <c r="C1962" s="40" t="inlineStr">
        <is>
          <t>BAC_CCE</t>
        </is>
      </c>
      <c r="D1962" s="40" t="inlineStr">
        <is>
          <t>B1</t>
        </is>
      </c>
      <c r="E1962" s="40" t="inlineStr">
        <is>
          <t>ALT</t>
        </is>
      </c>
      <c r="F1962" s="40" t="inlineStr">
        <is>
          <t>622600</t>
        </is>
      </c>
      <c r="G1962" s="39" t="inlineStr">
        <is>
          <t>Honoraires &amp; frais de siège (structure groupe)</t>
        </is>
      </c>
      <c r="H1962" s="40" t="inlineStr">
        <is>
          <t>COMPTABLE</t>
        </is>
      </c>
      <c r="I1962" s="41" t="inlineStr">
        <is>
          <t>2024ACT_VDEF</t>
        </is>
      </c>
      <c r="J1962" s="41" t="n">
        <v>2024</v>
      </c>
      <c r="K1962" s="41" t="inlineStr">
        <is>
          <t>EUR</t>
        </is>
      </c>
      <c r="L1962" s="42" t="n">
        <v>31774</v>
      </c>
    </row>
    <row r="1963">
      <c r="B1963" s="39" t="inlineStr">
        <is>
          <t>IPAC_REN</t>
        </is>
      </c>
      <c r="C1963" s="40" t="inlineStr">
        <is>
          <t>BAC_CCE</t>
        </is>
      </c>
      <c r="D1963" s="40" t="inlineStr">
        <is>
          <t>B1</t>
        </is>
      </c>
      <c r="E1963" s="40" t="inlineStr">
        <is>
          <t>ALT</t>
        </is>
      </c>
      <c r="F1963" s="40" t="inlineStr">
        <is>
          <t>622600</t>
        </is>
      </c>
      <c r="G1963" s="39" t="inlineStr">
        <is>
          <t>Honoraires &amp; frais de siège (structure groupe)</t>
        </is>
      </c>
      <c r="H1963" s="40" t="inlineStr">
        <is>
          <t>COMPTABLE</t>
        </is>
      </c>
      <c r="I1963" s="41" t="inlineStr">
        <is>
          <t>2025FCST_V4</t>
        </is>
      </c>
      <c r="J1963" s="41" t="n">
        <v>2025</v>
      </c>
      <c r="K1963" s="41" t="inlineStr">
        <is>
          <t>EUR</t>
        </is>
      </c>
      <c r="L1963" s="42" t="n">
        <v>33446</v>
      </c>
    </row>
    <row r="1964">
      <c r="B1964" s="39" t="inlineStr">
        <is>
          <t>IPAC_REN</t>
        </is>
      </c>
      <c r="C1964" s="40" t="inlineStr">
        <is>
          <t>BAC_CCE</t>
        </is>
      </c>
      <c r="D1964" s="40" t="inlineStr">
        <is>
          <t>B1</t>
        </is>
      </c>
      <c r="E1964" s="40" t="inlineStr">
        <is>
          <t>ALT</t>
        </is>
      </c>
      <c r="F1964" s="40" t="inlineStr">
        <is>
          <t>606800</t>
        </is>
      </c>
      <c r="G1964" s="39" t="inlineStr">
        <is>
          <t>Autres achats &amp; charges externes</t>
        </is>
      </c>
      <c r="H1964" s="40" t="inlineStr">
        <is>
          <t>COMPTABLE</t>
        </is>
      </c>
      <c r="I1964" s="41" t="inlineStr">
        <is>
          <t>2023ACT_VDEF</t>
        </is>
      </c>
      <c r="J1964" s="41" t="n">
        <v>2023</v>
      </c>
      <c r="K1964" s="41" t="inlineStr">
        <is>
          <t>EUR</t>
        </is>
      </c>
      <c r="L1964" s="42" t="n">
        <v>33624</v>
      </c>
    </row>
    <row r="1965">
      <c r="B1965" s="39" t="inlineStr">
        <is>
          <t>IPAC_REN</t>
        </is>
      </c>
      <c r="C1965" s="40" t="inlineStr">
        <is>
          <t>BAC_CCE</t>
        </is>
      </c>
      <c r="D1965" s="40" t="inlineStr">
        <is>
          <t>B1</t>
        </is>
      </c>
      <c r="E1965" s="40" t="inlineStr">
        <is>
          <t>ALT</t>
        </is>
      </c>
      <c r="F1965" s="40" t="inlineStr">
        <is>
          <t>606800</t>
        </is>
      </c>
      <c r="G1965" s="39" t="inlineStr">
        <is>
          <t>Autres achats &amp; charges externes</t>
        </is>
      </c>
      <c r="H1965" s="40" t="inlineStr">
        <is>
          <t>COMPTABLE</t>
        </is>
      </c>
      <c r="I1965" s="41" t="inlineStr">
        <is>
          <t>2024ACT_VDEF</t>
        </is>
      </c>
      <c r="J1965" s="41" t="n">
        <v>2024</v>
      </c>
      <c r="K1965" s="41" t="inlineStr">
        <is>
          <t>EUR</t>
        </is>
      </c>
      <c r="L1965" s="42" t="n">
        <v>35492</v>
      </c>
    </row>
    <row r="1966">
      <c r="B1966" s="39" t="inlineStr">
        <is>
          <t>IPAC_REN</t>
        </is>
      </c>
      <c r="C1966" s="40" t="inlineStr">
        <is>
          <t>BAC_CCE</t>
        </is>
      </c>
      <c r="D1966" s="40" t="inlineStr">
        <is>
          <t>B1</t>
        </is>
      </c>
      <c r="E1966" s="40" t="inlineStr">
        <is>
          <t>ALT</t>
        </is>
      </c>
      <c r="F1966" s="40" t="inlineStr">
        <is>
          <t>606800</t>
        </is>
      </c>
      <c r="G1966" s="39" t="inlineStr">
        <is>
          <t>Autres achats &amp; charges externes</t>
        </is>
      </c>
      <c r="H1966" s="40" t="inlineStr">
        <is>
          <t>COMPTABLE</t>
        </is>
      </c>
      <c r="I1966" s="41" t="inlineStr">
        <is>
          <t>2025FCST_V4</t>
        </is>
      </c>
      <c r="J1966" s="41" t="n">
        <v>2025</v>
      </c>
      <c r="K1966" s="41" t="inlineStr">
        <is>
          <t>EUR</t>
        </is>
      </c>
      <c r="L1966" s="42" t="n">
        <v>37360</v>
      </c>
    </row>
    <row r="1967">
      <c r="B1967" s="39" t="inlineStr">
        <is>
          <t>IPAC_REN</t>
        </is>
      </c>
      <c r="C1967" s="40" t="inlineStr">
        <is>
          <t>BAC_CCE</t>
        </is>
      </c>
      <c r="D1967" s="40" t="inlineStr">
        <is>
          <t>B1</t>
        </is>
      </c>
      <c r="E1967" s="40" t="inlineStr">
        <is>
          <t>ALT</t>
        </is>
      </c>
      <c r="F1967" s="40" t="inlineStr">
        <is>
          <t>681100</t>
        </is>
      </c>
      <c r="G1967" s="39" t="inlineStr">
        <is>
          <t>Dotations aux amortissements</t>
        </is>
      </c>
      <c r="H1967" s="40" t="inlineStr">
        <is>
          <t>COMPTABLE</t>
        </is>
      </c>
      <c r="I1967" s="41" t="inlineStr">
        <is>
          <t>2023ACT_VDEF</t>
        </is>
      </c>
      <c r="J1967" s="41" t="n">
        <v>2023</v>
      </c>
      <c r="K1967" s="41" t="inlineStr">
        <is>
          <t>EUR</t>
        </is>
      </c>
      <c r="L1967" s="42" t="n">
        <v>18000</v>
      </c>
    </row>
    <row r="1968">
      <c r="B1968" s="39" t="inlineStr">
        <is>
          <t>IPAC_REN</t>
        </is>
      </c>
      <c r="C1968" s="40" t="inlineStr">
        <is>
          <t>BAC_CCE</t>
        </is>
      </c>
      <c r="D1968" s="40" t="inlineStr">
        <is>
          <t>B1</t>
        </is>
      </c>
      <c r="E1968" s="40" t="inlineStr">
        <is>
          <t>ALT</t>
        </is>
      </c>
      <c r="F1968" s="40" t="inlineStr">
        <is>
          <t>681100</t>
        </is>
      </c>
      <c r="G1968" s="39" t="inlineStr">
        <is>
          <t>Dotations aux amortissements</t>
        </is>
      </c>
      <c r="H1968" s="40" t="inlineStr">
        <is>
          <t>COMPTABLE</t>
        </is>
      </c>
      <c r="I1968" s="41" t="inlineStr">
        <is>
          <t>2024ACT_VDEF</t>
        </is>
      </c>
      <c r="J1968" s="41" t="n">
        <v>2024</v>
      </c>
      <c r="K1968" s="41" t="inlineStr">
        <is>
          <t>EUR</t>
        </is>
      </c>
      <c r="L1968" s="42" t="n">
        <v>19000</v>
      </c>
    </row>
    <row r="1969">
      <c r="B1969" s="39" t="inlineStr">
        <is>
          <t>IPAC_REN</t>
        </is>
      </c>
      <c r="C1969" s="40" t="inlineStr">
        <is>
          <t>BAC_CCE</t>
        </is>
      </c>
      <c r="D1969" s="40" t="inlineStr">
        <is>
          <t>B1</t>
        </is>
      </c>
      <c r="E1969" s="40" t="inlineStr">
        <is>
          <t>ALT</t>
        </is>
      </c>
      <c r="F1969" s="40" t="inlineStr">
        <is>
          <t>681100</t>
        </is>
      </c>
      <c r="G1969" s="39" t="inlineStr">
        <is>
          <t>Dotations aux amortissements</t>
        </is>
      </c>
      <c r="H1969" s="40" t="inlineStr">
        <is>
          <t>COMPTABLE</t>
        </is>
      </c>
      <c r="I1969" s="41" t="inlineStr">
        <is>
          <t>2025FCST_V4</t>
        </is>
      </c>
      <c r="J1969" s="41" t="n">
        <v>2025</v>
      </c>
      <c r="K1969" s="41" t="inlineStr">
        <is>
          <t>EUR</t>
        </is>
      </c>
      <c r="L1969" s="42" t="n">
        <v>20000</v>
      </c>
    </row>
    <row r="1970">
      <c r="B1970" s="39" t="inlineStr">
        <is>
          <t>IPAC_REN</t>
        </is>
      </c>
      <c r="C1970" s="40" t="inlineStr">
        <is>
          <t>BAC_CCE</t>
        </is>
      </c>
      <c r="D1970" s="40" t="inlineStr">
        <is>
          <t>B1</t>
        </is>
      </c>
      <c r="E1970" s="40" t="inlineStr">
        <is>
          <t>ALT</t>
        </is>
      </c>
      <c r="F1970" s="40" t="inlineStr">
        <is>
          <t>STA_EFF</t>
        </is>
      </c>
      <c r="G1970" s="39" t="inlineStr">
        <is>
          <t>Effectif inscrit</t>
        </is>
      </c>
      <c r="H1970" s="40" t="inlineStr">
        <is>
          <t>TECHNIQUE</t>
        </is>
      </c>
      <c r="I1970" s="41" t="inlineStr">
        <is>
          <t>2023ACT_VDEF</t>
        </is>
      </c>
      <c r="J1970" s="41" t="n">
        <v>2023</v>
      </c>
      <c r="K1970" s="41" t="inlineStr">
        <is>
          <t>NB</t>
        </is>
      </c>
      <c r="L1970" s="43" t="n">
        <v>36</v>
      </c>
    </row>
    <row r="1971">
      <c r="B1971" s="39" t="inlineStr">
        <is>
          <t>IPAC_REN</t>
        </is>
      </c>
      <c r="C1971" s="40" t="inlineStr">
        <is>
          <t>BAC_CCE</t>
        </is>
      </c>
      <c r="D1971" s="40" t="inlineStr">
        <is>
          <t>B1</t>
        </is>
      </c>
      <c r="E1971" s="40" t="inlineStr">
        <is>
          <t>ALT</t>
        </is>
      </c>
      <c r="F1971" s="40" t="inlineStr">
        <is>
          <t>STA_EFF</t>
        </is>
      </c>
      <c r="G1971" s="39" t="inlineStr">
        <is>
          <t>Effectif inscrit</t>
        </is>
      </c>
      <c r="H1971" s="40" t="inlineStr">
        <is>
          <t>TECHNIQUE</t>
        </is>
      </c>
      <c r="I1971" s="41" t="inlineStr">
        <is>
          <t>2024ACT_VDEF</t>
        </is>
      </c>
      <c r="J1971" s="41" t="n">
        <v>2024</v>
      </c>
      <c r="K1971" s="41" t="inlineStr">
        <is>
          <t>NB</t>
        </is>
      </c>
      <c r="L1971" s="43" t="n">
        <v>38</v>
      </c>
    </row>
    <row r="1972">
      <c r="B1972" s="39" t="inlineStr">
        <is>
          <t>IPAC_REN</t>
        </is>
      </c>
      <c r="C1972" s="40" t="inlineStr">
        <is>
          <t>BAC_CCE</t>
        </is>
      </c>
      <c r="D1972" s="40" t="inlineStr">
        <is>
          <t>B1</t>
        </is>
      </c>
      <c r="E1972" s="40" t="inlineStr">
        <is>
          <t>ALT</t>
        </is>
      </c>
      <c r="F1972" s="40" t="inlineStr">
        <is>
          <t>STA_EFF</t>
        </is>
      </c>
      <c r="G1972" s="39" t="inlineStr">
        <is>
          <t>Effectif inscrit</t>
        </is>
      </c>
      <c r="H1972" s="40" t="inlineStr">
        <is>
          <t>TECHNIQUE</t>
        </is>
      </c>
      <c r="I1972" s="41" t="inlineStr">
        <is>
          <t>2025FCST_V4</t>
        </is>
      </c>
      <c r="J1972" s="41" t="n">
        <v>2025</v>
      </c>
      <c r="K1972" s="41" t="inlineStr">
        <is>
          <t>NB</t>
        </is>
      </c>
      <c r="L1972" s="43" t="n">
        <v>40</v>
      </c>
    </row>
    <row r="1973">
      <c r="B1973" s="39" t="inlineStr">
        <is>
          <t>IPAC_REN</t>
        </is>
      </c>
      <c r="C1973" s="40" t="inlineStr">
        <is>
          <t>BAC_CCE</t>
        </is>
      </c>
      <c r="D1973" s="40" t="inlineStr">
        <is>
          <t>B1</t>
        </is>
      </c>
      <c r="E1973" s="40" t="inlineStr">
        <is>
          <t>ALT</t>
        </is>
      </c>
      <c r="F1973" s="40" t="inlineStr">
        <is>
          <t>STA_CAND</t>
        </is>
      </c>
      <c r="G1973" s="39" t="inlineStr">
        <is>
          <t>Candidatures reçues</t>
        </is>
      </c>
      <c r="H1973" s="40" t="inlineStr">
        <is>
          <t>TECHNIQUE</t>
        </is>
      </c>
      <c r="I1973" s="41" t="inlineStr">
        <is>
          <t>2023ACT_VDEF</t>
        </is>
      </c>
      <c r="J1973" s="41" t="n">
        <v>2023</v>
      </c>
      <c r="K1973" s="41" t="inlineStr">
        <is>
          <t>NB</t>
        </is>
      </c>
      <c r="L1973" s="43" t="n">
        <v>97</v>
      </c>
    </row>
    <row r="1974">
      <c r="B1974" s="39" t="inlineStr">
        <is>
          <t>IPAC_REN</t>
        </is>
      </c>
      <c r="C1974" s="40" t="inlineStr">
        <is>
          <t>BAC_CCE</t>
        </is>
      </c>
      <c r="D1974" s="40" t="inlineStr">
        <is>
          <t>B1</t>
        </is>
      </c>
      <c r="E1974" s="40" t="inlineStr">
        <is>
          <t>ALT</t>
        </is>
      </c>
      <c r="F1974" s="40" t="inlineStr">
        <is>
          <t>STA_CAND</t>
        </is>
      </c>
      <c r="G1974" s="39" t="inlineStr">
        <is>
          <t>Candidatures reçues</t>
        </is>
      </c>
      <c r="H1974" s="40" t="inlineStr">
        <is>
          <t>TECHNIQUE</t>
        </is>
      </c>
      <c r="I1974" s="41" t="inlineStr">
        <is>
          <t>2024ACT_VDEF</t>
        </is>
      </c>
      <c r="J1974" s="41" t="n">
        <v>2024</v>
      </c>
      <c r="K1974" s="41" t="inlineStr">
        <is>
          <t>NB</t>
        </is>
      </c>
      <c r="L1974" s="43" t="n">
        <v>103</v>
      </c>
    </row>
    <row r="1975">
      <c r="B1975" s="39" t="inlineStr">
        <is>
          <t>IPAC_REN</t>
        </is>
      </c>
      <c r="C1975" s="40" t="inlineStr">
        <is>
          <t>BAC_CCE</t>
        </is>
      </c>
      <c r="D1975" s="40" t="inlineStr">
        <is>
          <t>B1</t>
        </is>
      </c>
      <c r="E1975" s="40" t="inlineStr">
        <is>
          <t>ALT</t>
        </is>
      </c>
      <c r="F1975" s="40" t="inlineStr">
        <is>
          <t>STA_CAND</t>
        </is>
      </c>
      <c r="G1975" s="39" t="inlineStr">
        <is>
          <t>Candidatures reçues</t>
        </is>
      </c>
      <c r="H1975" s="40" t="inlineStr">
        <is>
          <t>TECHNIQUE</t>
        </is>
      </c>
      <c r="I1975" s="41" t="inlineStr">
        <is>
          <t>2025FCST_V4</t>
        </is>
      </c>
      <c r="J1975" s="41" t="n">
        <v>2025</v>
      </c>
      <c r="K1975" s="41" t="inlineStr">
        <is>
          <t>NB</t>
        </is>
      </c>
      <c r="L1975" s="43" t="n">
        <v>108</v>
      </c>
    </row>
    <row r="1976">
      <c r="B1976" s="39" t="inlineStr">
        <is>
          <t>IPAC_REN</t>
        </is>
      </c>
      <c r="C1976" s="40" t="inlineStr">
        <is>
          <t>BAC_CCE</t>
        </is>
      </c>
      <c r="D1976" s="40" t="inlineStr">
        <is>
          <t>B1</t>
        </is>
      </c>
      <c r="E1976" s="40" t="inlineStr">
        <is>
          <t>ALT</t>
        </is>
      </c>
      <c r="F1976" s="40" t="inlineStr">
        <is>
          <t>STA_ADMIS</t>
        </is>
      </c>
      <c r="G1976" s="39" t="inlineStr">
        <is>
          <t>Candidats admis</t>
        </is>
      </c>
      <c r="H1976" s="40" t="inlineStr">
        <is>
          <t>TECHNIQUE</t>
        </is>
      </c>
      <c r="I1976" s="41" t="inlineStr">
        <is>
          <t>2023ACT_VDEF</t>
        </is>
      </c>
      <c r="J1976" s="41" t="n">
        <v>2023</v>
      </c>
      <c r="K1976" s="41" t="inlineStr">
        <is>
          <t>NB</t>
        </is>
      </c>
      <c r="L1976" s="43" t="n">
        <v>60</v>
      </c>
    </row>
    <row r="1977">
      <c r="B1977" s="39" t="inlineStr">
        <is>
          <t>IPAC_REN</t>
        </is>
      </c>
      <c r="C1977" s="40" t="inlineStr">
        <is>
          <t>BAC_CCE</t>
        </is>
      </c>
      <c r="D1977" s="40" t="inlineStr">
        <is>
          <t>B1</t>
        </is>
      </c>
      <c r="E1977" s="40" t="inlineStr">
        <is>
          <t>ALT</t>
        </is>
      </c>
      <c r="F1977" s="40" t="inlineStr">
        <is>
          <t>STA_ADMIS</t>
        </is>
      </c>
      <c r="G1977" s="39" t="inlineStr">
        <is>
          <t>Candidats admis</t>
        </is>
      </c>
      <c r="H1977" s="40" t="inlineStr">
        <is>
          <t>TECHNIQUE</t>
        </is>
      </c>
      <c r="I1977" s="41" t="inlineStr">
        <is>
          <t>2024ACT_VDEF</t>
        </is>
      </c>
      <c r="J1977" s="41" t="n">
        <v>2024</v>
      </c>
      <c r="K1977" s="41" t="inlineStr">
        <is>
          <t>NB</t>
        </is>
      </c>
      <c r="L1977" s="43" t="n">
        <v>64</v>
      </c>
    </row>
    <row r="1978">
      <c r="B1978" s="39" t="inlineStr">
        <is>
          <t>IPAC_REN</t>
        </is>
      </c>
      <c r="C1978" s="40" t="inlineStr">
        <is>
          <t>BAC_CCE</t>
        </is>
      </c>
      <c r="D1978" s="40" t="inlineStr">
        <is>
          <t>B1</t>
        </is>
      </c>
      <c r="E1978" s="40" t="inlineStr">
        <is>
          <t>ALT</t>
        </is>
      </c>
      <c r="F1978" s="40" t="inlineStr">
        <is>
          <t>STA_ADMIS</t>
        </is>
      </c>
      <c r="G1978" s="39" t="inlineStr">
        <is>
          <t>Candidats admis</t>
        </is>
      </c>
      <c r="H1978" s="40" t="inlineStr">
        <is>
          <t>TECHNIQUE</t>
        </is>
      </c>
      <c r="I1978" s="41" t="inlineStr">
        <is>
          <t>2025FCST_V4</t>
        </is>
      </c>
      <c r="J1978" s="41" t="n">
        <v>2025</v>
      </c>
      <c r="K1978" s="41" t="inlineStr">
        <is>
          <t>NB</t>
        </is>
      </c>
      <c r="L1978" s="43" t="n">
        <v>67</v>
      </c>
    </row>
    <row r="1979">
      <c r="B1979" s="39" t="inlineStr">
        <is>
          <t>IPAC_REN</t>
        </is>
      </c>
      <c r="C1979" s="40" t="inlineStr">
        <is>
          <t>BAC_CCE</t>
        </is>
      </c>
      <c r="D1979" s="40" t="inlineStr">
        <is>
          <t>B1</t>
        </is>
      </c>
      <c r="E1979" s="40" t="inlineStr">
        <is>
          <t>ALT</t>
        </is>
      </c>
      <c r="F1979" s="40" t="inlineStr">
        <is>
          <t>STA_NOUV</t>
        </is>
      </c>
      <c r="G1979" s="39" t="inlineStr">
        <is>
          <t>Nouveaux inscrits</t>
        </is>
      </c>
      <c r="H1979" s="40" t="inlineStr">
        <is>
          <t>TECHNIQUE</t>
        </is>
      </c>
      <c r="I1979" s="41" t="inlineStr">
        <is>
          <t>2023ACT_VDEF</t>
        </is>
      </c>
      <c r="J1979" s="41" t="n">
        <v>2023</v>
      </c>
      <c r="K1979" s="41" t="inlineStr">
        <is>
          <t>NB</t>
        </is>
      </c>
      <c r="L1979" s="43" t="n">
        <v>36</v>
      </c>
    </row>
    <row r="1980">
      <c r="B1980" s="39" t="inlineStr">
        <is>
          <t>IPAC_REN</t>
        </is>
      </c>
      <c r="C1980" s="40" t="inlineStr">
        <is>
          <t>BAC_CCE</t>
        </is>
      </c>
      <c r="D1980" s="40" t="inlineStr">
        <is>
          <t>B1</t>
        </is>
      </c>
      <c r="E1980" s="40" t="inlineStr">
        <is>
          <t>ALT</t>
        </is>
      </c>
      <c r="F1980" s="40" t="inlineStr">
        <is>
          <t>STA_NOUV</t>
        </is>
      </c>
      <c r="G1980" s="39" t="inlineStr">
        <is>
          <t>Nouveaux inscrits</t>
        </is>
      </c>
      <c r="H1980" s="40" t="inlineStr">
        <is>
          <t>TECHNIQUE</t>
        </is>
      </c>
      <c r="I1980" s="41" t="inlineStr">
        <is>
          <t>2024ACT_VDEF</t>
        </is>
      </c>
      <c r="J1980" s="41" t="n">
        <v>2024</v>
      </c>
      <c r="K1980" s="41" t="inlineStr">
        <is>
          <t>NB</t>
        </is>
      </c>
      <c r="L1980" s="43" t="n">
        <v>38</v>
      </c>
    </row>
    <row r="1981">
      <c r="B1981" s="39" t="inlineStr">
        <is>
          <t>IPAC_REN</t>
        </is>
      </c>
      <c r="C1981" s="40" t="inlineStr">
        <is>
          <t>BAC_CCE</t>
        </is>
      </c>
      <c r="D1981" s="40" t="inlineStr">
        <is>
          <t>B1</t>
        </is>
      </c>
      <c r="E1981" s="40" t="inlineStr">
        <is>
          <t>ALT</t>
        </is>
      </c>
      <c r="F1981" s="40" t="inlineStr">
        <is>
          <t>STA_NOUV</t>
        </is>
      </c>
      <c r="G1981" s="39" t="inlineStr">
        <is>
          <t>Nouveaux inscrits</t>
        </is>
      </c>
      <c r="H1981" s="40" t="inlineStr">
        <is>
          <t>TECHNIQUE</t>
        </is>
      </c>
      <c r="I1981" s="41" t="inlineStr">
        <is>
          <t>2025FCST_V4</t>
        </is>
      </c>
      <c r="J1981" s="41" t="n">
        <v>2025</v>
      </c>
      <c r="K1981" s="41" t="inlineStr">
        <is>
          <t>NB</t>
        </is>
      </c>
      <c r="L1981" s="43" t="n">
        <v>40</v>
      </c>
    </row>
    <row r="1982">
      <c r="B1982" s="39" t="inlineStr">
        <is>
          <t>IPAC_REN</t>
        </is>
      </c>
      <c r="C1982" s="40" t="inlineStr">
        <is>
          <t>BAC_CCE</t>
        </is>
      </c>
      <c r="D1982" s="40" t="inlineStr">
        <is>
          <t>B1</t>
        </is>
      </c>
      <c r="E1982" s="40" t="inlineStr">
        <is>
          <t>ALT</t>
        </is>
      </c>
      <c r="F1982" s="40" t="inlineStr">
        <is>
          <t>STA_CLASS</t>
        </is>
      </c>
      <c r="G1982" s="39" t="inlineStr">
        <is>
          <t>Nombre de classes</t>
        </is>
      </c>
      <c r="H1982" s="40" t="inlineStr">
        <is>
          <t>TECHNIQUE</t>
        </is>
      </c>
      <c r="I1982" s="41" t="inlineStr">
        <is>
          <t>2023ACT_VDEF</t>
        </is>
      </c>
      <c r="J1982" s="41" t="n">
        <v>2023</v>
      </c>
      <c r="K1982" s="41" t="inlineStr">
        <is>
          <t>NB</t>
        </is>
      </c>
      <c r="L1982" s="43" t="n">
        <v>2</v>
      </c>
    </row>
    <row r="1983">
      <c r="B1983" s="39" t="inlineStr">
        <is>
          <t>IPAC_REN</t>
        </is>
      </c>
      <c r="C1983" s="40" t="inlineStr">
        <is>
          <t>BAC_CCE</t>
        </is>
      </c>
      <c r="D1983" s="40" t="inlineStr">
        <is>
          <t>B1</t>
        </is>
      </c>
      <c r="E1983" s="40" t="inlineStr">
        <is>
          <t>ALT</t>
        </is>
      </c>
      <c r="F1983" s="40" t="inlineStr">
        <is>
          <t>STA_CLASS</t>
        </is>
      </c>
      <c r="G1983" s="39" t="inlineStr">
        <is>
          <t>Nombre de classes</t>
        </is>
      </c>
      <c r="H1983" s="40" t="inlineStr">
        <is>
          <t>TECHNIQUE</t>
        </is>
      </c>
      <c r="I1983" s="41" t="inlineStr">
        <is>
          <t>2024ACT_VDEF</t>
        </is>
      </c>
      <c r="J1983" s="41" t="n">
        <v>2024</v>
      </c>
      <c r="K1983" s="41" t="inlineStr">
        <is>
          <t>NB</t>
        </is>
      </c>
      <c r="L1983" s="43" t="n">
        <v>2</v>
      </c>
    </row>
    <row r="1984">
      <c r="B1984" s="39" t="inlineStr">
        <is>
          <t>IPAC_REN</t>
        </is>
      </c>
      <c r="C1984" s="40" t="inlineStr">
        <is>
          <t>BAC_CCE</t>
        </is>
      </c>
      <c r="D1984" s="40" t="inlineStr">
        <is>
          <t>B1</t>
        </is>
      </c>
      <c r="E1984" s="40" t="inlineStr">
        <is>
          <t>ALT</t>
        </is>
      </c>
      <c r="F1984" s="40" t="inlineStr">
        <is>
          <t>STA_CLASS</t>
        </is>
      </c>
      <c r="G1984" s="39" t="inlineStr">
        <is>
          <t>Nombre de classes</t>
        </is>
      </c>
      <c r="H1984" s="40" t="inlineStr">
        <is>
          <t>TECHNIQUE</t>
        </is>
      </c>
      <c r="I1984" s="41" t="inlineStr">
        <is>
          <t>2025FCST_V4</t>
        </is>
      </c>
      <c r="J1984" s="41" t="n">
        <v>2025</v>
      </c>
      <c r="K1984" s="41" t="inlineStr">
        <is>
          <t>NB</t>
        </is>
      </c>
      <c r="L1984" s="43" t="n">
        <v>2</v>
      </c>
    </row>
    <row r="1985">
      <c r="B1985" s="39" t="inlineStr">
        <is>
          <t>IPAC_REN</t>
        </is>
      </c>
      <c r="C1985" s="40" t="inlineStr">
        <is>
          <t>BAC_CCE</t>
        </is>
      </c>
      <c r="D1985" s="40" t="inlineStr">
        <is>
          <t>B1</t>
        </is>
      </c>
      <c r="E1985" s="40" t="inlineStr">
        <is>
          <t>ALT</t>
        </is>
      </c>
      <c r="F1985" s="40" t="inlineStr">
        <is>
          <t>STA_HEURE</t>
        </is>
      </c>
      <c r="G1985" s="39" t="inlineStr">
        <is>
          <t>Heures d'enseignement</t>
        </is>
      </c>
      <c r="H1985" s="40" t="inlineStr">
        <is>
          <t>TECHNIQUE</t>
        </is>
      </c>
      <c r="I1985" s="41" t="inlineStr">
        <is>
          <t>2023ACT_VDEF</t>
        </is>
      </c>
      <c r="J1985" s="41" t="n">
        <v>2023</v>
      </c>
      <c r="K1985" s="41" t="inlineStr">
        <is>
          <t>NB</t>
        </is>
      </c>
      <c r="L1985" s="43" t="n">
        <v>1080</v>
      </c>
    </row>
    <row r="1986">
      <c r="B1986" s="39" t="inlineStr">
        <is>
          <t>IPAC_REN</t>
        </is>
      </c>
      <c r="C1986" s="40" t="inlineStr">
        <is>
          <t>BAC_CCE</t>
        </is>
      </c>
      <c r="D1986" s="40" t="inlineStr">
        <is>
          <t>B1</t>
        </is>
      </c>
      <c r="E1986" s="40" t="inlineStr">
        <is>
          <t>ALT</t>
        </is>
      </c>
      <c r="F1986" s="40" t="inlineStr">
        <is>
          <t>STA_HEURE</t>
        </is>
      </c>
      <c r="G1986" s="39" t="inlineStr">
        <is>
          <t>Heures d'enseignement</t>
        </is>
      </c>
      <c r="H1986" s="40" t="inlineStr">
        <is>
          <t>TECHNIQUE</t>
        </is>
      </c>
      <c r="I1986" s="41" t="inlineStr">
        <is>
          <t>2024ACT_VDEF</t>
        </is>
      </c>
      <c r="J1986" s="41" t="n">
        <v>2024</v>
      </c>
      <c r="K1986" s="41" t="inlineStr">
        <is>
          <t>NB</t>
        </is>
      </c>
      <c r="L1986" s="43" t="n">
        <v>1140</v>
      </c>
    </row>
    <row r="1987">
      <c r="B1987" s="39" t="inlineStr">
        <is>
          <t>IPAC_REN</t>
        </is>
      </c>
      <c r="C1987" s="40" t="inlineStr">
        <is>
          <t>BAC_CCE</t>
        </is>
      </c>
      <c r="D1987" s="40" t="inlineStr">
        <is>
          <t>B1</t>
        </is>
      </c>
      <c r="E1987" s="40" t="inlineStr">
        <is>
          <t>ALT</t>
        </is>
      </c>
      <c r="F1987" s="40" t="inlineStr">
        <is>
          <t>STA_HEURE</t>
        </is>
      </c>
      <c r="G1987" s="39" t="inlineStr">
        <is>
          <t>Heures d'enseignement</t>
        </is>
      </c>
      <c r="H1987" s="40" t="inlineStr">
        <is>
          <t>TECHNIQUE</t>
        </is>
      </c>
      <c r="I1987" s="41" t="inlineStr">
        <is>
          <t>2025FCST_V4</t>
        </is>
      </c>
      <c r="J1987" s="41" t="n">
        <v>2025</v>
      </c>
      <c r="K1987" s="41" t="inlineStr">
        <is>
          <t>NB</t>
        </is>
      </c>
      <c r="L1987" s="43" t="n">
        <v>1200</v>
      </c>
    </row>
    <row r="1988">
      <c r="B1988" s="39" t="inlineStr">
        <is>
          <t>IPAC_REN</t>
        </is>
      </c>
      <c r="C1988" s="40" t="inlineStr">
        <is>
          <t>BAC_CCE</t>
        </is>
      </c>
      <c r="D1988" s="40" t="inlineStr">
        <is>
          <t>B1</t>
        </is>
      </c>
      <c r="E1988" s="40" t="inlineStr">
        <is>
          <t>ALT</t>
        </is>
      </c>
      <c r="F1988" s="40" t="inlineStr">
        <is>
          <t>STA_CAPA</t>
        </is>
      </c>
      <c r="G1988" s="39" t="inlineStr">
        <is>
          <t>Capacité par classe</t>
        </is>
      </c>
      <c r="H1988" s="40" t="inlineStr">
        <is>
          <t>TECHNIQUE</t>
        </is>
      </c>
      <c r="I1988" s="41" t="inlineStr">
        <is>
          <t>2023ACT_VDEF</t>
        </is>
      </c>
      <c r="J1988" s="41" t="n">
        <v>2023</v>
      </c>
      <c r="K1988" s="41" t="inlineStr">
        <is>
          <t>NB</t>
        </is>
      </c>
      <c r="L1988" s="43" t="n">
        <v>32</v>
      </c>
    </row>
    <row r="1989">
      <c r="B1989" s="39" t="inlineStr">
        <is>
          <t>IPAC_REN</t>
        </is>
      </c>
      <c r="C1989" s="40" t="inlineStr">
        <is>
          <t>BAC_CCE</t>
        </is>
      </c>
      <c r="D1989" s="40" t="inlineStr">
        <is>
          <t>B1</t>
        </is>
      </c>
      <c r="E1989" s="40" t="inlineStr">
        <is>
          <t>ALT</t>
        </is>
      </c>
      <c r="F1989" s="40" t="inlineStr">
        <is>
          <t>STA_CAPA</t>
        </is>
      </c>
      <c r="G1989" s="39" t="inlineStr">
        <is>
          <t>Capacité par classe</t>
        </is>
      </c>
      <c r="H1989" s="40" t="inlineStr">
        <is>
          <t>TECHNIQUE</t>
        </is>
      </c>
      <c r="I1989" s="41" t="inlineStr">
        <is>
          <t>2024ACT_VDEF</t>
        </is>
      </c>
      <c r="J1989" s="41" t="n">
        <v>2024</v>
      </c>
      <c r="K1989" s="41" t="inlineStr">
        <is>
          <t>NB</t>
        </is>
      </c>
      <c r="L1989" s="43" t="n">
        <v>32</v>
      </c>
    </row>
    <row r="1990">
      <c r="B1990" s="39" t="inlineStr">
        <is>
          <t>IPAC_REN</t>
        </is>
      </c>
      <c r="C1990" s="40" t="inlineStr">
        <is>
          <t>BAC_CCE</t>
        </is>
      </c>
      <c r="D1990" s="40" t="inlineStr">
        <is>
          <t>B1</t>
        </is>
      </c>
      <c r="E1990" s="40" t="inlineStr">
        <is>
          <t>ALT</t>
        </is>
      </c>
      <c r="F1990" s="40" t="inlineStr">
        <is>
          <t>STA_CAPA</t>
        </is>
      </c>
      <c r="G1990" s="39" t="inlineStr">
        <is>
          <t>Capacité par classe</t>
        </is>
      </c>
      <c r="H1990" s="40" t="inlineStr">
        <is>
          <t>TECHNIQUE</t>
        </is>
      </c>
      <c r="I1990" s="41" t="inlineStr">
        <is>
          <t>2025FCST_V4</t>
        </is>
      </c>
      <c r="J1990" s="41" t="n">
        <v>2025</v>
      </c>
      <c r="K1990" s="41" t="inlineStr">
        <is>
          <t>NB</t>
        </is>
      </c>
      <c r="L1990" s="43" t="n">
        <v>32</v>
      </c>
    </row>
    <row r="1991">
      <c r="B1991" s="39" t="inlineStr">
        <is>
          <t>IPAC_REN</t>
        </is>
      </c>
      <c r="C1991" s="40" t="inlineStr">
        <is>
          <t>BAC_CCE</t>
        </is>
      </c>
      <c r="D1991" s="40" t="inlineStr">
        <is>
          <t>B1</t>
        </is>
      </c>
      <c r="E1991" s="40" t="inlineStr">
        <is>
          <t>ALT</t>
        </is>
      </c>
      <c r="F1991" s="40" t="inlineStr">
        <is>
          <t>DRV_CONV</t>
        </is>
      </c>
      <c r="G1991" s="39" t="inlineStr">
        <is>
          <t>Taux de conversion candidat→inscrit</t>
        </is>
      </c>
      <c r="H1991" s="40" t="inlineStr">
        <is>
          <t>TECHNIQUE</t>
        </is>
      </c>
      <c r="I1991" s="41" t="inlineStr">
        <is>
          <t>2023ACT_VDEF</t>
        </is>
      </c>
      <c r="J1991" s="41" t="n">
        <v>2023</v>
      </c>
      <c r="K1991" s="41" t="inlineStr">
        <is>
          <t>PCT</t>
        </is>
      </c>
      <c r="L1991" s="44" t="n">
        <v>0.3704</v>
      </c>
    </row>
    <row r="1992">
      <c r="B1992" s="39" t="inlineStr">
        <is>
          <t>IPAC_REN</t>
        </is>
      </c>
      <c r="C1992" s="40" t="inlineStr">
        <is>
          <t>BAC_CCE</t>
        </is>
      </c>
      <c r="D1992" s="40" t="inlineStr">
        <is>
          <t>B1</t>
        </is>
      </c>
      <c r="E1992" s="40" t="inlineStr">
        <is>
          <t>ALT</t>
        </is>
      </c>
      <c r="F1992" s="40" t="inlineStr">
        <is>
          <t>DRV_CONV</t>
        </is>
      </c>
      <c r="G1992" s="39" t="inlineStr">
        <is>
          <t>Taux de conversion candidat→inscrit</t>
        </is>
      </c>
      <c r="H1992" s="40" t="inlineStr">
        <is>
          <t>TECHNIQUE</t>
        </is>
      </c>
      <c r="I1992" s="41" t="inlineStr">
        <is>
          <t>2024ACT_VDEF</t>
        </is>
      </c>
      <c r="J1992" s="41" t="n">
        <v>2024</v>
      </c>
      <c r="K1992" s="41" t="inlineStr">
        <is>
          <t>PCT</t>
        </is>
      </c>
      <c r="L1992" s="44" t="n">
        <v>0.3704</v>
      </c>
    </row>
    <row r="1993">
      <c r="B1993" s="39" t="inlineStr">
        <is>
          <t>IPAC_REN</t>
        </is>
      </c>
      <c r="C1993" s="40" t="inlineStr">
        <is>
          <t>BAC_CCE</t>
        </is>
      </c>
      <c r="D1993" s="40" t="inlineStr">
        <is>
          <t>B1</t>
        </is>
      </c>
      <c r="E1993" s="40" t="inlineStr">
        <is>
          <t>ALT</t>
        </is>
      </c>
      <c r="F1993" s="40" t="inlineStr">
        <is>
          <t>DRV_CONV</t>
        </is>
      </c>
      <c r="G1993" s="39" t="inlineStr">
        <is>
          <t>Taux de conversion candidat→inscrit</t>
        </is>
      </c>
      <c r="H1993" s="40" t="inlineStr">
        <is>
          <t>TECHNIQUE</t>
        </is>
      </c>
      <c r="I1993" s="41" t="inlineStr">
        <is>
          <t>2025FCST_V4</t>
        </is>
      </c>
      <c r="J1993" s="41" t="n">
        <v>2025</v>
      </c>
      <c r="K1993" s="41" t="inlineStr">
        <is>
          <t>PCT</t>
        </is>
      </c>
      <c r="L1993" s="44" t="n">
        <v>0.3704</v>
      </c>
    </row>
    <row r="1994">
      <c r="B1994" s="39" t="inlineStr">
        <is>
          <t>IPAC_REN</t>
        </is>
      </c>
      <c r="C1994" s="40" t="inlineStr">
        <is>
          <t>BAC_CCE</t>
        </is>
      </c>
      <c r="D1994" s="40" t="inlineStr">
        <is>
          <t>B1</t>
        </is>
      </c>
      <c r="E1994" s="40" t="inlineStr">
        <is>
          <t>ALT</t>
        </is>
      </c>
      <c r="F1994" s="40" t="inlineStr">
        <is>
          <t>PRX_TARIF</t>
        </is>
      </c>
      <c r="G1994" s="39" t="inlineStr">
        <is>
          <t>Tarif moyen scolarité</t>
        </is>
      </c>
      <c r="H1994" s="40" t="inlineStr">
        <is>
          <t>TECHNIQUE</t>
        </is>
      </c>
      <c r="I1994" s="41" t="inlineStr">
        <is>
          <t>2023ACT_VDEF</t>
        </is>
      </c>
      <c r="J1994" s="41" t="n">
        <v>2023</v>
      </c>
      <c r="K1994" s="41" t="inlineStr">
        <is>
          <t>EUR</t>
        </is>
      </c>
      <c r="L1994" s="42" t="n">
        <v>8000</v>
      </c>
    </row>
    <row r="1995">
      <c r="B1995" s="39" t="inlineStr">
        <is>
          <t>IPAC_REN</t>
        </is>
      </c>
      <c r="C1995" s="40" t="inlineStr">
        <is>
          <t>BAC_CCE</t>
        </is>
      </c>
      <c r="D1995" s="40" t="inlineStr">
        <is>
          <t>B1</t>
        </is>
      </c>
      <c r="E1995" s="40" t="inlineStr">
        <is>
          <t>ALT</t>
        </is>
      </c>
      <c r="F1995" s="40" t="inlineStr">
        <is>
          <t>PRX_TARIF</t>
        </is>
      </c>
      <c r="G1995" s="39" t="inlineStr">
        <is>
          <t>Tarif moyen scolarité</t>
        </is>
      </c>
      <c r="H1995" s="40" t="inlineStr">
        <is>
          <t>TECHNIQUE</t>
        </is>
      </c>
      <c r="I1995" s="41" t="inlineStr">
        <is>
          <t>2024ACT_VDEF</t>
        </is>
      </c>
      <c r="J1995" s="41" t="n">
        <v>2024</v>
      </c>
      <c r="K1995" s="41" t="inlineStr">
        <is>
          <t>EUR</t>
        </is>
      </c>
      <c r="L1995" s="42" t="n">
        <v>8000</v>
      </c>
    </row>
    <row r="1996">
      <c r="B1996" s="39" t="inlineStr">
        <is>
          <t>IPAC_REN</t>
        </is>
      </c>
      <c r="C1996" s="40" t="inlineStr">
        <is>
          <t>BAC_CCE</t>
        </is>
      </c>
      <c r="D1996" s="40" t="inlineStr">
        <is>
          <t>B1</t>
        </is>
      </c>
      <c r="E1996" s="40" t="inlineStr">
        <is>
          <t>ALT</t>
        </is>
      </c>
      <c r="F1996" s="40" t="inlineStr">
        <is>
          <t>PRX_TARIF</t>
        </is>
      </c>
      <c r="G1996" s="39" t="inlineStr">
        <is>
          <t>Tarif moyen scolarité</t>
        </is>
      </c>
      <c r="H1996" s="40" t="inlineStr">
        <is>
          <t>TECHNIQUE</t>
        </is>
      </c>
      <c r="I1996" s="41" t="inlineStr">
        <is>
          <t>2025FCST_V4</t>
        </is>
      </c>
      <c r="J1996" s="41" t="n">
        <v>2025</v>
      </c>
      <c r="K1996" s="41" t="inlineStr">
        <is>
          <t>EUR</t>
        </is>
      </c>
      <c r="L1996" s="42" t="n">
        <v>8000</v>
      </c>
    </row>
    <row r="1997">
      <c r="B1997" s="39" t="inlineStr">
        <is>
          <t>IPAC_REN</t>
        </is>
      </c>
      <c r="C1997" s="40" t="inlineStr">
        <is>
          <t>BAC_CCE</t>
        </is>
      </c>
      <c r="D1997" s="40" t="inlineStr">
        <is>
          <t>B1</t>
        </is>
      </c>
      <c r="E1997" s="40" t="inlineStr">
        <is>
          <t>ALT</t>
        </is>
      </c>
      <c r="F1997" s="40" t="inlineStr">
        <is>
          <t>CAC_LEAD</t>
        </is>
      </c>
      <c r="G1997" s="39" t="inlineStr">
        <is>
          <t>Coût d'acquisition par lead</t>
        </is>
      </c>
      <c r="H1997" s="40" t="inlineStr">
        <is>
          <t>TECHNIQUE</t>
        </is>
      </c>
      <c r="I1997" s="41" t="inlineStr">
        <is>
          <t>2023ACT_VDEF</t>
        </is>
      </c>
      <c r="J1997" s="41" t="n">
        <v>2023</v>
      </c>
      <c r="K1997" s="41" t="inlineStr">
        <is>
          <t>EUR</t>
        </is>
      </c>
      <c r="L1997" s="42" t="n">
        <v>320</v>
      </c>
    </row>
    <row r="1998">
      <c r="B1998" s="39" t="inlineStr">
        <is>
          <t>IPAC_REN</t>
        </is>
      </c>
      <c r="C1998" s="40" t="inlineStr">
        <is>
          <t>BAC_CCE</t>
        </is>
      </c>
      <c r="D1998" s="40" t="inlineStr">
        <is>
          <t>B1</t>
        </is>
      </c>
      <c r="E1998" s="40" t="inlineStr">
        <is>
          <t>ALT</t>
        </is>
      </c>
      <c r="F1998" s="40" t="inlineStr">
        <is>
          <t>CAC_LEAD</t>
        </is>
      </c>
      <c r="G1998" s="39" t="inlineStr">
        <is>
          <t>Coût d'acquisition par lead</t>
        </is>
      </c>
      <c r="H1998" s="40" t="inlineStr">
        <is>
          <t>TECHNIQUE</t>
        </is>
      </c>
      <c r="I1998" s="41" t="inlineStr">
        <is>
          <t>2024ACT_VDEF</t>
        </is>
      </c>
      <c r="J1998" s="41" t="n">
        <v>2024</v>
      </c>
      <c r="K1998" s="41" t="inlineStr">
        <is>
          <t>EUR</t>
        </is>
      </c>
      <c r="L1998" s="42" t="n">
        <v>320</v>
      </c>
    </row>
    <row r="1999">
      <c r="B1999" s="39" t="inlineStr">
        <is>
          <t>IPAC_REN</t>
        </is>
      </c>
      <c r="C1999" s="40" t="inlineStr">
        <is>
          <t>BAC_CCE</t>
        </is>
      </c>
      <c r="D1999" s="40" t="inlineStr">
        <is>
          <t>B1</t>
        </is>
      </c>
      <c r="E1999" s="40" t="inlineStr">
        <is>
          <t>ALT</t>
        </is>
      </c>
      <c r="F1999" s="40" t="inlineStr">
        <is>
          <t>CAC_LEAD</t>
        </is>
      </c>
      <c r="G1999" s="39" t="inlineStr">
        <is>
          <t>Coût d'acquisition par lead</t>
        </is>
      </c>
      <c r="H1999" s="40" t="inlineStr">
        <is>
          <t>TECHNIQUE</t>
        </is>
      </c>
      <c r="I1999" s="41" t="inlineStr">
        <is>
          <t>2025FCST_V4</t>
        </is>
      </c>
      <c r="J1999" s="41" t="n">
        <v>2025</v>
      </c>
      <c r="K1999" s="41" t="inlineStr">
        <is>
          <t>EUR</t>
        </is>
      </c>
      <c r="L1999" s="42" t="n">
        <v>320</v>
      </c>
    </row>
    <row r="2000">
      <c r="B2000" s="39" t="inlineStr">
        <is>
          <t>IPAC_REN</t>
        </is>
      </c>
      <c r="C2000" s="40" t="inlineStr">
        <is>
          <t>BAC_CCE</t>
        </is>
      </c>
      <c r="D2000" s="40" t="inlineStr">
        <is>
          <t>B2</t>
        </is>
      </c>
      <c r="E2000" s="40" t="inlineStr">
        <is>
          <t>ALT</t>
        </is>
      </c>
      <c r="F2000" s="40" t="inlineStr">
        <is>
          <t>706100</t>
        </is>
      </c>
      <c r="G2000" s="39" t="inlineStr">
        <is>
          <t>Droits de scolarité</t>
        </is>
      </c>
      <c r="H2000" s="40" t="inlineStr">
        <is>
          <t>COMPTABLE</t>
        </is>
      </c>
      <c r="I2000" s="41" t="inlineStr">
        <is>
          <t>2023ACT_VDEF</t>
        </is>
      </c>
      <c r="J2000" s="41" t="n">
        <v>2023</v>
      </c>
      <c r="K2000" s="41" t="inlineStr">
        <is>
          <t>EUR</t>
        </is>
      </c>
      <c r="L2000" s="42" t="n">
        <v>244800</v>
      </c>
    </row>
    <row r="2001">
      <c r="B2001" s="39" t="inlineStr">
        <is>
          <t>IPAC_REN</t>
        </is>
      </c>
      <c r="C2001" s="40" t="inlineStr">
        <is>
          <t>BAC_CCE</t>
        </is>
      </c>
      <c r="D2001" s="40" t="inlineStr">
        <is>
          <t>B2</t>
        </is>
      </c>
      <c r="E2001" s="40" t="inlineStr">
        <is>
          <t>ALT</t>
        </is>
      </c>
      <c r="F2001" s="40" t="inlineStr">
        <is>
          <t>706100</t>
        </is>
      </c>
      <c r="G2001" s="39" t="inlineStr">
        <is>
          <t>Droits de scolarité</t>
        </is>
      </c>
      <c r="H2001" s="40" t="inlineStr">
        <is>
          <t>COMPTABLE</t>
        </is>
      </c>
      <c r="I2001" s="41" t="inlineStr">
        <is>
          <t>2024ACT_VDEF</t>
        </is>
      </c>
      <c r="J2001" s="41" t="n">
        <v>2024</v>
      </c>
      <c r="K2001" s="41" t="inlineStr">
        <is>
          <t>EUR</t>
        </is>
      </c>
      <c r="L2001" s="42" t="n">
        <v>258400</v>
      </c>
    </row>
    <row r="2002">
      <c r="B2002" s="39" t="inlineStr">
        <is>
          <t>IPAC_REN</t>
        </is>
      </c>
      <c r="C2002" s="40" t="inlineStr">
        <is>
          <t>BAC_CCE</t>
        </is>
      </c>
      <c r="D2002" s="40" t="inlineStr">
        <is>
          <t>B2</t>
        </is>
      </c>
      <c r="E2002" s="40" t="inlineStr">
        <is>
          <t>ALT</t>
        </is>
      </c>
      <c r="F2002" s="40" t="inlineStr">
        <is>
          <t>706100</t>
        </is>
      </c>
      <c r="G2002" s="39" t="inlineStr">
        <is>
          <t>Droits de scolarité</t>
        </is>
      </c>
      <c r="H2002" s="40" t="inlineStr">
        <is>
          <t>COMPTABLE</t>
        </is>
      </c>
      <c r="I2002" s="41" t="inlineStr">
        <is>
          <t>2025FCST_V4</t>
        </is>
      </c>
      <c r="J2002" s="41" t="n">
        <v>2025</v>
      </c>
      <c r="K2002" s="41" t="inlineStr">
        <is>
          <t>EUR</t>
        </is>
      </c>
      <c r="L2002" s="42" t="n">
        <v>272000</v>
      </c>
    </row>
    <row r="2003">
      <c r="B2003" s="39" t="inlineStr">
        <is>
          <t>IPAC_REN</t>
        </is>
      </c>
      <c r="C2003" s="40" t="inlineStr">
        <is>
          <t>BAC_CCE</t>
        </is>
      </c>
      <c r="D2003" s="40" t="inlineStr">
        <is>
          <t>B2</t>
        </is>
      </c>
      <c r="E2003" s="40" t="inlineStr">
        <is>
          <t>ALT</t>
        </is>
      </c>
      <c r="F2003" s="40" t="inlineStr">
        <is>
          <t>604100</t>
        </is>
      </c>
      <c r="G2003" s="39" t="inlineStr">
        <is>
          <t>Vacations &amp; sous-traitance pédagogique</t>
        </is>
      </c>
      <c r="H2003" s="40" t="inlineStr">
        <is>
          <t>COMPTABLE</t>
        </is>
      </c>
      <c r="I2003" s="41" t="inlineStr">
        <is>
          <t>2023ACT_VDEF</t>
        </is>
      </c>
      <c r="J2003" s="41" t="n">
        <v>2023</v>
      </c>
      <c r="K2003" s="41" t="inlineStr">
        <is>
          <t>EUR</t>
        </is>
      </c>
      <c r="L2003" s="42" t="n">
        <v>58464</v>
      </c>
    </row>
    <row r="2004">
      <c r="B2004" s="39" t="inlineStr">
        <is>
          <t>IPAC_REN</t>
        </is>
      </c>
      <c r="C2004" s="40" t="inlineStr">
        <is>
          <t>BAC_CCE</t>
        </is>
      </c>
      <c r="D2004" s="40" t="inlineStr">
        <is>
          <t>B2</t>
        </is>
      </c>
      <c r="E2004" s="40" t="inlineStr">
        <is>
          <t>ALT</t>
        </is>
      </c>
      <c r="F2004" s="40" t="inlineStr">
        <is>
          <t>604100</t>
        </is>
      </c>
      <c r="G2004" s="39" t="inlineStr">
        <is>
          <t>Vacations &amp; sous-traitance pédagogique</t>
        </is>
      </c>
      <c r="H2004" s="40" t="inlineStr">
        <is>
          <t>COMPTABLE</t>
        </is>
      </c>
      <c r="I2004" s="41" t="inlineStr">
        <is>
          <t>2024ACT_VDEF</t>
        </is>
      </c>
      <c r="J2004" s="41" t="n">
        <v>2024</v>
      </c>
      <c r="K2004" s="41" t="inlineStr">
        <is>
          <t>EUR</t>
        </is>
      </c>
      <c r="L2004" s="42" t="n">
        <v>61712</v>
      </c>
    </row>
    <row r="2005">
      <c r="B2005" s="39" t="inlineStr">
        <is>
          <t>IPAC_REN</t>
        </is>
      </c>
      <c r="C2005" s="40" t="inlineStr">
        <is>
          <t>BAC_CCE</t>
        </is>
      </c>
      <c r="D2005" s="40" t="inlineStr">
        <is>
          <t>B2</t>
        </is>
      </c>
      <c r="E2005" s="40" t="inlineStr">
        <is>
          <t>ALT</t>
        </is>
      </c>
      <c r="F2005" s="40" t="inlineStr">
        <is>
          <t>604100</t>
        </is>
      </c>
      <c r="G2005" s="39" t="inlineStr">
        <is>
          <t>Vacations &amp; sous-traitance pédagogique</t>
        </is>
      </c>
      <c r="H2005" s="40" t="inlineStr">
        <is>
          <t>COMPTABLE</t>
        </is>
      </c>
      <c r="I2005" s="41" t="inlineStr">
        <is>
          <t>2025FCST_V4</t>
        </is>
      </c>
      <c r="J2005" s="41" t="n">
        <v>2025</v>
      </c>
      <c r="K2005" s="41" t="inlineStr">
        <is>
          <t>EUR</t>
        </is>
      </c>
      <c r="L2005" s="42" t="n">
        <v>64960</v>
      </c>
    </row>
    <row r="2006">
      <c r="B2006" s="39" t="inlineStr">
        <is>
          <t>IPAC_REN</t>
        </is>
      </c>
      <c r="C2006" s="40" t="inlineStr">
        <is>
          <t>BAC_CCE</t>
        </is>
      </c>
      <c r="D2006" s="40" t="inlineStr">
        <is>
          <t>B2</t>
        </is>
      </c>
      <c r="E2006" s="40" t="inlineStr">
        <is>
          <t>ALT</t>
        </is>
      </c>
      <c r="F2006" s="40" t="inlineStr">
        <is>
          <t>606300</t>
        </is>
      </c>
      <c r="G2006" s="39" t="inlineStr">
        <is>
          <t>Fournitures &amp; ressources pédagogiques</t>
        </is>
      </c>
      <c r="H2006" s="40" t="inlineStr">
        <is>
          <t>COMPTABLE</t>
        </is>
      </c>
      <c r="I2006" s="41" t="inlineStr">
        <is>
          <t>2023ACT_VDEF</t>
        </is>
      </c>
      <c r="J2006" s="41" t="n">
        <v>2023</v>
      </c>
      <c r="K2006" s="41" t="inlineStr">
        <is>
          <t>EUR</t>
        </is>
      </c>
      <c r="L2006" s="42" t="n">
        <v>11628</v>
      </c>
    </row>
    <row r="2007">
      <c r="B2007" s="39" t="inlineStr">
        <is>
          <t>IPAC_REN</t>
        </is>
      </c>
      <c r="C2007" s="40" t="inlineStr">
        <is>
          <t>BAC_CCE</t>
        </is>
      </c>
      <c r="D2007" s="40" t="inlineStr">
        <is>
          <t>B2</t>
        </is>
      </c>
      <c r="E2007" s="40" t="inlineStr">
        <is>
          <t>ALT</t>
        </is>
      </c>
      <c r="F2007" s="40" t="inlineStr">
        <is>
          <t>606300</t>
        </is>
      </c>
      <c r="G2007" s="39" t="inlineStr">
        <is>
          <t>Fournitures &amp; ressources pédagogiques</t>
        </is>
      </c>
      <c r="H2007" s="40" t="inlineStr">
        <is>
          <t>COMPTABLE</t>
        </is>
      </c>
      <c r="I2007" s="41" t="inlineStr">
        <is>
          <t>2024ACT_VDEF</t>
        </is>
      </c>
      <c r="J2007" s="41" t="n">
        <v>2024</v>
      </c>
      <c r="K2007" s="41" t="inlineStr">
        <is>
          <t>EUR</t>
        </is>
      </c>
      <c r="L2007" s="42" t="n">
        <v>12274</v>
      </c>
    </row>
    <row r="2008">
      <c r="B2008" s="39" t="inlineStr">
        <is>
          <t>IPAC_REN</t>
        </is>
      </c>
      <c r="C2008" s="40" t="inlineStr">
        <is>
          <t>BAC_CCE</t>
        </is>
      </c>
      <c r="D2008" s="40" t="inlineStr">
        <is>
          <t>B2</t>
        </is>
      </c>
      <c r="E2008" s="40" t="inlineStr">
        <is>
          <t>ALT</t>
        </is>
      </c>
      <c r="F2008" s="40" t="inlineStr">
        <is>
          <t>606300</t>
        </is>
      </c>
      <c r="G2008" s="39" t="inlineStr">
        <is>
          <t>Fournitures &amp; ressources pédagogiques</t>
        </is>
      </c>
      <c r="H2008" s="40" t="inlineStr">
        <is>
          <t>COMPTABLE</t>
        </is>
      </c>
      <c r="I2008" s="41" t="inlineStr">
        <is>
          <t>2025FCST_V4</t>
        </is>
      </c>
      <c r="J2008" s="41" t="n">
        <v>2025</v>
      </c>
      <c r="K2008" s="41" t="inlineStr">
        <is>
          <t>EUR</t>
        </is>
      </c>
      <c r="L2008" s="42" t="n">
        <v>12920</v>
      </c>
    </row>
    <row r="2009">
      <c r="B2009" s="39" t="inlineStr">
        <is>
          <t>IPAC_REN</t>
        </is>
      </c>
      <c r="C2009" s="40" t="inlineStr">
        <is>
          <t>BAC_CCE</t>
        </is>
      </c>
      <c r="D2009" s="40" t="inlineStr">
        <is>
          <t>B2</t>
        </is>
      </c>
      <c r="E2009" s="40" t="inlineStr">
        <is>
          <t>ALT</t>
        </is>
      </c>
      <c r="F2009" s="40" t="inlineStr">
        <is>
          <t>613200</t>
        </is>
      </c>
      <c r="G2009" s="39" t="inlineStr">
        <is>
          <t>Locations immobilières (loyers)</t>
        </is>
      </c>
      <c r="H2009" s="40" t="inlineStr">
        <is>
          <t>COMPTABLE</t>
        </is>
      </c>
      <c r="I2009" s="41" t="inlineStr">
        <is>
          <t>2023ACT_VDEF</t>
        </is>
      </c>
      <c r="J2009" s="41" t="n">
        <v>2023</v>
      </c>
      <c r="K2009" s="41" t="inlineStr">
        <is>
          <t>EUR</t>
        </is>
      </c>
      <c r="L2009" s="42" t="n">
        <v>33120</v>
      </c>
    </row>
    <row r="2010">
      <c r="B2010" s="39" t="inlineStr">
        <is>
          <t>IPAC_REN</t>
        </is>
      </c>
      <c r="C2010" s="40" t="inlineStr">
        <is>
          <t>BAC_CCE</t>
        </is>
      </c>
      <c r="D2010" s="40" t="inlineStr">
        <is>
          <t>B2</t>
        </is>
      </c>
      <c r="E2010" s="40" t="inlineStr">
        <is>
          <t>ALT</t>
        </is>
      </c>
      <c r="F2010" s="40" t="inlineStr">
        <is>
          <t>613200</t>
        </is>
      </c>
      <c r="G2010" s="39" t="inlineStr">
        <is>
          <t>Locations immobilières (loyers)</t>
        </is>
      </c>
      <c r="H2010" s="40" t="inlineStr">
        <is>
          <t>COMPTABLE</t>
        </is>
      </c>
      <c r="I2010" s="41" t="inlineStr">
        <is>
          <t>2024ACT_VDEF</t>
        </is>
      </c>
      <c r="J2010" s="41" t="n">
        <v>2024</v>
      </c>
      <c r="K2010" s="41" t="inlineStr">
        <is>
          <t>EUR</t>
        </is>
      </c>
      <c r="L2010" s="42" t="n">
        <v>34960</v>
      </c>
    </row>
    <row r="2011">
      <c r="B2011" s="39" t="inlineStr">
        <is>
          <t>IPAC_REN</t>
        </is>
      </c>
      <c r="C2011" s="40" t="inlineStr">
        <is>
          <t>BAC_CCE</t>
        </is>
      </c>
      <c r="D2011" s="40" t="inlineStr">
        <is>
          <t>B2</t>
        </is>
      </c>
      <c r="E2011" s="40" t="inlineStr">
        <is>
          <t>ALT</t>
        </is>
      </c>
      <c r="F2011" s="40" t="inlineStr">
        <is>
          <t>613200</t>
        </is>
      </c>
      <c r="G2011" s="39" t="inlineStr">
        <is>
          <t>Locations immobilières (loyers)</t>
        </is>
      </c>
      <c r="H2011" s="40" t="inlineStr">
        <is>
          <t>COMPTABLE</t>
        </is>
      </c>
      <c r="I2011" s="41" t="inlineStr">
        <is>
          <t>2025FCST_V4</t>
        </is>
      </c>
      <c r="J2011" s="41" t="n">
        <v>2025</v>
      </c>
      <c r="K2011" s="41" t="inlineStr">
        <is>
          <t>EUR</t>
        </is>
      </c>
      <c r="L2011" s="42" t="n">
        <v>36800</v>
      </c>
    </row>
    <row r="2012">
      <c r="B2012" s="39" t="inlineStr">
        <is>
          <t>IPAC_REN</t>
        </is>
      </c>
      <c r="C2012" s="40" t="inlineStr">
        <is>
          <t>BAC_CCE</t>
        </is>
      </c>
      <c r="D2012" s="40" t="inlineStr">
        <is>
          <t>B2</t>
        </is>
      </c>
      <c r="E2012" s="40" t="inlineStr">
        <is>
          <t>ALT</t>
        </is>
      </c>
      <c r="F2012" s="40" t="inlineStr">
        <is>
          <t>641100</t>
        </is>
      </c>
      <c r="G2012" s="39" t="inlineStr">
        <is>
          <t>Rémunérations du personnel permanent</t>
        </is>
      </c>
      <c r="H2012" s="40" t="inlineStr">
        <is>
          <t>COMPTABLE</t>
        </is>
      </c>
      <c r="I2012" s="41" t="inlineStr">
        <is>
          <t>2023ACT_VDEF</t>
        </is>
      </c>
      <c r="J2012" s="41" t="n">
        <v>2023</v>
      </c>
      <c r="K2012" s="41" t="inlineStr">
        <is>
          <t>EUR</t>
        </is>
      </c>
      <c r="L2012" s="42" t="n">
        <v>83520</v>
      </c>
    </row>
    <row r="2013">
      <c r="B2013" s="39" t="inlineStr">
        <is>
          <t>IPAC_REN</t>
        </is>
      </c>
      <c r="C2013" s="40" t="inlineStr">
        <is>
          <t>BAC_CCE</t>
        </is>
      </c>
      <c r="D2013" s="40" t="inlineStr">
        <is>
          <t>B2</t>
        </is>
      </c>
      <c r="E2013" s="40" t="inlineStr">
        <is>
          <t>ALT</t>
        </is>
      </c>
      <c r="F2013" s="40" t="inlineStr">
        <is>
          <t>641100</t>
        </is>
      </c>
      <c r="G2013" s="39" t="inlineStr">
        <is>
          <t>Rémunérations du personnel permanent</t>
        </is>
      </c>
      <c r="H2013" s="40" t="inlineStr">
        <is>
          <t>COMPTABLE</t>
        </is>
      </c>
      <c r="I2013" s="41" t="inlineStr">
        <is>
          <t>2024ACT_VDEF</t>
        </is>
      </c>
      <c r="J2013" s="41" t="n">
        <v>2024</v>
      </c>
      <c r="K2013" s="41" t="inlineStr">
        <is>
          <t>EUR</t>
        </is>
      </c>
      <c r="L2013" s="42" t="n">
        <v>88160</v>
      </c>
    </row>
    <row r="2014">
      <c r="B2014" s="39" t="inlineStr">
        <is>
          <t>IPAC_REN</t>
        </is>
      </c>
      <c r="C2014" s="40" t="inlineStr">
        <is>
          <t>BAC_CCE</t>
        </is>
      </c>
      <c r="D2014" s="40" t="inlineStr">
        <is>
          <t>B2</t>
        </is>
      </c>
      <c r="E2014" s="40" t="inlineStr">
        <is>
          <t>ALT</t>
        </is>
      </c>
      <c r="F2014" s="40" t="inlineStr">
        <is>
          <t>641100</t>
        </is>
      </c>
      <c r="G2014" s="39" t="inlineStr">
        <is>
          <t>Rémunérations du personnel permanent</t>
        </is>
      </c>
      <c r="H2014" s="40" t="inlineStr">
        <is>
          <t>COMPTABLE</t>
        </is>
      </c>
      <c r="I2014" s="41" t="inlineStr">
        <is>
          <t>2025FCST_V4</t>
        </is>
      </c>
      <c r="J2014" s="41" t="n">
        <v>2025</v>
      </c>
      <c r="K2014" s="41" t="inlineStr">
        <is>
          <t>EUR</t>
        </is>
      </c>
      <c r="L2014" s="42" t="n">
        <v>92800</v>
      </c>
    </row>
    <row r="2015">
      <c r="B2015" s="39" t="inlineStr">
        <is>
          <t>IPAC_REN</t>
        </is>
      </c>
      <c r="C2015" s="40" t="inlineStr">
        <is>
          <t>BAC_CCE</t>
        </is>
      </c>
      <c r="D2015" s="40" t="inlineStr">
        <is>
          <t>B2</t>
        </is>
      </c>
      <c r="E2015" s="40" t="inlineStr">
        <is>
          <t>ALT</t>
        </is>
      </c>
      <c r="F2015" s="40" t="inlineStr">
        <is>
          <t>622600</t>
        </is>
      </c>
      <c r="G2015" s="39" t="inlineStr">
        <is>
          <t>Honoraires &amp; frais de siège (structure groupe)</t>
        </is>
      </c>
      <c r="H2015" s="40" t="inlineStr">
        <is>
          <t>COMPTABLE</t>
        </is>
      </c>
      <c r="I2015" s="41" t="inlineStr">
        <is>
          <t>2023ACT_VDEF</t>
        </is>
      </c>
      <c r="J2015" s="41" t="n">
        <v>2023</v>
      </c>
      <c r="K2015" s="41" t="inlineStr">
        <is>
          <t>EUR</t>
        </is>
      </c>
      <c r="L2015" s="42" t="n">
        <v>30101</v>
      </c>
    </row>
    <row r="2016">
      <c r="B2016" s="39" t="inlineStr">
        <is>
          <t>IPAC_REN</t>
        </is>
      </c>
      <c r="C2016" s="40" t="inlineStr">
        <is>
          <t>BAC_CCE</t>
        </is>
      </c>
      <c r="D2016" s="40" t="inlineStr">
        <is>
          <t>B2</t>
        </is>
      </c>
      <c r="E2016" s="40" t="inlineStr">
        <is>
          <t>ALT</t>
        </is>
      </c>
      <c r="F2016" s="40" t="inlineStr">
        <is>
          <t>622600</t>
        </is>
      </c>
      <c r="G2016" s="39" t="inlineStr">
        <is>
          <t>Honoraires &amp; frais de siège (structure groupe)</t>
        </is>
      </c>
      <c r="H2016" s="40" t="inlineStr">
        <is>
          <t>COMPTABLE</t>
        </is>
      </c>
      <c r="I2016" s="41" t="inlineStr">
        <is>
          <t>2024ACT_VDEF</t>
        </is>
      </c>
      <c r="J2016" s="41" t="n">
        <v>2024</v>
      </c>
      <c r="K2016" s="41" t="inlineStr">
        <is>
          <t>EUR</t>
        </is>
      </c>
      <c r="L2016" s="42" t="n">
        <v>31774</v>
      </c>
    </row>
    <row r="2017">
      <c r="B2017" s="39" t="inlineStr">
        <is>
          <t>IPAC_REN</t>
        </is>
      </c>
      <c r="C2017" s="40" t="inlineStr">
        <is>
          <t>BAC_CCE</t>
        </is>
      </c>
      <c r="D2017" s="40" t="inlineStr">
        <is>
          <t>B2</t>
        </is>
      </c>
      <c r="E2017" s="40" t="inlineStr">
        <is>
          <t>ALT</t>
        </is>
      </c>
      <c r="F2017" s="40" t="inlineStr">
        <is>
          <t>622600</t>
        </is>
      </c>
      <c r="G2017" s="39" t="inlineStr">
        <is>
          <t>Honoraires &amp; frais de siège (structure groupe)</t>
        </is>
      </c>
      <c r="H2017" s="40" t="inlineStr">
        <is>
          <t>COMPTABLE</t>
        </is>
      </c>
      <c r="I2017" s="41" t="inlineStr">
        <is>
          <t>2025FCST_V4</t>
        </is>
      </c>
      <c r="J2017" s="41" t="n">
        <v>2025</v>
      </c>
      <c r="K2017" s="41" t="inlineStr">
        <is>
          <t>EUR</t>
        </is>
      </c>
      <c r="L2017" s="42" t="n">
        <v>33446</v>
      </c>
    </row>
    <row r="2018">
      <c r="B2018" s="39" t="inlineStr">
        <is>
          <t>IPAC_REN</t>
        </is>
      </c>
      <c r="C2018" s="40" t="inlineStr">
        <is>
          <t>BAC_CCE</t>
        </is>
      </c>
      <c r="D2018" s="40" t="inlineStr">
        <is>
          <t>B2</t>
        </is>
      </c>
      <c r="E2018" s="40" t="inlineStr">
        <is>
          <t>ALT</t>
        </is>
      </c>
      <c r="F2018" s="40" t="inlineStr">
        <is>
          <t>606800</t>
        </is>
      </c>
      <c r="G2018" s="39" t="inlineStr">
        <is>
          <t>Autres achats &amp; charges externes</t>
        </is>
      </c>
      <c r="H2018" s="40" t="inlineStr">
        <is>
          <t>COMPTABLE</t>
        </is>
      </c>
      <c r="I2018" s="41" t="inlineStr">
        <is>
          <t>2023ACT_VDEF</t>
        </is>
      </c>
      <c r="J2018" s="41" t="n">
        <v>2023</v>
      </c>
      <c r="K2018" s="41" t="inlineStr">
        <is>
          <t>EUR</t>
        </is>
      </c>
      <c r="L2018" s="42" t="n">
        <v>28580</v>
      </c>
    </row>
    <row r="2019">
      <c r="B2019" s="39" t="inlineStr">
        <is>
          <t>IPAC_REN</t>
        </is>
      </c>
      <c r="C2019" s="40" t="inlineStr">
        <is>
          <t>BAC_CCE</t>
        </is>
      </c>
      <c r="D2019" s="40" t="inlineStr">
        <is>
          <t>B2</t>
        </is>
      </c>
      <c r="E2019" s="40" t="inlineStr">
        <is>
          <t>ALT</t>
        </is>
      </c>
      <c r="F2019" s="40" t="inlineStr">
        <is>
          <t>606800</t>
        </is>
      </c>
      <c r="G2019" s="39" t="inlineStr">
        <is>
          <t>Autres achats &amp; charges externes</t>
        </is>
      </c>
      <c r="H2019" s="40" t="inlineStr">
        <is>
          <t>COMPTABLE</t>
        </is>
      </c>
      <c r="I2019" s="41" t="inlineStr">
        <is>
          <t>2024ACT_VDEF</t>
        </is>
      </c>
      <c r="J2019" s="41" t="n">
        <v>2024</v>
      </c>
      <c r="K2019" s="41" t="inlineStr">
        <is>
          <t>EUR</t>
        </is>
      </c>
      <c r="L2019" s="42" t="n">
        <v>30168</v>
      </c>
    </row>
    <row r="2020">
      <c r="B2020" s="39" t="inlineStr">
        <is>
          <t>IPAC_REN</t>
        </is>
      </c>
      <c r="C2020" s="40" t="inlineStr">
        <is>
          <t>BAC_CCE</t>
        </is>
      </c>
      <c r="D2020" s="40" t="inlineStr">
        <is>
          <t>B2</t>
        </is>
      </c>
      <c r="E2020" s="40" t="inlineStr">
        <is>
          <t>ALT</t>
        </is>
      </c>
      <c r="F2020" s="40" t="inlineStr">
        <is>
          <t>606800</t>
        </is>
      </c>
      <c r="G2020" s="39" t="inlineStr">
        <is>
          <t>Autres achats &amp; charges externes</t>
        </is>
      </c>
      <c r="H2020" s="40" t="inlineStr">
        <is>
          <t>COMPTABLE</t>
        </is>
      </c>
      <c r="I2020" s="41" t="inlineStr">
        <is>
          <t>2025FCST_V4</t>
        </is>
      </c>
      <c r="J2020" s="41" t="n">
        <v>2025</v>
      </c>
      <c r="K2020" s="41" t="inlineStr">
        <is>
          <t>EUR</t>
        </is>
      </c>
      <c r="L2020" s="42" t="n">
        <v>31756</v>
      </c>
    </row>
    <row r="2021">
      <c r="B2021" s="39" t="inlineStr">
        <is>
          <t>IPAC_REN</t>
        </is>
      </c>
      <c r="C2021" s="40" t="inlineStr">
        <is>
          <t>BAC_CCE</t>
        </is>
      </c>
      <c r="D2021" s="40" t="inlineStr">
        <is>
          <t>B2</t>
        </is>
      </c>
      <c r="E2021" s="40" t="inlineStr">
        <is>
          <t>ALT</t>
        </is>
      </c>
      <c r="F2021" s="40" t="inlineStr">
        <is>
          <t>681100</t>
        </is>
      </c>
      <c r="G2021" s="39" t="inlineStr">
        <is>
          <t>Dotations aux amortissements</t>
        </is>
      </c>
      <c r="H2021" s="40" t="inlineStr">
        <is>
          <t>COMPTABLE</t>
        </is>
      </c>
      <c r="I2021" s="41" t="inlineStr">
        <is>
          <t>2023ACT_VDEF</t>
        </is>
      </c>
      <c r="J2021" s="41" t="n">
        <v>2023</v>
      </c>
      <c r="K2021" s="41" t="inlineStr">
        <is>
          <t>EUR</t>
        </is>
      </c>
      <c r="L2021" s="42" t="n">
        <v>18000</v>
      </c>
    </row>
    <row r="2022">
      <c r="B2022" s="39" t="inlineStr">
        <is>
          <t>IPAC_REN</t>
        </is>
      </c>
      <c r="C2022" s="40" t="inlineStr">
        <is>
          <t>BAC_CCE</t>
        </is>
      </c>
      <c r="D2022" s="40" t="inlineStr">
        <is>
          <t>B2</t>
        </is>
      </c>
      <c r="E2022" s="40" t="inlineStr">
        <is>
          <t>ALT</t>
        </is>
      </c>
      <c r="F2022" s="40" t="inlineStr">
        <is>
          <t>681100</t>
        </is>
      </c>
      <c r="G2022" s="39" t="inlineStr">
        <is>
          <t>Dotations aux amortissements</t>
        </is>
      </c>
      <c r="H2022" s="40" t="inlineStr">
        <is>
          <t>COMPTABLE</t>
        </is>
      </c>
      <c r="I2022" s="41" t="inlineStr">
        <is>
          <t>2024ACT_VDEF</t>
        </is>
      </c>
      <c r="J2022" s="41" t="n">
        <v>2024</v>
      </c>
      <c r="K2022" s="41" t="inlineStr">
        <is>
          <t>EUR</t>
        </is>
      </c>
      <c r="L2022" s="42" t="n">
        <v>19000</v>
      </c>
    </row>
    <row r="2023">
      <c r="B2023" s="39" t="inlineStr">
        <is>
          <t>IPAC_REN</t>
        </is>
      </c>
      <c r="C2023" s="40" t="inlineStr">
        <is>
          <t>BAC_CCE</t>
        </is>
      </c>
      <c r="D2023" s="40" t="inlineStr">
        <is>
          <t>B2</t>
        </is>
      </c>
      <c r="E2023" s="40" t="inlineStr">
        <is>
          <t>ALT</t>
        </is>
      </c>
      <c r="F2023" s="40" t="inlineStr">
        <is>
          <t>681100</t>
        </is>
      </c>
      <c r="G2023" s="39" t="inlineStr">
        <is>
          <t>Dotations aux amortissements</t>
        </is>
      </c>
      <c r="H2023" s="40" t="inlineStr">
        <is>
          <t>COMPTABLE</t>
        </is>
      </c>
      <c r="I2023" s="41" t="inlineStr">
        <is>
          <t>2025FCST_V4</t>
        </is>
      </c>
      <c r="J2023" s="41" t="n">
        <v>2025</v>
      </c>
      <c r="K2023" s="41" t="inlineStr">
        <is>
          <t>EUR</t>
        </is>
      </c>
      <c r="L2023" s="42" t="n">
        <v>20000</v>
      </c>
    </row>
    <row r="2024">
      <c r="B2024" s="39" t="inlineStr">
        <is>
          <t>IPAC_REN</t>
        </is>
      </c>
      <c r="C2024" s="40" t="inlineStr">
        <is>
          <t>BAC_CCE</t>
        </is>
      </c>
      <c r="D2024" s="40" t="inlineStr">
        <is>
          <t>B2</t>
        </is>
      </c>
      <c r="E2024" s="40" t="inlineStr">
        <is>
          <t>ALT</t>
        </is>
      </c>
      <c r="F2024" s="40" t="inlineStr">
        <is>
          <t>STA_EFF</t>
        </is>
      </c>
      <c r="G2024" s="39" t="inlineStr">
        <is>
          <t>Effectif inscrit</t>
        </is>
      </c>
      <c r="H2024" s="40" t="inlineStr">
        <is>
          <t>TECHNIQUE</t>
        </is>
      </c>
      <c r="I2024" s="41" t="inlineStr">
        <is>
          <t>2023ACT_VDEF</t>
        </is>
      </c>
      <c r="J2024" s="41" t="n">
        <v>2023</v>
      </c>
      <c r="K2024" s="41" t="inlineStr">
        <is>
          <t>NB</t>
        </is>
      </c>
      <c r="L2024" s="43" t="n">
        <v>31</v>
      </c>
    </row>
    <row r="2025">
      <c r="B2025" s="39" t="inlineStr">
        <is>
          <t>IPAC_REN</t>
        </is>
      </c>
      <c r="C2025" s="40" t="inlineStr">
        <is>
          <t>BAC_CCE</t>
        </is>
      </c>
      <c r="D2025" s="40" t="inlineStr">
        <is>
          <t>B2</t>
        </is>
      </c>
      <c r="E2025" s="40" t="inlineStr">
        <is>
          <t>ALT</t>
        </is>
      </c>
      <c r="F2025" s="40" t="inlineStr">
        <is>
          <t>STA_EFF</t>
        </is>
      </c>
      <c r="G2025" s="39" t="inlineStr">
        <is>
          <t>Effectif inscrit</t>
        </is>
      </c>
      <c r="H2025" s="40" t="inlineStr">
        <is>
          <t>TECHNIQUE</t>
        </is>
      </c>
      <c r="I2025" s="41" t="inlineStr">
        <is>
          <t>2024ACT_VDEF</t>
        </is>
      </c>
      <c r="J2025" s="41" t="n">
        <v>2024</v>
      </c>
      <c r="K2025" s="41" t="inlineStr">
        <is>
          <t>NB</t>
        </is>
      </c>
      <c r="L2025" s="43" t="n">
        <v>32</v>
      </c>
    </row>
    <row r="2026">
      <c r="B2026" s="39" t="inlineStr">
        <is>
          <t>IPAC_REN</t>
        </is>
      </c>
      <c r="C2026" s="40" t="inlineStr">
        <is>
          <t>BAC_CCE</t>
        </is>
      </c>
      <c r="D2026" s="40" t="inlineStr">
        <is>
          <t>B2</t>
        </is>
      </c>
      <c r="E2026" s="40" t="inlineStr">
        <is>
          <t>ALT</t>
        </is>
      </c>
      <c r="F2026" s="40" t="inlineStr">
        <is>
          <t>STA_EFF</t>
        </is>
      </c>
      <c r="G2026" s="39" t="inlineStr">
        <is>
          <t>Effectif inscrit</t>
        </is>
      </c>
      <c r="H2026" s="40" t="inlineStr">
        <is>
          <t>TECHNIQUE</t>
        </is>
      </c>
      <c r="I2026" s="41" t="inlineStr">
        <is>
          <t>2025FCST_V4</t>
        </is>
      </c>
      <c r="J2026" s="41" t="n">
        <v>2025</v>
      </c>
      <c r="K2026" s="41" t="inlineStr">
        <is>
          <t>NB</t>
        </is>
      </c>
      <c r="L2026" s="43" t="n">
        <v>34</v>
      </c>
    </row>
    <row r="2027">
      <c r="B2027" s="39" t="inlineStr">
        <is>
          <t>IPAC_REN</t>
        </is>
      </c>
      <c r="C2027" s="40" t="inlineStr">
        <is>
          <t>BAC_CCE</t>
        </is>
      </c>
      <c r="D2027" s="40" t="inlineStr">
        <is>
          <t>B2</t>
        </is>
      </c>
      <c r="E2027" s="40" t="inlineStr">
        <is>
          <t>ALT</t>
        </is>
      </c>
      <c r="F2027" s="40" t="inlineStr">
        <is>
          <t>STA_REINS</t>
        </is>
      </c>
      <c r="G2027" s="39" t="inlineStr">
        <is>
          <t>Réinscrits</t>
        </is>
      </c>
      <c r="H2027" s="40" t="inlineStr">
        <is>
          <t>TECHNIQUE</t>
        </is>
      </c>
      <c r="I2027" s="41" t="inlineStr">
        <is>
          <t>2023ACT_VDEF</t>
        </is>
      </c>
      <c r="J2027" s="41" t="n">
        <v>2023</v>
      </c>
      <c r="K2027" s="41" t="inlineStr">
        <is>
          <t>NB</t>
        </is>
      </c>
      <c r="L2027" s="43" t="n">
        <v>31</v>
      </c>
    </row>
    <row r="2028">
      <c r="B2028" s="39" t="inlineStr">
        <is>
          <t>IPAC_REN</t>
        </is>
      </c>
      <c r="C2028" s="40" t="inlineStr">
        <is>
          <t>BAC_CCE</t>
        </is>
      </c>
      <c r="D2028" s="40" t="inlineStr">
        <is>
          <t>B2</t>
        </is>
      </c>
      <c r="E2028" s="40" t="inlineStr">
        <is>
          <t>ALT</t>
        </is>
      </c>
      <c r="F2028" s="40" t="inlineStr">
        <is>
          <t>STA_REINS</t>
        </is>
      </c>
      <c r="G2028" s="39" t="inlineStr">
        <is>
          <t>Réinscrits</t>
        </is>
      </c>
      <c r="H2028" s="40" t="inlineStr">
        <is>
          <t>TECHNIQUE</t>
        </is>
      </c>
      <c r="I2028" s="41" t="inlineStr">
        <is>
          <t>2024ACT_VDEF</t>
        </is>
      </c>
      <c r="J2028" s="41" t="n">
        <v>2024</v>
      </c>
      <c r="K2028" s="41" t="inlineStr">
        <is>
          <t>NB</t>
        </is>
      </c>
      <c r="L2028" s="43" t="n">
        <v>32</v>
      </c>
    </row>
    <row r="2029">
      <c r="B2029" s="39" t="inlineStr">
        <is>
          <t>IPAC_REN</t>
        </is>
      </c>
      <c r="C2029" s="40" t="inlineStr">
        <is>
          <t>BAC_CCE</t>
        </is>
      </c>
      <c r="D2029" s="40" t="inlineStr">
        <is>
          <t>B2</t>
        </is>
      </c>
      <c r="E2029" s="40" t="inlineStr">
        <is>
          <t>ALT</t>
        </is>
      </c>
      <c r="F2029" s="40" t="inlineStr">
        <is>
          <t>STA_REINS</t>
        </is>
      </c>
      <c r="G2029" s="39" t="inlineStr">
        <is>
          <t>Réinscrits</t>
        </is>
      </c>
      <c r="H2029" s="40" t="inlineStr">
        <is>
          <t>TECHNIQUE</t>
        </is>
      </c>
      <c r="I2029" s="41" t="inlineStr">
        <is>
          <t>2025FCST_V4</t>
        </is>
      </c>
      <c r="J2029" s="41" t="n">
        <v>2025</v>
      </c>
      <c r="K2029" s="41" t="inlineStr">
        <is>
          <t>NB</t>
        </is>
      </c>
      <c r="L2029" s="43" t="n">
        <v>34</v>
      </c>
    </row>
    <row r="2030">
      <c r="B2030" s="39" t="inlineStr">
        <is>
          <t>IPAC_REN</t>
        </is>
      </c>
      <c r="C2030" s="40" t="inlineStr">
        <is>
          <t>BAC_CCE</t>
        </is>
      </c>
      <c r="D2030" s="40" t="inlineStr">
        <is>
          <t>B2</t>
        </is>
      </c>
      <c r="E2030" s="40" t="inlineStr">
        <is>
          <t>ALT</t>
        </is>
      </c>
      <c r="F2030" s="40" t="inlineStr">
        <is>
          <t>STA_CLASS</t>
        </is>
      </c>
      <c r="G2030" s="39" t="inlineStr">
        <is>
          <t>Nombre de classes</t>
        </is>
      </c>
      <c r="H2030" s="40" t="inlineStr">
        <is>
          <t>TECHNIQUE</t>
        </is>
      </c>
      <c r="I2030" s="41" t="inlineStr">
        <is>
          <t>2023ACT_VDEF</t>
        </is>
      </c>
      <c r="J2030" s="41" t="n">
        <v>2023</v>
      </c>
      <c r="K2030" s="41" t="inlineStr">
        <is>
          <t>NB</t>
        </is>
      </c>
      <c r="L2030" s="43" t="n">
        <v>2</v>
      </c>
    </row>
    <row r="2031">
      <c r="B2031" s="39" t="inlineStr">
        <is>
          <t>IPAC_REN</t>
        </is>
      </c>
      <c r="C2031" s="40" t="inlineStr">
        <is>
          <t>BAC_CCE</t>
        </is>
      </c>
      <c r="D2031" s="40" t="inlineStr">
        <is>
          <t>B2</t>
        </is>
      </c>
      <c r="E2031" s="40" t="inlineStr">
        <is>
          <t>ALT</t>
        </is>
      </c>
      <c r="F2031" s="40" t="inlineStr">
        <is>
          <t>STA_CLASS</t>
        </is>
      </c>
      <c r="G2031" s="39" t="inlineStr">
        <is>
          <t>Nombre de classes</t>
        </is>
      </c>
      <c r="H2031" s="40" t="inlineStr">
        <is>
          <t>TECHNIQUE</t>
        </is>
      </c>
      <c r="I2031" s="41" t="inlineStr">
        <is>
          <t>2024ACT_VDEF</t>
        </is>
      </c>
      <c r="J2031" s="41" t="n">
        <v>2024</v>
      </c>
      <c r="K2031" s="41" t="inlineStr">
        <is>
          <t>NB</t>
        </is>
      </c>
      <c r="L2031" s="43" t="n">
        <v>2</v>
      </c>
    </row>
    <row r="2032">
      <c r="B2032" s="39" t="inlineStr">
        <is>
          <t>IPAC_REN</t>
        </is>
      </c>
      <c r="C2032" s="40" t="inlineStr">
        <is>
          <t>BAC_CCE</t>
        </is>
      </c>
      <c r="D2032" s="40" t="inlineStr">
        <is>
          <t>B2</t>
        </is>
      </c>
      <c r="E2032" s="40" t="inlineStr">
        <is>
          <t>ALT</t>
        </is>
      </c>
      <c r="F2032" s="40" t="inlineStr">
        <is>
          <t>STA_CLASS</t>
        </is>
      </c>
      <c r="G2032" s="39" t="inlineStr">
        <is>
          <t>Nombre de classes</t>
        </is>
      </c>
      <c r="H2032" s="40" t="inlineStr">
        <is>
          <t>TECHNIQUE</t>
        </is>
      </c>
      <c r="I2032" s="41" t="inlineStr">
        <is>
          <t>2025FCST_V4</t>
        </is>
      </c>
      <c r="J2032" s="41" t="n">
        <v>2025</v>
      </c>
      <c r="K2032" s="41" t="inlineStr">
        <is>
          <t>NB</t>
        </is>
      </c>
      <c r="L2032" s="43" t="n">
        <v>2</v>
      </c>
    </row>
    <row r="2033">
      <c r="B2033" s="39" t="inlineStr">
        <is>
          <t>IPAC_REN</t>
        </is>
      </c>
      <c r="C2033" s="40" t="inlineStr">
        <is>
          <t>BAC_CCE</t>
        </is>
      </c>
      <c r="D2033" s="40" t="inlineStr">
        <is>
          <t>B2</t>
        </is>
      </c>
      <c r="E2033" s="40" t="inlineStr">
        <is>
          <t>ALT</t>
        </is>
      </c>
      <c r="F2033" s="40" t="inlineStr">
        <is>
          <t>STA_HEURE</t>
        </is>
      </c>
      <c r="G2033" s="39" t="inlineStr">
        <is>
          <t>Heures d'enseignement</t>
        </is>
      </c>
      <c r="H2033" s="40" t="inlineStr">
        <is>
          <t>TECHNIQUE</t>
        </is>
      </c>
      <c r="I2033" s="41" t="inlineStr">
        <is>
          <t>2023ACT_VDEF</t>
        </is>
      </c>
      <c r="J2033" s="41" t="n">
        <v>2023</v>
      </c>
      <c r="K2033" s="41" t="inlineStr">
        <is>
          <t>NB</t>
        </is>
      </c>
      <c r="L2033" s="43" t="n">
        <v>1008</v>
      </c>
    </row>
    <row r="2034">
      <c r="B2034" s="39" t="inlineStr">
        <is>
          <t>IPAC_REN</t>
        </is>
      </c>
      <c r="C2034" s="40" t="inlineStr">
        <is>
          <t>BAC_CCE</t>
        </is>
      </c>
      <c r="D2034" s="40" t="inlineStr">
        <is>
          <t>B2</t>
        </is>
      </c>
      <c r="E2034" s="40" t="inlineStr">
        <is>
          <t>ALT</t>
        </is>
      </c>
      <c r="F2034" s="40" t="inlineStr">
        <is>
          <t>STA_HEURE</t>
        </is>
      </c>
      <c r="G2034" s="39" t="inlineStr">
        <is>
          <t>Heures d'enseignement</t>
        </is>
      </c>
      <c r="H2034" s="40" t="inlineStr">
        <is>
          <t>TECHNIQUE</t>
        </is>
      </c>
      <c r="I2034" s="41" t="inlineStr">
        <is>
          <t>2024ACT_VDEF</t>
        </is>
      </c>
      <c r="J2034" s="41" t="n">
        <v>2024</v>
      </c>
      <c r="K2034" s="41" t="inlineStr">
        <is>
          <t>NB</t>
        </is>
      </c>
      <c r="L2034" s="43" t="n">
        <v>1064</v>
      </c>
    </row>
    <row r="2035">
      <c r="B2035" s="39" t="inlineStr">
        <is>
          <t>IPAC_REN</t>
        </is>
      </c>
      <c r="C2035" s="40" t="inlineStr">
        <is>
          <t>BAC_CCE</t>
        </is>
      </c>
      <c r="D2035" s="40" t="inlineStr">
        <is>
          <t>B2</t>
        </is>
      </c>
      <c r="E2035" s="40" t="inlineStr">
        <is>
          <t>ALT</t>
        </is>
      </c>
      <c r="F2035" s="40" t="inlineStr">
        <is>
          <t>STA_HEURE</t>
        </is>
      </c>
      <c r="G2035" s="39" t="inlineStr">
        <is>
          <t>Heures d'enseignement</t>
        </is>
      </c>
      <c r="H2035" s="40" t="inlineStr">
        <is>
          <t>TECHNIQUE</t>
        </is>
      </c>
      <c r="I2035" s="41" t="inlineStr">
        <is>
          <t>2025FCST_V4</t>
        </is>
      </c>
      <c r="J2035" s="41" t="n">
        <v>2025</v>
      </c>
      <c r="K2035" s="41" t="inlineStr">
        <is>
          <t>NB</t>
        </is>
      </c>
      <c r="L2035" s="43" t="n">
        <v>1120</v>
      </c>
    </row>
    <row r="2036">
      <c r="B2036" s="39" t="inlineStr">
        <is>
          <t>IPAC_REN</t>
        </is>
      </c>
      <c r="C2036" s="40" t="inlineStr">
        <is>
          <t>BAC_CCE</t>
        </is>
      </c>
      <c r="D2036" s="40" t="inlineStr">
        <is>
          <t>B2</t>
        </is>
      </c>
      <c r="E2036" s="40" t="inlineStr">
        <is>
          <t>ALT</t>
        </is>
      </c>
      <c r="F2036" s="40" t="inlineStr">
        <is>
          <t>STA_CAPA</t>
        </is>
      </c>
      <c r="G2036" s="39" t="inlineStr">
        <is>
          <t>Capacité par classe</t>
        </is>
      </c>
      <c r="H2036" s="40" t="inlineStr">
        <is>
          <t>TECHNIQUE</t>
        </is>
      </c>
      <c r="I2036" s="41" t="inlineStr">
        <is>
          <t>2023ACT_VDEF</t>
        </is>
      </c>
      <c r="J2036" s="41" t="n">
        <v>2023</v>
      </c>
      <c r="K2036" s="41" t="inlineStr">
        <is>
          <t>NB</t>
        </is>
      </c>
      <c r="L2036" s="43" t="n">
        <v>32</v>
      </c>
    </row>
    <row r="2037">
      <c r="B2037" s="39" t="inlineStr">
        <is>
          <t>IPAC_REN</t>
        </is>
      </c>
      <c r="C2037" s="40" t="inlineStr">
        <is>
          <t>BAC_CCE</t>
        </is>
      </c>
      <c r="D2037" s="40" t="inlineStr">
        <is>
          <t>B2</t>
        </is>
      </c>
      <c r="E2037" s="40" t="inlineStr">
        <is>
          <t>ALT</t>
        </is>
      </c>
      <c r="F2037" s="40" t="inlineStr">
        <is>
          <t>STA_CAPA</t>
        </is>
      </c>
      <c r="G2037" s="39" t="inlineStr">
        <is>
          <t>Capacité par classe</t>
        </is>
      </c>
      <c r="H2037" s="40" t="inlineStr">
        <is>
          <t>TECHNIQUE</t>
        </is>
      </c>
      <c r="I2037" s="41" t="inlineStr">
        <is>
          <t>2024ACT_VDEF</t>
        </is>
      </c>
      <c r="J2037" s="41" t="n">
        <v>2024</v>
      </c>
      <c r="K2037" s="41" t="inlineStr">
        <is>
          <t>NB</t>
        </is>
      </c>
      <c r="L2037" s="43" t="n">
        <v>32</v>
      </c>
    </row>
    <row r="2038">
      <c r="B2038" s="39" t="inlineStr">
        <is>
          <t>IPAC_REN</t>
        </is>
      </c>
      <c r="C2038" s="40" t="inlineStr">
        <is>
          <t>BAC_CCE</t>
        </is>
      </c>
      <c r="D2038" s="40" t="inlineStr">
        <is>
          <t>B2</t>
        </is>
      </c>
      <c r="E2038" s="40" t="inlineStr">
        <is>
          <t>ALT</t>
        </is>
      </c>
      <c r="F2038" s="40" t="inlineStr">
        <is>
          <t>STA_CAPA</t>
        </is>
      </c>
      <c r="G2038" s="39" t="inlineStr">
        <is>
          <t>Capacité par classe</t>
        </is>
      </c>
      <c r="H2038" s="40" t="inlineStr">
        <is>
          <t>TECHNIQUE</t>
        </is>
      </c>
      <c r="I2038" s="41" t="inlineStr">
        <is>
          <t>2025FCST_V4</t>
        </is>
      </c>
      <c r="J2038" s="41" t="n">
        <v>2025</v>
      </c>
      <c r="K2038" s="41" t="inlineStr">
        <is>
          <t>NB</t>
        </is>
      </c>
      <c r="L2038" s="43" t="n">
        <v>32</v>
      </c>
    </row>
    <row r="2039">
      <c r="B2039" s="39" t="inlineStr">
        <is>
          <t>IPAC_REN</t>
        </is>
      </c>
      <c r="C2039" s="40" t="inlineStr">
        <is>
          <t>BAC_CCE</t>
        </is>
      </c>
      <c r="D2039" s="40" t="inlineStr">
        <is>
          <t>B2</t>
        </is>
      </c>
      <c r="E2039" s="40" t="inlineStr">
        <is>
          <t>ALT</t>
        </is>
      </c>
      <c r="F2039" s="40" t="inlineStr">
        <is>
          <t>DRV_PASS</t>
        </is>
      </c>
      <c r="G2039" s="39" t="inlineStr">
        <is>
          <t>Taux de passage (réinscription)</t>
        </is>
      </c>
      <c r="H2039" s="40" t="inlineStr">
        <is>
          <t>TECHNIQUE</t>
        </is>
      </c>
      <c r="I2039" s="41" t="inlineStr">
        <is>
          <t>2023ACT_VDEF</t>
        </is>
      </c>
      <c r="J2039" s="41" t="n">
        <v>2023</v>
      </c>
      <c r="K2039" s="41" t="inlineStr">
        <is>
          <t>PCT</t>
        </is>
      </c>
      <c r="L2039" s="44" t="n">
        <v>0.93</v>
      </c>
    </row>
    <row r="2040">
      <c r="B2040" s="39" t="inlineStr">
        <is>
          <t>IPAC_REN</t>
        </is>
      </c>
      <c r="C2040" s="40" t="inlineStr">
        <is>
          <t>BAC_CCE</t>
        </is>
      </c>
      <c r="D2040" s="40" t="inlineStr">
        <is>
          <t>B2</t>
        </is>
      </c>
      <c r="E2040" s="40" t="inlineStr">
        <is>
          <t>ALT</t>
        </is>
      </c>
      <c r="F2040" s="40" t="inlineStr">
        <is>
          <t>DRV_PASS</t>
        </is>
      </c>
      <c r="G2040" s="39" t="inlineStr">
        <is>
          <t>Taux de passage (réinscription)</t>
        </is>
      </c>
      <c r="H2040" s="40" t="inlineStr">
        <is>
          <t>TECHNIQUE</t>
        </is>
      </c>
      <c r="I2040" s="41" t="inlineStr">
        <is>
          <t>2024ACT_VDEF</t>
        </is>
      </c>
      <c r="J2040" s="41" t="n">
        <v>2024</v>
      </c>
      <c r="K2040" s="41" t="inlineStr">
        <is>
          <t>PCT</t>
        </is>
      </c>
      <c r="L2040" s="44" t="n">
        <v>0.93</v>
      </c>
    </row>
    <row r="2041">
      <c r="B2041" s="39" t="inlineStr">
        <is>
          <t>IPAC_REN</t>
        </is>
      </c>
      <c r="C2041" s="40" t="inlineStr">
        <is>
          <t>BAC_CCE</t>
        </is>
      </c>
      <c r="D2041" s="40" t="inlineStr">
        <is>
          <t>B2</t>
        </is>
      </c>
      <c r="E2041" s="40" t="inlineStr">
        <is>
          <t>ALT</t>
        </is>
      </c>
      <c r="F2041" s="40" t="inlineStr">
        <is>
          <t>DRV_PASS</t>
        </is>
      </c>
      <c r="G2041" s="39" t="inlineStr">
        <is>
          <t>Taux de passage (réinscription)</t>
        </is>
      </c>
      <c r="H2041" s="40" t="inlineStr">
        <is>
          <t>TECHNIQUE</t>
        </is>
      </c>
      <c r="I2041" s="41" t="inlineStr">
        <is>
          <t>2025FCST_V4</t>
        </is>
      </c>
      <c r="J2041" s="41" t="n">
        <v>2025</v>
      </c>
      <c r="K2041" s="41" t="inlineStr">
        <is>
          <t>PCT</t>
        </is>
      </c>
      <c r="L2041" s="44" t="n">
        <v>0.93</v>
      </c>
    </row>
    <row r="2042">
      <c r="B2042" s="39" t="inlineStr">
        <is>
          <t>IPAC_REN</t>
        </is>
      </c>
      <c r="C2042" s="40" t="inlineStr">
        <is>
          <t>BAC_CCE</t>
        </is>
      </c>
      <c r="D2042" s="40" t="inlineStr">
        <is>
          <t>B2</t>
        </is>
      </c>
      <c r="E2042" s="40" t="inlineStr">
        <is>
          <t>ALT</t>
        </is>
      </c>
      <c r="F2042" s="40" t="inlineStr">
        <is>
          <t>PRX_TARIF</t>
        </is>
      </c>
      <c r="G2042" s="39" t="inlineStr">
        <is>
          <t>Tarif moyen scolarité</t>
        </is>
      </c>
      <c r="H2042" s="40" t="inlineStr">
        <is>
          <t>TECHNIQUE</t>
        </is>
      </c>
      <c r="I2042" s="41" t="inlineStr">
        <is>
          <t>2023ACT_VDEF</t>
        </is>
      </c>
      <c r="J2042" s="41" t="n">
        <v>2023</v>
      </c>
      <c r="K2042" s="41" t="inlineStr">
        <is>
          <t>EUR</t>
        </is>
      </c>
      <c r="L2042" s="42" t="n">
        <v>8000</v>
      </c>
    </row>
    <row r="2043">
      <c r="B2043" s="39" t="inlineStr">
        <is>
          <t>IPAC_REN</t>
        </is>
      </c>
      <c r="C2043" s="40" t="inlineStr">
        <is>
          <t>BAC_CCE</t>
        </is>
      </c>
      <c r="D2043" s="40" t="inlineStr">
        <is>
          <t>B2</t>
        </is>
      </c>
      <c r="E2043" s="40" t="inlineStr">
        <is>
          <t>ALT</t>
        </is>
      </c>
      <c r="F2043" s="40" t="inlineStr">
        <is>
          <t>PRX_TARIF</t>
        </is>
      </c>
      <c r="G2043" s="39" t="inlineStr">
        <is>
          <t>Tarif moyen scolarité</t>
        </is>
      </c>
      <c r="H2043" s="40" t="inlineStr">
        <is>
          <t>TECHNIQUE</t>
        </is>
      </c>
      <c r="I2043" s="41" t="inlineStr">
        <is>
          <t>2024ACT_VDEF</t>
        </is>
      </c>
      <c r="J2043" s="41" t="n">
        <v>2024</v>
      </c>
      <c r="K2043" s="41" t="inlineStr">
        <is>
          <t>EUR</t>
        </is>
      </c>
      <c r="L2043" s="42" t="n">
        <v>8000</v>
      </c>
    </row>
    <row r="2044">
      <c r="B2044" s="39" t="inlineStr">
        <is>
          <t>IPAC_REN</t>
        </is>
      </c>
      <c r="C2044" s="40" t="inlineStr">
        <is>
          <t>BAC_CCE</t>
        </is>
      </c>
      <c r="D2044" s="40" t="inlineStr">
        <is>
          <t>B2</t>
        </is>
      </c>
      <c r="E2044" s="40" t="inlineStr">
        <is>
          <t>ALT</t>
        </is>
      </c>
      <c r="F2044" s="40" t="inlineStr">
        <is>
          <t>PRX_TARIF</t>
        </is>
      </c>
      <c r="G2044" s="39" t="inlineStr">
        <is>
          <t>Tarif moyen scolarité</t>
        </is>
      </c>
      <c r="H2044" s="40" t="inlineStr">
        <is>
          <t>TECHNIQUE</t>
        </is>
      </c>
      <c r="I2044" s="41" t="inlineStr">
        <is>
          <t>2025FCST_V4</t>
        </is>
      </c>
      <c r="J2044" s="41" t="n">
        <v>2025</v>
      </c>
      <c r="K2044" s="41" t="inlineStr">
        <is>
          <t>EUR</t>
        </is>
      </c>
      <c r="L2044" s="42" t="n">
        <v>8000</v>
      </c>
    </row>
    <row r="2045">
      <c r="B2045" s="39" t="inlineStr">
        <is>
          <t>IPAC_REN</t>
        </is>
      </c>
      <c r="C2045" s="40" t="inlineStr">
        <is>
          <t>BAC_CCE</t>
        </is>
      </c>
      <c r="D2045" s="40" t="inlineStr">
        <is>
          <t>B3</t>
        </is>
      </c>
      <c r="E2045" s="40" t="inlineStr">
        <is>
          <t>ALT</t>
        </is>
      </c>
      <c r="F2045" s="40" t="inlineStr">
        <is>
          <t>706100</t>
        </is>
      </c>
      <c r="G2045" s="39" t="inlineStr">
        <is>
          <t>Droits de scolarité</t>
        </is>
      </c>
      <c r="H2045" s="40" t="inlineStr">
        <is>
          <t>COMPTABLE</t>
        </is>
      </c>
      <c r="I2045" s="41" t="inlineStr">
        <is>
          <t>2023ACT_VDEF</t>
        </is>
      </c>
      <c r="J2045" s="41" t="n">
        <v>2023</v>
      </c>
      <c r="K2045" s="41" t="inlineStr">
        <is>
          <t>EUR</t>
        </is>
      </c>
      <c r="L2045" s="42" t="n">
        <v>216000</v>
      </c>
    </row>
    <row r="2046">
      <c r="B2046" s="39" t="inlineStr">
        <is>
          <t>IPAC_REN</t>
        </is>
      </c>
      <c r="C2046" s="40" t="inlineStr">
        <is>
          <t>BAC_CCE</t>
        </is>
      </c>
      <c r="D2046" s="40" t="inlineStr">
        <is>
          <t>B3</t>
        </is>
      </c>
      <c r="E2046" s="40" t="inlineStr">
        <is>
          <t>ALT</t>
        </is>
      </c>
      <c r="F2046" s="40" t="inlineStr">
        <is>
          <t>706100</t>
        </is>
      </c>
      <c r="G2046" s="39" t="inlineStr">
        <is>
          <t>Droits de scolarité</t>
        </is>
      </c>
      <c r="H2046" s="40" t="inlineStr">
        <is>
          <t>COMPTABLE</t>
        </is>
      </c>
      <c r="I2046" s="41" t="inlineStr">
        <is>
          <t>2024ACT_VDEF</t>
        </is>
      </c>
      <c r="J2046" s="41" t="n">
        <v>2024</v>
      </c>
      <c r="K2046" s="41" t="inlineStr">
        <is>
          <t>EUR</t>
        </is>
      </c>
      <c r="L2046" s="42" t="n">
        <v>228000</v>
      </c>
    </row>
    <row r="2047">
      <c r="B2047" s="39" t="inlineStr">
        <is>
          <t>IPAC_REN</t>
        </is>
      </c>
      <c r="C2047" s="40" t="inlineStr">
        <is>
          <t>BAC_CCE</t>
        </is>
      </c>
      <c r="D2047" s="40" t="inlineStr">
        <is>
          <t>B3</t>
        </is>
      </c>
      <c r="E2047" s="40" t="inlineStr">
        <is>
          <t>ALT</t>
        </is>
      </c>
      <c r="F2047" s="40" t="inlineStr">
        <is>
          <t>706100</t>
        </is>
      </c>
      <c r="G2047" s="39" t="inlineStr">
        <is>
          <t>Droits de scolarité</t>
        </is>
      </c>
      <c r="H2047" s="40" t="inlineStr">
        <is>
          <t>COMPTABLE</t>
        </is>
      </c>
      <c r="I2047" s="41" t="inlineStr">
        <is>
          <t>2025FCST_V4</t>
        </is>
      </c>
      <c r="J2047" s="41" t="n">
        <v>2025</v>
      </c>
      <c r="K2047" s="41" t="inlineStr">
        <is>
          <t>EUR</t>
        </is>
      </c>
      <c r="L2047" s="42" t="n">
        <v>240000</v>
      </c>
    </row>
    <row r="2048">
      <c r="B2048" s="39" t="inlineStr">
        <is>
          <t>IPAC_REN</t>
        </is>
      </c>
      <c r="C2048" s="40" t="inlineStr">
        <is>
          <t>BAC_CCE</t>
        </is>
      </c>
      <c r="D2048" s="40" t="inlineStr">
        <is>
          <t>B3</t>
        </is>
      </c>
      <c r="E2048" s="40" t="inlineStr">
        <is>
          <t>ALT</t>
        </is>
      </c>
      <c r="F2048" s="40" t="inlineStr">
        <is>
          <t>604100</t>
        </is>
      </c>
      <c r="G2048" s="39" t="inlineStr">
        <is>
          <t>Vacations &amp; sous-traitance pédagogique</t>
        </is>
      </c>
      <c r="H2048" s="40" t="inlineStr">
        <is>
          <t>COMPTABLE</t>
        </is>
      </c>
      <c r="I2048" s="41" t="inlineStr">
        <is>
          <t>2023ACT_VDEF</t>
        </is>
      </c>
      <c r="J2048" s="41" t="n">
        <v>2023</v>
      </c>
      <c r="K2048" s="41" t="inlineStr">
        <is>
          <t>EUR</t>
        </is>
      </c>
      <c r="L2048" s="42" t="n">
        <v>27144</v>
      </c>
    </row>
    <row r="2049">
      <c r="B2049" s="39" t="inlineStr">
        <is>
          <t>IPAC_REN</t>
        </is>
      </c>
      <c r="C2049" s="40" t="inlineStr">
        <is>
          <t>BAC_CCE</t>
        </is>
      </c>
      <c r="D2049" s="40" t="inlineStr">
        <is>
          <t>B3</t>
        </is>
      </c>
      <c r="E2049" s="40" t="inlineStr">
        <is>
          <t>ALT</t>
        </is>
      </c>
      <c r="F2049" s="40" t="inlineStr">
        <is>
          <t>604100</t>
        </is>
      </c>
      <c r="G2049" s="39" t="inlineStr">
        <is>
          <t>Vacations &amp; sous-traitance pédagogique</t>
        </is>
      </c>
      <c r="H2049" s="40" t="inlineStr">
        <is>
          <t>COMPTABLE</t>
        </is>
      </c>
      <c r="I2049" s="41" t="inlineStr">
        <is>
          <t>2024ACT_VDEF</t>
        </is>
      </c>
      <c r="J2049" s="41" t="n">
        <v>2024</v>
      </c>
      <c r="K2049" s="41" t="inlineStr">
        <is>
          <t>EUR</t>
        </is>
      </c>
      <c r="L2049" s="42" t="n">
        <v>28652</v>
      </c>
    </row>
    <row r="2050">
      <c r="B2050" s="39" t="inlineStr">
        <is>
          <t>IPAC_REN</t>
        </is>
      </c>
      <c r="C2050" s="40" t="inlineStr">
        <is>
          <t>BAC_CCE</t>
        </is>
      </c>
      <c r="D2050" s="40" t="inlineStr">
        <is>
          <t>B3</t>
        </is>
      </c>
      <c r="E2050" s="40" t="inlineStr">
        <is>
          <t>ALT</t>
        </is>
      </c>
      <c r="F2050" s="40" t="inlineStr">
        <is>
          <t>604100</t>
        </is>
      </c>
      <c r="G2050" s="39" t="inlineStr">
        <is>
          <t>Vacations &amp; sous-traitance pédagogique</t>
        </is>
      </c>
      <c r="H2050" s="40" t="inlineStr">
        <is>
          <t>COMPTABLE</t>
        </is>
      </c>
      <c r="I2050" s="41" t="inlineStr">
        <is>
          <t>2025FCST_V4</t>
        </is>
      </c>
      <c r="J2050" s="41" t="n">
        <v>2025</v>
      </c>
      <c r="K2050" s="41" t="inlineStr">
        <is>
          <t>EUR</t>
        </is>
      </c>
      <c r="L2050" s="42" t="n">
        <v>30160</v>
      </c>
    </row>
    <row r="2051">
      <c r="B2051" s="39" t="inlineStr">
        <is>
          <t>IPAC_REN</t>
        </is>
      </c>
      <c r="C2051" s="40" t="inlineStr">
        <is>
          <t>BAC_CCE</t>
        </is>
      </c>
      <c r="D2051" s="40" t="inlineStr">
        <is>
          <t>B3</t>
        </is>
      </c>
      <c r="E2051" s="40" t="inlineStr">
        <is>
          <t>ALT</t>
        </is>
      </c>
      <c r="F2051" s="40" t="inlineStr">
        <is>
          <t>606300</t>
        </is>
      </c>
      <c r="G2051" s="39" t="inlineStr">
        <is>
          <t>Fournitures &amp; ressources pédagogiques</t>
        </is>
      </c>
      <c r="H2051" s="40" t="inlineStr">
        <is>
          <t>COMPTABLE</t>
        </is>
      </c>
      <c r="I2051" s="41" t="inlineStr">
        <is>
          <t>2023ACT_VDEF</t>
        </is>
      </c>
      <c r="J2051" s="41" t="n">
        <v>2023</v>
      </c>
      <c r="K2051" s="41" t="inlineStr">
        <is>
          <t>EUR</t>
        </is>
      </c>
      <c r="L2051" s="42" t="n">
        <v>10260</v>
      </c>
    </row>
    <row r="2052">
      <c r="B2052" s="39" t="inlineStr">
        <is>
          <t>IPAC_REN</t>
        </is>
      </c>
      <c r="C2052" s="40" t="inlineStr">
        <is>
          <t>BAC_CCE</t>
        </is>
      </c>
      <c r="D2052" s="40" t="inlineStr">
        <is>
          <t>B3</t>
        </is>
      </c>
      <c r="E2052" s="40" t="inlineStr">
        <is>
          <t>ALT</t>
        </is>
      </c>
      <c r="F2052" s="40" t="inlineStr">
        <is>
          <t>606300</t>
        </is>
      </c>
      <c r="G2052" s="39" t="inlineStr">
        <is>
          <t>Fournitures &amp; ressources pédagogiques</t>
        </is>
      </c>
      <c r="H2052" s="40" t="inlineStr">
        <is>
          <t>COMPTABLE</t>
        </is>
      </c>
      <c r="I2052" s="41" t="inlineStr">
        <is>
          <t>2024ACT_VDEF</t>
        </is>
      </c>
      <c r="J2052" s="41" t="n">
        <v>2024</v>
      </c>
      <c r="K2052" s="41" t="inlineStr">
        <is>
          <t>EUR</t>
        </is>
      </c>
      <c r="L2052" s="42" t="n">
        <v>10830</v>
      </c>
    </row>
    <row r="2053">
      <c r="B2053" s="39" t="inlineStr">
        <is>
          <t>IPAC_REN</t>
        </is>
      </c>
      <c r="C2053" s="40" t="inlineStr">
        <is>
          <t>BAC_CCE</t>
        </is>
      </c>
      <c r="D2053" s="40" t="inlineStr">
        <is>
          <t>B3</t>
        </is>
      </c>
      <c r="E2053" s="40" t="inlineStr">
        <is>
          <t>ALT</t>
        </is>
      </c>
      <c r="F2053" s="40" t="inlineStr">
        <is>
          <t>606300</t>
        </is>
      </c>
      <c r="G2053" s="39" t="inlineStr">
        <is>
          <t>Fournitures &amp; ressources pédagogiques</t>
        </is>
      </c>
      <c r="H2053" s="40" t="inlineStr">
        <is>
          <t>COMPTABLE</t>
        </is>
      </c>
      <c r="I2053" s="41" t="inlineStr">
        <is>
          <t>2025FCST_V4</t>
        </is>
      </c>
      <c r="J2053" s="41" t="n">
        <v>2025</v>
      </c>
      <c r="K2053" s="41" t="inlineStr">
        <is>
          <t>EUR</t>
        </is>
      </c>
      <c r="L2053" s="42" t="n">
        <v>11400</v>
      </c>
    </row>
    <row r="2054">
      <c r="B2054" s="39" t="inlineStr">
        <is>
          <t>IPAC_REN</t>
        </is>
      </c>
      <c r="C2054" s="40" t="inlineStr">
        <is>
          <t>BAC_CCE</t>
        </is>
      </c>
      <c r="D2054" s="40" t="inlineStr">
        <is>
          <t>B3</t>
        </is>
      </c>
      <c r="E2054" s="40" t="inlineStr">
        <is>
          <t>ALT</t>
        </is>
      </c>
      <c r="F2054" s="40" t="inlineStr">
        <is>
          <t>613200</t>
        </is>
      </c>
      <c r="G2054" s="39" t="inlineStr">
        <is>
          <t>Locations immobilières (loyers)</t>
        </is>
      </c>
      <c r="H2054" s="40" t="inlineStr">
        <is>
          <t>COMPTABLE</t>
        </is>
      </c>
      <c r="I2054" s="41" t="inlineStr">
        <is>
          <t>2023ACT_VDEF</t>
        </is>
      </c>
      <c r="J2054" s="41" t="n">
        <v>2023</v>
      </c>
      <c r="K2054" s="41" t="inlineStr">
        <is>
          <t>EUR</t>
        </is>
      </c>
      <c r="L2054" s="42" t="n">
        <v>16560</v>
      </c>
    </row>
    <row r="2055">
      <c r="B2055" s="39" t="inlineStr">
        <is>
          <t>IPAC_REN</t>
        </is>
      </c>
      <c r="C2055" s="40" t="inlineStr">
        <is>
          <t>BAC_CCE</t>
        </is>
      </c>
      <c r="D2055" s="40" t="inlineStr">
        <is>
          <t>B3</t>
        </is>
      </c>
      <c r="E2055" s="40" t="inlineStr">
        <is>
          <t>ALT</t>
        </is>
      </c>
      <c r="F2055" s="40" t="inlineStr">
        <is>
          <t>613200</t>
        </is>
      </c>
      <c r="G2055" s="39" t="inlineStr">
        <is>
          <t>Locations immobilières (loyers)</t>
        </is>
      </c>
      <c r="H2055" s="40" t="inlineStr">
        <is>
          <t>COMPTABLE</t>
        </is>
      </c>
      <c r="I2055" s="41" t="inlineStr">
        <is>
          <t>2024ACT_VDEF</t>
        </is>
      </c>
      <c r="J2055" s="41" t="n">
        <v>2024</v>
      </c>
      <c r="K2055" s="41" t="inlineStr">
        <is>
          <t>EUR</t>
        </is>
      </c>
      <c r="L2055" s="42" t="n">
        <v>17480</v>
      </c>
    </row>
    <row r="2056">
      <c r="B2056" s="39" t="inlineStr">
        <is>
          <t>IPAC_REN</t>
        </is>
      </c>
      <c r="C2056" s="40" t="inlineStr">
        <is>
          <t>BAC_CCE</t>
        </is>
      </c>
      <c r="D2056" s="40" t="inlineStr">
        <is>
          <t>B3</t>
        </is>
      </c>
      <c r="E2056" s="40" t="inlineStr">
        <is>
          <t>ALT</t>
        </is>
      </c>
      <c r="F2056" s="40" t="inlineStr">
        <is>
          <t>613200</t>
        </is>
      </c>
      <c r="G2056" s="39" t="inlineStr">
        <is>
          <t>Locations immobilières (loyers)</t>
        </is>
      </c>
      <c r="H2056" s="40" t="inlineStr">
        <is>
          <t>COMPTABLE</t>
        </is>
      </c>
      <c r="I2056" s="41" t="inlineStr">
        <is>
          <t>2025FCST_V4</t>
        </is>
      </c>
      <c r="J2056" s="41" t="n">
        <v>2025</v>
      </c>
      <c r="K2056" s="41" t="inlineStr">
        <is>
          <t>EUR</t>
        </is>
      </c>
      <c r="L2056" s="42" t="n">
        <v>18400</v>
      </c>
    </row>
    <row r="2057">
      <c r="B2057" s="39" t="inlineStr">
        <is>
          <t>IPAC_REN</t>
        </is>
      </c>
      <c r="C2057" s="40" t="inlineStr">
        <is>
          <t>BAC_CCE</t>
        </is>
      </c>
      <c r="D2057" s="40" t="inlineStr">
        <is>
          <t>B3</t>
        </is>
      </c>
      <c r="E2057" s="40" t="inlineStr">
        <is>
          <t>ALT</t>
        </is>
      </c>
      <c r="F2057" s="40" t="inlineStr">
        <is>
          <t>641100</t>
        </is>
      </c>
      <c r="G2057" s="39" t="inlineStr">
        <is>
          <t>Rémunérations du personnel permanent</t>
        </is>
      </c>
      <c r="H2057" s="40" t="inlineStr">
        <is>
          <t>COMPTABLE</t>
        </is>
      </c>
      <c r="I2057" s="41" t="inlineStr">
        <is>
          <t>2023ACT_VDEF</t>
        </is>
      </c>
      <c r="J2057" s="41" t="n">
        <v>2023</v>
      </c>
      <c r="K2057" s="41" t="inlineStr">
        <is>
          <t>EUR</t>
        </is>
      </c>
      <c r="L2057" s="42" t="n">
        <v>41760</v>
      </c>
    </row>
    <row r="2058">
      <c r="B2058" s="39" t="inlineStr">
        <is>
          <t>IPAC_REN</t>
        </is>
      </c>
      <c r="C2058" s="40" t="inlineStr">
        <is>
          <t>BAC_CCE</t>
        </is>
      </c>
      <c r="D2058" s="40" t="inlineStr">
        <is>
          <t>B3</t>
        </is>
      </c>
      <c r="E2058" s="40" t="inlineStr">
        <is>
          <t>ALT</t>
        </is>
      </c>
      <c r="F2058" s="40" t="inlineStr">
        <is>
          <t>641100</t>
        </is>
      </c>
      <c r="G2058" s="39" t="inlineStr">
        <is>
          <t>Rémunérations du personnel permanent</t>
        </is>
      </c>
      <c r="H2058" s="40" t="inlineStr">
        <is>
          <t>COMPTABLE</t>
        </is>
      </c>
      <c r="I2058" s="41" t="inlineStr">
        <is>
          <t>2024ACT_VDEF</t>
        </is>
      </c>
      <c r="J2058" s="41" t="n">
        <v>2024</v>
      </c>
      <c r="K2058" s="41" t="inlineStr">
        <is>
          <t>EUR</t>
        </is>
      </c>
      <c r="L2058" s="42" t="n">
        <v>44080</v>
      </c>
    </row>
    <row r="2059">
      <c r="B2059" s="39" t="inlineStr">
        <is>
          <t>IPAC_REN</t>
        </is>
      </c>
      <c r="C2059" s="40" t="inlineStr">
        <is>
          <t>BAC_CCE</t>
        </is>
      </c>
      <c r="D2059" s="40" t="inlineStr">
        <is>
          <t>B3</t>
        </is>
      </c>
      <c r="E2059" s="40" t="inlineStr">
        <is>
          <t>ALT</t>
        </is>
      </c>
      <c r="F2059" s="40" t="inlineStr">
        <is>
          <t>641100</t>
        </is>
      </c>
      <c r="G2059" s="39" t="inlineStr">
        <is>
          <t>Rémunérations du personnel permanent</t>
        </is>
      </c>
      <c r="H2059" s="40" t="inlineStr">
        <is>
          <t>COMPTABLE</t>
        </is>
      </c>
      <c r="I2059" s="41" t="inlineStr">
        <is>
          <t>2025FCST_V4</t>
        </is>
      </c>
      <c r="J2059" s="41" t="n">
        <v>2025</v>
      </c>
      <c r="K2059" s="41" t="inlineStr">
        <is>
          <t>EUR</t>
        </is>
      </c>
      <c r="L2059" s="42" t="n">
        <v>46400</v>
      </c>
    </row>
    <row r="2060">
      <c r="B2060" s="39" t="inlineStr">
        <is>
          <t>IPAC_REN</t>
        </is>
      </c>
      <c r="C2060" s="40" t="inlineStr">
        <is>
          <t>BAC_CCE</t>
        </is>
      </c>
      <c r="D2060" s="40" t="inlineStr">
        <is>
          <t>B3</t>
        </is>
      </c>
      <c r="E2060" s="40" t="inlineStr">
        <is>
          <t>ALT</t>
        </is>
      </c>
      <c r="F2060" s="40" t="inlineStr">
        <is>
          <t>622600</t>
        </is>
      </c>
      <c r="G2060" s="39" t="inlineStr">
        <is>
          <t>Honoraires &amp; frais de siège (structure groupe)</t>
        </is>
      </c>
      <c r="H2060" s="40" t="inlineStr">
        <is>
          <t>COMPTABLE</t>
        </is>
      </c>
      <c r="I2060" s="41" t="inlineStr">
        <is>
          <t>2023ACT_VDEF</t>
        </is>
      </c>
      <c r="J2060" s="41" t="n">
        <v>2023</v>
      </c>
      <c r="K2060" s="41" t="inlineStr">
        <is>
          <t>EUR</t>
        </is>
      </c>
      <c r="L2060" s="42" t="n">
        <v>15051</v>
      </c>
    </row>
    <row r="2061">
      <c r="B2061" s="39" t="inlineStr">
        <is>
          <t>IPAC_REN</t>
        </is>
      </c>
      <c r="C2061" s="40" t="inlineStr">
        <is>
          <t>BAC_CCE</t>
        </is>
      </c>
      <c r="D2061" s="40" t="inlineStr">
        <is>
          <t>B3</t>
        </is>
      </c>
      <c r="E2061" s="40" t="inlineStr">
        <is>
          <t>ALT</t>
        </is>
      </c>
      <c r="F2061" s="40" t="inlineStr">
        <is>
          <t>622600</t>
        </is>
      </c>
      <c r="G2061" s="39" t="inlineStr">
        <is>
          <t>Honoraires &amp; frais de siège (structure groupe)</t>
        </is>
      </c>
      <c r="H2061" s="40" t="inlineStr">
        <is>
          <t>COMPTABLE</t>
        </is>
      </c>
      <c r="I2061" s="41" t="inlineStr">
        <is>
          <t>2024ACT_VDEF</t>
        </is>
      </c>
      <c r="J2061" s="41" t="n">
        <v>2024</v>
      </c>
      <c r="K2061" s="41" t="inlineStr">
        <is>
          <t>EUR</t>
        </is>
      </c>
      <c r="L2061" s="42" t="n">
        <v>15887</v>
      </c>
    </row>
    <row r="2062">
      <c r="B2062" s="39" t="inlineStr">
        <is>
          <t>IPAC_REN</t>
        </is>
      </c>
      <c r="C2062" s="40" t="inlineStr">
        <is>
          <t>BAC_CCE</t>
        </is>
      </c>
      <c r="D2062" s="40" t="inlineStr">
        <is>
          <t>B3</t>
        </is>
      </c>
      <c r="E2062" s="40" t="inlineStr">
        <is>
          <t>ALT</t>
        </is>
      </c>
      <c r="F2062" s="40" t="inlineStr">
        <is>
          <t>622600</t>
        </is>
      </c>
      <c r="G2062" s="39" t="inlineStr">
        <is>
          <t>Honoraires &amp; frais de siège (structure groupe)</t>
        </is>
      </c>
      <c r="H2062" s="40" t="inlineStr">
        <is>
          <t>COMPTABLE</t>
        </is>
      </c>
      <c r="I2062" s="41" t="inlineStr">
        <is>
          <t>2025FCST_V4</t>
        </is>
      </c>
      <c r="J2062" s="41" t="n">
        <v>2025</v>
      </c>
      <c r="K2062" s="41" t="inlineStr">
        <is>
          <t>EUR</t>
        </is>
      </c>
      <c r="L2062" s="42" t="n">
        <v>16723</v>
      </c>
    </row>
    <row r="2063">
      <c r="B2063" s="39" t="inlineStr">
        <is>
          <t>IPAC_REN</t>
        </is>
      </c>
      <c r="C2063" s="40" t="inlineStr">
        <is>
          <t>BAC_CCE</t>
        </is>
      </c>
      <c r="D2063" s="40" t="inlineStr">
        <is>
          <t>B3</t>
        </is>
      </c>
      <c r="E2063" s="40" t="inlineStr">
        <is>
          <t>ALT</t>
        </is>
      </c>
      <c r="F2063" s="40" t="inlineStr">
        <is>
          <t>606800</t>
        </is>
      </c>
      <c r="G2063" s="39" t="inlineStr">
        <is>
          <t>Autres achats &amp; charges externes</t>
        </is>
      </c>
      <c r="H2063" s="40" t="inlineStr">
        <is>
          <t>COMPTABLE</t>
        </is>
      </c>
      <c r="I2063" s="41" t="inlineStr">
        <is>
          <t>2023ACT_VDEF</t>
        </is>
      </c>
      <c r="J2063" s="41" t="n">
        <v>2023</v>
      </c>
      <c r="K2063" s="41" t="inlineStr">
        <is>
          <t>EUR</t>
        </is>
      </c>
      <c r="L2063" s="42" t="n">
        <v>25218</v>
      </c>
    </row>
    <row r="2064">
      <c r="B2064" s="39" t="inlineStr">
        <is>
          <t>IPAC_REN</t>
        </is>
      </c>
      <c r="C2064" s="40" t="inlineStr">
        <is>
          <t>BAC_CCE</t>
        </is>
      </c>
      <c r="D2064" s="40" t="inlineStr">
        <is>
          <t>B3</t>
        </is>
      </c>
      <c r="E2064" s="40" t="inlineStr">
        <is>
          <t>ALT</t>
        </is>
      </c>
      <c r="F2064" s="40" t="inlineStr">
        <is>
          <t>606800</t>
        </is>
      </c>
      <c r="G2064" s="39" t="inlineStr">
        <is>
          <t>Autres achats &amp; charges externes</t>
        </is>
      </c>
      <c r="H2064" s="40" t="inlineStr">
        <is>
          <t>COMPTABLE</t>
        </is>
      </c>
      <c r="I2064" s="41" t="inlineStr">
        <is>
          <t>2024ACT_VDEF</t>
        </is>
      </c>
      <c r="J2064" s="41" t="n">
        <v>2024</v>
      </c>
      <c r="K2064" s="41" t="inlineStr">
        <is>
          <t>EUR</t>
        </is>
      </c>
      <c r="L2064" s="42" t="n">
        <v>26619</v>
      </c>
    </row>
    <row r="2065">
      <c r="B2065" s="39" t="inlineStr">
        <is>
          <t>IPAC_REN</t>
        </is>
      </c>
      <c r="C2065" s="40" t="inlineStr">
        <is>
          <t>BAC_CCE</t>
        </is>
      </c>
      <c r="D2065" s="40" t="inlineStr">
        <is>
          <t>B3</t>
        </is>
      </c>
      <c r="E2065" s="40" t="inlineStr">
        <is>
          <t>ALT</t>
        </is>
      </c>
      <c r="F2065" s="40" t="inlineStr">
        <is>
          <t>606800</t>
        </is>
      </c>
      <c r="G2065" s="39" t="inlineStr">
        <is>
          <t>Autres achats &amp; charges externes</t>
        </is>
      </c>
      <c r="H2065" s="40" t="inlineStr">
        <is>
          <t>COMPTABLE</t>
        </is>
      </c>
      <c r="I2065" s="41" t="inlineStr">
        <is>
          <t>2025FCST_V4</t>
        </is>
      </c>
      <c r="J2065" s="41" t="n">
        <v>2025</v>
      </c>
      <c r="K2065" s="41" t="inlineStr">
        <is>
          <t>EUR</t>
        </is>
      </c>
      <c r="L2065" s="42" t="n">
        <v>28020</v>
      </c>
    </row>
    <row r="2066">
      <c r="B2066" s="39" t="inlineStr">
        <is>
          <t>IPAC_REN</t>
        </is>
      </c>
      <c r="C2066" s="40" t="inlineStr">
        <is>
          <t>BAC_CCE</t>
        </is>
      </c>
      <c r="D2066" s="40" t="inlineStr">
        <is>
          <t>B3</t>
        </is>
      </c>
      <c r="E2066" s="40" t="inlineStr">
        <is>
          <t>ALT</t>
        </is>
      </c>
      <c r="F2066" s="40" t="inlineStr">
        <is>
          <t>681100</t>
        </is>
      </c>
      <c r="G2066" s="39" t="inlineStr">
        <is>
          <t>Dotations aux amortissements</t>
        </is>
      </c>
      <c r="H2066" s="40" t="inlineStr">
        <is>
          <t>COMPTABLE</t>
        </is>
      </c>
      <c r="I2066" s="41" t="inlineStr">
        <is>
          <t>2023ACT_VDEF</t>
        </is>
      </c>
      <c r="J2066" s="41" t="n">
        <v>2023</v>
      </c>
      <c r="K2066" s="41" t="inlineStr">
        <is>
          <t>EUR</t>
        </is>
      </c>
      <c r="L2066" s="42" t="n">
        <v>9000</v>
      </c>
    </row>
    <row r="2067">
      <c r="B2067" s="39" t="inlineStr">
        <is>
          <t>IPAC_REN</t>
        </is>
      </c>
      <c r="C2067" s="40" t="inlineStr">
        <is>
          <t>BAC_CCE</t>
        </is>
      </c>
      <c r="D2067" s="40" t="inlineStr">
        <is>
          <t>B3</t>
        </is>
      </c>
      <c r="E2067" s="40" t="inlineStr">
        <is>
          <t>ALT</t>
        </is>
      </c>
      <c r="F2067" s="40" t="inlineStr">
        <is>
          <t>681100</t>
        </is>
      </c>
      <c r="G2067" s="39" t="inlineStr">
        <is>
          <t>Dotations aux amortissements</t>
        </is>
      </c>
      <c r="H2067" s="40" t="inlineStr">
        <is>
          <t>COMPTABLE</t>
        </is>
      </c>
      <c r="I2067" s="41" t="inlineStr">
        <is>
          <t>2024ACT_VDEF</t>
        </is>
      </c>
      <c r="J2067" s="41" t="n">
        <v>2024</v>
      </c>
      <c r="K2067" s="41" t="inlineStr">
        <is>
          <t>EUR</t>
        </is>
      </c>
      <c r="L2067" s="42" t="n">
        <v>9500</v>
      </c>
    </row>
    <row r="2068">
      <c r="B2068" s="39" t="inlineStr">
        <is>
          <t>IPAC_REN</t>
        </is>
      </c>
      <c r="C2068" s="40" t="inlineStr">
        <is>
          <t>BAC_CCE</t>
        </is>
      </c>
      <c r="D2068" s="40" t="inlineStr">
        <is>
          <t>B3</t>
        </is>
      </c>
      <c r="E2068" s="40" t="inlineStr">
        <is>
          <t>ALT</t>
        </is>
      </c>
      <c r="F2068" s="40" t="inlineStr">
        <is>
          <t>681100</t>
        </is>
      </c>
      <c r="G2068" s="39" t="inlineStr">
        <is>
          <t>Dotations aux amortissements</t>
        </is>
      </c>
      <c r="H2068" s="40" t="inlineStr">
        <is>
          <t>COMPTABLE</t>
        </is>
      </c>
      <c r="I2068" s="41" t="inlineStr">
        <is>
          <t>2025FCST_V4</t>
        </is>
      </c>
      <c r="J2068" s="41" t="n">
        <v>2025</v>
      </c>
      <c r="K2068" s="41" t="inlineStr">
        <is>
          <t>EUR</t>
        </is>
      </c>
      <c r="L2068" s="42" t="n">
        <v>10000</v>
      </c>
    </row>
    <row r="2069">
      <c r="B2069" s="39" t="inlineStr">
        <is>
          <t>IPAC_REN</t>
        </is>
      </c>
      <c r="C2069" s="40" t="inlineStr">
        <is>
          <t>BAC_CCE</t>
        </is>
      </c>
      <c r="D2069" s="40" t="inlineStr">
        <is>
          <t>B3</t>
        </is>
      </c>
      <c r="E2069" s="40" t="inlineStr">
        <is>
          <t>ALT</t>
        </is>
      </c>
      <c r="F2069" s="40" t="inlineStr">
        <is>
          <t>STA_EFF</t>
        </is>
      </c>
      <c r="G2069" s="39" t="inlineStr">
        <is>
          <t>Effectif inscrit</t>
        </is>
      </c>
      <c r="H2069" s="40" t="inlineStr">
        <is>
          <t>TECHNIQUE</t>
        </is>
      </c>
      <c r="I2069" s="41" t="inlineStr">
        <is>
          <t>2023ACT_VDEF</t>
        </is>
      </c>
      <c r="J2069" s="41" t="n">
        <v>2023</v>
      </c>
      <c r="K2069" s="41" t="inlineStr">
        <is>
          <t>NB</t>
        </is>
      </c>
      <c r="L2069" s="43" t="n">
        <v>27</v>
      </c>
    </row>
    <row r="2070">
      <c r="B2070" s="39" t="inlineStr">
        <is>
          <t>IPAC_REN</t>
        </is>
      </c>
      <c r="C2070" s="40" t="inlineStr">
        <is>
          <t>BAC_CCE</t>
        </is>
      </c>
      <c r="D2070" s="40" t="inlineStr">
        <is>
          <t>B3</t>
        </is>
      </c>
      <c r="E2070" s="40" t="inlineStr">
        <is>
          <t>ALT</t>
        </is>
      </c>
      <c r="F2070" s="40" t="inlineStr">
        <is>
          <t>STA_EFF</t>
        </is>
      </c>
      <c r="G2070" s="39" t="inlineStr">
        <is>
          <t>Effectif inscrit</t>
        </is>
      </c>
      <c r="H2070" s="40" t="inlineStr">
        <is>
          <t>TECHNIQUE</t>
        </is>
      </c>
      <c r="I2070" s="41" t="inlineStr">
        <is>
          <t>2024ACT_VDEF</t>
        </is>
      </c>
      <c r="J2070" s="41" t="n">
        <v>2024</v>
      </c>
      <c r="K2070" s="41" t="inlineStr">
        <is>
          <t>NB</t>
        </is>
      </c>
      <c r="L2070" s="43" t="n">
        <v>28</v>
      </c>
    </row>
    <row r="2071">
      <c r="B2071" s="39" t="inlineStr">
        <is>
          <t>IPAC_REN</t>
        </is>
      </c>
      <c r="C2071" s="40" t="inlineStr">
        <is>
          <t>BAC_CCE</t>
        </is>
      </c>
      <c r="D2071" s="40" t="inlineStr">
        <is>
          <t>B3</t>
        </is>
      </c>
      <c r="E2071" s="40" t="inlineStr">
        <is>
          <t>ALT</t>
        </is>
      </c>
      <c r="F2071" s="40" t="inlineStr">
        <is>
          <t>STA_EFF</t>
        </is>
      </c>
      <c r="G2071" s="39" t="inlineStr">
        <is>
          <t>Effectif inscrit</t>
        </is>
      </c>
      <c r="H2071" s="40" t="inlineStr">
        <is>
          <t>TECHNIQUE</t>
        </is>
      </c>
      <c r="I2071" s="41" t="inlineStr">
        <is>
          <t>2025FCST_V4</t>
        </is>
      </c>
      <c r="J2071" s="41" t="n">
        <v>2025</v>
      </c>
      <c r="K2071" s="41" t="inlineStr">
        <is>
          <t>NB</t>
        </is>
      </c>
      <c r="L2071" s="43" t="n">
        <v>30</v>
      </c>
    </row>
    <row r="2072">
      <c r="B2072" s="39" t="inlineStr">
        <is>
          <t>IPAC_REN</t>
        </is>
      </c>
      <c r="C2072" s="40" t="inlineStr">
        <is>
          <t>BAC_CCE</t>
        </is>
      </c>
      <c r="D2072" s="40" t="inlineStr">
        <is>
          <t>B3</t>
        </is>
      </c>
      <c r="E2072" s="40" t="inlineStr">
        <is>
          <t>ALT</t>
        </is>
      </c>
      <c r="F2072" s="40" t="inlineStr">
        <is>
          <t>STA_REINS</t>
        </is>
      </c>
      <c r="G2072" s="39" t="inlineStr">
        <is>
          <t>Réinscrits</t>
        </is>
      </c>
      <c r="H2072" s="40" t="inlineStr">
        <is>
          <t>TECHNIQUE</t>
        </is>
      </c>
      <c r="I2072" s="41" t="inlineStr">
        <is>
          <t>2023ACT_VDEF</t>
        </is>
      </c>
      <c r="J2072" s="41" t="n">
        <v>2023</v>
      </c>
      <c r="K2072" s="41" t="inlineStr">
        <is>
          <t>NB</t>
        </is>
      </c>
      <c r="L2072" s="43" t="n">
        <v>27</v>
      </c>
    </row>
    <row r="2073">
      <c r="B2073" s="39" t="inlineStr">
        <is>
          <t>IPAC_REN</t>
        </is>
      </c>
      <c r="C2073" s="40" t="inlineStr">
        <is>
          <t>BAC_CCE</t>
        </is>
      </c>
      <c r="D2073" s="40" t="inlineStr">
        <is>
          <t>B3</t>
        </is>
      </c>
      <c r="E2073" s="40" t="inlineStr">
        <is>
          <t>ALT</t>
        </is>
      </c>
      <c r="F2073" s="40" t="inlineStr">
        <is>
          <t>STA_REINS</t>
        </is>
      </c>
      <c r="G2073" s="39" t="inlineStr">
        <is>
          <t>Réinscrits</t>
        </is>
      </c>
      <c r="H2073" s="40" t="inlineStr">
        <is>
          <t>TECHNIQUE</t>
        </is>
      </c>
      <c r="I2073" s="41" t="inlineStr">
        <is>
          <t>2024ACT_VDEF</t>
        </is>
      </c>
      <c r="J2073" s="41" t="n">
        <v>2024</v>
      </c>
      <c r="K2073" s="41" t="inlineStr">
        <is>
          <t>NB</t>
        </is>
      </c>
      <c r="L2073" s="43" t="n">
        <v>28</v>
      </c>
    </row>
    <row r="2074">
      <c r="B2074" s="39" t="inlineStr">
        <is>
          <t>IPAC_REN</t>
        </is>
      </c>
      <c r="C2074" s="40" t="inlineStr">
        <is>
          <t>BAC_CCE</t>
        </is>
      </c>
      <c r="D2074" s="40" t="inlineStr">
        <is>
          <t>B3</t>
        </is>
      </c>
      <c r="E2074" s="40" t="inlineStr">
        <is>
          <t>ALT</t>
        </is>
      </c>
      <c r="F2074" s="40" t="inlineStr">
        <is>
          <t>STA_REINS</t>
        </is>
      </c>
      <c r="G2074" s="39" t="inlineStr">
        <is>
          <t>Réinscrits</t>
        </is>
      </c>
      <c r="H2074" s="40" t="inlineStr">
        <is>
          <t>TECHNIQUE</t>
        </is>
      </c>
      <c r="I2074" s="41" t="inlineStr">
        <is>
          <t>2025FCST_V4</t>
        </is>
      </c>
      <c r="J2074" s="41" t="n">
        <v>2025</v>
      </c>
      <c r="K2074" s="41" t="inlineStr">
        <is>
          <t>NB</t>
        </is>
      </c>
      <c r="L2074" s="43" t="n">
        <v>30</v>
      </c>
    </row>
    <row r="2075">
      <c r="B2075" s="39" t="inlineStr">
        <is>
          <t>IPAC_REN</t>
        </is>
      </c>
      <c r="C2075" s="40" t="inlineStr">
        <is>
          <t>BAC_CCE</t>
        </is>
      </c>
      <c r="D2075" s="40" t="inlineStr">
        <is>
          <t>B3</t>
        </is>
      </c>
      <c r="E2075" s="40" t="inlineStr">
        <is>
          <t>ALT</t>
        </is>
      </c>
      <c r="F2075" s="40" t="inlineStr">
        <is>
          <t>STA_CLASS</t>
        </is>
      </c>
      <c r="G2075" s="39" t="inlineStr">
        <is>
          <t>Nombre de classes</t>
        </is>
      </c>
      <c r="H2075" s="40" t="inlineStr">
        <is>
          <t>TECHNIQUE</t>
        </is>
      </c>
      <c r="I2075" s="41" t="inlineStr">
        <is>
          <t>2023ACT_VDEF</t>
        </is>
      </c>
      <c r="J2075" s="41" t="n">
        <v>2023</v>
      </c>
      <c r="K2075" s="41" t="inlineStr">
        <is>
          <t>NB</t>
        </is>
      </c>
      <c r="L2075" s="43" t="n">
        <v>1</v>
      </c>
    </row>
    <row r="2076">
      <c r="B2076" s="39" t="inlineStr">
        <is>
          <t>IPAC_REN</t>
        </is>
      </c>
      <c r="C2076" s="40" t="inlineStr">
        <is>
          <t>BAC_CCE</t>
        </is>
      </c>
      <c r="D2076" s="40" t="inlineStr">
        <is>
          <t>B3</t>
        </is>
      </c>
      <c r="E2076" s="40" t="inlineStr">
        <is>
          <t>ALT</t>
        </is>
      </c>
      <c r="F2076" s="40" t="inlineStr">
        <is>
          <t>STA_CLASS</t>
        </is>
      </c>
      <c r="G2076" s="39" t="inlineStr">
        <is>
          <t>Nombre de classes</t>
        </is>
      </c>
      <c r="H2076" s="40" t="inlineStr">
        <is>
          <t>TECHNIQUE</t>
        </is>
      </c>
      <c r="I2076" s="41" t="inlineStr">
        <is>
          <t>2024ACT_VDEF</t>
        </is>
      </c>
      <c r="J2076" s="41" t="n">
        <v>2024</v>
      </c>
      <c r="K2076" s="41" t="inlineStr">
        <is>
          <t>NB</t>
        </is>
      </c>
      <c r="L2076" s="43" t="n">
        <v>1</v>
      </c>
    </row>
    <row r="2077">
      <c r="B2077" s="39" t="inlineStr">
        <is>
          <t>IPAC_REN</t>
        </is>
      </c>
      <c r="C2077" s="40" t="inlineStr">
        <is>
          <t>BAC_CCE</t>
        </is>
      </c>
      <c r="D2077" s="40" t="inlineStr">
        <is>
          <t>B3</t>
        </is>
      </c>
      <c r="E2077" s="40" t="inlineStr">
        <is>
          <t>ALT</t>
        </is>
      </c>
      <c r="F2077" s="40" t="inlineStr">
        <is>
          <t>STA_CLASS</t>
        </is>
      </c>
      <c r="G2077" s="39" t="inlineStr">
        <is>
          <t>Nombre de classes</t>
        </is>
      </c>
      <c r="H2077" s="40" t="inlineStr">
        <is>
          <t>TECHNIQUE</t>
        </is>
      </c>
      <c r="I2077" s="41" t="inlineStr">
        <is>
          <t>2025FCST_V4</t>
        </is>
      </c>
      <c r="J2077" s="41" t="n">
        <v>2025</v>
      </c>
      <c r="K2077" s="41" t="inlineStr">
        <is>
          <t>NB</t>
        </is>
      </c>
      <c r="L2077" s="43" t="n">
        <v>1</v>
      </c>
    </row>
    <row r="2078">
      <c r="B2078" s="39" t="inlineStr">
        <is>
          <t>IPAC_REN</t>
        </is>
      </c>
      <c r="C2078" s="40" t="inlineStr">
        <is>
          <t>BAC_CCE</t>
        </is>
      </c>
      <c r="D2078" s="40" t="inlineStr">
        <is>
          <t>B3</t>
        </is>
      </c>
      <c r="E2078" s="40" t="inlineStr">
        <is>
          <t>ALT</t>
        </is>
      </c>
      <c r="F2078" s="40" t="inlineStr">
        <is>
          <t>STA_HEURE</t>
        </is>
      </c>
      <c r="G2078" s="39" t="inlineStr">
        <is>
          <t>Heures d'enseignement</t>
        </is>
      </c>
      <c r="H2078" s="40" t="inlineStr">
        <is>
          <t>TECHNIQUE</t>
        </is>
      </c>
      <c r="I2078" s="41" t="inlineStr">
        <is>
          <t>2023ACT_VDEF</t>
        </is>
      </c>
      <c r="J2078" s="41" t="n">
        <v>2023</v>
      </c>
      <c r="K2078" s="41" t="inlineStr">
        <is>
          <t>NB</t>
        </is>
      </c>
      <c r="L2078" s="43" t="n">
        <v>468</v>
      </c>
    </row>
    <row r="2079">
      <c r="B2079" s="39" t="inlineStr">
        <is>
          <t>IPAC_REN</t>
        </is>
      </c>
      <c r="C2079" s="40" t="inlineStr">
        <is>
          <t>BAC_CCE</t>
        </is>
      </c>
      <c r="D2079" s="40" t="inlineStr">
        <is>
          <t>B3</t>
        </is>
      </c>
      <c r="E2079" s="40" t="inlineStr">
        <is>
          <t>ALT</t>
        </is>
      </c>
      <c r="F2079" s="40" t="inlineStr">
        <is>
          <t>STA_HEURE</t>
        </is>
      </c>
      <c r="G2079" s="39" t="inlineStr">
        <is>
          <t>Heures d'enseignement</t>
        </is>
      </c>
      <c r="H2079" s="40" t="inlineStr">
        <is>
          <t>TECHNIQUE</t>
        </is>
      </c>
      <c r="I2079" s="41" t="inlineStr">
        <is>
          <t>2024ACT_VDEF</t>
        </is>
      </c>
      <c r="J2079" s="41" t="n">
        <v>2024</v>
      </c>
      <c r="K2079" s="41" t="inlineStr">
        <is>
          <t>NB</t>
        </is>
      </c>
      <c r="L2079" s="43" t="n">
        <v>494</v>
      </c>
    </row>
    <row r="2080">
      <c r="B2080" s="39" t="inlineStr">
        <is>
          <t>IPAC_REN</t>
        </is>
      </c>
      <c r="C2080" s="40" t="inlineStr">
        <is>
          <t>BAC_CCE</t>
        </is>
      </c>
      <c r="D2080" s="40" t="inlineStr">
        <is>
          <t>B3</t>
        </is>
      </c>
      <c r="E2080" s="40" t="inlineStr">
        <is>
          <t>ALT</t>
        </is>
      </c>
      <c r="F2080" s="40" t="inlineStr">
        <is>
          <t>STA_HEURE</t>
        </is>
      </c>
      <c r="G2080" s="39" t="inlineStr">
        <is>
          <t>Heures d'enseignement</t>
        </is>
      </c>
      <c r="H2080" s="40" t="inlineStr">
        <is>
          <t>TECHNIQUE</t>
        </is>
      </c>
      <c r="I2080" s="41" t="inlineStr">
        <is>
          <t>2025FCST_V4</t>
        </is>
      </c>
      <c r="J2080" s="41" t="n">
        <v>2025</v>
      </c>
      <c r="K2080" s="41" t="inlineStr">
        <is>
          <t>NB</t>
        </is>
      </c>
      <c r="L2080" s="43" t="n">
        <v>520</v>
      </c>
    </row>
    <row r="2081">
      <c r="B2081" s="39" t="inlineStr">
        <is>
          <t>IPAC_REN</t>
        </is>
      </c>
      <c r="C2081" s="40" t="inlineStr">
        <is>
          <t>BAC_CCE</t>
        </is>
      </c>
      <c r="D2081" s="40" t="inlineStr">
        <is>
          <t>B3</t>
        </is>
      </c>
      <c r="E2081" s="40" t="inlineStr">
        <is>
          <t>ALT</t>
        </is>
      </c>
      <c r="F2081" s="40" t="inlineStr">
        <is>
          <t>STA_CAPA</t>
        </is>
      </c>
      <c r="G2081" s="39" t="inlineStr">
        <is>
          <t>Capacité par classe</t>
        </is>
      </c>
      <c r="H2081" s="40" t="inlineStr">
        <is>
          <t>TECHNIQUE</t>
        </is>
      </c>
      <c r="I2081" s="41" t="inlineStr">
        <is>
          <t>2023ACT_VDEF</t>
        </is>
      </c>
      <c r="J2081" s="41" t="n">
        <v>2023</v>
      </c>
      <c r="K2081" s="41" t="inlineStr">
        <is>
          <t>NB</t>
        </is>
      </c>
      <c r="L2081" s="43" t="n">
        <v>32</v>
      </c>
    </row>
    <row r="2082">
      <c r="B2082" s="39" t="inlineStr">
        <is>
          <t>IPAC_REN</t>
        </is>
      </c>
      <c r="C2082" s="40" t="inlineStr">
        <is>
          <t>BAC_CCE</t>
        </is>
      </c>
      <c r="D2082" s="40" t="inlineStr">
        <is>
          <t>B3</t>
        </is>
      </c>
      <c r="E2082" s="40" t="inlineStr">
        <is>
          <t>ALT</t>
        </is>
      </c>
      <c r="F2082" s="40" t="inlineStr">
        <is>
          <t>STA_CAPA</t>
        </is>
      </c>
      <c r="G2082" s="39" t="inlineStr">
        <is>
          <t>Capacité par classe</t>
        </is>
      </c>
      <c r="H2082" s="40" t="inlineStr">
        <is>
          <t>TECHNIQUE</t>
        </is>
      </c>
      <c r="I2082" s="41" t="inlineStr">
        <is>
          <t>2024ACT_VDEF</t>
        </is>
      </c>
      <c r="J2082" s="41" t="n">
        <v>2024</v>
      </c>
      <c r="K2082" s="41" t="inlineStr">
        <is>
          <t>NB</t>
        </is>
      </c>
      <c r="L2082" s="43" t="n">
        <v>32</v>
      </c>
    </row>
    <row r="2083">
      <c r="B2083" s="39" t="inlineStr">
        <is>
          <t>IPAC_REN</t>
        </is>
      </c>
      <c r="C2083" s="40" t="inlineStr">
        <is>
          <t>BAC_CCE</t>
        </is>
      </c>
      <c r="D2083" s="40" t="inlineStr">
        <is>
          <t>B3</t>
        </is>
      </c>
      <c r="E2083" s="40" t="inlineStr">
        <is>
          <t>ALT</t>
        </is>
      </c>
      <c r="F2083" s="40" t="inlineStr">
        <is>
          <t>STA_CAPA</t>
        </is>
      </c>
      <c r="G2083" s="39" t="inlineStr">
        <is>
          <t>Capacité par classe</t>
        </is>
      </c>
      <c r="H2083" s="40" t="inlineStr">
        <is>
          <t>TECHNIQUE</t>
        </is>
      </c>
      <c r="I2083" s="41" t="inlineStr">
        <is>
          <t>2025FCST_V4</t>
        </is>
      </c>
      <c r="J2083" s="41" t="n">
        <v>2025</v>
      </c>
      <c r="K2083" s="41" t="inlineStr">
        <is>
          <t>NB</t>
        </is>
      </c>
      <c r="L2083" s="43" t="n">
        <v>32</v>
      </c>
    </row>
    <row r="2084">
      <c r="B2084" s="39" t="inlineStr">
        <is>
          <t>IPAC_REN</t>
        </is>
      </c>
      <c r="C2084" s="40" t="inlineStr">
        <is>
          <t>BAC_CCE</t>
        </is>
      </c>
      <c r="D2084" s="40" t="inlineStr">
        <is>
          <t>B3</t>
        </is>
      </c>
      <c r="E2084" s="40" t="inlineStr">
        <is>
          <t>ALT</t>
        </is>
      </c>
      <c r="F2084" s="40" t="inlineStr">
        <is>
          <t>DRV_PASS</t>
        </is>
      </c>
      <c r="G2084" s="39" t="inlineStr">
        <is>
          <t>Taux de passage (réinscription)</t>
        </is>
      </c>
      <c r="H2084" s="40" t="inlineStr">
        <is>
          <t>TECHNIQUE</t>
        </is>
      </c>
      <c r="I2084" s="41" t="inlineStr">
        <is>
          <t>2023ACT_VDEF</t>
        </is>
      </c>
      <c r="J2084" s="41" t="n">
        <v>2023</v>
      </c>
      <c r="K2084" s="41" t="inlineStr">
        <is>
          <t>PCT</t>
        </is>
      </c>
      <c r="L2084" s="44" t="n">
        <v>0.95</v>
      </c>
    </row>
    <row r="2085">
      <c r="B2085" s="39" t="inlineStr">
        <is>
          <t>IPAC_REN</t>
        </is>
      </c>
      <c r="C2085" s="40" t="inlineStr">
        <is>
          <t>BAC_CCE</t>
        </is>
      </c>
      <c r="D2085" s="40" t="inlineStr">
        <is>
          <t>B3</t>
        </is>
      </c>
      <c r="E2085" s="40" t="inlineStr">
        <is>
          <t>ALT</t>
        </is>
      </c>
      <c r="F2085" s="40" t="inlineStr">
        <is>
          <t>DRV_PASS</t>
        </is>
      </c>
      <c r="G2085" s="39" t="inlineStr">
        <is>
          <t>Taux de passage (réinscription)</t>
        </is>
      </c>
      <c r="H2085" s="40" t="inlineStr">
        <is>
          <t>TECHNIQUE</t>
        </is>
      </c>
      <c r="I2085" s="41" t="inlineStr">
        <is>
          <t>2024ACT_VDEF</t>
        </is>
      </c>
      <c r="J2085" s="41" t="n">
        <v>2024</v>
      </c>
      <c r="K2085" s="41" t="inlineStr">
        <is>
          <t>PCT</t>
        </is>
      </c>
      <c r="L2085" s="44" t="n">
        <v>0.95</v>
      </c>
    </row>
    <row r="2086">
      <c r="B2086" s="39" t="inlineStr">
        <is>
          <t>IPAC_REN</t>
        </is>
      </c>
      <c r="C2086" s="40" t="inlineStr">
        <is>
          <t>BAC_CCE</t>
        </is>
      </c>
      <c r="D2086" s="40" t="inlineStr">
        <is>
          <t>B3</t>
        </is>
      </c>
      <c r="E2086" s="40" t="inlineStr">
        <is>
          <t>ALT</t>
        </is>
      </c>
      <c r="F2086" s="40" t="inlineStr">
        <is>
          <t>DRV_PASS</t>
        </is>
      </c>
      <c r="G2086" s="39" t="inlineStr">
        <is>
          <t>Taux de passage (réinscription)</t>
        </is>
      </c>
      <c r="H2086" s="40" t="inlineStr">
        <is>
          <t>TECHNIQUE</t>
        </is>
      </c>
      <c r="I2086" s="41" t="inlineStr">
        <is>
          <t>2025FCST_V4</t>
        </is>
      </c>
      <c r="J2086" s="41" t="n">
        <v>2025</v>
      </c>
      <c r="K2086" s="41" t="inlineStr">
        <is>
          <t>PCT</t>
        </is>
      </c>
      <c r="L2086" s="44" t="n">
        <v>0.95</v>
      </c>
    </row>
    <row r="2087">
      <c r="B2087" s="39" t="inlineStr">
        <is>
          <t>IPAC_REN</t>
        </is>
      </c>
      <c r="C2087" s="40" t="inlineStr">
        <is>
          <t>BAC_CCE</t>
        </is>
      </c>
      <c r="D2087" s="40" t="inlineStr">
        <is>
          <t>B3</t>
        </is>
      </c>
      <c r="E2087" s="40" t="inlineStr">
        <is>
          <t>ALT</t>
        </is>
      </c>
      <c r="F2087" s="40" t="inlineStr">
        <is>
          <t>PRX_TARIF</t>
        </is>
      </c>
      <c r="G2087" s="39" t="inlineStr">
        <is>
          <t>Tarif moyen scolarité</t>
        </is>
      </c>
      <c r="H2087" s="40" t="inlineStr">
        <is>
          <t>TECHNIQUE</t>
        </is>
      </c>
      <c r="I2087" s="41" t="inlineStr">
        <is>
          <t>2023ACT_VDEF</t>
        </is>
      </c>
      <c r="J2087" s="41" t="n">
        <v>2023</v>
      </c>
      <c r="K2087" s="41" t="inlineStr">
        <is>
          <t>EUR</t>
        </is>
      </c>
      <c r="L2087" s="42" t="n">
        <v>8000</v>
      </c>
    </row>
    <row r="2088">
      <c r="B2088" s="39" t="inlineStr">
        <is>
          <t>IPAC_REN</t>
        </is>
      </c>
      <c r="C2088" s="40" t="inlineStr">
        <is>
          <t>BAC_CCE</t>
        </is>
      </c>
      <c r="D2088" s="40" t="inlineStr">
        <is>
          <t>B3</t>
        </is>
      </c>
      <c r="E2088" s="40" t="inlineStr">
        <is>
          <t>ALT</t>
        </is>
      </c>
      <c r="F2088" s="40" t="inlineStr">
        <is>
          <t>PRX_TARIF</t>
        </is>
      </c>
      <c r="G2088" s="39" t="inlineStr">
        <is>
          <t>Tarif moyen scolarité</t>
        </is>
      </c>
      <c r="H2088" s="40" t="inlineStr">
        <is>
          <t>TECHNIQUE</t>
        </is>
      </c>
      <c r="I2088" s="41" t="inlineStr">
        <is>
          <t>2024ACT_VDEF</t>
        </is>
      </c>
      <c r="J2088" s="41" t="n">
        <v>2024</v>
      </c>
      <c r="K2088" s="41" t="inlineStr">
        <is>
          <t>EUR</t>
        </is>
      </c>
      <c r="L2088" s="42" t="n">
        <v>8000</v>
      </c>
    </row>
    <row r="2089">
      <c r="B2089" s="39" t="inlineStr">
        <is>
          <t>IPAC_REN</t>
        </is>
      </c>
      <c r="C2089" s="40" t="inlineStr">
        <is>
          <t>BAC_CCE</t>
        </is>
      </c>
      <c r="D2089" s="40" t="inlineStr">
        <is>
          <t>B3</t>
        </is>
      </c>
      <c r="E2089" s="40" t="inlineStr">
        <is>
          <t>ALT</t>
        </is>
      </c>
      <c r="F2089" s="40" t="inlineStr">
        <is>
          <t>PRX_TARIF</t>
        </is>
      </c>
      <c r="G2089" s="39" t="inlineStr">
        <is>
          <t>Tarif moyen scolarité</t>
        </is>
      </c>
      <c r="H2089" s="40" t="inlineStr">
        <is>
          <t>TECHNIQUE</t>
        </is>
      </c>
      <c r="I2089" s="41" t="inlineStr">
        <is>
          <t>2025FCST_V4</t>
        </is>
      </c>
      <c r="J2089" s="41" t="n">
        <v>2025</v>
      </c>
      <c r="K2089" s="41" t="inlineStr">
        <is>
          <t>EUR</t>
        </is>
      </c>
      <c r="L2089" s="42" t="n">
        <v>8000</v>
      </c>
    </row>
    <row r="2090">
      <c r="B2090" s="39" t="inlineStr">
        <is>
          <t>IPAC_MTP</t>
        </is>
      </c>
      <c r="C2090" s="40" t="inlineStr">
        <is>
          <t>BAC_CCE</t>
        </is>
      </c>
      <c r="D2090" s="40" t="inlineStr">
        <is>
          <t>B1</t>
        </is>
      </c>
      <c r="E2090" s="40" t="inlineStr">
        <is>
          <t>ALT</t>
        </is>
      </c>
      <c r="F2090" s="40" t="inlineStr">
        <is>
          <t>706100</t>
        </is>
      </c>
      <c r="G2090" s="39" t="inlineStr">
        <is>
          <t>Droits de scolarité</t>
        </is>
      </c>
      <c r="H2090" s="40" t="inlineStr">
        <is>
          <t>COMPTABLE</t>
        </is>
      </c>
      <c r="I2090" s="41" t="inlineStr">
        <is>
          <t>2023ACT_VDEF</t>
        </is>
      </c>
      <c r="J2090" s="41" t="n">
        <v>2023</v>
      </c>
      <c r="K2090" s="41" t="inlineStr">
        <is>
          <t>EUR</t>
        </is>
      </c>
      <c r="L2090" s="42" t="n">
        <v>288000</v>
      </c>
    </row>
    <row r="2091">
      <c r="B2091" s="39" t="inlineStr">
        <is>
          <t>IPAC_MTP</t>
        </is>
      </c>
      <c r="C2091" s="40" t="inlineStr">
        <is>
          <t>BAC_CCE</t>
        </is>
      </c>
      <c r="D2091" s="40" t="inlineStr">
        <is>
          <t>B1</t>
        </is>
      </c>
      <c r="E2091" s="40" t="inlineStr">
        <is>
          <t>ALT</t>
        </is>
      </c>
      <c r="F2091" s="40" t="inlineStr">
        <is>
          <t>706100</t>
        </is>
      </c>
      <c r="G2091" s="39" t="inlineStr">
        <is>
          <t>Droits de scolarité</t>
        </is>
      </c>
      <c r="H2091" s="40" t="inlineStr">
        <is>
          <t>COMPTABLE</t>
        </is>
      </c>
      <c r="I2091" s="41" t="inlineStr">
        <is>
          <t>2024ACT_VDEF</t>
        </is>
      </c>
      <c r="J2091" s="41" t="n">
        <v>2024</v>
      </c>
      <c r="K2091" s="41" t="inlineStr">
        <is>
          <t>EUR</t>
        </is>
      </c>
      <c r="L2091" s="42" t="n">
        <v>304000</v>
      </c>
    </row>
    <row r="2092">
      <c r="B2092" s="39" t="inlineStr">
        <is>
          <t>IPAC_MTP</t>
        </is>
      </c>
      <c r="C2092" s="40" t="inlineStr">
        <is>
          <t>BAC_CCE</t>
        </is>
      </c>
      <c r="D2092" s="40" t="inlineStr">
        <is>
          <t>B1</t>
        </is>
      </c>
      <c r="E2092" s="40" t="inlineStr">
        <is>
          <t>ALT</t>
        </is>
      </c>
      <c r="F2092" s="40" t="inlineStr">
        <is>
          <t>706100</t>
        </is>
      </c>
      <c r="G2092" s="39" t="inlineStr">
        <is>
          <t>Droits de scolarité</t>
        </is>
      </c>
      <c r="H2092" s="40" t="inlineStr">
        <is>
          <t>COMPTABLE</t>
        </is>
      </c>
      <c r="I2092" s="41" t="inlineStr">
        <is>
          <t>2025FCST_V4</t>
        </is>
      </c>
      <c r="J2092" s="41" t="n">
        <v>2025</v>
      </c>
      <c r="K2092" s="41" t="inlineStr">
        <is>
          <t>EUR</t>
        </is>
      </c>
      <c r="L2092" s="42" t="n">
        <v>320000</v>
      </c>
    </row>
    <row r="2093">
      <c r="B2093" s="39" t="inlineStr">
        <is>
          <t>IPAC_MTP</t>
        </is>
      </c>
      <c r="C2093" s="40" t="inlineStr">
        <is>
          <t>BAC_CCE</t>
        </is>
      </c>
      <c r="D2093" s="40" t="inlineStr">
        <is>
          <t>B1</t>
        </is>
      </c>
      <c r="E2093" s="40" t="inlineStr">
        <is>
          <t>ALT</t>
        </is>
      </c>
      <c r="F2093" s="40" t="inlineStr">
        <is>
          <t>708500</t>
        </is>
      </c>
      <c r="G2093" s="39" t="inlineStr">
        <is>
          <t>Frais de dossier / inscription</t>
        </is>
      </c>
      <c r="H2093" s="40" t="inlineStr">
        <is>
          <t>COMPTABLE</t>
        </is>
      </c>
      <c r="I2093" s="41" t="inlineStr">
        <is>
          <t>2023ACT_VDEF</t>
        </is>
      </c>
      <c r="J2093" s="41" t="n">
        <v>2023</v>
      </c>
      <c r="K2093" s="41" t="inlineStr">
        <is>
          <t>EUR</t>
        </is>
      </c>
      <c r="L2093" s="42" t="n">
        <v>3240</v>
      </c>
    </row>
    <row r="2094">
      <c r="B2094" s="39" t="inlineStr">
        <is>
          <t>IPAC_MTP</t>
        </is>
      </c>
      <c r="C2094" s="40" t="inlineStr">
        <is>
          <t>BAC_CCE</t>
        </is>
      </c>
      <c r="D2094" s="40" t="inlineStr">
        <is>
          <t>B1</t>
        </is>
      </c>
      <c r="E2094" s="40" t="inlineStr">
        <is>
          <t>ALT</t>
        </is>
      </c>
      <c r="F2094" s="40" t="inlineStr">
        <is>
          <t>708500</t>
        </is>
      </c>
      <c r="G2094" s="39" t="inlineStr">
        <is>
          <t>Frais de dossier / inscription</t>
        </is>
      </c>
      <c r="H2094" s="40" t="inlineStr">
        <is>
          <t>COMPTABLE</t>
        </is>
      </c>
      <c r="I2094" s="41" t="inlineStr">
        <is>
          <t>2024ACT_VDEF</t>
        </is>
      </c>
      <c r="J2094" s="41" t="n">
        <v>2024</v>
      </c>
      <c r="K2094" s="41" t="inlineStr">
        <is>
          <t>EUR</t>
        </is>
      </c>
      <c r="L2094" s="42" t="n">
        <v>3420</v>
      </c>
    </row>
    <row r="2095">
      <c r="B2095" s="39" t="inlineStr">
        <is>
          <t>IPAC_MTP</t>
        </is>
      </c>
      <c r="C2095" s="40" t="inlineStr">
        <is>
          <t>BAC_CCE</t>
        </is>
      </c>
      <c r="D2095" s="40" t="inlineStr">
        <is>
          <t>B1</t>
        </is>
      </c>
      <c r="E2095" s="40" t="inlineStr">
        <is>
          <t>ALT</t>
        </is>
      </c>
      <c r="F2095" s="40" t="inlineStr">
        <is>
          <t>708500</t>
        </is>
      </c>
      <c r="G2095" s="39" t="inlineStr">
        <is>
          <t>Frais de dossier / inscription</t>
        </is>
      </c>
      <c r="H2095" s="40" t="inlineStr">
        <is>
          <t>COMPTABLE</t>
        </is>
      </c>
      <c r="I2095" s="41" t="inlineStr">
        <is>
          <t>2025FCST_V4</t>
        </is>
      </c>
      <c r="J2095" s="41" t="n">
        <v>2025</v>
      </c>
      <c r="K2095" s="41" t="inlineStr">
        <is>
          <t>EUR</t>
        </is>
      </c>
      <c r="L2095" s="42" t="n">
        <v>3600</v>
      </c>
    </row>
    <row r="2096">
      <c r="B2096" s="39" t="inlineStr">
        <is>
          <t>IPAC_MTP</t>
        </is>
      </c>
      <c r="C2096" s="40" t="inlineStr">
        <is>
          <t>BAC_CCE</t>
        </is>
      </c>
      <c r="D2096" s="40" t="inlineStr">
        <is>
          <t>B1</t>
        </is>
      </c>
      <c r="E2096" s="40" t="inlineStr">
        <is>
          <t>ALT</t>
        </is>
      </c>
      <c r="F2096" s="40" t="inlineStr">
        <is>
          <t>604100</t>
        </is>
      </c>
      <c r="G2096" s="39" t="inlineStr">
        <is>
          <t>Vacations &amp; sous-traitance pédagogique</t>
        </is>
      </c>
      <c r="H2096" s="40" t="inlineStr">
        <is>
          <t>COMPTABLE</t>
        </is>
      </c>
      <c r="I2096" s="41" t="inlineStr">
        <is>
          <t>2023ACT_VDEF</t>
        </is>
      </c>
      <c r="J2096" s="41" t="n">
        <v>2023</v>
      </c>
      <c r="K2096" s="41" t="inlineStr">
        <is>
          <t>EUR</t>
        </is>
      </c>
      <c r="L2096" s="42" t="n">
        <v>62640</v>
      </c>
    </row>
    <row r="2097">
      <c r="B2097" s="39" t="inlineStr">
        <is>
          <t>IPAC_MTP</t>
        </is>
      </c>
      <c r="C2097" s="40" t="inlineStr">
        <is>
          <t>BAC_CCE</t>
        </is>
      </c>
      <c r="D2097" s="40" t="inlineStr">
        <is>
          <t>B1</t>
        </is>
      </c>
      <c r="E2097" s="40" t="inlineStr">
        <is>
          <t>ALT</t>
        </is>
      </c>
      <c r="F2097" s="40" t="inlineStr">
        <is>
          <t>604100</t>
        </is>
      </c>
      <c r="G2097" s="39" t="inlineStr">
        <is>
          <t>Vacations &amp; sous-traitance pédagogique</t>
        </is>
      </c>
      <c r="H2097" s="40" t="inlineStr">
        <is>
          <t>COMPTABLE</t>
        </is>
      </c>
      <c r="I2097" s="41" t="inlineStr">
        <is>
          <t>2024ACT_VDEF</t>
        </is>
      </c>
      <c r="J2097" s="41" t="n">
        <v>2024</v>
      </c>
      <c r="K2097" s="41" t="inlineStr">
        <is>
          <t>EUR</t>
        </is>
      </c>
      <c r="L2097" s="42" t="n">
        <v>66120</v>
      </c>
    </row>
    <row r="2098">
      <c r="B2098" s="39" t="inlineStr">
        <is>
          <t>IPAC_MTP</t>
        </is>
      </c>
      <c r="C2098" s="40" t="inlineStr">
        <is>
          <t>BAC_CCE</t>
        </is>
      </c>
      <c r="D2098" s="40" t="inlineStr">
        <is>
          <t>B1</t>
        </is>
      </c>
      <c r="E2098" s="40" t="inlineStr">
        <is>
          <t>ALT</t>
        </is>
      </c>
      <c r="F2098" s="40" t="inlineStr">
        <is>
          <t>604100</t>
        </is>
      </c>
      <c r="G2098" s="39" t="inlineStr">
        <is>
          <t>Vacations &amp; sous-traitance pédagogique</t>
        </is>
      </c>
      <c r="H2098" s="40" t="inlineStr">
        <is>
          <t>COMPTABLE</t>
        </is>
      </c>
      <c r="I2098" s="41" t="inlineStr">
        <is>
          <t>2025FCST_V4</t>
        </is>
      </c>
      <c r="J2098" s="41" t="n">
        <v>2025</v>
      </c>
      <c r="K2098" s="41" t="inlineStr">
        <is>
          <t>EUR</t>
        </is>
      </c>
      <c r="L2098" s="42" t="n">
        <v>69600</v>
      </c>
    </row>
    <row r="2099">
      <c r="B2099" s="39" t="inlineStr">
        <is>
          <t>IPAC_MTP</t>
        </is>
      </c>
      <c r="C2099" s="40" t="inlineStr">
        <is>
          <t>BAC_CCE</t>
        </is>
      </c>
      <c r="D2099" s="40" t="inlineStr">
        <is>
          <t>B1</t>
        </is>
      </c>
      <c r="E2099" s="40" t="inlineStr">
        <is>
          <t>ALT</t>
        </is>
      </c>
      <c r="F2099" s="40" t="inlineStr">
        <is>
          <t>606300</t>
        </is>
      </c>
      <c r="G2099" s="39" t="inlineStr">
        <is>
          <t>Fournitures &amp; ressources pédagogiques</t>
        </is>
      </c>
      <c r="H2099" s="40" t="inlineStr">
        <is>
          <t>COMPTABLE</t>
        </is>
      </c>
      <c r="I2099" s="41" t="inlineStr">
        <is>
          <t>2023ACT_VDEF</t>
        </is>
      </c>
      <c r="J2099" s="41" t="n">
        <v>2023</v>
      </c>
      <c r="K2099" s="41" t="inlineStr">
        <is>
          <t>EUR</t>
        </is>
      </c>
      <c r="L2099" s="42" t="n">
        <v>13680</v>
      </c>
    </row>
    <row r="2100">
      <c r="B2100" s="39" t="inlineStr">
        <is>
          <t>IPAC_MTP</t>
        </is>
      </c>
      <c r="C2100" s="40" t="inlineStr">
        <is>
          <t>BAC_CCE</t>
        </is>
      </c>
      <c r="D2100" s="40" t="inlineStr">
        <is>
          <t>B1</t>
        </is>
      </c>
      <c r="E2100" s="40" t="inlineStr">
        <is>
          <t>ALT</t>
        </is>
      </c>
      <c r="F2100" s="40" t="inlineStr">
        <is>
          <t>606300</t>
        </is>
      </c>
      <c r="G2100" s="39" t="inlineStr">
        <is>
          <t>Fournitures &amp; ressources pédagogiques</t>
        </is>
      </c>
      <c r="H2100" s="40" t="inlineStr">
        <is>
          <t>COMPTABLE</t>
        </is>
      </c>
      <c r="I2100" s="41" t="inlineStr">
        <is>
          <t>2024ACT_VDEF</t>
        </is>
      </c>
      <c r="J2100" s="41" t="n">
        <v>2024</v>
      </c>
      <c r="K2100" s="41" t="inlineStr">
        <is>
          <t>EUR</t>
        </is>
      </c>
      <c r="L2100" s="42" t="n">
        <v>14440</v>
      </c>
    </row>
    <row r="2101">
      <c r="B2101" s="39" t="inlineStr">
        <is>
          <t>IPAC_MTP</t>
        </is>
      </c>
      <c r="C2101" s="40" t="inlineStr">
        <is>
          <t>BAC_CCE</t>
        </is>
      </c>
      <c r="D2101" s="40" t="inlineStr">
        <is>
          <t>B1</t>
        </is>
      </c>
      <c r="E2101" s="40" t="inlineStr">
        <is>
          <t>ALT</t>
        </is>
      </c>
      <c r="F2101" s="40" t="inlineStr">
        <is>
          <t>606300</t>
        </is>
      </c>
      <c r="G2101" s="39" t="inlineStr">
        <is>
          <t>Fournitures &amp; ressources pédagogiques</t>
        </is>
      </c>
      <c r="H2101" s="40" t="inlineStr">
        <is>
          <t>COMPTABLE</t>
        </is>
      </c>
      <c r="I2101" s="41" t="inlineStr">
        <is>
          <t>2025FCST_V4</t>
        </is>
      </c>
      <c r="J2101" s="41" t="n">
        <v>2025</v>
      </c>
      <c r="K2101" s="41" t="inlineStr">
        <is>
          <t>EUR</t>
        </is>
      </c>
      <c r="L2101" s="42" t="n">
        <v>15200</v>
      </c>
    </row>
    <row r="2102">
      <c r="B2102" s="39" t="inlineStr">
        <is>
          <t>IPAC_MTP</t>
        </is>
      </c>
      <c r="C2102" s="40" t="inlineStr">
        <is>
          <t>BAC_CCE</t>
        </is>
      </c>
      <c r="D2102" s="40" t="inlineStr">
        <is>
          <t>B1</t>
        </is>
      </c>
      <c r="E2102" s="40" t="inlineStr">
        <is>
          <t>ALT</t>
        </is>
      </c>
      <c r="F2102" s="40" t="inlineStr">
        <is>
          <t>623000</t>
        </is>
      </c>
      <c r="G2102" s="39" t="inlineStr">
        <is>
          <t>Publicité &amp; marketing (acquisition)</t>
        </is>
      </c>
      <c r="H2102" s="40" t="inlineStr">
        <is>
          <t>COMPTABLE</t>
        </is>
      </c>
      <c r="I2102" s="41" t="inlineStr">
        <is>
          <t>2023ACT_VDEF</t>
        </is>
      </c>
      <c r="J2102" s="41" t="n">
        <v>2023</v>
      </c>
      <c r="K2102" s="41" t="inlineStr">
        <is>
          <t>EUR</t>
        </is>
      </c>
      <c r="L2102" s="42" t="n">
        <v>11520</v>
      </c>
    </row>
    <row r="2103">
      <c r="B2103" s="39" t="inlineStr">
        <is>
          <t>IPAC_MTP</t>
        </is>
      </c>
      <c r="C2103" s="40" t="inlineStr">
        <is>
          <t>BAC_CCE</t>
        </is>
      </c>
      <c r="D2103" s="40" t="inlineStr">
        <is>
          <t>B1</t>
        </is>
      </c>
      <c r="E2103" s="40" t="inlineStr">
        <is>
          <t>ALT</t>
        </is>
      </c>
      <c r="F2103" s="40" t="inlineStr">
        <is>
          <t>623000</t>
        </is>
      </c>
      <c r="G2103" s="39" t="inlineStr">
        <is>
          <t>Publicité &amp; marketing (acquisition)</t>
        </is>
      </c>
      <c r="H2103" s="40" t="inlineStr">
        <is>
          <t>COMPTABLE</t>
        </is>
      </c>
      <c r="I2103" s="41" t="inlineStr">
        <is>
          <t>2024ACT_VDEF</t>
        </is>
      </c>
      <c r="J2103" s="41" t="n">
        <v>2024</v>
      </c>
      <c r="K2103" s="41" t="inlineStr">
        <is>
          <t>EUR</t>
        </is>
      </c>
      <c r="L2103" s="42" t="n">
        <v>12160</v>
      </c>
    </row>
    <row r="2104">
      <c r="B2104" s="39" t="inlineStr">
        <is>
          <t>IPAC_MTP</t>
        </is>
      </c>
      <c r="C2104" s="40" t="inlineStr">
        <is>
          <t>BAC_CCE</t>
        </is>
      </c>
      <c r="D2104" s="40" t="inlineStr">
        <is>
          <t>B1</t>
        </is>
      </c>
      <c r="E2104" s="40" t="inlineStr">
        <is>
          <t>ALT</t>
        </is>
      </c>
      <c r="F2104" s="40" t="inlineStr">
        <is>
          <t>623000</t>
        </is>
      </c>
      <c r="G2104" s="39" t="inlineStr">
        <is>
          <t>Publicité &amp; marketing (acquisition)</t>
        </is>
      </c>
      <c r="H2104" s="40" t="inlineStr">
        <is>
          <t>COMPTABLE</t>
        </is>
      </c>
      <c r="I2104" s="41" t="inlineStr">
        <is>
          <t>2025FCST_V4</t>
        </is>
      </c>
      <c r="J2104" s="41" t="n">
        <v>2025</v>
      </c>
      <c r="K2104" s="41" t="inlineStr">
        <is>
          <t>EUR</t>
        </is>
      </c>
      <c r="L2104" s="42" t="n">
        <v>12800</v>
      </c>
    </row>
    <row r="2105">
      <c r="B2105" s="39" t="inlineStr">
        <is>
          <t>IPAC_MTP</t>
        </is>
      </c>
      <c r="C2105" s="40" t="inlineStr">
        <is>
          <t>BAC_CCE</t>
        </is>
      </c>
      <c r="D2105" s="40" t="inlineStr">
        <is>
          <t>B1</t>
        </is>
      </c>
      <c r="E2105" s="40" t="inlineStr">
        <is>
          <t>ALT</t>
        </is>
      </c>
      <c r="F2105" s="40" t="inlineStr">
        <is>
          <t>613200</t>
        </is>
      </c>
      <c r="G2105" s="39" t="inlineStr">
        <is>
          <t>Locations immobilières (loyers)</t>
        </is>
      </c>
      <c r="H2105" s="40" t="inlineStr">
        <is>
          <t>COMPTABLE</t>
        </is>
      </c>
      <c r="I2105" s="41" t="inlineStr">
        <is>
          <t>2023ACT_VDEF</t>
        </is>
      </c>
      <c r="J2105" s="41" t="n">
        <v>2023</v>
      </c>
      <c r="K2105" s="41" t="inlineStr">
        <is>
          <t>EUR</t>
        </is>
      </c>
      <c r="L2105" s="42" t="n">
        <v>33120</v>
      </c>
    </row>
    <row r="2106">
      <c r="B2106" s="39" t="inlineStr">
        <is>
          <t>IPAC_MTP</t>
        </is>
      </c>
      <c r="C2106" s="40" t="inlineStr">
        <is>
          <t>BAC_CCE</t>
        </is>
      </c>
      <c r="D2106" s="40" t="inlineStr">
        <is>
          <t>B1</t>
        </is>
      </c>
      <c r="E2106" s="40" t="inlineStr">
        <is>
          <t>ALT</t>
        </is>
      </c>
      <c r="F2106" s="40" t="inlineStr">
        <is>
          <t>613200</t>
        </is>
      </c>
      <c r="G2106" s="39" t="inlineStr">
        <is>
          <t>Locations immobilières (loyers)</t>
        </is>
      </c>
      <c r="H2106" s="40" t="inlineStr">
        <is>
          <t>COMPTABLE</t>
        </is>
      </c>
      <c r="I2106" s="41" t="inlineStr">
        <is>
          <t>2024ACT_VDEF</t>
        </is>
      </c>
      <c r="J2106" s="41" t="n">
        <v>2024</v>
      </c>
      <c r="K2106" s="41" t="inlineStr">
        <is>
          <t>EUR</t>
        </is>
      </c>
      <c r="L2106" s="42" t="n">
        <v>34960</v>
      </c>
    </row>
    <row r="2107">
      <c r="B2107" s="39" t="inlineStr">
        <is>
          <t>IPAC_MTP</t>
        </is>
      </c>
      <c r="C2107" s="40" t="inlineStr">
        <is>
          <t>BAC_CCE</t>
        </is>
      </c>
      <c r="D2107" s="40" t="inlineStr">
        <is>
          <t>B1</t>
        </is>
      </c>
      <c r="E2107" s="40" t="inlineStr">
        <is>
          <t>ALT</t>
        </is>
      </c>
      <c r="F2107" s="40" t="inlineStr">
        <is>
          <t>613200</t>
        </is>
      </c>
      <c r="G2107" s="39" t="inlineStr">
        <is>
          <t>Locations immobilières (loyers)</t>
        </is>
      </c>
      <c r="H2107" s="40" t="inlineStr">
        <is>
          <t>COMPTABLE</t>
        </is>
      </c>
      <c r="I2107" s="41" t="inlineStr">
        <is>
          <t>2025FCST_V4</t>
        </is>
      </c>
      <c r="J2107" s="41" t="n">
        <v>2025</v>
      </c>
      <c r="K2107" s="41" t="inlineStr">
        <is>
          <t>EUR</t>
        </is>
      </c>
      <c r="L2107" s="42" t="n">
        <v>36800</v>
      </c>
    </row>
    <row r="2108">
      <c r="B2108" s="39" t="inlineStr">
        <is>
          <t>IPAC_MTP</t>
        </is>
      </c>
      <c r="C2108" s="40" t="inlineStr">
        <is>
          <t>BAC_CCE</t>
        </is>
      </c>
      <c r="D2108" s="40" t="inlineStr">
        <is>
          <t>B1</t>
        </is>
      </c>
      <c r="E2108" s="40" t="inlineStr">
        <is>
          <t>ALT</t>
        </is>
      </c>
      <c r="F2108" s="40" t="inlineStr">
        <is>
          <t>641100</t>
        </is>
      </c>
      <c r="G2108" s="39" t="inlineStr">
        <is>
          <t>Rémunérations du personnel permanent</t>
        </is>
      </c>
      <c r="H2108" s="40" t="inlineStr">
        <is>
          <t>COMPTABLE</t>
        </is>
      </c>
      <c r="I2108" s="41" t="inlineStr">
        <is>
          <t>2023ACT_VDEF</t>
        </is>
      </c>
      <c r="J2108" s="41" t="n">
        <v>2023</v>
      </c>
      <c r="K2108" s="41" t="inlineStr">
        <is>
          <t>EUR</t>
        </is>
      </c>
      <c r="L2108" s="42" t="n">
        <v>83520</v>
      </c>
    </row>
    <row r="2109">
      <c r="B2109" s="39" t="inlineStr">
        <is>
          <t>IPAC_MTP</t>
        </is>
      </c>
      <c r="C2109" s="40" t="inlineStr">
        <is>
          <t>BAC_CCE</t>
        </is>
      </c>
      <c r="D2109" s="40" t="inlineStr">
        <is>
          <t>B1</t>
        </is>
      </c>
      <c r="E2109" s="40" t="inlineStr">
        <is>
          <t>ALT</t>
        </is>
      </c>
      <c r="F2109" s="40" t="inlineStr">
        <is>
          <t>641100</t>
        </is>
      </c>
      <c r="G2109" s="39" t="inlineStr">
        <is>
          <t>Rémunérations du personnel permanent</t>
        </is>
      </c>
      <c r="H2109" s="40" t="inlineStr">
        <is>
          <t>COMPTABLE</t>
        </is>
      </c>
      <c r="I2109" s="41" t="inlineStr">
        <is>
          <t>2024ACT_VDEF</t>
        </is>
      </c>
      <c r="J2109" s="41" t="n">
        <v>2024</v>
      </c>
      <c r="K2109" s="41" t="inlineStr">
        <is>
          <t>EUR</t>
        </is>
      </c>
      <c r="L2109" s="42" t="n">
        <v>88160</v>
      </c>
    </row>
    <row r="2110">
      <c r="B2110" s="39" t="inlineStr">
        <is>
          <t>IPAC_MTP</t>
        </is>
      </c>
      <c r="C2110" s="40" t="inlineStr">
        <is>
          <t>BAC_CCE</t>
        </is>
      </c>
      <c r="D2110" s="40" t="inlineStr">
        <is>
          <t>B1</t>
        </is>
      </c>
      <c r="E2110" s="40" t="inlineStr">
        <is>
          <t>ALT</t>
        </is>
      </c>
      <c r="F2110" s="40" t="inlineStr">
        <is>
          <t>641100</t>
        </is>
      </c>
      <c r="G2110" s="39" t="inlineStr">
        <is>
          <t>Rémunérations du personnel permanent</t>
        </is>
      </c>
      <c r="H2110" s="40" t="inlineStr">
        <is>
          <t>COMPTABLE</t>
        </is>
      </c>
      <c r="I2110" s="41" t="inlineStr">
        <is>
          <t>2025FCST_V4</t>
        </is>
      </c>
      <c r="J2110" s="41" t="n">
        <v>2025</v>
      </c>
      <c r="K2110" s="41" t="inlineStr">
        <is>
          <t>EUR</t>
        </is>
      </c>
      <c r="L2110" s="42" t="n">
        <v>92800</v>
      </c>
    </row>
    <row r="2111">
      <c r="B2111" s="39" t="inlineStr">
        <is>
          <t>IPAC_MTP</t>
        </is>
      </c>
      <c r="C2111" s="40" t="inlineStr">
        <is>
          <t>BAC_CCE</t>
        </is>
      </c>
      <c r="D2111" s="40" t="inlineStr">
        <is>
          <t>B1</t>
        </is>
      </c>
      <c r="E2111" s="40" t="inlineStr">
        <is>
          <t>ALT</t>
        </is>
      </c>
      <c r="F2111" s="40" t="inlineStr">
        <is>
          <t>622600</t>
        </is>
      </c>
      <c r="G2111" s="39" t="inlineStr">
        <is>
          <t>Honoraires &amp; frais de siège (structure groupe)</t>
        </is>
      </c>
      <c r="H2111" s="40" t="inlineStr">
        <is>
          <t>COMPTABLE</t>
        </is>
      </c>
      <c r="I2111" s="41" t="inlineStr">
        <is>
          <t>2023ACT_VDEF</t>
        </is>
      </c>
      <c r="J2111" s="41" t="n">
        <v>2023</v>
      </c>
      <c r="K2111" s="41" t="inlineStr">
        <is>
          <t>EUR</t>
        </is>
      </c>
      <c r="L2111" s="42" t="n">
        <v>30101</v>
      </c>
    </row>
    <row r="2112">
      <c r="B2112" s="39" t="inlineStr">
        <is>
          <t>IPAC_MTP</t>
        </is>
      </c>
      <c r="C2112" s="40" t="inlineStr">
        <is>
          <t>BAC_CCE</t>
        </is>
      </c>
      <c r="D2112" s="40" t="inlineStr">
        <is>
          <t>B1</t>
        </is>
      </c>
      <c r="E2112" s="40" t="inlineStr">
        <is>
          <t>ALT</t>
        </is>
      </c>
      <c r="F2112" s="40" t="inlineStr">
        <is>
          <t>622600</t>
        </is>
      </c>
      <c r="G2112" s="39" t="inlineStr">
        <is>
          <t>Honoraires &amp; frais de siège (structure groupe)</t>
        </is>
      </c>
      <c r="H2112" s="40" t="inlineStr">
        <is>
          <t>COMPTABLE</t>
        </is>
      </c>
      <c r="I2112" s="41" t="inlineStr">
        <is>
          <t>2024ACT_VDEF</t>
        </is>
      </c>
      <c r="J2112" s="41" t="n">
        <v>2024</v>
      </c>
      <c r="K2112" s="41" t="inlineStr">
        <is>
          <t>EUR</t>
        </is>
      </c>
      <c r="L2112" s="42" t="n">
        <v>31774</v>
      </c>
    </row>
    <row r="2113">
      <c r="B2113" s="39" t="inlineStr">
        <is>
          <t>IPAC_MTP</t>
        </is>
      </c>
      <c r="C2113" s="40" t="inlineStr">
        <is>
          <t>BAC_CCE</t>
        </is>
      </c>
      <c r="D2113" s="40" t="inlineStr">
        <is>
          <t>B1</t>
        </is>
      </c>
      <c r="E2113" s="40" t="inlineStr">
        <is>
          <t>ALT</t>
        </is>
      </c>
      <c r="F2113" s="40" t="inlineStr">
        <is>
          <t>622600</t>
        </is>
      </c>
      <c r="G2113" s="39" t="inlineStr">
        <is>
          <t>Honoraires &amp; frais de siège (structure groupe)</t>
        </is>
      </c>
      <c r="H2113" s="40" t="inlineStr">
        <is>
          <t>COMPTABLE</t>
        </is>
      </c>
      <c r="I2113" s="41" t="inlineStr">
        <is>
          <t>2025FCST_V4</t>
        </is>
      </c>
      <c r="J2113" s="41" t="n">
        <v>2025</v>
      </c>
      <c r="K2113" s="41" t="inlineStr">
        <is>
          <t>EUR</t>
        </is>
      </c>
      <c r="L2113" s="42" t="n">
        <v>33446</v>
      </c>
    </row>
    <row r="2114">
      <c r="B2114" s="39" t="inlineStr">
        <is>
          <t>IPAC_MTP</t>
        </is>
      </c>
      <c r="C2114" s="40" t="inlineStr">
        <is>
          <t>BAC_CCE</t>
        </is>
      </c>
      <c r="D2114" s="40" t="inlineStr">
        <is>
          <t>B1</t>
        </is>
      </c>
      <c r="E2114" s="40" t="inlineStr">
        <is>
          <t>ALT</t>
        </is>
      </c>
      <c r="F2114" s="40" t="inlineStr">
        <is>
          <t>606800</t>
        </is>
      </c>
      <c r="G2114" s="39" t="inlineStr">
        <is>
          <t>Autres achats &amp; charges externes</t>
        </is>
      </c>
      <c r="H2114" s="40" t="inlineStr">
        <is>
          <t>COMPTABLE</t>
        </is>
      </c>
      <c r="I2114" s="41" t="inlineStr">
        <is>
          <t>2023ACT_VDEF</t>
        </is>
      </c>
      <c r="J2114" s="41" t="n">
        <v>2023</v>
      </c>
      <c r="K2114" s="41" t="inlineStr">
        <is>
          <t>EUR</t>
        </is>
      </c>
      <c r="L2114" s="42" t="n">
        <v>33624</v>
      </c>
    </row>
    <row r="2115">
      <c r="B2115" s="39" t="inlineStr">
        <is>
          <t>IPAC_MTP</t>
        </is>
      </c>
      <c r="C2115" s="40" t="inlineStr">
        <is>
          <t>BAC_CCE</t>
        </is>
      </c>
      <c r="D2115" s="40" t="inlineStr">
        <is>
          <t>B1</t>
        </is>
      </c>
      <c r="E2115" s="40" t="inlineStr">
        <is>
          <t>ALT</t>
        </is>
      </c>
      <c r="F2115" s="40" t="inlineStr">
        <is>
          <t>606800</t>
        </is>
      </c>
      <c r="G2115" s="39" t="inlineStr">
        <is>
          <t>Autres achats &amp; charges externes</t>
        </is>
      </c>
      <c r="H2115" s="40" t="inlineStr">
        <is>
          <t>COMPTABLE</t>
        </is>
      </c>
      <c r="I2115" s="41" t="inlineStr">
        <is>
          <t>2024ACT_VDEF</t>
        </is>
      </c>
      <c r="J2115" s="41" t="n">
        <v>2024</v>
      </c>
      <c r="K2115" s="41" t="inlineStr">
        <is>
          <t>EUR</t>
        </is>
      </c>
      <c r="L2115" s="42" t="n">
        <v>35492</v>
      </c>
    </row>
    <row r="2116">
      <c r="B2116" s="39" t="inlineStr">
        <is>
          <t>IPAC_MTP</t>
        </is>
      </c>
      <c r="C2116" s="40" t="inlineStr">
        <is>
          <t>BAC_CCE</t>
        </is>
      </c>
      <c r="D2116" s="40" t="inlineStr">
        <is>
          <t>B1</t>
        </is>
      </c>
      <c r="E2116" s="40" t="inlineStr">
        <is>
          <t>ALT</t>
        </is>
      </c>
      <c r="F2116" s="40" t="inlineStr">
        <is>
          <t>606800</t>
        </is>
      </c>
      <c r="G2116" s="39" t="inlineStr">
        <is>
          <t>Autres achats &amp; charges externes</t>
        </is>
      </c>
      <c r="H2116" s="40" t="inlineStr">
        <is>
          <t>COMPTABLE</t>
        </is>
      </c>
      <c r="I2116" s="41" t="inlineStr">
        <is>
          <t>2025FCST_V4</t>
        </is>
      </c>
      <c r="J2116" s="41" t="n">
        <v>2025</v>
      </c>
      <c r="K2116" s="41" t="inlineStr">
        <is>
          <t>EUR</t>
        </is>
      </c>
      <c r="L2116" s="42" t="n">
        <v>37360</v>
      </c>
    </row>
    <row r="2117">
      <c r="B2117" s="39" t="inlineStr">
        <is>
          <t>IPAC_MTP</t>
        </is>
      </c>
      <c r="C2117" s="40" t="inlineStr">
        <is>
          <t>BAC_CCE</t>
        </is>
      </c>
      <c r="D2117" s="40" t="inlineStr">
        <is>
          <t>B1</t>
        </is>
      </c>
      <c r="E2117" s="40" t="inlineStr">
        <is>
          <t>ALT</t>
        </is>
      </c>
      <c r="F2117" s="40" t="inlineStr">
        <is>
          <t>681100</t>
        </is>
      </c>
      <c r="G2117" s="39" t="inlineStr">
        <is>
          <t>Dotations aux amortissements</t>
        </is>
      </c>
      <c r="H2117" s="40" t="inlineStr">
        <is>
          <t>COMPTABLE</t>
        </is>
      </c>
      <c r="I2117" s="41" t="inlineStr">
        <is>
          <t>2023ACT_VDEF</t>
        </is>
      </c>
      <c r="J2117" s="41" t="n">
        <v>2023</v>
      </c>
      <c r="K2117" s="41" t="inlineStr">
        <is>
          <t>EUR</t>
        </is>
      </c>
      <c r="L2117" s="42" t="n">
        <v>18000</v>
      </c>
    </row>
    <row r="2118">
      <c r="B2118" s="39" t="inlineStr">
        <is>
          <t>IPAC_MTP</t>
        </is>
      </c>
      <c r="C2118" s="40" t="inlineStr">
        <is>
          <t>BAC_CCE</t>
        </is>
      </c>
      <c r="D2118" s="40" t="inlineStr">
        <is>
          <t>B1</t>
        </is>
      </c>
      <c r="E2118" s="40" t="inlineStr">
        <is>
          <t>ALT</t>
        </is>
      </c>
      <c r="F2118" s="40" t="inlineStr">
        <is>
          <t>681100</t>
        </is>
      </c>
      <c r="G2118" s="39" t="inlineStr">
        <is>
          <t>Dotations aux amortissements</t>
        </is>
      </c>
      <c r="H2118" s="40" t="inlineStr">
        <is>
          <t>COMPTABLE</t>
        </is>
      </c>
      <c r="I2118" s="41" t="inlineStr">
        <is>
          <t>2024ACT_VDEF</t>
        </is>
      </c>
      <c r="J2118" s="41" t="n">
        <v>2024</v>
      </c>
      <c r="K2118" s="41" t="inlineStr">
        <is>
          <t>EUR</t>
        </is>
      </c>
      <c r="L2118" s="42" t="n">
        <v>19000</v>
      </c>
    </row>
    <row r="2119">
      <c r="B2119" s="39" t="inlineStr">
        <is>
          <t>IPAC_MTP</t>
        </is>
      </c>
      <c r="C2119" s="40" t="inlineStr">
        <is>
          <t>BAC_CCE</t>
        </is>
      </c>
      <c r="D2119" s="40" t="inlineStr">
        <is>
          <t>B1</t>
        </is>
      </c>
      <c r="E2119" s="40" t="inlineStr">
        <is>
          <t>ALT</t>
        </is>
      </c>
      <c r="F2119" s="40" t="inlineStr">
        <is>
          <t>681100</t>
        </is>
      </c>
      <c r="G2119" s="39" t="inlineStr">
        <is>
          <t>Dotations aux amortissements</t>
        </is>
      </c>
      <c r="H2119" s="40" t="inlineStr">
        <is>
          <t>COMPTABLE</t>
        </is>
      </c>
      <c r="I2119" s="41" t="inlineStr">
        <is>
          <t>2025FCST_V4</t>
        </is>
      </c>
      <c r="J2119" s="41" t="n">
        <v>2025</v>
      </c>
      <c r="K2119" s="41" t="inlineStr">
        <is>
          <t>EUR</t>
        </is>
      </c>
      <c r="L2119" s="42" t="n">
        <v>20000</v>
      </c>
    </row>
    <row r="2120">
      <c r="B2120" s="39" t="inlineStr">
        <is>
          <t>IPAC_MTP</t>
        </is>
      </c>
      <c r="C2120" s="40" t="inlineStr">
        <is>
          <t>BAC_CCE</t>
        </is>
      </c>
      <c r="D2120" s="40" t="inlineStr">
        <is>
          <t>B1</t>
        </is>
      </c>
      <c r="E2120" s="40" t="inlineStr">
        <is>
          <t>ALT</t>
        </is>
      </c>
      <c r="F2120" s="40" t="inlineStr">
        <is>
          <t>STA_EFF</t>
        </is>
      </c>
      <c r="G2120" s="39" t="inlineStr">
        <is>
          <t>Effectif inscrit</t>
        </is>
      </c>
      <c r="H2120" s="40" t="inlineStr">
        <is>
          <t>TECHNIQUE</t>
        </is>
      </c>
      <c r="I2120" s="41" t="inlineStr">
        <is>
          <t>2023ACT_VDEF</t>
        </is>
      </c>
      <c r="J2120" s="41" t="n">
        <v>2023</v>
      </c>
      <c r="K2120" s="41" t="inlineStr">
        <is>
          <t>NB</t>
        </is>
      </c>
      <c r="L2120" s="43" t="n">
        <v>36</v>
      </c>
    </row>
    <row r="2121">
      <c r="B2121" s="39" t="inlineStr">
        <is>
          <t>IPAC_MTP</t>
        </is>
      </c>
      <c r="C2121" s="40" t="inlineStr">
        <is>
          <t>BAC_CCE</t>
        </is>
      </c>
      <c r="D2121" s="40" t="inlineStr">
        <is>
          <t>B1</t>
        </is>
      </c>
      <c r="E2121" s="40" t="inlineStr">
        <is>
          <t>ALT</t>
        </is>
      </c>
      <c r="F2121" s="40" t="inlineStr">
        <is>
          <t>STA_EFF</t>
        </is>
      </c>
      <c r="G2121" s="39" t="inlineStr">
        <is>
          <t>Effectif inscrit</t>
        </is>
      </c>
      <c r="H2121" s="40" t="inlineStr">
        <is>
          <t>TECHNIQUE</t>
        </is>
      </c>
      <c r="I2121" s="41" t="inlineStr">
        <is>
          <t>2024ACT_VDEF</t>
        </is>
      </c>
      <c r="J2121" s="41" t="n">
        <v>2024</v>
      </c>
      <c r="K2121" s="41" t="inlineStr">
        <is>
          <t>NB</t>
        </is>
      </c>
      <c r="L2121" s="43" t="n">
        <v>38</v>
      </c>
    </row>
    <row r="2122">
      <c r="B2122" s="39" t="inlineStr">
        <is>
          <t>IPAC_MTP</t>
        </is>
      </c>
      <c r="C2122" s="40" t="inlineStr">
        <is>
          <t>BAC_CCE</t>
        </is>
      </c>
      <c r="D2122" s="40" t="inlineStr">
        <is>
          <t>B1</t>
        </is>
      </c>
      <c r="E2122" s="40" t="inlineStr">
        <is>
          <t>ALT</t>
        </is>
      </c>
      <c r="F2122" s="40" t="inlineStr">
        <is>
          <t>STA_EFF</t>
        </is>
      </c>
      <c r="G2122" s="39" t="inlineStr">
        <is>
          <t>Effectif inscrit</t>
        </is>
      </c>
      <c r="H2122" s="40" t="inlineStr">
        <is>
          <t>TECHNIQUE</t>
        </is>
      </c>
      <c r="I2122" s="41" t="inlineStr">
        <is>
          <t>2025FCST_V4</t>
        </is>
      </c>
      <c r="J2122" s="41" t="n">
        <v>2025</v>
      </c>
      <c r="K2122" s="41" t="inlineStr">
        <is>
          <t>NB</t>
        </is>
      </c>
      <c r="L2122" s="43" t="n">
        <v>40</v>
      </c>
    </row>
    <row r="2123">
      <c r="B2123" s="39" t="inlineStr">
        <is>
          <t>IPAC_MTP</t>
        </is>
      </c>
      <c r="C2123" s="40" t="inlineStr">
        <is>
          <t>BAC_CCE</t>
        </is>
      </c>
      <c r="D2123" s="40" t="inlineStr">
        <is>
          <t>B1</t>
        </is>
      </c>
      <c r="E2123" s="40" t="inlineStr">
        <is>
          <t>ALT</t>
        </is>
      </c>
      <c r="F2123" s="40" t="inlineStr">
        <is>
          <t>STA_CAND</t>
        </is>
      </c>
      <c r="G2123" s="39" t="inlineStr">
        <is>
          <t>Candidatures reçues</t>
        </is>
      </c>
      <c r="H2123" s="40" t="inlineStr">
        <is>
          <t>TECHNIQUE</t>
        </is>
      </c>
      <c r="I2123" s="41" t="inlineStr">
        <is>
          <t>2023ACT_VDEF</t>
        </is>
      </c>
      <c r="J2123" s="41" t="n">
        <v>2023</v>
      </c>
      <c r="K2123" s="41" t="inlineStr">
        <is>
          <t>NB</t>
        </is>
      </c>
      <c r="L2123" s="43" t="n">
        <v>97</v>
      </c>
    </row>
    <row r="2124">
      <c r="B2124" s="39" t="inlineStr">
        <is>
          <t>IPAC_MTP</t>
        </is>
      </c>
      <c r="C2124" s="40" t="inlineStr">
        <is>
          <t>BAC_CCE</t>
        </is>
      </c>
      <c r="D2124" s="40" t="inlineStr">
        <is>
          <t>B1</t>
        </is>
      </c>
      <c r="E2124" s="40" t="inlineStr">
        <is>
          <t>ALT</t>
        </is>
      </c>
      <c r="F2124" s="40" t="inlineStr">
        <is>
          <t>STA_CAND</t>
        </is>
      </c>
      <c r="G2124" s="39" t="inlineStr">
        <is>
          <t>Candidatures reçues</t>
        </is>
      </c>
      <c r="H2124" s="40" t="inlineStr">
        <is>
          <t>TECHNIQUE</t>
        </is>
      </c>
      <c r="I2124" s="41" t="inlineStr">
        <is>
          <t>2024ACT_VDEF</t>
        </is>
      </c>
      <c r="J2124" s="41" t="n">
        <v>2024</v>
      </c>
      <c r="K2124" s="41" t="inlineStr">
        <is>
          <t>NB</t>
        </is>
      </c>
      <c r="L2124" s="43" t="n">
        <v>103</v>
      </c>
    </row>
    <row r="2125">
      <c r="B2125" s="39" t="inlineStr">
        <is>
          <t>IPAC_MTP</t>
        </is>
      </c>
      <c r="C2125" s="40" t="inlineStr">
        <is>
          <t>BAC_CCE</t>
        </is>
      </c>
      <c r="D2125" s="40" t="inlineStr">
        <is>
          <t>B1</t>
        </is>
      </c>
      <c r="E2125" s="40" t="inlineStr">
        <is>
          <t>ALT</t>
        </is>
      </c>
      <c r="F2125" s="40" t="inlineStr">
        <is>
          <t>STA_CAND</t>
        </is>
      </c>
      <c r="G2125" s="39" t="inlineStr">
        <is>
          <t>Candidatures reçues</t>
        </is>
      </c>
      <c r="H2125" s="40" t="inlineStr">
        <is>
          <t>TECHNIQUE</t>
        </is>
      </c>
      <c r="I2125" s="41" t="inlineStr">
        <is>
          <t>2025FCST_V4</t>
        </is>
      </c>
      <c r="J2125" s="41" t="n">
        <v>2025</v>
      </c>
      <c r="K2125" s="41" t="inlineStr">
        <is>
          <t>NB</t>
        </is>
      </c>
      <c r="L2125" s="43" t="n">
        <v>108</v>
      </c>
    </row>
    <row r="2126">
      <c r="B2126" s="39" t="inlineStr">
        <is>
          <t>IPAC_MTP</t>
        </is>
      </c>
      <c r="C2126" s="40" t="inlineStr">
        <is>
          <t>BAC_CCE</t>
        </is>
      </c>
      <c r="D2126" s="40" t="inlineStr">
        <is>
          <t>B1</t>
        </is>
      </c>
      <c r="E2126" s="40" t="inlineStr">
        <is>
          <t>ALT</t>
        </is>
      </c>
      <c r="F2126" s="40" t="inlineStr">
        <is>
          <t>STA_ADMIS</t>
        </is>
      </c>
      <c r="G2126" s="39" t="inlineStr">
        <is>
          <t>Candidats admis</t>
        </is>
      </c>
      <c r="H2126" s="40" t="inlineStr">
        <is>
          <t>TECHNIQUE</t>
        </is>
      </c>
      <c r="I2126" s="41" t="inlineStr">
        <is>
          <t>2023ACT_VDEF</t>
        </is>
      </c>
      <c r="J2126" s="41" t="n">
        <v>2023</v>
      </c>
      <c r="K2126" s="41" t="inlineStr">
        <is>
          <t>NB</t>
        </is>
      </c>
      <c r="L2126" s="43" t="n">
        <v>60</v>
      </c>
    </row>
    <row r="2127">
      <c r="B2127" s="39" t="inlineStr">
        <is>
          <t>IPAC_MTP</t>
        </is>
      </c>
      <c r="C2127" s="40" t="inlineStr">
        <is>
          <t>BAC_CCE</t>
        </is>
      </c>
      <c r="D2127" s="40" t="inlineStr">
        <is>
          <t>B1</t>
        </is>
      </c>
      <c r="E2127" s="40" t="inlineStr">
        <is>
          <t>ALT</t>
        </is>
      </c>
      <c r="F2127" s="40" t="inlineStr">
        <is>
          <t>STA_ADMIS</t>
        </is>
      </c>
      <c r="G2127" s="39" t="inlineStr">
        <is>
          <t>Candidats admis</t>
        </is>
      </c>
      <c r="H2127" s="40" t="inlineStr">
        <is>
          <t>TECHNIQUE</t>
        </is>
      </c>
      <c r="I2127" s="41" t="inlineStr">
        <is>
          <t>2024ACT_VDEF</t>
        </is>
      </c>
      <c r="J2127" s="41" t="n">
        <v>2024</v>
      </c>
      <c r="K2127" s="41" t="inlineStr">
        <is>
          <t>NB</t>
        </is>
      </c>
      <c r="L2127" s="43" t="n">
        <v>64</v>
      </c>
    </row>
    <row r="2128">
      <c r="B2128" s="39" t="inlineStr">
        <is>
          <t>IPAC_MTP</t>
        </is>
      </c>
      <c r="C2128" s="40" t="inlineStr">
        <is>
          <t>BAC_CCE</t>
        </is>
      </c>
      <c r="D2128" s="40" t="inlineStr">
        <is>
          <t>B1</t>
        </is>
      </c>
      <c r="E2128" s="40" t="inlineStr">
        <is>
          <t>ALT</t>
        </is>
      </c>
      <c r="F2128" s="40" t="inlineStr">
        <is>
          <t>STA_ADMIS</t>
        </is>
      </c>
      <c r="G2128" s="39" t="inlineStr">
        <is>
          <t>Candidats admis</t>
        </is>
      </c>
      <c r="H2128" s="40" t="inlineStr">
        <is>
          <t>TECHNIQUE</t>
        </is>
      </c>
      <c r="I2128" s="41" t="inlineStr">
        <is>
          <t>2025FCST_V4</t>
        </is>
      </c>
      <c r="J2128" s="41" t="n">
        <v>2025</v>
      </c>
      <c r="K2128" s="41" t="inlineStr">
        <is>
          <t>NB</t>
        </is>
      </c>
      <c r="L2128" s="43" t="n">
        <v>67</v>
      </c>
    </row>
    <row r="2129">
      <c r="B2129" s="39" t="inlineStr">
        <is>
          <t>IPAC_MTP</t>
        </is>
      </c>
      <c r="C2129" s="40" t="inlineStr">
        <is>
          <t>BAC_CCE</t>
        </is>
      </c>
      <c r="D2129" s="40" t="inlineStr">
        <is>
          <t>B1</t>
        </is>
      </c>
      <c r="E2129" s="40" t="inlineStr">
        <is>
          <t>ALT</t>
        </is>
      </c>
      <c r="F2129" s="40" t="inlineStr">
        <is>
          <t>STA_NOUV</t>
        </is>
      </c>
      <c r="G2129" s="39" t="inlineStr">
        <is>
          <t>Nouveaux inscrits</t>
        </is>
      </c>
      <c r="H2129" s="40" t="inlineStr">
        <is>
          <t>TECHNIQUE</t>
        </is>
      </c>
      <c r="I2129" s="41" t="inlineStr">
        <is>
          <t>2023ACT_VDEF</t>
        </is>
      </c>
      <c r="J2129" s="41" t="n">
        <v>2023</v>
      </c>
      <c r="K2129" s="41" t="inlineStr">
        <is>
          <t>NB</t>
        </is>
      </c>
      <c r="L2129" s="43" t="n">
        <v>36</v>
      </c>
    </row>
    <row r="2130">
      <c r="B2130" s="39" t="inlineStr">
        <is>
          <t>IPAC_MTP</t>
        </is>
      </c>
      <c r="C2130" s="40" t="inlineStr">
        <is>
          <t>BAC_CCE</t>
        </is>
      </c>
      <c r="D2130" s="40" t="inlineStr">
        <is>
          <t>B1</t>
        </is>
      </c>
      <c r="E2130" s="40" t="inlineStr">
        <is>
          <t>ALT</t>
        </is>
      </c>
      <c r="F2130" s="40" t="inlineStr">
        <is>
          <t>STA_NOUV</t>
        </is>
      </c>
      <c r="G2130" s="39" t="inlineStr">
        <is>
          <t>Nouveaux inscrits</t>
        </is>
      </c>
      <c r="H2130" s="40" t="inlineStr">
        <is>
          <t>TECHNIQUE</t>
        </is>
      </c>
      <c r="I2130" s="41" t="inlineStr">
        <is>
          <t>2024ACT_VDEF</t>
        </is>
      </c>
      <c r="J2130" s="41" t="n">
        <v>2024</v>
      </c>
      <c r="K2130" s="41" t="inlineStr">
        <is>
          <t>NB</t>
        </is>
      </c>
      <c r="L2130" s="43" t="n">
        <v>38</v>
      </c>
    </row>
    <row r="2131">
      <c r="B2131" s="39" t="inlineStr">
        <is>
          <t>IPAC_MTP</t>
        </is>
      </c>
      <c r="C2131" s="40" t="inlineStr">
        <is>
          <t>BAC_CCE</t>
        </is>
      </c>
      <c r="D2131" s="40" t="inlineStr">
        <is>
          <t>B1</t>
        </is>
      </c>
      <c r="E2131" s="40" t="inlineStr">
        <is>
          <t>ALT</t>
        </is>
      </c>
      <c r="F2131" s="40" t="inlineStr">
        <is>
          <t>STA_NOUV</t>
        </is>
      </c>
      <c r="G2131" s="39" t="inlineStr">
        <is>
          <t>Nouveaux inscrits</t>
        </is>
      </c>
      <c r="H2131" s="40" t="inlineStr">
        <is>
          <t>TECHNIQUE</t>
        </is>
      </c>
      <c r="I2131" s="41" t="inlineStr">
        <is>
          <t>2025FCST_V4</t>
        </is>
      </c>
      <c r="J2131" s="41" t="n">
        <v>2025</v>
      </c>
      <c r="K2131" s="41" t="inlineStr">
        <is>
          <t>NB</t>
        </is>
      </c>
      <c r="L2131" s="43" t="n">
        <v>40</v>
      </c>
    </row>
    <row r="2132">
      <c r="B2132" s="39" t="inlineStr">
        <is>
          <t>IPAC_MTP</t>
        </is>
      </c>
      <c r="C2132" s="40" t="inlineStr">
        <is>
          <t>BAC_CCE</t>
        </is>
      </c>
      <c r="D2132" s="40" t="inlineStr">
        <is>
          <t>B1</t>
        </is>
      </c>
      <c r="E2132" s="40" t="inlineStr">
        <is>
          <t>ALT</t>
        </is>
      </c>
      <c r="F2132" s="40" t="inlineStr">
        <is>
          <t>STA_CLASS</t>
        </is>
      </c>
      <c r="G2132" s="39" t="inlineStr">
        <is>
          <t>Nombre de classes</t>
        </is>
      </c>
      <c r="H2132" s="40" t="inlineStr">
        <is>
          <t>TECHNIQUE</t>
        </is>
      </c>
      <c r="I2132" s="41" t="inlineStr">
        <is>
          <t>2023ACT_VDEF</t>
        </is>
      </c>
      <c r="J2132" s="41" t="n">
        <v>2023</v>
      </c>
      <c r="K2132" s="41" t="inlineStr">
        <is>
          <t>NB</t>
        </is>
      </c>
      <c r="L2132" s="43" t="n">
        <v>2</v>
      </c>
    </row>
    <row r="2133">
      <c r="B2133" s="39" t="inlineStr">
        <is>
          <t>IPAC_MTP</t>
        </is>
      </c>
      <c r="C2133" s="40" t="inlineStr">
        <is>
          <t>BAC_CCE</t>
        </is>
      </c>
      <c r="D2133" s="40" t="inlineStr">
        <is>
          <t>B1</t>
        </is>
      </c>
      <c r="E2133" s="40" t="inlineStr">
        <is>
          <t>ALT</t>
        </is>
      </c>
      <c r="F2133" s="40" t="inlineStr">
        <is>
          <t>STA_CLASS</t>
        </is>
      </c>
      <c r="G2133" s="39" t="inlineStr">
        <is>
          <t>Nombre de classes</t>
        </is>
      </c>
      <c r="H2133" s="40" t="inlineStr">
        <is>
          <t>TECHNIQUE</t>
        </is>
      </c>
      <c r="I2133" s="41" t="inlineStr">
        <is>
          <t>2024ACT_VDEF</t>
        </is>
      </c>
      <c r="J2133" s="41" t="n">
        <v>2024</v>
      </c>
      <c r="K2133" s="41" t="inlineStr">
        <is>
          <t>NB</t>
        </is>
      </c>
      <c r="L2133" s="43" t="n">
        <v>2</v>
      </c>
    </row>
    <row r="2134">
      <c r="B2134" s="39" t="inlineStr">
        <is>
          <t>IPAC_MTP</t>
        </is>
      </c>
      <c r="C2134" s="40" t="inlineStr">
        <is>
          <t>BAC_CCE</t>
        </is>
      </c>
      <c r="D2134" s="40" t="inlineStr">
        <is>
          <t>B1</t>
        </is>
      </c>
      <c r="E2134" s="40" t="inlineStr">
        <is>
          <t>ALT</t>
        </is>
      </c>
      <c r="F2134" s="40" t="inlineStr">
        <is>
          <t>STA_CLASS</t>
        </is>
      </c>
      <c r="G2134" s="39" t="inlineStr">
        <is>
          <t>Nombre de classes</t>
        </is>
      </c>
      <c r="H2134" s="40" t="inlineStr">
        <is>
          <t>TECHNIQUE</t>
        </is>
      </c>
      <c r="I2134" s="41" t="inlineStr">
        <is>
          <t>2025FCST_V4</t>
        </is>
      </c>
      <c r="J2134" s="41" t="n">
        <v>2025</v>
      </c>
      <c r="K2134" s="41" t="inlineStr">
        <is>
          <t>NB</t>
        </is>
      </c>
      <c r="L2134" s="43" t="n">
        <v>2</v>
      </c>
    </row>
    <row r="2135">
      <c r="B2135" s="39" t="inlineStr">
        <is>
          <t>IPAC_MTP</t>
        </is>
      </c>
      <c r="C2135" s="40" t="inlineStr">
        <is>
          <t>BAC_CCE</t>
        </is>
      </c>
      <c r="D2135" s="40" t="inlineStr">
        <is>
          <t>B1</t>
        </is>
      </c>
      <c r="E2135" s="40" t="inlineStr">
        <is>
          <t>ALT</t>
        </is>
      </c>
      <c r="F2135" s="40" t="inlineStr">
        <is>
          <t>STA_HEURE</t>
        </is>
      </c>
      <c r="G2135" s="39" t="inlineStr">
        <is>
          <t>Heures d'enseignement</t>
        </is>
      </c>
      <c r="H2135" s="40" t="inlineStr">
        <is>
          <t>TECHNIQUE</t>
        </is>
      </c>
      <c r="I2135" s="41" t="inlineStr">
        <is>
          <t>2023ACT_VDEF</t>
        </is>
      </c>
      <c r="J2135" s="41" t="n">
        <v>2023</v>
      </c>
      <c r="K2135" s="41" t="inlineStr">
        <is>
          <t>NB</t>
        </is>
      </c>
      <c r="L2135" s="43" t="n">
        <v>1080</v>
      </c>
    </row>
    <row r="2136">
      <c r="B2136" s="39" t="inlineStr">
        <is>
          <t>IPAC_MTP</t>
        </is>
      </c>
      <c r="C2136" s="40" t="inlineStr">
        <is>
          <t>BAC_CCE</t>
        </is>
      </c>
      <c r="D2136" s="40" t="inlineStr">
        <is>
          <t>B1</t>
        </is>
      </c>
      <c r="E2136" s="40" t="inlineStr">
        <is>
          <t>ALT</t>
        </is>
      </c>
      <c r="F2136" s="40" t="inlineStr">
        <is>
          <t>STA_HEURE</t>
        </is>
      </c>
      <c r="G2136" s="39" t="inlineStr">
        <is>
          <t>Heures d'enseignement</t>
        </is>
      </c>
      <c r="H2136" s="40" t="inlineStr">
        <is>
          <t>TECHNIQUE</t>
        </is>
      </c>
      <c r="I2136" s="41" t="inlineStr">
        <is>
          <t>2024ACT_VDEF</t>
        </is>
      </c>
      <c r="J2136" s="41" t="n">
        <v>2024</v>
      </c>
      <c r="K2136" s="41" t="inlineStr">
        <is>
          <t>NB</t>
        </is>
      </c>
      <c r="L2136" s="43" t="n">
        <v>1140</v>
      </c>
    </row>
    <row r="2137">
      <c r="B2137" s="39" t="inlineStr">
        <is>
          <t>IPAC_MTP</t>
        </is>
      </c>
      <c r="C2137" s="40" t="inlineStr">
        <is>
          <t>BAC_CCE</t>
        </is>
      </c>
      <c r="D2137" s="40" t="inlineStr">
        <is>
          <t>B1</t>
        </is>
      </c>
      <c r="E2137" s="40" t="inlineStr">
        <is>
          <t>ALT</t>
        </is>
      </c>
      <c r="F2137" s="40" t="inlineStr">
        <is>
          <t>STA_HEURE</t>
        </is>
      </c>
      <c r="G2137" s="39" t="inlineStr">
        <is>
          <t>Heures d'enseignement</t>
        </is>
      </c>
      <c r="H2137" s="40" t="inlineStr">
        <is>
          <t>TECHNIQUE</t>
        </is>
      </c>
      <c r="I2137" s="41" t="inlineStr">
        <is>
          <t>2025FCST_V4</t>
        </is>
      </c>
      <c r="J2137" s="41" t="n">
        <v>2025</v>
      </c>
      <c r="K2137" s="41" t="inlineStr">
        <is>
          <t>NB</t>
        </is>
      </c>
      <c r="L2137" s="43" t="n">
        <v>1200</v>
      </c>
    </row>
    <row r="2138">
      <c r="B2138" s="39" t="inlineStr">
        <is>
          <t>IPAC_MTP</t>
        </is>
      </c>
      <c r="C2138" s="40" t="inlineStr">
        <is>
          <t>BAC_CCE</t>
        </is>
      </c>
      <c r="D2138" s="40" t="inlineStr">
        <is>
          <t>B1</t>
        </is>
      </c>
      <c r="E2138" s="40" t="inlineStr">
        <is>
          <t>ALT</t>
        </is>
      </c>
      <c r="F2138" s="40" t="inlineStr">
        <is>
          <t>STA_CAPA</t>
        </is>
      </c>
      <c r="G2138" s="39" t="inlineStr">
        <is>
          <t>Capacité par classe</t>
        </is>
      </c>
      <c r="H2138" s="40" t="inlineStr">
        <is>
          <t>TECHNIQUE</t>
        </is>
      </c>
      <c r="I2138" s="41" t="inlineStr">
        <is>
          <t>2023ACT_VDEF</t>
        </is>
      </c>
      <c r="J2138" s="41" t="n">
        <v>2023</v>
      </c>
      <c r="K2138" s="41" t="inlineStr">
        <is>
          <t>NB</t>
        </is>
      </c>
      <c r="L2138" s="43" t="n">
        <v>32</v>
      </c>
    </row>
    <row r="2139">
      <c r="B2139" s="39" t="inlineStr">
        <is>
          <t>IPAC_MTP</t>
        </is>
      </c>
      <c r="C2139" s="40" t="inlineStr">
        <is>
          <t>BAC_CCE</t>
        </is>
      </c>
      <c r="D2139" s="40" t="inlineStr">
        <is>
          <t>B1</t>
        </is>
      </c>
      <c r="E2139" s="40" t="inlineStr">
        <is>
          <t>ALT</t>
        </is>
      </c>
      <c r="F2139" s="40" t="inlineStr">
        <is>
          <t>STA_CAPA</t>
        </is>
      </c>
      <c r="G2139" s="39" t="inlineStr">
        <is>
          <t>Capacité par classe</t>
        </is>
      </c>
      <c r="H2139" s="40" t="inlineStr">
        <is>
          <t>TECHNIQUE</t>
        </is>
      </c>
      <c r="I2139" s="41" t="inlineStr">
        <is>
          <t>2024ACT_VDEF</t>
        </is>
      </c>
      <c r="J2139" s="41" t="n">
        <v>2024</v>
      </c>
      <c r="K2139" s="41" t="inlineStr">
        <is>
          <t>NB</t>
        </is>
      </c>
      <c r="L2139" s="43" t="n">
        <v>32</v>
      </c>
    </row>
    <row r="2140">
      <c r="B2140" s="39" t="inlineStr">
        <is>
          <t>IPAC_MTP</t>
        </is>
      </c>
      <c r="C2140" s="40" t="inlineStr">
        <is>
          <t>BAC_CCE</t>
        </is>
      </c>
      <c r="D2140" s="40" t="inlineStr">
        <is>
          <t>B1</t>
        </is>
      </c>
      <c r="E2140" s="40" t="inlineStr">
        <is>
          <t>ALT</t>
        </is>
      </c>
      <c r="F2140" s="40" t="inlineStr">
        <is>
          <t>STA_CAPA</t>
        </is>
      </c>
      <c r="G2140" s="39" t="inlineStr">
        <is>
          <t>Capacité par classe</t>
        </is>
      </c>
      <c r="H2140" s="40" t="inlineStr">
        <is>
          <t>TECHNIQUE</t>
        </is>
      </c>
      <c r="I2140" s="41" t="inlineStr">
        <is>
          <t>2025FCST_V4</t>
        </is>
      </c>
      <c r="J2140" s="41" t="n">
        <v>2025</v>
      </c>
      <c r="K2140" s="41" t="inlineStr">
        <is>
          <t>NB</t>
        </is>
      </c>
      <c r="L2140" s="43" t="n">
        <v>32</v>
      </c>
    </row>
    <row r="2141">
      <c r="B2141" s="39" t="inlineStr">
        <is>
          <t>IPAC_MTP</t>
        </is>
      </c>
      <c r="C2141" s="40" t="inlineStr">
        <is>
          <t>BAC_CCE</t>
        </is>
      </c>
      <c r="D2141" s="40" t="inlineStr">
        <is>
          <t>B1</t>
        </is>
      </c>
      <c r="E2141" s="40" t="inlineStr">
        <is>
          <t>ALT</t>
        </is>
      </c>
      <c r="F2141" s="40" t="inlineStr">
        <is>
          <t>DRV_CONV</t>
        </is>
      </c>
      <c r="G2141" s="39" t="inlineStr">
        <is>
          <t>Taux de conversion candidat→inscrit</t>
        </is>
      </c>
      <c r="H2141" s="40" t="inlineStr">
        <is>
          <t>TECHNIQUE</t>
        </is>
      </c>
      <c r="I2141" s="41" t="inlineStr">
        <is>
          <t>2023ACT_VDEF</t>
        </is>
      </c>
      <c r="J2141" s="41" t="n">
        <v>2023</v>
      </c>
      <c r="K2141" s="41" t="inlineStr">
        <is>
          <t>PCT</t>
        </is>
      </c>
      <c r="L2141" s="44" t="n">
        <v>0.3704</v>
      </c>
    </row>
    <row r="2142">
      <c r="B2142" s="39" t="inlineStr">
        <is>
          <t>IPAC_MTP</t>
        </is>
      </c>
      <c r="C2142" s="40" t="inlineStr">
        <is>
          <t>BAC_CCE</t>
        </is>
      </c>
      <c r="D2142" s="40" t="inlineStr">
        <is>
          <t>B1</t>
        </is>
      </c>
      <c r="E2142" s="40" t="inlineStr">
        <is>
          <t>ALT</t>
        </is>
      </c>
      <c r="F2142" s="40" t="inlineStr">
        <is>
          <t>DRV_CONV</t>
        </is>
      </c>
      <c r="G2142" s="39" t="inlineStr">
        <is>
          <t>Taux de conversion candidat→inscrit</t>
        </is>
      </c>
      <c r="H2142" s="40" t="inlineStr">
        <is>
          <t>TECHNIQUE</t>
        </is>
      </c>
      <c r="I2142" s="41" t="inlineStr">
        <is>
          <t>2024ACT_VDEF</t>
        </is>
      </c>
      <c r="J2142" s="41" t="n">
        <v>2024</v>
      </c>
      <c r="K2142" s="41" t="inlineStr">
        <is>
          <t>PCT</t>
        </is>
      </c>
      <c r="L2142" s="44" t="n">
        <v>0.3704</v>
      </c>
    </row>
    <row r="2143">
      <c r="B2143" s="39" t="inlineStr">
        <is>
          <t>IPAC_MTP</t>
        </is>
      </c>
      <c r="C2143" s="40" t="inlineStr">
        <is>
          <t>BAC_CCE</t>
        </is>
      </c>
      <c r="D2143" s="40" t="inlineStr">
        <is>
          <t>B1</t>
        </is>
      </c>
      <c r="E2143" s="40" t="inlineStr">
        <is>
          <t>ALT</t>
        </is>
      </c>
      <c r="F2143" s="40" t="inlineStr">
        <is>
          <t>DRV_CONV</t>
        </is>
      </c>
      <c r="G2143" s="39" t="inlineStr">
        <is>
          <t>Taux de conversion candidat→inscrit</t>
        </is>
      </c>
      <c r="H2143" s="40" t="inlineStr">
        <is>
          <t>TECHNIQUE</t>
        </is>
      </c>
      <c r="I2143" s="41" t="inlineStr">
        <is>
          <t>2025FCST_V4</t>
        </is>
      </c>
      <c r="J2143" s="41" t="n">
        <v>2025</v>
      </c>
      <c r="K2143" s="41" t="inlineStr">
        <is>
          <t>PCT</t>
        </is>
      </c>
      <c r="L2143" s="44" t="n">
        <v>0.3704</v>
      </c>
    </row>
    <row r="2144">
      <c r="B2144" s="39" t="inlineStr">
        <is>
          <t>IPAC_MTP</t>
        </is>
      </c>
      <c r="C2144" s="40" t="inlineStr">
        <is>
          <t>BAC_CCE</t>
        </is>
      </c>
      <c r="D2144" s="40" t="inlineStr">
        <is>
          <t>B1</t>
        </is>
      </c>
      <c r="E2144" s="40" t="inlineStr">
        <is>
          <t>ALT</t>
        </is>
      </c>
      <c r="F2144" s="40" t="inlineStr">
        <is>
          <t>PRX_TARIF</t>
        </is>
      </c>
      <c r="G2144" s="39" t="inlineStr">
        <is>
          <t>Tarif moyen scolarité</t>
        </is>
      </c>
      <c r="H2144" s="40" t="inlineStr">
        <is>
          <t>TECHNIQUE</t>
        </is>
      </c>
      <c r="I2144" s="41" t="inlineStr">
        <is>
          <t>2023ACT_VDEF</t>
        </is>
      </c>
      <c r="J2144" s="41" t="n">
        <v>2023</v>
      </c>
      <c r="K2144" s="41" t="inlineStr">
        <is>
          <t>EUR</t>
        </is>
      </c>
      <c r="L2144" s="42" t="n">
        <v>8000</v>
      </c>
    </row>
    <row r="2145">
      <c r="B2145" s="39" t="inlineStr">
        <is>
          <t>IPAC_MTP</t>
        </is>
      </c>
      <c r="C2145" s="40" t="inlineStr">
        <is>
          <t>BAC_CCE</t>
        </is>
      </c>
      <c r="D2145" s="40" t="inlineStr">
        <is>
          <t>B1</t>
        </is>
      </c>
      <c r="E2145" s="40" t="inlineStr">
        <is>
          <t>ALT</t>
        </is>
      </c>
      <c r="F2145" s="40" t="inlineStr">
        <is>
          <t>PRX_TARIF</t>
        </is>
      </c>
      <c r="G2145" s="39" t="inlineStr">
        <is>
          <t>Tarif moyen scolarité</t>
        </is>
      </c>
      <c r="H2145" s="40" t="inlineStr">
        <is>
          <t>TECHNIQUE</t>
        </is>
      </c>
      <c r="I2145" s="41" t="inlineStr">
        <is>
          <t>2024ACT_VDEF</t>
        </is>
      </c>
      <c r="J2145" s="41" t="n">
        <v>2024</v>
      </c>
      <c r="K2145" s="41" t="inlineStr">
        <is>
          <t>EUR</t>
        </is>
      </c>
      <c r="L2145" s="42" t="n">
        <v>8000</v>
      </c>
    </row>
    <row r="2146">
      <c r="B2146" s="39" t="inlineStr">
        <is>
          <t>IPAC_MTP</t>
        </is>
      </c>
      <c r="C2146" s="40" t="inlineStr">
        <is>
          <t>BAC_CCE</t>
        </is>
      </c>
      <c r="D2146" s="40" t="inlineStr">
        <is>
          <t>B1</t>
        </is>
      </c>
      <c r="E2146" s="40" t="inlineStr">
        <is>
          <t>ALT</t>
        </is>
      </c>
      <c r="F2146" s="40" t="inlineStr">
        <is>
          <t>PRX_TARIF</t>
        </is>
      </c>
      <c r="G2146" s="39" t="inlineStr">
        <is>
          <t>Tarif moyen scolarité</t>
        </is>
      </c>
      <c r="H2146" s="40" t="inlineStr">
        <is>
          <t>TECHNIQUE</t>
        </is>
      </c>
      <c r="I2146" s="41" t="inlineStr">
        <is>
          <t>2025FCST_V4</t>
        </is>
      </c>
      <c r="J2146" s="41" t="n">
        <v>2025</v>
      </c>
      <c r="K2146" s="41" t="inlineStr">
        <is>
          <t>EUR</t>
        </is>
      </c>
      <c r="L2146" s="42" t="n">
        <v>8000</v>
      </c>
    </row>
    <row r="2147">
      <c r="B2147" s="39" t="inlineStr">
        <is>
          <t>IPAC_MTP</t>
        </is>
      </c>
      <c r="C2147" s="40" t="inlineStr">
        <is>
          <t>BAC_CCE</t>
        </is>
      </c>
      <c r="D2147" s="40" t="inlineStr">
        <is>
          <t>B1</t>
        </is>
      </c>
      <c r="E2147" s="40" t="inlineStr">
        <is>
          <t>ALT</t>
        </is>
      </c>
      <c r="F2147" s="40" t="inlineStr">
        <is>
          <t>CAC_LEAD</t>
        </is>
      </c>
      <c r="G2147" s="39" t="inlineStr">
        <is>
          <t>Coût d'acquisition par lead</t>
        </is>
      </c>
      <c r="H2147" s="40" t="inlineStr">
        <is>
          <t>TECHNIQUE</t>
        </is>
      </c>
      <c r="I2147" s="41" t="inlineStr">
        <is>
          <t>2023ACT_VDEF</t>
        </is>
      </c>
      <c r="J2147" s="41" t="n">
        <v>2023</v>
      </c>
      <c r="K2147" s="41" t="inlineStr">
        <is>
          <t>EUR</t>
        </is>
      </c>
      <c r="L2147" s="42" t="n">
        <v>320</v>
      </c>
    </row>
    <row r="2148">
      <c r="B2148" s="39" t="inlineStr">
        <is>
          <t>IPAC_MTP</t>
        </is>
      </c>
      <c r="C2148" s="40" t="inlineStr">
        <is>
          <t>BAC_CCE</t>
        </is>
      </c>
      <c r="D2148" s="40" t="inlineStr">
        <is>
          <t>B1</t>
        </is>
      </c>
      <c r="E2148" s="40" t="inlineStr">
        <is>
          <t>ALT</t>
        </is>
      </c>
      <c r="F2148" s="40" t="inlineStr">
        <is>
          <t>CAC_LEAD</t>
        </is>
      </c>
      <c r="G2148" s="39" t="inlineStr">
        <is>
          <t>Coût d'acquisition par lead</t>
        </is>
      </c>
      <c r="H2148" s="40" t="inlineStr">
        <is>
          <t>TECHNIQUE</t>
        </is>
      </c>
      <c r="I2148" s="41" t="inlineStr">
        <is>
          <t>2024ACT_VDEF</t>
        </is>
      </c>
      <c r="J2148" s="41" t="n">
        <v>2024</v>
      </c>
      <c r="K2148" s="41" t="inlineStr">
        <is>
          <t>EUR</t>
        </is>
      </c>
      <c r="L2148" s="42" t="n">
        <v>320</v>
      </c>
    </row>
    <row r="2149">
      <c r="B2149" s="39" t="inlineStr">
        <is>
          <t>IPAC_MTP</t>
        </is>
      </c>
      <c r="C2149" s="40" t="inlineStr">
        <is>
          <t>BAC_CCE</t>
        </is>
      </c>
      <c r="D2149" s="40" t="inlineStr">
        <is>
          <t>B1</t>
        </is>
      </c>
      <c r="E2149" s="40" t="inlineStr">
        <is>
          <t>ALT</t>
        </is>
      </c>
      <c r="F2149" s="40" t="inlineStr">
        <is>
          <t>CAC_LEAD</t>
        </is>
      </c>
      <c r="G2149" s="39" t="inlineStr">
        <is>
          <t>Coût d'acquisition par lead</t>
        </is>
      </c>
      <c r="H2149" s="40" t="inlineStr">
        <is>
          <t>TECHNIQUE</t>
        </is>
      </c>
      <c r="I2149" s="41" t="inlineStr">
        <is>
          <t>2025FCST_V4</t>
        </is>
      </c>
      <c r="J2149" s="41" t="n">
        <v>2025</v>
      </c>
      <c r="K2149" s="41" t="inlineStr">
        <is>
          <t>EUR</t>
        </is>
      </c>
      <c r="L2149" s="42" t="n">
        <v>320</v>
      </c>
    </row>
    <row r="2150">
      <c r="B2150" s="39" t="inlineStr">
        <is>
          <t>IPAC_MTP</t>
        </is>
      </c>
      <c r="C2150" s="40" t="inlineStr">
        <is>
          <t>BAC_CCE</t>
        </is>
      </c>
      <c r="D2150" s="40" t="inlineStr">
        <is>
          <t>B2</t>
        </is>
      </c>
      <c r="E2150" s="40" t="inlineStr">
        <is>
          <t>ALT</t>
        </is>
      </c>
      <c r="F2150" s="40" t="inlineStr">
        <is>
          <t>706100</t>
        </is>
      </c>
      <c r="G2150" s="39" t="inlineStr">
        <is>
          <t>Droits de scolarité</t>
        </is>
      </c>
      <c r="H2150" s="40" t="inlineStr">
        <is>
          <t>COMPTABLE</t>
        </is>
      </c>
      <c r="I2150" s="41" t="inlineStr">
        <is>
          <t>2023ACT_VDEF</t>
        </is>
      </c>
      <c r="J2150" s="41" t="n">
        <v>2023</v>
      </c>
      <c r="K2150" s="41" t="inlineStr">
        <is>
          <t>EUR</t>
        </is>
      </c>
      <c r="L2150" s="42" t="n">
        <v>244800</v>
      </c>
    </row>
    <row r="2151">
      <c r="B2151" s="39" t="inlineStr">
        <is>
          <t>IPAC_MTP</t>
        </is>
      </c>
      <c r="C2151" s="40" t="inlineStr">
        <is>
          <t>BAC_CCE</t>
        </is>
      </c>
      <c r="D2151" s="40" t="inlineStr">
        <is>
          <t>B2</t>
        </is>
      </c>
      <c r="E2151" s="40" t="inlineStr">
        <is>
          <t>ALT</t>
        </is>
      </c>
      <c r="F2151" s="40" t="inlineStr">
        <is>
          <t>706100</t>
        </is>
      </c>
      <c r="G2151" s="39" t="inlineStr">
        <is>
          <t>Droits de scolarité</t>
        </is>
      </c>
      <c r="H2151" s="40" t="inlineStr">
        <is>
          <t>COMPTABLE</t>
        </is>
      </c>
      <c r="I2151" s="41" t="inlineStr">
        <is>
          <t>2024ACT_VDEF</t>
        </is>
      </c>
      <c r="J2151" s="41" t="n">
        <v>2024</v>
      </c>
      <c r="K2151" s="41" t="inlineStr">
        <is>
          <t>EUR</t>
        </is>
      </c>
      <c r="L2151" s="42" t="n">
        <v>258400</v>
      </c>
    </row>
    <row r="2152">
      <c r="B2152" s="39" t="inlineStr">
        <is>
          <t>IPAC_MTP</t>
        </is>
      </c>
      <c r="C2152" s="40" t="inlineStr">
        <is>
          <t>BAC_CCE</t>
        </is>
      </c>
      <c r="D2152" s="40" t="inlineStr">
        <is>
          <t>B2</t>
        </is>
      </c>
      <c r="E2152" s="40" t="inlineStr">
        <is>
          <t>ALT</t>
        </is>
      </c>
      <c r="F2152" s="40" t="inlineStr">
        <is>
          <t>706100</t>
        </is>
      </c>
      <c r="G2152" s="39" t="inlineStr">
        <is>
          <t>Droits de scolarité</t>
        </is>
      </c>
      <c r="H2152" s="40" t="inlineStr">
        <is>
          <t>COMPTABLE</t>
        </is>
      </c>
      <c r="I2152" s="41" t="inlineStr">
        <is>
          <t>2025FCST_V4</t>
        </is>
      </c>
      <c r="J2152" s="41" t="n">
        <v>2025</v>
      </c>
      <c r="K2152" s="41" t="inlineStr">
        <is>
          <t>EUR</t>
        </is>
      </c>
      <c r="L2152" s="42" t="n">
        <v>272000</v>
      </c>
    </row>
    <row r="2153">
      <c r="B2153" s="39" t="inlineStr">
        <is>
          <t>IPAC_MTP</t>
        </is>
      </c>
      <c r="C2153" s="40" t="inlineStr">
        <is>
          <t>BAC_CCE</t>
        </is>
      </c>
      <c r="D2153" s="40" t="inlineStr">
        <is>
          <t>B2</t>
        </is>
      </c>
      <c r="E2153" s="40" t="inlineStr">
        <is>
          <t>ALT</t>
        </is>
      </c>
      <c r="F2153" s="40" t="inlineStr">
        <is>
          <t>604100</t>
        </is>
      </c>
      <c r="G2153" s="39" t="inlineStr">
        <is>
          <t>Vacations &amp; sous-traitance pédagogique</t>
        </is>
      </c>
      <c r="H2153" s="40" t="inlineStr">
        <is>
          <t>COMPTABLE</t>
        </is>
      </c>
      <c r="I2153" s="41" t="inlineStr">
        <is>
          <t>2023ACT_VDEF</t>
        </is>
      </c>
      <c r="J2153" s="41" t="n">
        <v>2023</v>
      </c>
      <c r="K2153" s="41" t="inlineStr">
        <is>
          <t>EUR</t>
        </is>
      </c>
      <c r="L2153" s="42" t="n">
        <v>58464</v>
      </c>
    </row>
    <row r="2154">
      <c r="B2154" s="39" t="inlineStr">
        <is>
          <t>IPAC_MTP</t>
        </is>
      </c>
      <c r="C2154" s="40" t="inlineStr">
        <is>
          <t>BAC_CCE</t>
        </is>
      </c>
      <c r="D2154" s="40" t="inlineStr">
        <is>
          <t>B2</t>
        </is>
      </c>
      <c r="E2154" s="40" t="inlineStr">
        <is>
          <t>ALT</t>
        </is>
      </c>
      <c r="F2154" s="40" t="inlineStr">
        <is>
          <t>604100</t>
        </is>
      </c>
      <c r="G2154" s="39" t="inlineStr">
        <is>
          <t>Vacations &amp; sous-traitance pédagogique</t>
        </is>
      </c>
      <c r="H2154" s="40" t="inlineStr">
        <is>
          <t>COMPTABLE</t>
        </is>
      </c>
      <c r="I2154" s="41" t="inlineStr">
        <is>
          <t>2024ACT_VDEF</t>
        </is>
      </c>
      <c r="J2154" s="41" t="n">
        <v>2024</v>
      </c>
      <c r="K2154" s="41" t="inlineStr">
        <is>
          <t>EUR</t>
        </is>
      </c>
      <c r="L2154" s="42" t="n">
        <v>61712</v>
      </c>
    </row>
    <row r="2155">
      <c r="B2155" s="39" t="inlineStr">
        <is>
          <t>IPAC_MTP</t>
        </is>
      </c>
      <c r="C2155" s="40" t="inlineStr">
        <is>
          <t>BAC_CCE</t>
        </is>
      </c>
      <c r="D2155" s="40" t="inlineStr">
        <is>
          <t>B2</t>
        </is>
      </c>
      <c r="E2155" s="40" t="inlineStr">
        <is>
          <t>ALT</t>
        </is>
      </c>
      <c r="F2155" s="40" t="inlineStr">
        <is>
          <t>604100</t>
        </is>
      </c>
      <c r="G2155" s="39" t="inlineStr">
        <is>
          <t>Vacations &amp; sous-traitance pédagogique</t>
        </is>
      </c>
      <c r="H2155" s="40" t="inlineStr">
        <is>
          <t>COMPTABLE</t>
        </is>
      </c>
      <c r="I2155" s="41" t="inlineStr">
        <is>
          <t>2025FCST_V4</t>
        </is>
      </c>
      <c r="J2155" s="41" t="n">
        <v>2025</v>
      </c>
      <c r="K2155" s="41" t="inlineStr">
        <is>
          <t>EUR</t>
        </is>
      </c>
      <c r="L2155" s="42" t="n">
        <v>64960</v>
      </c>
    </row>
    <row r="2156">
      <c r="B2156" s="39" t="inlineStr">
        <is>
          <t>IPAC_MTP</t>
        </is>
      </c>
      <c r="C2156" s="40" t="inlineStr">
        <is>
          <t>BAC_CCE</t>
        </is>
      </c>
      <c r="D2156" s="40" t="inlineStr">
        <is>
          <t>B2</t>
        </is>
      </c>
      <c r="E2156" s="40" t="inlineStr">
        <is>
          <t>ALT</t>
        </is>
      </c>
      <c r="F2156" s="40" t="inlineStr">
        <is>
          <t>606300</t>
        </is>
      </c>
      <c r="G2156" s="39" t="inlineStr">
        <is>
          <t>Fournitures &amp; ressources pédagogiques</t>
        </is>
      </c>
      <c r="H2156" s="40" t="inlineStr">
        <is>
          <t>COMPTABLE</t>
        </is>
      </c>
      <c r="I2156" s="41" t="inlineStr">
        <is>
          <t>2023ACT_VDEF</t>
        </is>
      </c>
      <c r="J2156" s="41" t="n">
        <v>2023</v>
      </c>
      <c r="K2156" s="41" t="inlineStr">
        <is>
          <t>EUR</t>
        </is>
      </c>
      <c r="L2156" s="42" t="n">
        <v>11628</v>
      </c>
    </row>
    <row r="2157">
      <c r="B2157" s="39" t="inlineStr">
        <is>
          <t>IPAC_MTP</t>
        </is>
      </c>
      <c r="C2157" s="40" t="inlineStr">
        <is>
          <t>BAC_CCE</t>
        </is>
      </c>
      <c r="D2157" s="40" t="inlineStr">
        <is>
          <t>B2</t>
        </is>
      </c>
      <c r="E2157" s="40" t="inlineStr">
        <is>
          <t>ALT</t>
        </is>
      </c>
      <c r="F2157" s="40" t="inlineStr">
        <is>
          <t>606300</t>
        </is>
      </c>
      <c r="G2157" s="39" t="inlineStr">
        <is>
          <t>Fournitures &amp; ressources pédagogiques</t>
        </is>
      </c>
      <c r="H2157" s="40" t="inlineStr">
        <is>
          <t>COMPTABLE</t>
        </is>
      </c>
      <c r="I2157" s="41" t="inlineStr">
        <is>
          <t>2024ACT_VDEF</t>
        </is>
      </c>
      <c r="J2157" s="41" t="n">
        <v>2024</v>
      </c>
      <c r="K2157" s="41" t="inlineStr">
        <is>
          <t>EUR</t>
        </is>
      </c>
      <c r="L2157" s="42" t="n">
        <v>12274</v>
      </c>
    </row>
    <row r="2158">
      <c r="B2158" s="39" t="inlineStr">
        <is>
          <t>IPAC_MTP</t>
        </is>
      </c>
      <c r="C2158" s="40" t="inlineStr">
        <is>
          <t>BAC_CCE</t>
        </is>
      </c>
      <c r="D2158" s="40" t="inlineStr">
        <is>
          <t>B2</t>
        </is>
      </c>
      <c r="E2158" s="40" t="inlineStr">
        <is>
          <t>ALT</t>
        </is>
      </c>
      <c r="F2158" s="40" t="inlineStr">
        <is>
          <t>606300</t>
        </is>
      </c>
      <c r="G2158" s="39" t="inlineStr">
        <is>
          <t>Fournitures &amp; ressources pédagogiques</t>
        </is>
      </c>
      <c r="H2158" s="40" t="inlineStr">
        <is>
          <t>COMPTABLE</t>
        </is>
      </c>
      <c r="I2158" s="41" t="inlineStr">
        <is>
          <t>2025FCST_V4</t>
        </is>
      </c>
      <c r="J2158" s="41" t="n">
        <v>2025</v>
      </c>
      <c r="K2158" s="41" t="inlineStr">
        <is>
          <t>EUR</t>
        </is>
      </c>
      <c r="L2158" s="42" t="n">
        <v>12920</v>
      </c>
    </row>
    <row r="2159">
      <c r="B2159" s="39" t="inlineStr">
        <is>
          <t>IPAC_MTP</t>
        </is>
      </c>
      <c r="C2159" s="40" t="inlineStr">
        <is>
          <t>BAC_CCE</t>
        </is>
      </c>
      <c r="D2159" s="40" t="inlineStr">
        <is>
          <t>B2</t>
        </is>
      </c>
      <c r="E2159" s="40" t="inlineStr">
        <is>
          <t>ALT</t>
        </is>
      </c>
      <c r="F2159" s="40" t="inlineStr">
        <is>
          <t>613200</t>
        </is>
      </c>
      <c r="G2159" s="39" t="inlineStr">
        <is>
          <t>Locations immobilières (loyers)</t>
        </is>
      </c>
      <c r="H2159" s="40" t="inlineStr">
        <is>
          <t>COMPTABLE</t>
        </is>
      </c>
      <c r="I2159" s="41" t="inlineStr">
        <is>
          <t>2023ACT_VDEF</t>
        </is>
      </c>
      <c r="J2159" s="41" t="n">
        <v>2023</v>
      </c>
      <c r="K2159" s="41" t="inlineStr">
        <is>
          <t>EUR</t>
        </is>
      </c>
      <c r="L2159" s="42" t="n">
        <v>33120</v>
      </c>
    </row>
    <row r="2160">
      <c r="B2160" s="39" t="inlineStr">
        <is>
          <t>IPAC_MTP</t>
        </is>
      </c>
      <c r="C2160" s="40" t="inlineStr">
        <is>
          <t>BAC_CCE</t>
        </is>
      </c>
      <c r="D2160" s="40" t="inlineStr">
        <is>
          <t>B2</t>
        </is>
      </c>
      <c r="E2160" s="40" t="inlineStr">
        <is>
          <t>ALT</t>
        </is>
      </c>
      <c r="F2160" s="40" t="inlineStr">
        <is>
          <t>613200</t>
        </is>
      </c>
      <c r="G2160" s="39" t="inlineStr">
        <is>
          <t>Locations immobilières (loyers)</t>
        </is>
      </c>
      <c r="H2160" s="40" t="inlineStr">
        <is>
          <t>COMPTABLE</t>
        </is>
      </c>
      <c r="I2160" s="41" t="inlineStr">
        <is>
          <t>2024ACT_VDEF</t>
        </is>
      </c>
      <c r="J2160" s="41" t="n">
        <v>2024</v>
      </c>
      <c r="K2160" s="41" t="inlineStr">
        <is>
          <t>EUR</t>
        </is>
      </c>
      <c r="L2160" s="42" t="n">
        <v>34960</v>
      </c>
    </row>
    <row r="2161">
      <c r="B2161" s="39" t="inlineStr">
        <is>
          <t>IPAC_MTP</t>
        </is>
      </c>
      <c r="C2161" s="40" t="inlineStr">
        <is>
          <t>BAC_CCE</t>
        </is>
      </c>
      <c r="D2161" s="40" t="inlineStr">
        <is>
          <t>B2</t>
        </is>
      </c>
      <c r="E2161" s="40" t="inlineStr">
        <is>
          <t>ALT</t>
        </is>
      </c>
      <c r="F2161" s="40" t="inlineStr">
        <is>
          <t>613200</t>
        </is>
      </c>
      <c r="G2161" s="39" t="inlineStr">
        <is>
          <t>Locations immobilières (loyers)</t>
        </is>
      </c>
      <c r="H2161" s="40" t="inlineStr">
        <is>
          <t>COMPTABLE</t>
        </is>
      </c>
      <c r="I2161" s="41" t="inlineStr">
        <is>
          <t>2025FCST_V4</t>
        </is>
      </c>
      <c r="J2161" s="41" t="n">
        <v>2025</v>
      </c>
      <c r="K2161" s="41" t="inlineStr">
        <is>
          <t>EUR</t>
        </is>
      </c>
      <c r="L2161" s="42" t="n">
        <v>36800</v>
      </c>
    </row>
    <row r="2162">
      <c r="B2162" s="39" t="inlineStr">
        <is>
          <t>IPAC_MTP</t>
        </is>
      </c>
      <c r="C2162" s="40" t="inlineStr">
        <is>
          <t>BAC_CCE</t>
        </is>
      </c>
      <c r="D2162" s="40" t="inlineStr">
        <is>
          <t>B2</t>
        </is>
      </c>
      <c r="E2162" s="40" t="inlineStr">
        <is>
          <t>ALT</t>
        </is>
      </c>
      <c r="F2162" s="40" t="inlineStr">
        <is>
          <t>641100</t>
        </is>
      </c>
      <c r="G2162" s="39" t="inlineStr">
        <is>
          <t>Rémunérations du personnel permanent</t>
        </is>
      </c>
      <c r="H2162" s="40" t="inlineStr">
        <is>
          <t>COMPTABLE</t>
        </is>
      </c>
      <c r="I2162" s="41" t="inlineStr">
        <is>
          <t>2023ACT_VDEF</t>
        </is>
      </c>
      <c r="J2162" s="41" t="n">
        <v>2023</v>
      </c>
      <c r="K2162" s="41" t="inlineStr">
        <is>
          <t>EUR</t>
        </is>
      </c>
      <c r="L2162" s="42" t="n">
        <v>83520</v>
      </c>
    </row>
    <row r="2163">
      <c r="B2163" s="39" t="inlineStr">
        <is>
          <t>IPAC_MTP</t>
        </is>
      </c>
      <c r="C2163" s="40" t="inlineStr">
        <is>
          <t>BAC_CCE</t>
        </is>
      </c>
      <c r="D2163" s="40" t="inlineStr">
        <is>
          <t>B2</t>
        </is>
      </c>
      <c r="E2163" s="40" t="inlineStr">
        <is>
          <t>ALT</t>
        </is>
      </c>
      <c r="F2163" s="40" t="inlineStr">
        <is>
          <t>641100</t>
        </is>
      </c>
      <c r="G2163" s="39" t="inlineStr">
        <is>
          <t>Rémunérations du personnel permanent</t>
        </is>
      </c>
      <c r="H2163" s="40" t="inlineStr">
        <is>
          <t>COMPTABLE</t>
        </is>
      </c>
      <c r="I2163" s="41" t="inlineStr">
        <is>
          <t>2024ACT_VDEF</t>
        </is>
      </c>
      <c r="J2163" s="41" t="n">
        <v>2024</v>
      </c>
      <c r="K2163" s="41" t="inlineStr">
        <is>
          <t>EUR</t>
        </is>
      </c>
      <c r="L2163" s="42" t="n">
        <v>88160</v>
      </c>
    </row>
    <row r="2164">
      <c r="B2164" s="39" t="inlineStr">
        <is>
          <t>IPAC_MTP</t>
        </is>
      </c>
      <c r="C2164" s="40" t="inlineStr">
        <is>
          <t>BAC_CCE</t>
        </is>
      </c>
      <c r="D2164" s="40" t="inlineStr">
        <is>
          <t>B2</t>
        </is>
      </c>
      <c r="E2164" s="40" t="inlineStr">
        <is>
          <t>ALT</t>
        </is>
      </c>
      <c r="F2164" s="40" t="inlineStr">
        <is>
          <t>641100</t>
        </is>
      </c>
      <c r="G2164" s="39" t="inlineStr">
        <is>
          <t>Rémunérations du personnel permanent</t>
        </is>
      </c>
      <c r="H2164" s="40" t="inlineStr">
        <is>
          <t>COMPTABLE</t>
        </is>
      </c>
      <c r="I2164" s="41" t="inlineStr">
        <is>
          <t>2025FCST_V4</t>
        </is>
      </c>
      <c r="J2164" s="41" t="n">
        <v>2025</v>
      </c>
      <c r="K2164" s="41" t="inlineStr">
        <is>
          <t>EUR</t>
        </is>
      </c>
      <c r="L2164" s="42" t="n">
        <v>92800</v>
      </c>
    </row>
    <row r="2165">
      <c r="B2165" s="39" t="inlineStr">
        <is>
          <t>IPAC_MTP</t>
        </is>
      </c>
      <c r="C2165" s="40" t="inlineStr">
        <is>
          <t>BAC_CCE</t>
        </is>
      </c>
      <c r="D2165" s="40" t="inlineStr">
        <is>
          <t>B2</t>
        </is>
      </c>
      <c r="E2165" s="40" t="inlineStr">
        <is>
          <t>ALT</t>
        </is>
      </c>
      <c r="F2165" s="40" t="inlineStr">
        <is>
          <t>622600</t>
        </is>
      </c>
      <c r="G2165" s="39" t="inlineStr">
        <is>
          <t>Honoraires &amp; frais de siège (structure groupe)</t>
        </is>
      </c>
      <c r="H2165" s="40" t="inlineStr">
        <is>
          <t>COMPTABLE</t>
        </is>
      </c>
      <c r="I2165" s="41" t="inlineStr">
        <is>
          <t>2023ACT_VDEF</t>
        </is>
      </c>
      <c r="J2165" s="41" t="n">
        <v>2023</v>
      </c>
      <c r="K2165" s="41" t="inlineStr">
        <is>
          <t>EUR</t>
        </is>
      </c>
      <c r="L2165" s="42" t="n">
        <v>30101</v>
      </c>
    </row>
    <row r="2166">
      <c r="B2166" s="39" t="inlineStr">
        <is>
          <t>IPAC_MTP</t>
        </is>
      </c>
      <c r="C2166" s="40" t="inlineStr">
        <is>
          <t>BAC_CCE</t>
        </is>
      </c>
      <c r="D2166" s="40" t="inlineStr">
        <is>
          <t>B2</t>
        </is>
      </c>
      <c r="E2166" s="40" t="inlineStr">
        <is>
          <t>ALT</t>
        </is>
      </c>
      <c r="F2166" s="40" t="inlineStr">
        <is>
          <t>622600</t>
        </is>
      </c>
      <c r="G2166" s="39" t="inlineStr">
        <is>
          <t>Honoraires &amp; frais de siège (structure groupe)</t>
        </is>
      </c>
      <c r="H2166" s="40" t="inlineStr">
        <is>
          <t>COMPTABLE</t>
        </is>
      </c>
      <c r="I2166" s="41" t="inlineStr">
        <is>
          <t>2024ACT_VDEF</t>
        </is>
      </c>
      <c r="J2166" s="41" t="n">
        <v>2024</v>
      </c>
      <c r="K2166" s="41" t="inlineStr">
        <is>
          <t>EUR</t>
        </is>
      </c>
      <c r="L2166" s="42" t="n">
        <v>31774</v>
      </c>
    </row>
    <row r="2167">
      <c r="B2167" s="39" t="inlineStr">
        <is>
          <t>IPAC_MTP</t>
        </is>
      </c>
      <c r="C2167" s="40" t="inlineStr">
        <is>
          <t>BAC_CCE</t>
        </is>
      </c>
      <c r="D2167" s="40" t="inlineStr">
        <is>
          <t>B2</t>
        </is>
      </c>
      <c r="E2167" s="40" t="inlineStr">
        <is>
          <t>ALT</t>
        </is>
      </c>
      <c r="F2167" s="40" t="inlineStr">
        <is>
          <t>622600</t>
        </is>
      </c>
      <c r="G2167" s="39" t="inlineStr">
        <is>
          <t>Honoraires &amp; frais de siège (structure groupe)</t>
        </is>
      </c>
      <c r="H2167" s="40" t="inlineStr">
        <is>
          <t>COMPTABLE</t>
        </is>
      </c>
      <c r="I2167" s="41" t="inlineStr">
        <is>
          <t>2025FCST_V4</t>
        </is>
      </c>
      <c r="J2167" s="41" t="n">
        <v>2025</v>
      </c>
      <c r="K2167" s="41" t="inlineStr">
        <is>
          <t>EUR</t>
        </is>
      </c>
      <c r="L2167" s="42" t="n">
        <v>33446</v>
      </c>
    </row>
    <row r="2168">
      <c r="B2168" s="39" t="inlineStr">
        <is>
          <t>IPAC_MTP</t>
        </is>
      </c>
      <c r="C2168" s="40" t="inlineStr">
        <is>
          <t>BAC_CCE</t>
        </is>
      </c>
      <c r="D2168" s="40" t="inlineStr">
        <is>
          <t>B2</t>
        </is>
      </c>
      <c r="E2168" s="40" t="inlineStr">
        <is>
          <t>ALT</t>
        </is>
      </c>
      <c r="F2168" s="40" t="inlineStr">
        <is>
          <t>606800</t>
        </is>
      </c>
      <c r="G2168" s="39" t="inlineStr">
        <is>
          <t>Autres achats &amp; charges externes</t>
        </is>
      </c>
      <c r="H2168" s="40" t="inlineStr">
        <is>
          <t>COMPTABLE</t>
        </is>
      </c>
      <c r="I2168" s="41" t="inlineStr">
        <is>
          <t>2023ACT_VDEF</t>
        </is>
      </c>
      <c r="J2168" s="41" t="n">
        <v>2023</v>
      </c>
      <c r="K2168" s="41" t="inlineStr">
        <is>
          <t>EUR</t>
        </is>
      </c>
      <c r="L2168" s="42" t="n">
        <v>28580</v>
      </c>
    </row>
    <row r="2169">
      <c r="B2169" s="39" t="inlineStr">
        <is>
          <t>IPAC_MTP</t>
        </is>
      </c>
      <c r="C2169" s="40" t="inlineStr">
        <is>
          <t>BAC_CCE</t>
        </is>
      </c>
      <c r="D2169" s="40" t="inlineStr">
        <is>
          <t>B2</t>
        </is>
      </c>
      <c r="E2169" s="40" t="inlineStr">
        <is>
          <t>ALT</t>
        </is>
      </c>
      <c r="F2169" s="40" t="inlineStr">
        <is>
          <t>606800</t>
        </is>
      </c>
      <c r="G2169" s="39" t="inlineStr">
        <is>
          <t>Autres achats &amp; charges externes</t>
        </is>
      </c>
      <c r="H2169" s="40" t="inlineStr">
        <is>
          <t>COMPTABLE</t>
        </is>
      </c>
      <c r="I2169" s="41" t="inlineStr">
        <is>
          <t>2024ACT_VDEF</t>
        </is>
      </c>
      <c r="J2169" s="41" t="n">
        <v>2024</v>
      </c>
      <c r="K2169" s="41" t="inlineStr">
        <is>
          <t>EUR</t>
        </is>
      </c>
      <c r="L2169" s="42" t="n">
        <v>30168</v>
      </c>
    </row>
    <row r="2170">
      <c r="B2170" s="39" t="inlineStr">
        <is>
          <t>IPAC_MTP</t>
        </is>
      </c>
      <c r="C2170" s="40" t="inlineStr">
        <is>
          <t>BAC_CCE</t>
        </is>
      </c>
      <c r="D2170" s="40" t="inlineStr">
        <is>
          <t>B2</t>
        </is>
      </c>
      <c r="E2170" s="40" t="inlineStr">
        <is>
          <t>ALT</t>
        </is>
      </c>
      <c r="F2170" s="40" t="inlineStr">
        <is>
          <t>606800</t>
        </is>
      </c>
      <c r="G2170" s="39" t="inlineStr">
        <is>
          <t>Autres achats &amp; charges externes</t>
        </is>
      </c>
      <c r="H2170" s="40" t="inlineStr">
        <is>
          <t>COMPTABLE</t>
        </is>
      </c>
      <c r="I2170" s="41" t="inlineStr">
        <is>
          <t>2025FCST_V4</t>
        </is>
      </c>
      <c r="J2170" s="41" t="n">
        <v>2025</v>
      </c>
      <c r="K2170" s="41" t="inlineStr">
        <is>
          <t>EUR</t>
        </is>
      </c>
      <c r="L2170" s="42" t="n">
        <v>31756</v>
      </c>
    </row>
    <row r="2171">
      <c r="B2171" s="39" t="inlineStr">
        <is>
          <t>IPAC_MTP</t>
        </is>
      </c>
      <c r="C2171" s="40" t="inlineStr">
        <is>
          <t>BAC_CCE</t>
        </is>
      </c>
      <c r="D2171" s="40" t="inlineStr">
        <is>
          <t>B2</t>
        </is>
      </c>
      <c r="E2171" s="40" t="inlineStr">
        <is>
          <t>ALT</t>
        </is>
      </c>
      <c r="F2171" s="40" t="inlineStr">
        <is>
          <t>681100</t>
        </is>
      </c>
      <c r="G2171" s="39" t="inlineStr">
        <is>
          <t>Dotations aux amortissements</t>
        </is>
      </c>
      <c r="H2171" s="40" t="inlineStr">
        <is>
          <t>COMPTABLE</t>
        </is>
      </c>
      <c r="I2171" s="41" t="inlineStr">
        <is>
          <t>2023ACT_VDEF</t>
        </is>
      </c>
      <c r="J2171" s="41" t="n">
        <v>2023</v>
      </c>
      <c r="K2171" s="41" t="inlineStr">
        <is>
          <t>EUR</t>
        </is>
      </c>
      <c r="L2171" s="42" t="n">
        <v>18000</v>
      </c>
    </row>
    <row r="2172">
      <c r="B2172" s="39" t="inlineStr">
        <is>
          <t>IPAC_MTP</t>
        </is>
      </c>
      <c r="C2172" s="40" t="inlineStr">
        <is>
          <t>BAC_CCE</t>
        </is>
      </c>
      <c r="D2172" s="40" t="inlineStr">
        <is>
          <t>B2</t>
        </is>
      </c>
      <c r="E2172" s="40" t="inlineStr">
        <is>
          <t>ALT</t>
        </is>
      </c>
      <c r="F2172" s="40" t="inlineStr">
        <is>
          <t>681100</t>
        </is>
      </c>
      <c r="G2172" s="39" t="inlineStr">
        <is>
          <t>Dotations aux amortissements</t>
        </is>
      </c>
      <c r="H2172" s="40" t="inlineStr">
        <is>
          <t>COMPTABLE</t>
        </is>
      </c>
      <c r="I2172" s="41" t="inlineStr">
        <is>
          <t>2024ACT_VDEF</t>
        </is>
      </c>
      <c r="J2172" s="41" t="n">
        <v>2024</v>
      </c>
      <c r="K2172" s="41" t="inlineStr">
        <is>
          <t>EUR</t>
        </is>
      </c>
      <c r="L2172" s="42" t="n">
        <v>19000</v>
      </c>
    </row>
    <row r="2173">
      <c r="B2173" s="39" t="inlineStr">
        <is>
          <t>IPAC_MTP</t>
        </is>
      </c>
      <c r="C2173" s="40" t="inlineStr">
        <is>
          <t>BAC_CCE</t>
        </is>
      </c>
      <c r="D2173" s="40" t="inlineStr">
        <is>
          <t>B2</t>
        </is>
      </c>
      <c r="E2173" s="40" t="inlineStr">
        <is>
          <t>ALT</t>
        </is>
      </c>
      <c r="F2173" s="40" t="inlineStr">
        <is>
          <t>681100</t>
        </is>
      </c>
      <c r="G2173" s="39" t="inlineStr">
        <is>
          <t>Dotations aux amortissements</t>
        </is>
      </c>
      <c r="H2173" s="40" t="inlineStr">
        <is>
          <t>COMPTABLE</t>
        </is>
      </c>
      <c r="I2173" s="41" t="inlineStr">
        <is>
          <t>2025FCST_V4</t>
        </is>
      </c>
      <c r="J2173" s="41" t="n">
        <v>2025</v>
      </c>
      <c r="K2173" s="41" t="inlineStr">
        <is>
          <t>EUR</t>
        </is>
      </c>
      <c r="L2173" s="42" t="n">
        <v>20000</v>
      </c>
    </row>
    <row r="2174">
      <c r="B2174" s="39" t="inlineStr">
        <is>
          <t>IPAC_MTP</t>
        </is>
      </c>
      <c r="C2174" s="40" t="inlineStr">
        <is>
          <t>BAC_CCE</t>
        </is>
      </c>
      <c r="D2174" s="40" t="inlineStr">
        <is>
          <t>B2</t>
        </is>
      </c>
      <c r="E2174" s="40" t="inlineStr">
        <is>
          <t>ALT</t>
        </is>
      </c>
      <c r="F2174" s="40" t="inlineStr">
        <is>
          <t>STA_EFF</t>
        </is>
      </c>
      <c r="G2174" s="39" t="inlineStr">
        <is>
          <t>Effectif inscrit</t>
        </is>
      </c>
      <c r="H2174" s="40" t="inlineStr">
        <is>
          <t>TECHNIQUE</t>
        </is>
      </c>
      <c r="I2174" s="41" t="inlineStr">
        <is>
          <t>2023ACT_VDEF</t>
        </is>
      </c>
      <c r="J2174" s="41" t="n">
        <v>2023</v>
      </c>
      <c r="K2174" s="41" t="inlineStr">
        <is>
          <t>NB</t>
        </is>
      </c>
      <c r="L2174" s="43" t="n">
        <v>31</v>
      </c>
    </row>
    <row r="2175">
      <c r="B2175" s="39" t="inlineStr">
        <is>
          <t>IPAC_MTP</t>
        </is>
      </c>
      <c r="C2175" s="40" t="inlineStr">
        <is>
          <t>BAC_CCE</t>
        </is>
      </c>
      <c r="D2175" s="40" t="inlineStr">
        <is>
          <t>B2</t>
        </is>
      </c>
      <c r="E2175" s="40" t="inlineStr">
        <is>
          <t>ALT</t>
        </is>
      </c>
      <c r="F2175" s="40" t="inlineStr">
        <is>
          <t>STA_EFF</t>
        </is>
      </c>
      <c r="G2175" s="39" t="inlineStr">
        <is>
          <t>Effectif inscrit</t>
        </is>
      </c>
      <c r="H2175" s="40" t="inlineStr">
        <is>
          <t>TECHNIQUE</t>
        </is>
      </c>
      <c r="I2175" s="41" t="inlineStr">
        <is>
          <t>2024ACT_VDEF</t>
        </is>
      </c>
      <c r="J2175" s="41" t="n">
        <v>2024</v>
      </c>
      <c r="K2175" s="41" t="inlineStr">
        <is>
          <t>NB</t>
        </is>
      </c>
      <c r="L2175" s="43" t="n">
        <v>32</v>
      </c>
    </row>
    <row r="2176">
      <c r="B2176" s="39" t="inlineStr">
        <is>
          <t>IPAC_MTP</t>
        </is>
      </c>
      <c r="C2176" s="40" t="inlineStr">
        <is>
          <t>BAC_CCE</t>
        </is>
      </c>
      <c r="D2176" s="40" t="inlineStr">
        <is>
          <t>B2</t>
        </is>
      </c>
      <c r="E2176" s="40" t="inlineStr">
        <is>
          <t>ALT</t>
        </is>
      </c>
      <c r="F2176" s="40" t="inlineStr">
        <is>
          <t>STA_EFF</t>
        </is>
      </c>
      <c r="G2176" s="39" t="inlineStr">
        <is>
          <t>Effectif inscrit</t>
        </is>
      </c>
      <c r="H2176" s="40" t="inlineStr">
        <is>
          <t>TECHNIQUE</t>
        </is>
      </c>
      <c r="I2176" s="41" t="inlineStr">
        <is>
          <t>2025FCST_V4</t>
        </is>
      </c>
      <c r="J2176" s="41" t="n">
        <v>2025</v>
      </c>
      <c r="K2176" s="41" t="inlineStr">
        <is>
          <t>NB</t>
        </is>
      </c>
      <c r="L2176" s="43" t="n">
        <v>34</v>
      </c>
    </row>
    <row r="2177">
      <c r="B2177" s="39" t="inlineStr">
        <is>
          <t>IPAC_MTP</t>
        </is>
      </c>
      <c r="C2177" s="40" t="inlineStr">
        <is>
          <t>BAC_CCE</t>
        </is>
      </c>
      <c r="D2177" s="40" t="inlineStr">
        <is>
          <t>B2</t>
        </is>
      </c>
      <c r="E2177" s="40" t="inlineStr">
        <is>
          <t>ALT</t>
        </is>
      </c>
      <c r="F2177" s="40" t="inlineStr">
        <is>
          <t>STA_REINS</t>
        </is>
      </c>
      <c r="G2177" s="39" t="inlineStr">
        <is>
          <t>Réinscrits</t>
        </is>
      </c>
      <c r="H2177" s="40" t="inlineStr">
        <is>
          <t>TECHNIQUE</t>
        </is>
      </c>
      <c r="I2177" s="41" t="inlineStr">
        <is>
          <t>2023ACT_VDEF</t>
        </is>
      </c>
      <c r="J2177" s="41" t="n">
        <v>2023</v>
      </c>
      <c r="K2177" s="41" t="inlineStr">
        <is>
          <t>NB</t>
        </is>
      </c>
      <c r="L2177" s="43" t="n">
        <v>31</v>
      </c>
    </row>
    <row r="2178">
      <c r="B2178" s="39" t="inlineStr">
        <is>
          <t>IPAC_MTP</t>
        </is>
      </c>
      <c r="C2178" s="40" t="inlineStr">
        <is>
          <t>BAC_CCE</t>
        </is>
      </c>
      <c r="D2178" s="40" t="inlineStr">
        <is>
          <t>B2</t>
        </is>
      </c>
      <c r="E2178" s="40" t="inlineStr">
        <is>
          <t>ALT</t>
        </is>
      </c>
      <c r="F2178" s="40" t="inlineStr">
        <is>
          <t>STA_REINS</t>
        </is>
      </c>
      <c r="G2178" s="39" t="inlineStr">
        <is>
          <t>Réinscrits</t>
        </is>
      </c>
      <c r="H2178" s="40" t="inlineStr">
        <is>
          <t>TECHNIQUE</t>
        </is>
      </c>
      <c r="I2178" s="41" t="inlineStr">
        <is>
          <t>2024ACT_VDEF</t>
        </is>
      </c>
      <c r="J2178" s="41" t="n">
        <v>2024</v>
      </c>
      <c r="K2178" s="41" t="inlineStr">
        <is>
          <t>NB</t>
        </is>
      </c>
      <c r="L2178" s="43" t="n">
        <v>32</v>
      </c>
    </row>
    <row r="2179">
      <c r="B2179" s="39" t="inlineStr">
        <is>
          <t>IPAC_MTP</t>
        </is>
      </c>
      <c r="C2179" s="40" t="inlineStr">
        <is>
          <t>BAC_CCE</t>
        </is>
      </c>
      <c r="D2179" s="40" t="inlineStr">
        <is>
          <t>B2</t>
        </is>
      </c>
      <c r="E2179" s="40" t="inlineStr">
        <is>
          <t>ALT</t>
        </is>
      </c>
      <c r="F2179" s="40" t="inlineStr">
        <is>
          <t>STA_REINS</t>
        </is>
      </c>
      <c r="G2179" s="39" t="inlineStr">
        <is>
          <t>Réinscrits</t>
        </is>
      </c>
      <c r="H2179" s="40" t="inlineStr">
        <is>
          <t>TECHNIQUE</t>
        </is>
      </c>
      <c r="I2179" s="41" t="inlineStr">
        <is>
          <t>2025FCST_V4</t>
        </is>
      </c>
      <c r="J2179" s="41" t="n">
        <v>2025</v>
      </c>
      <c r="K2179" s="41" t="inlineStr">
        <is>
          <t>NB</t>
        </is>
      </c>
      <c r="L2179" s="43" t="n">
        <v>34</v>
      </c>
    </row>
    <row r="2180">
      <c r="B2180" s="39" t="inlineStr">
        <is>
          <t>IPAC_MTP</t>
        </is>
      </c>
      <c r="C2180" s="40" t="inlineStr">
        <is>
          <t>BAC_CCE</t>
        </is>
      </c>
      <c r="D2180" s="40" t="inlineStr">
        <is>
          <t>B2</t>
        </is>
      </c>
      <c r="E2180" s="40" t="inlineStr">
        <is>
          <t>ALT</t>
        </is>
      </c>
      <c r="F2180" s="40" t="inlineStr">
        <is>
          <t>STA_CLASS</t>
        </is>
      </c>
      <c r="G2180" s="39" t="inlineStr">
        <is>
          <t>Nombre de classes</t>
        </is>
      </c>
      <c r="H2180" s="40" t="inlineStr">
        <is>
          <t>TECHNIQUE</t>
        </is>
      </c>
      <c r="I2180" s="41" t="inlineStr">
        <is>
          <t>2023ACT_VDEF</t>
        </is>
      </c>
      <c r="J2180" s="41" t="n">
        <v>2023</v>
      </c>
      <c r="K2180" s="41" t="inlineStr">
        <is>
          <t>NB</t>
        </is>
      </c>
      <c r="L2180" s="43" t="n">
        <v>2</v>
      </c>
    </row>
    <row r="2181">
      <c r="B2181" s="39" t="inlineStr">
        <is>
          <t>IPAC_MTP</t>
        </is>
      </c>
      <c r="C2181" s="40" t="inlineStr">
        <is>
          <t>BAC_CCE</t>
        </is>
      </c>
      <c r="D2181" s="40" t="inlineStr">
        <is>
          <t>B2</t>
        </is>
      </c>
      <c r="E2181" s="40" t="inlineStr">
        <is>
          <t>ALT</t>
        </is>
      </c>
      <c r="F2181" s="40" t="inlineStr">
        <is>
          <t>STA_CLASS</t>
        </is>
      </c>
      <c r="G2181" s="39" t="inlineStr">
        <is>
          <t>Nombre de classes</t>
        </is>
      </c>
      <c r="H2181" s="40" t="inlineStr">
        <is>
          <t>TECHNIQUE</t>
        </is>
      </c>
      <c r="I2181" s="41" t="inlineStr">
        <is>
          <t>2024ACT_VDEF</t>
        </is>
      </c>
      <c r="J2181" s="41" t="n">
        <v>2024</v>
      </c>
      <c r="K2181" s="41" t="inlineStr">
        <is>
          <t>NB</t>
        </is>
      </c>
      <c r="L2181" s="43" t="n">
        <v>2</v>
      </c>
    </row>
    <row r="2182">
      <c r="B2182" s="39" t="inlineStr">
        <is>
          <t>IPAC_MTP</t>
        </is>
      </c>
      <c r="C2182" s="40" t="inlineStr">
        <is>
          <t>BAC_CCE</t>
        </is>
      </c>
      <c r="D2182" s="40" t="inlineStr">
        <is>
          <t>B2</t>
        </is>
      </c>
      <c r="E2182" s="40" t="inlineStr">
        <is>
          <t>ALT</t>
        </is>
      </c>
      <c r="F2182" s="40" t="inlineStr">
        <is>
          <t>STA_CLASS</t>
        </is>
      </c>
      <c r="G2182" s="39" t="inlineStr">
        <is>
          <t>Nombre de classes</t>
        </is>
      </c>
      <c r="H2182" s="40" t="inlineStr">
        <is>
          <t>TECHNIQUE</t>
        </is>
      </c>
      <c r="I2182" s="41" t="inlineStr">
        <is>
          <t>2025FCST_V4</t>
        </is>
      </c>
      <c r="J2182" s="41" t="n">
        <v>2025</v>
      </c>
      <c r="K2182" s="41" t="inlineStr">
        <is>
          <t>NB</t>
        </is>
      </c>
      <c r="L2182" s="43" t="n">
        <v>2</v>
      </c>
    </row>
    <row r="2183">
      <c r="B2183" s="39" t="inlineStr">
        <is>
          <t>IPAC_MTP</t>
        </is>
      </c>
      <c r="C2183" s="40" t="inlineStr">
        <is>
          <t>BAC_CCE</t>
        </is>
      </c>
      <c r="D2183" s="40" t="inlineStr">
        <is>
          <t>B2</t>
        </is>
      </c>
      <c r="E2183" s="40" t="inlineStr">
        <is>
          <t>ALT</t>
        </is>
      </c>
      <c r="F2183" s="40" t="inlineStr">
        <is>
          <t>STA_HEURE</t>
        </is>
      </c>
      <c r="G2183" s="39" t="inlineStr">
        <is>
          <t>Heures d'enseignement</t>
        </is>
      </c>
      <c r="H2183" s="40" t="inlineStr">
        <is>
          <t>TECHNIQUE</t>
        </is>
      </c>
      <c r="I2183" s="41" t="inlineStr">
        <is>
          <t>2023ACT_VDEF</t>
        </is>
      </c>
      <c r="J2183" s="41" t="n">
        <v>2023</v>
      </c>
      <c r="K2183" s="41" t="inlineStr">
        <is>
          <t>NB</t>
        </is>
      </c>
      <c r="L2183" s="43" t="n">
        <v>1008</v>
      </c>
    </row>
    <row r="2184">
      <c r="B2184" s="39" t="inlineStr">
        <is>
          <t>IPAC_MTP</t>
        </is>
      </c>
      <c r="C2184" s="40" t="inlineStr">
        <is>
          <t>BAC_CCE</t>
        </is>
      </c>
      <c r="D2184" s="40" t="inlineStr">
        <is>
          <t>B2</t>
        </is>
      </c>
      <c r="E2184" s="40" t="inlineStr">
        <is>
          <t>ALT</t>
        </is>
      </c>
      <c r="F2184" s="40" t="inlineStr">
        <is>
          <t>STA_HEURE</t>
        </is>
      </c>
      <c r="G2184" s="39" t="inlineStr">
        <is>
          <t>Heures d'enseignement</t>
        </is>
      </c>
      <c r="H2184" s="40" t="inlineStr">
        <is>
          <t>TECHNIQUE</t>
        </is>
      </c>
      <c r="I2184" s="41" t="inlineStr">
        <is>
          <t>2024ACT_VDEF</t>
        </is>
      </c>
      <c r="J2184" s="41" t="n">
        <v>2024</v>
      </c>
      <c r="K2184" s="41" t="inlineStr">
        <is>
          <t>NB</t>
        </is>
      </c>
      <c r="L2184" s="43" t="n">
        <v>1064</v>
      </c>
    </row>
    <row r="2185">
      <c r="B2185" s="39" t="inlineStr">
        <is>
          <t>IPAC_MTP</t>
        </is>
      </c>
      <c r="C2185" s="40" t="inlineStr">
        <is>
          <t>BAC_CCE</t>
        </is>
      </c>
      <c r="D2185" s="40" t="inlineStr">
        <is>
          <t>B2</t>
        </is>
      </c>
      <c r="E2185" s="40" t="inlineStr">
        <is>
          <t>ALT</t>
        </is>
      </c>
      <c r="F2185" s="40" t="inlineStr">
        <is>
          <t>STA_HEURE</t>
        </is>
      </c>
      <c r="G2185" s="39" t="inlineStr">
        <is>
          <t>Heures d'enseignement</t>
        </is>
      </c>
      <c r="H2185" s="40" t="inlineStr">
        <is>
          <t>TECHNIQUE</t>
        </is>
      </c>
      <c r="I2185" s="41" t="inlineStr">
        <is>
          <t>2025FCST_V4</t>
        </is>
      </c>
      <c r="J2185" s="41" t="n">
        <v>2025</v>
      </c>
      <c r="K2185" s="41" t="inlineStr">
        <is>
          <t>NB</t>
        </is>
      </c>
      <c r="L2185" s="43" t="n">
        <v>1120</v>
      </c>
    </row>
    <row r="2186">
      <c r="B2186" s="39" t="inlineStr">
        <is>
          <t>IPAC_MTP</t>
        </is>
      </c>
      <c r="C2186" s="40" t="inlineStr">
        <is>
          <t>BAC_CCE</t>
        </is>
      </c>
      <c r="D2186" s="40" t="inlineStr">
        <is>
          <t>B2</t>
        </is>
      </c>
      <c r="E2186" s="40" t="inlineStr">
        <is>
          <t>ALT</t>
        </is>
      </c>
      <c r="F2186" s="40" t="inlineStr">
        <is>
          <t>STA_CAPA</t>
        </is>
      </c>
      <c r="G2186" s="39" t="inlineStr">
        <is>
          <t>Capacité par classe</t>
        </is>
      </c>
      <c r="H2186" s="40" t="inlineStr">
        <is>
          <t>TECHNIQUE</t>
        </is>
      </c>
      <c r="I2186" s="41" t="inlineStr">
        <is>
          <t>2023ACT_VDEF</t>
        </is>
      </c>
      <c r="J2186" s="41" t="n">
        <v>2023</v>
      </c>
      <c r="K2186" s="41" t="inlineStr">
        <is>
          <t>NB</t>
        </is>
      </c>
      <c r="L2186" s="43" t="n">
        <v>32</v>
      </c>
    </row>
    <row r="2187">
      <c r="B2187" s="39" t="inlineStr">
        <is>
          <t>IPAC_MTP</t>
        </is>
      </c>
      <c r="C2187" s="40" t="inlineStr">
        <is>
          <t>BAC_CCE</t>
        </is>
      </c>
      <c r="D2187" s="40" t="inlineStr">
        <is>
          <t>B2</t>
        </is>
      </c>
      <c r="E2187" s="40" t="inlineStr">
        <is>
          <t>ALT</t>
        </is>
      </c>
      <c r="F2187" s="40" t="inlineStr">
        <is>
          <t>STA_CAPA</t>
        </is>
      </c>
      <c r="G2187" s="39" t="inlineStr">
        <is>
          <t>Capacité par classe</t>
        </is>
      </c>
      <c r="H2187" s="40" t="inlineStr">
        <is>
          <t>TECHNIQUE</t>
        </is>
      </c>
      <c r="I2187" s="41" t="inlineStr">
        <is>
          <t>2024ACT_VDEF</t>
        </is>
      </c>
      <c r="J2187" s="41" t="n">
        <v>2024</v>
      </c>
      <c r="K2187" s="41" t="inlineStr">
        <is>
          <t>NB</t>
        </is>
      </c>
      <c r="L2187" s="43" t="n">
        <v>32</v>
      </c>
    </row>
    <row r="2188">
      <c r="B2188" s="39" t="inlineStr">
        <is>
          <t>IPAC_MTP</t>
        </is>
      </c>
      <c r="C2188" s="40" t="inlineStr">
        <is>
          <t>BAC_CCE</t>
        </is>
      </c>
      <c r="D2188" s="40" t="inlineStr">
        <is>
          <t>B2</t>
        </is>
      </c>
      <c r="E2188" s="40" t="inlineStr">
        <is>
          <t>ALT</t>
        </is>
      </c>
      <c r="F2188" s="40" t="inlineStr">
        <is>
          <t>STA_CAPA</t>
        </is>
      </c>
      <c r="G2188" s="39" t="inlineStr">
        <is>
          <t>Capacité par classe</t>
        </is>
      </c>
      <c r="H2188" s="40" t="inlineStr">
        <is>
          <t>TECHNIQUE</t>
        </is>
      </c>
      <c r="I2188" s="41" t="inlineStr">
        <is>
          <t>2025FCST_V4</t>
        </is>
      </c>
      <c r="J2188" s="41" t="n">
        <v>2025</v>
      </c>
      <c r="K2188" s="41" t="inlineStr">
        <is>
          <t>NB</t>
        </is>
      </c>
      <c r="L2188" s="43" t="n">
        <v>32</v>
      </c>
    </row>
    <row r="2189">
      <c r="B2189" s="39" t="inlineStr">
        <is>
          <t>IPAC_MTP</t>
        </is>
      </c>
      <c r="C2189" s="40" t="inlineStr">
        <is>
          <t>BAC_CCE</t>
        </is>
      </c>
      <c r="D2189" s="40" t="inlineStr">
        <is>
          <t>B2</t>
        </is>
      </c>
      <c r="E2189" s="40" t="inlineStr">
        <is>
          <t>ALT</t>
        </is>
      </c>
      <c r="F2189" s="40" t="inlineStr">
        <is>
          <t>DRV_PASS</t>
        </is>
      </c>
      <c r="G2189" s="39" t="inlineStr">
        <is>
          <t>Taux de passage (réinscription)</t>
        </is>
      </c>
      <c r="H2189" s="40" t="inlineStr">
        <is>
          <t>TECHNIQUE</t>
        </is>
      </c>
      <c r="I2189" s="41" t="inlineStr">
        <is>
          <t>2023ACT_VDEF</t>
        </is>
      </c>
      <c r="J2189" s="41" t="n">
        <v>2023</v>
      </c>
      <c r="K2189" s="41" t="inlineStr">
        <is>
          <t>PCT</t>
        </is>
      </c>
      <c r="L2189" s="44" t="n">
        <v>0.93</v>
      </c>
    </row>
    <row r="2190">
      <c r="B2190" s="39" t="inlineStr">
        <is>
          <t>IPAC_MTP</t>
        </is>
      </c>
      <c r="C2190" s="40" t="inlineStr">
        <is>
          <t>BAC_CCE</t>
        </is>
      </c>
      <c r="D2190" s="40" t="inlineStr">
        <is>
          <t>B2</t>
        </is>
      </c>
      <c r="E2190" s="40" t="inlineStr">
        <is>
          <t>ALT</t>
        </is>
      </c>
      <c r="F2190" s="40" t="inlineStr">
        <is>
          <t>DRV_PASS</t>
        </is>
      </c>
      <c r="G2190" s="39" t="inlineStr">
        <is>
          <t>Taux de passage (réinscription)</t>
        </is>
      </c>
      <c r="H2190" s="40" t="inlineStr">
        <is>
          <t>TECHNIQUE</t>
        </is>
      </c>
      <c r="I2190" s="41" t="inlineStr">
        <is>
          <t>2024ACT_VDEF</t>
        </is>
      </c>
      <c r="J2190" s="41" t="n">
        <v>2024</v>
      </c>
      <c r="K2190" s="41" t="inlineStr">
        <is>
          <t>PCT</t>
        </is>
      </c>
      <c r="L2190" s="44" t="n">
        <v>0.93</v>
      </c>
    </row>
    <row r="2191">
      <c r="B2191" s="39" t="inlineStr">
        <is>
          <t>IPAC_MTP</t>
        </is>
      </c>
      <c r="C2191" s="40" t="inlineStr">
        <is>
          <t>BAC_CCE</t>
        </is>
      </c>
      <c r="D2191" s="40" t="inlineStr">
        <is>
          <t>B2</t>
        </is>
      </c>
      <c r="E2191" s="40" t="inlineStr">
        <is>
          <t>ALT</t>
        </is>
      </c>
      <c r="F2191" s="40" t="inlineStr">
        <is>
          <t>DRV_PASS</t>
        </is>
      </c>
      <c r="G2191" s="39" t="inlineStr">
        <is>
          <t>Taux de passage (réinscription)</t>
        </is>
      </c>
      <c r="H2191" s="40" t="inlineStr">
        <is>
          <t>TECHNIQUE</t>
        </is>
      </c>
      <c r="I2191" s="41" t="inlineStr">
        <is>
          <t>2025FCST_V4</t>
        </is>
      </c>
      <c r="J2191" s="41" t="n">
        <v>2025</v>
      </c>
      <c r="K2191" s="41" t="inlineStr">
        <is>
          <t>PCT</t>
        </is>
      </c>
      <c r="L2191" s="44" t="n">
        <v>0.93</v>
      </c>
    </row>
    <row r="2192">
      <c r="B2192" s="39" t="inlineStr">
        <is>
          <t>IPAC_MTP</t>
        </is>
      </c>
      <c r="C2192" s="40" t="inlineStr">
        <is>
          <t>BAC_CCE</t>
        </is>
      </c>
      <c r="D2192" s="40" t="inlineStr">
        <is>
          <t>B2</t>
        </is>
      </c>
      <c r="E2192" s="40" t="inlineStr">
        <is>
          <t>ALT</t>
        </is>
      </c>
      <c r="F2192" s="40" t="inlineStr">
        <is>
          <t>PRX_TARIF</t>
        </is>
      </c>
      <c r="G2192" s="39" t="inlineStr">
        <is>
          <t>Tarif moyen scolarité</t>
        </is>
      </c>
      <c r="H2192" s="40" t="inlineStr">
        <is>
          <t>TECHNIQUE</t>
        </is>
      </c>
      <c r="I2192" s="41" t="inlineStr">
        <is>
          <t>2023ACT_VDEF</t>
        </is>
      </c>
      <c r="J2192" s="41" t="n">
        <v>2023</v>
      </c>
      <c r="K2192" s="41" t="inlineStr">
        <is>
          <t>EUR</t>
        </is>
      </c>
      <c r="L2192" s="42" t="n">
        <v>8000</v>
      </c>
    </row>
    <row r="2193">
      <c r="B2193" s="39" t="inlineStr">
        <is>
          <t>IPAC_MTP</t>
        </is>
      </c>
      <c r="C2193" s="40" t="inlineStr">
        <is>
          <t>BAC_CCE</t>
        </is>
      </c>
      <c r="D2193" s="40" t="inlineStr">
        <is>
          <t>B2</t>
        </is>
      </c>
      <c r="E2193" s="40" t="inlineStr">
        <is>
          <t>ALT</t>
        </is>
      </c>
      <c r="F2193" s="40" t="inlineStr">
        <is>
          <t>PRX_TARIF</t>
        </is>
      </c>
      <c r="G2193" s="39" t="inlineStr">
        <is>
          <t>Tarif moyen scolarité</t>
        </is>
      </c>
      <c r="H2193" s="40" t="inlineStr">
        <is>
          <t>TECHNIQUE</t>
        </is>
      </c>
      <c r="I2193" s="41" t="inlineStr">
        <is>
          <t>2024ACT_VDEF</t>
        </is>
      </c>
      <c r="J2193" s="41" t="n">
        <v>2024</v>
      </c>
      <c r="K2193" s="41" t="inlineStr">
        <is>
          <t>EUR</t>
        </is>
      </c>
      <c r="L2193" s="42" t="n">
        <v>8000</v>
      </c>
    </row>
    <row r="2194">
      <c r="B2194" s="39" t="inlineStr">
        <is>
          <t>IPAC_MTP</t>
        </is>
      </c>
      <c r="C2194" s="40" t="inlineStr">
        <is>
          <t>BAC_CCE</t>
        </is>
      </c>
      <c r="D2194" s="40" t="inlineStr">
        <is>
          <t>B2</t>
        </is>
      </c>
      <c r="E2194" s="40" t="inlineStr">
        <is>
          <t>ALT</t>
        </is>
      </c>
      <c r="F2194" s="40" t="inlineStr">
        <is>
          <t>PRX_TARIF</t>
        </is>
      </c>
      <c r="G2194" s="39" t="inlineStr">
        <is>
          <t>Tarif moyen scolarité</t>
        </is>
      </c>
      <c r="H2194" s="40" t="inlineStr">
        <is>
          <t>TECHNIQUE</t>
        </is>
      </c>
      <c r="I2194" s="41" t="inlineStr">
        <is>
          <t>2025FCST_V4</t>
        </is>
      </c>
      <c r="J2194" s="41" t="n">
        <v>2025</v>
      </c>
      <c r="K2194" s="41" t="inlineStr">
        <is>
          <t>EUR</t>
        </is>
      </c>
      <c r="L2194" s="42" t="n">
        <v>8000</v>
      </c>
    </row>
    <row r="2195">
      <c r="B2195" s="39" t="inlineStr">
        <is>
          <t>IPAC_MTP</t>
        </is>
      </c>
      <c r="C2195" s="40" t="inlineStr">
        <is>
          <t>BAC_CCE</t>
        </is>
      </c>
      <c r="D2195" s="40" t="inlineStr">
        <is>
          <t>B3</t>
        </is>
      </c>
      <c r="E2195" s="40" t="inlineStr">
        <is>
          <t>ALT</t>
        </is>
      </c>
      <c r="F2195" s="40" t="inlineStr">
        <is>
          <t>706100</t>
        </is>
      </c>
      <c r="G2195" s="39" t="inlineStr">
        <is>
          <t>Droits de scolarité</t>
        </is>
      </c>
      <c r="H2195" s="40" t="inlineStr">
        <is>
          <t>COMPTABLE</t>
        </is>
      </c>
      <c r="I2195" s="41" t="inlineStr">
        <is>
          <t>2023ACT_VDEF</t>
        </is>
      </c>
      <c r="J2195" s="41" t="n">
        <v>2023</v>
      </c>
      <c r="K2195" s="41" t="inlineStr">
        <is>
          <t>EUR</t>
        </is>
      </c>
      <c r="L2195" s="42" t="n">
        <v>216000</v>
      </c>
    </row>
    <row r="2196">
      <c r="B2196" s="39" t="inlineStr">
        <is>
          <t>IPAC_MTP</t>
        </is>
      </c>
      <c r="C2196" s="40" t="inlineStr">
        <is>
          <t>BAC_CCE</t>
        </is>
      </c>
      <c r="D2196" s="40" t="inlineStr">
        <is>
          <t>B3</t>
        </is>
      </c>
      <c r="E2196" s="40" t="inlineStr">
        <is>
          <t>ALT</t>
        </is>
      </c>
      <c r="F2196" s="40" t="inlineStr">
        <is>
          <t>706100</t>
        </is>
      </c>
      <c r="G2196" s="39" t="inlineStr">
        <is>
          <t>Droits de scolarité</t>
        </is>
      </c>
      <c r="H2196" s="40" t="inlineStr">
        <is>
          <t>COMPTABLE</t>
        </is>
      </c>
      <c r="I2196" s="41" t="inlineStr">
        <is>
          <t>2024ACT_VDEF</t>
        </is>
      </c>
      <c r="J2196" s="41" t="n">
        <v>2024</v>
      </c>
      <c r="K2196" s="41" t="inlineStr">
        <is>
          <t>EUR</t>
        </is>
      </c>
      <c r="L2196" s="42" t="n">
        <v>228000</v>
      </c>
    </row>
    <row r="2197">
      <c r="B2197" s="39" t="inlineStr">
        <is>
          <t>IPAC_MTP</t>
        </is>
      </c>
      <c r="C2197" s="40" t="inlineStr">
        <is>
          <t>BAC_CCE</t>
        </is>
      </c>
      <c r="D2197" s="40" t="inlineStr">
        <is>
          <t>B3</t>
        </is>
      </c>
      <c r="E2197" s="40" t="inlineStr">
        <is>
          <t>ALT</t>
        </is>
      </c>
      <c r="F2197" s="40" t="inlineStr">
        <is>
          <t>706100</t>
        </is>
      </c>
      <c r="G2197" s="39" t="inlineStr">
        <is>
          <t>Droits de scolarité</t>
        </is>
      </c>
      <c r="H2197" s="40" t="inlineStr">
        <is>
          <t>COMPTABLE</t>
        </is>
      </c>
      <c r="I2197" s="41" t="inlineStr">
        <is>
          <t>2025FCST_V4</t>
        </is>
      </c>
      <c r="J2197" s="41" t="n">
        <v>2025</v>
      </c>
      <c r="K2197" s="41" t="inlineStr">
        <is>
          <t>EUR</t>
        </is>
      </c>
      <c r="L2197" s="42" t="n">
        <v>240000</v>
      </c>
    </row>
    <row r="2198">
      <c r="B2198" s="39" t="inlineStr">
        <is>
          <t>IPAC_MTP</t>
        </is>
      </c>
      <c r="C2198" s="40" t="inlineStr">
        <is>
          <t>BAC_CCE</t>
        </is>
      </c>
      <c r="D2198" s="40" t="inlineStr">
        <is>
          <t>B3</t>
        </is>
      </c>
      <c r="E2198" s="40" t="inlineStr">
        <is>
          <t>ALT</t>
        </is>
      </c>
      <c r="F2198" s="40" t="inlineStr">
        <is>
          <t>604100</t>
        </is>
      </c>
      <c r="G2198" s="39" t="inlineStr">
        <is>
          <t>Vacations &amp; sous-traitance pédagogique</t>
        </is>
      </c>
      <c r="H2198" s="40" t="inlineStr">
        <is>
          <t>COMPTABLE</t>
        </is>
      </c>
      <c r="I2198" s="41" t="inlineStr">
        <is>
          <t>2023ACT_VDEF</t>
        </is>
      </c>
      <c r="J2198" s="41" t="n">
        <v>2023</v>
      </c>
      <c r="K2198" s="41" t="inlineStr">
        <is>
          <t>EUR</t>
        </is>
      </c>
      <c r="L2198" s="42" t="n">
        <v>27144</v>
      </c>
    </row>
    <row r="2199">
      <c r="B2199" s="39" t="inlineStr">
        <is>
          <t>IPAC_MTP</t>
        </is>
      </c>
      <c r="C2199" s="40" t="inlineStr">
        <is>
          <t>BAC_CCE</t>
        </is>
      </c>
      <c r="D2199" s="40" t="inlineStr">
        <is>
          <t>B3</t>
        </is>
      </c>
      <c r="E2199" s="40" t="inlineStr">
        <is>
          <t>ALT</t>
        </is>
      </c>
      <c r="F2199" s="40" t="inlineStr">
        <is>
          <t>604100</t>
        </is>
      </c>
      <c r="G2199" s="39" t="inlineStr">
        <is>
          <t>Vacations &amp; sous-traitance pédagogique</t>
        </is>
      </c>
      <c r="H2199" s="40" t="inlineStr">
        <is>
          <t>COMPTABLE</t>
        </is>
      </c>
      <c r="I2199" s="41" t="inlineStr">
        <is>
          <t>2024ACT_VDEF</t>
        </is>
      </c>
      <c r="J2199" s="41" t="n">
        <v>2024</v>
      </c>
      <c r="K2199" s="41" t="inlineStr">
        <is>
          <t>EUR</t>
        </is>
      </c>
      <c r="L2199" s="42" t="n">
        <v>28652</v>
      </c>
    </row>
    <row r="2200">
      <c r="B2200" s="39" t="inlineStr">
        <is>
          <t>IPAC_MTP</t>
        </is>
      </c>
      <c r="C2200" s="40" t="inlineStr">
        <is>
          <t>BAC_CCE</t>
        </is>
      </c>
      <c r="D2200" s="40" t="inlineStr">
        <is>
          <t>B3</t>
        </is>
      </c>
      <c r="E2200" s="40" t="inlineStr">
        <is>
          <t>ALT</t>
        </is>
      </c>
      <c r="F2200" s="40" t="inlineStr">
        <is>
          <t>604100</t>
        </is>
      </c>
      <c r="G2200" s="39" t="inlineStr">
        <is>
          <t>Vacations &amp; sous-traitance pédagogique</t>
        </is>
      </c>
      <c r="H2200" s="40" t="inlineStr">
        <is>
          <t>COMPTABLE</t>
        </is>
      </c>
      <c r="I2200" s="41" t="inlineStr">
        <is>
          <t>2025FCST_V4</t>
        </is>
      </c>
      <c r="J2200" s="41" t="n">
        <v>2025</v>
      </c>
      <c r="K2200" s="41" t="inlineStr">
        <is>
          <t>EUR</t>
        </is>
      </c>
      <c r="L2200" s="42" t="n">
        <v>30160</v>
      </c>
    </row>
    <row r="2201">
      <c r="B2201" s="39" t="inlineStr">
        <is>
          <t>IPAC_MTP</t>
        </is>
      </c>
      <c r="C2201" s="40" t="inlineStr">
        <is>
          <t>BAC_CCE</t>
        </is>
      </c>
      <c r="D2201" s="40" t="inlineStr">
        <is>
          <t>B3</t>
        </is>
      </c>
      <c r="E2201" s="40" t="inlineStr">
        <is>
          <t>ALT</t>
        </is>
      </c>
      <c r="F2201" s="40" t="inlineStr">
        <is>
          <t>606300</t>
        </is>
      </c>
      <c r="G2201" s="39" t="inlineStr">
        <is>
          <t>Fournitures &amp; ressources pédagogiques</t>
        </is>
      </c>
      <c r="H2201" s="40" t="inlineStr">
        <is>
          <t>COMPTABLE</t>
        </is>
      </c>
      <c r="I2201" s="41" t="inlineStr">
        <is>
          <t>2023ACT_VDEF</t>
        </is>
      </c>
      <c r="J2201" s="41" t="n">
        <v>2023</v>
      </c>
      <c r="K2201" s="41" t="inlineStr">
        <is>
          <t>EUR</t>
        </is>
      </c>
      <c r="L2201" s="42" t="n">
        <v>10260</v>
      </c>
    </row>
    <row r="2202">
      <c r="B2202" s="39" t="inlineStr">
        <is>
          <t>IPAC_MTP</t>
        </is>
      </c>
      <c r="C2202" s="40" t="inlineStr">
        <is>
          <t>BAC_CCE</t>
        </is>
      </c>
      <c r="D2202" s="40" t="inlineStr">
        <is>
          <t>B3</t>
        </is>
      </c>
      <c r="E2202" s="40" t="inlineStr">
        <is>
          <t>ALT</t>
        </is>
      </c>
      <c r="F2202" s="40" t="inlineStr">
        <is>
          <t>606300</t>
        </is>
      </c>
      <c r="G2202" s="39" t="inlineStr">
        <is>
          <t>Fournitures &amp; ressources pédagogiques</t>
        </is>
      </c>
      <c r="H2202" s="40" t="inlineStr">
        <is>
          <t>COMPTABLE</t>
        </is>
      </c>
      <c r="I2202" s="41" t="inlineStr">
        <is>
          <t>2024ACT_VDEF</t>
        </is>
      </c>
      <c r="J2202" s="41" t="n">
        <v>2024</v>
      </c>
      <c r="K2202" s="41" t="inlineStr">
        <is>
          <t>EUR</t>
        </is>
      </c>
      <c r="L2202" s="42" t="n">
        <v>10830</v>
      </c>
    </row>
    <row r="2203">
      <c r="B2203" s="39" t="inlineStr">
        <is>
          <t>IPAC_MTP</t>
        </is>
      </c>
      <c r="C2203" s="40" t="inlineStr">
        <is>
          <t>BAC_CCE</t>
        </is>
      </c>
      <c r="D2203" s="40" t="inlineStr">
        <is>
          <t>B3</t>
        </is>
      </c>
      <c r="E2203" s="40" t="inlineStr">
        <is>
          <t>ALT</t>
        </is>
      </c>
      <c r="F2203" s="40" t="inlineStr">
        <is>
          <t>606300</t>
        </is>
      </c>
      <c r="G2203" s="39" t="inlineStr">
        <is>
          <t>Fournitures &amp; ressources pédagogiques</t>
        </is>
      </c>
      <c r="H2203" s="40" t="inlineStr">
        <is>
          <t>COMPTABLE</t>
        </is>
      </c>
      <c r="I2203" s="41" t="inlineStr">
        <is>
          <t>2025FCST_V4</t>
        </is>
      </c>
      <c r="J2203" s="41" t="n">
        <v>2025</v>
      </c>
      <c r="K2203" s="41" t="inlineStr">
        <is>
          <t>EUR</t>
        </is>
      </c>
      <c r="L2203" s="42" t="n">
        <v>11400</v>
      </c>
    </row>
    <row r="2204">
      <c r="B2204" s="39" t="inlineStr">
        <is>
          <t>IPAC_MTP</t>
        </is>
      </c>
      <c r="C2204" s="40" t="inlineStr">
        <is>
          <t>BAC_CCE</t>
        </is>
      </c>
      <c r="D2204" s="40" t="inlineStr">
        <is>
          <t>B3</t>
        </is>
      </c>
      <c r="E2204" s="40" t="inlineStr">
        <is>
          <t>ALT</t>
        </is>
      </c>
      <c r="F2204" s="40" t="inlineStr">
        <is>
          <t>613200</t>
        </is>
      </c>
      <c r="G2204" s="39" t="inlineStr">
        <is>
          <t>Locations immobilières (loyers)</t>
        </is>
      </c>
      <c r="H2204" s="40" t="inlineStr">
        <is>
          <t>COMPTABLE</t>
        </is>
      </c>
      <c r="I2204" s="41" t="inlineStr">
        <is>
          <t>2023ACT_VDEF</t>
        </is>
      </c>
      <c r="J2204" s="41" t="n">
        <v>2023</v>
      </c>
      <c r="K2204" s="41" t="inlineStr">
        <is>
          <t>EUR</t>
        </is>
      </c>
      <c r="L2204" s="42" t="n">
        <v>16560</v>
      </c>
    </row>
    <row r="2205">
      <c r="B2205" s="39" t="inlineStr">
        <is>
          <t>IPAC_MTP</t>
        </is>
      </c>
      <c r="C2205" s="40" t="inlineStr">
        <is>
          <t>BAC_CCE</t>
        </is>
      </c>
      <c r="D2205" s="40" t="inlineStr">
        <is>
          <t>B3</t>
        </is>
      </c>
      <c r="E2205" s="40" t="inlineStr">
        <is>
          <t>ALT</t>
        </is>
      </c>
      <c r="F2205" s="40" t="inlineStr">
        <is>
          <t>613200</t>
        </is>
      </c>
      <c r="G2205" s="39" t="inlineStr">
        <is>
          <t>Locations immobilières (loyers)</t>
        </is>
      </c>
      <c r="H2205" s="40" t="inlineStr">
        <is>
          <t>COMPTABLE</t>
        </is>
      </c>
      <c r="I2205" s="41" t="inlineStr">
        <is>
          <t>2024ACT_VDEF</t>
        </is>
      </c>
      <c r="J2205" s="41" t="n">
        <v>2024</v>
      </c>
      <c r="K2205" s="41" t="inlineStr">
        <is>
          <t>EUR</t>
        </is>
      </c>
      <c r="L2205" s="42" t="n">
        <v>17480</v>
      </c>
    </row>
    <row r="2206">
      <c r="B2206" s="39" t="inlineStr">
        <is>
          <t>IPAC_MTP</t>
        </is>
      </c>
      <c r="C2206" s="40" t="inlineStr">
        <is>
          <t>BAC_CCE</t>
        </is>
      </c>
      <c r="D2206" s="40" t="inlineStr">
        <is>
          <t>B3</t>
        </is>
      </c>
      <c r="E2206" s="40" t="inlineStr">
        <is>
          <t>ALT</t>
        </is>
      </c>
      <c r="F2206" s="40" t="inlineStr">
        <is>
          <t>613200</t>
        </is>
      </c>
      <c r="G2206" s="39" t="inlineStr">
        <is>
          <t>Locations immobilières (loyers)</t>
        </is>
      </c>
      <c r="H2206" s="40" t="inlineStr">
        <is>
          <t>COMPTABLE</t>
        </is>
      </c>
      <c r="I2206" s="41" t="inlineStr">
        <is>
          <t>2025FCST_V4</t>
        </is>
      </c>
      <c r="J2206" s="41" t="n">
        <v>2025</v>
      </c>
      <c r="K2206" s="41" t="inlineStr">
        <is>
          <t>EUR</t>
        </is>
      </c>
      <c r="L2206" s="42" t="n">
        <v>18400</v>
      </c>
    </row>
    <row r="2207">
      <c r="B2207" s="39" t="inlineStr">
        <is>
          <t>IPAC_MTP</t>
        </is>
      </c>
      <c r="C2207" s="40" t="inlineStr">
        <is>
          <t>BAC_CCE</t>
        </is>
      </c>
      <c r="D2207" s="40" t="inlineStr">
        <is>
          <t>B3</t>
        </is>
      </c>
      <c r="E2207" s="40" t="inlineStr">
        <is>
          <t>ALT</t>
        </is>
      </c>
      <c r="F2207" s="40" t="inlineStr">
        <is>
          <t>641100</t>
        </is>
      </c>
      <c r="G2207" s="39" t="inlineStr">
        <is>
          <t>Rémunérations du personnel permanent</t>
        </is>
      </c>
      <c r="H2207" s="40" t="inlineStr">
        <is>
          <t>COMPTABLE</t>
        </is>
      </c>
      <c r="I2207" s="41" t="inlineStr">
        <is>
          <t>2023ACT_VDEF</t>
        </is>
      </c>
      <c r="J2207" s="41" t="n">
        <v>2023</v>
      </c>
      <c r="K2207" s="41" t="inlineStr">
        <is>
          <t>EUR</t>
        </is>
      </c>
      <c r="L2207" s="42" t="n">
        <v>41760</v>
      </c>
    </row>
    <row r="2208">
      <c r="B2208" s="39" t="inlineStr">
        <is>
          <t>IPAC_MTP</t>
        </is>
      </c>
      <c r="C2208" s="40" t="inlineStr">
        <is>
          <t>BAC_CCE</t>
        </is>
      </c>
      <c r="D2208" s="40" t="inlineStr">
        <is>
          <t>B3</t>
        </is>
      </c>
      <c r="E2208" s="40" t="inlineStr">
        <is>
          <t>ALT</t>
        </is>
      </c>
      <c r="F2208" s="40" t="inlineStr">
        <is>
          <t>641100</t>
        </is>
      </c>
      <c r="G2208" s="39" t="inlineStr">
        <is>
          <t>Rémunérations du personnel permanent</t>
        </is>
      </c>
      <c r="H2208" s="40" t="inlineStr">
        <is>
          <t>COMPTABLE</t>
        </is>
      </c>
      <c r="I2208" s="41" t="inlineStr">
        <is>
          <t>2024ACT_VDEF</t>
        </is>
      </c>
      <c r="J2208" s="41" t="n">
        <v>2024</v>
      </c>
      <c r="K2208" s="41" t="inlineStr">
        <is>
          <t>EUR</t>
        </is>
      </c>
      <c r="L2208" s="42" t="n">
        <v>44080</v>
      </c>
    </row>
    <row r="2209">
      <c r="B2209" s="39" t="inlineStr">
        <is>
          <t>IPAC_MTP</t>
        </is>
      </c>
      <c r="C2209" s="40" t="inlineStr">
        <is>
          <t>BAC_CCE</t>
        </is>
      </c>
      <c r="D2209" s="40" t="inlineStr">
        <is>
          <t>B3</t>
        </is>
      </c>
      <c r="E2209" s="40" t="inlineStr">
        <is>
          <t>ALT</t>
        </is>
      </c>
      <c r="F2209" s="40" t="inlineStr">
        <is>
          <t>641100</t>
        </is>
      </c>
      <c r="G2209" s="39" t="inlineStr">
        <is>
          <t>Rémunérations du personnel permanent</t>
        </is>
      </c>
      <c r="H2209" s="40" t="inlineStr">
        <is>
          <t>COMPTABLE</t>
        </is>
      </c>
      <c r="I2209" s="41" t="inlineStr">
        <is>
          <t>2025FCST_V4</t>
        </is>
      </c>
      <c r="J2209" s="41" t="n">
        <v>2025</v>
      </c>
      <c r="K2209" s="41" t="inlineStr">
        <is>
          <t>EUR</t>
        </is>
      </c>
      <c r="L2209" s="42" t="n">
        <v>46400</v>
      </c>
    </row>
    <row r="2210">
      <c r="B2210" s="39" t="inlineStr">
        <is>
          <t>IPAC_MTP</t>
        </is>
      </c>
      <c r="C2210" s="40" t="inlineStr">
        <is>
          <t>BAC_CCE</t>
        </is>
      </c>
      <c r="D2210" s="40" t="inlineStr">
        <is>
          <t>B3</t>
        </is>
      </c>
      <c r="E2210" s="40" t="inlineStr">
        <is>
          <t>ALT</t>
        </is>
      </c>
      <c r="F2210" s="40" t="inlineStr">
        <is>
          <t>622600</t>
        </is>
      </c>
      <c r="G2210" s="39" t="inlineStr">
        <is>
          <t>Honoraires &amp; frais de siège (structure groupe)</t>
        </is>
      </c>
      <c r="H2210" s="40" t="inlineStr">
        <is>
          <t>COMPTABLE</t>
        </is>
      </c>
      <c r="I2210" s="41" t="inlineStr">
        <is>
          <t>2023ACT_VDEF</t>
        </is>
      </c>
      <c r="J2210" s="41" t="n">
        <v>2023</v>
      </c>
      <c r="K2210" s="41" t="inlineStr">
        <is>
          <t>EUR</t>
        </is>
      </c>
      <c r="L2210" s="42" t="n">
        <v>15051</v>
      </c>
    </row>
    <row r="2211">
      <c r="B2211" s="39" t="inlineStr">
        <is>
          <t>IPAC_MTP</t>
        </is>
      </c>
      <c r="C2211" s="40" t="inlineStr">
        <is>
          <t>BAC_CCE</t>
        </is>
      </c>
      <c r="D2211" s="40" t="inlineStr">
        <is>
          <t>B3</t>
        </is>
      </c>
      <c r="E2211" s="40" t="inlineStr">
        <is>
          <t>ALT</t>
        </is>
      </c>
      <c r="F2211" s="40" t="inlineStr">
        <is>
          <t>622600</t>
        </is>
      </c>
      <c r="G2211" s="39" t="inlineStr">
        <is>
          <t>Honoraires &amp; frais de siège (structure groupe)</t>
        </is>
      </c>
      <c r="H2211" s="40" t="inlineStr">
        <is>
          <t>COMPTABLE</t>
        </is>
      </c>
      <c r="I2211" s="41" t="inlineStr">
        <is>
          <t>2024ACT_VDEF</t>
        </is>
      </c>
      <c r="J2211" s="41" t="n">
        <v>2024</v>
      </c>
      <c r="K2211" s="41" t="inlineStr">
        <is>
          <t>EUR</t>
        </is>
      </c>
      <c r="L2211" s="42" t="n">
        <v>15887</v>
      </c>
    </row>
    <row r="2212">
      <c r="B2212" s="39" t="inlineStr">
        <is>
          <t>IPAC_MTP</t>
        </is>
      </c>
      <c r="C2212" s="40" t="inlineStr">
        <is>
          <t>BAC_CCE</t>
        </is>
      </c>
      <c r="D2212" s="40" t="inlineStr">
        <is>
          <t>B3</t>
        </is>
      </c>
      <c r="E2212" s="40" t="inlineStr">
        <is>
          <t>ALT</t>
        </is>
      </c>
      <c r="F2212" s="40" t="inlineStr">
        <is>
          <t>622600</t>
        </is>
      </c>
      <c r="G2212" s="39" t="inlineStr">
        <is>
          <t>Honoraires &amp; frais de siège (structure groupe)</t>
        </is>
      </c>
      <c r="H2212" s="40" t="inlineStr">
        <is>
          <t>COMPTABLE</t>
        </is>
      </c>
      <c r="I2212" s="41" t="inlineStr">
        <is>
          <t>2025FCST_V4</t>
        </is>
      </c>
      <c r="J2212" s="41" t="n">
        <v>2025</v>
      </c>
      <c r="K2212" s="41" t="inlineStr">
        <is>
          <t>EUR</t>
        </is>
      </c>
      <c r="L2212" s="42" t="n">
        <v>16723</v>
      </c>
    </row>
    <row r="2213">
      <c r="B2213" s="39" t="inlineStr">
        <is>
          <t>IPAC_MTP</t>
        </is>
      </c>
      <c r="C2213" s="40" t="inlineStr">
        <is>
          <t>BAC_CCE</t>
        </is>
      </c>
      <c r="D2213" s="40" t="inlineStr">
        <is>
          <t>B3</t>
        </is>
      </c>
      <c r="E2213" s="40" t="inlineStr">
        <is>
          <t>ALT</t>
        </is>
      </c>
      <c r="F2213" s="40" t="inlineStr">
        <is>
          <t>606800</t>
        </is>
      </c>
      <c r="G2213" s="39" t="inlineStr">
        <is>
          <t>Autres achats &amp; charges externes</t>
        </is>
      </c>
      <c r="H2213" s="40" t="inlineStr">
        <is>
          <t>COMPTABLE</t>
        </is>
      </c>
      <c r="I2213" s="41" t="inlineStr">
        <is>
          <t>2023ACT_VDEF</t>
        </is>
      </c>
      <c r="J2213" s="41" t="n">
        <v>2023</v>
      </c>
      <c r="K2213" s="41" t="inlineStr">
        <is>
          <t>EUR</t>
        </is>
      </c>
      <c r="L2213" s="42" t="n">
        <v>25218</v>
      </c>
    </row>
    <row r="2214">
      <c r="B2214" s="39" t="inlineStr">
        <is>
          <t>IPAC_MTP</t>
        </is>
      </c>
      <c r="C2214" s="40" t="inlineStr">
        <is>
          <t>BAC_CCE</t>
        </is>
      </c>
      <c r="D2214" s="40" t="inlineStr">
        <is>
          <t>B3</t>
        </is>
      </c>
      <c r="E2214" s="40" t="inlineStr">
        <is>
          <t>ALT</t>
        </is>
      </c>
      <c r="F2214" s="40" t="inlineStr">
        <is>
          <t>606800</t>
        </is>
      </c>
      <c r="G2214" s="39" t="inlineStr">
        <is>
          <t>Autres achats &amp; charges externes</t>
        </is>
      </c>
      <c r="H2214" s="40" t="inlineStr">
        <is>
          <t>COMPTABLE</t>
        </is>
      </c>
      <c r="I2214" s="41" t="inlineStr">
        <is>
          <t>2024ACT_VDEF</t>
        </is>
      </c>
      <c r="J2214" s="41" t="n">
        <v>2024</v>
      </c>
      <c r="K2214" s="41" t="inlineStr">
        <is>
          <t>EUR</t>
        </is>
      </c>
      <c r="L2214" s="42" t="n">
        <v>26619</v>
      </c>
    </row>
    <row r="2215">
      <c r="B2215" s="39" t="inlineStr">
        <is>
          <t>IPAC_MTP</t>
        </is>
      </c>
      <c r="C2215" s="40" t="inlineStr">
        <is>
          <t>BAC_CCE</t>
        </is>
      </c>
      <c r="D2215" s="40" t="inlineStr">
        <is>
          <t>B3</t>
        </is>
      </c>
      <c r="E2215" s="40" t="inlineStr">
        <is>
          <t>ALT</t>
        </is>
      </c>
      <c r="F2215" s="40" t="inlineStr">
        <is>
          <t>606800</t>
        </is>
      </c>
      <c r="G2215" s="39" t="inlineStr">
        <is>
          <t>Autres achats &amp; charges externes</t>
        </is>
      </c>
      <c r="H2215" s="40" t="inlineStr">
        <is>
          <t>COMPTABLE</t>
        </is>
      </c>
      <c r="I2215" s="41" t="inlineStr">
        <is>
          <t>2025FCST_V4</t>
        </is>
      </c>
      <c r="J2215" s="41" t="n">
        <v>2025</v>
      </c>
      <c r="K2215" s="41" t="inlineStr">
        <is>
          <t>EUR</t>
        </is>
      </c>
      <c r="L2215" s="42" t="n">
        <v>28020</v>
      </c>
    </row>
    <row r="2216">
      <c r="B2216" s="39" t="inlineStr">
        <is>
          <t>IPAC_MTP</t>
        </is>
      </c>
      <c r="C2216" s="40" t="inlineStr">
        <is>
          <t>BAC_CCE</t>
        </is>
      </c>
      <c r="D2216" s="40" t="inlineStr">
        <is>
          <t>B3</t>
        </is>
      </c>
      <c r="E2216" s="40" t="inlineStr">
        <is>
          <t>ALT</t>
        </is>
      </c>
      <c r="F2216" s="40" t="inlineStr">
        <is>
          <t>681100</t>
        </is>
      </c>
      <c r="G2216" s="39" t="inlineStr">
        <is>
          <t>Dotations aux amortissements</t>
        </is>
      </c>
      <c r="H2216" s="40" t="inlineStr">
        <is>
          <t>COMPTABLE</t>
        </is>
      </c>
      <c r="I2216" s="41" t="inlineStr">
        <is>
          <t>2023ACT_VDEF</t>
        </is>
      </c>
      <c r="J2216" s="41" t="n">
        <v>2023</v>
      </c>
      <c r="K2216" s="41" t="inlineStr">
        <is>
          <t>EUR</t>
        </is>
      </c>
      <c r="L2216" s="42" t="n">
        <v>9000</v>
      </c>
    </row>
    <row r="2217">
      <c r="B2217" s="39" t="inlineStr">
        <is>
          <t>IPAC_MTP</t>
        </is>
      </c>
      <c r="C2217" s="40" t="inlineStr">
        <is>
          <t>BAC_CCE</t>
        </is>
      </c>
      <c r="D2217" s="40" t="inlineStr">
        <is>
          <t>B3</t>
        </is>
      </c>
      <c r="E2217" s="40" t="inlineStr">
        <is>
          <t>ALT</t>
        </is>
      </c>
      <c r="F2217" s="40" t="inlineStr">
        <is>
          <t>681100</t>
        </is>
      </c>
      <c r="G2217" s="39" t="inlineStr">
        <is>
          <t>Dotations aux amortissements</t>
        </is>
      </c>
      <c r="H2217" s="40" t="inlineStr">
        <is>
          <t>COMPTABLE</t>
        </is>
      </c>
      <c r="I2217" s="41" t="inlineStr">
        <is>
          <t>2024ACT_VDEF</t>
        </is>
      </c>
      <c r="J2217" s="41" t="n">
        <v>2024</v>
      </c>
      <c r="K2217" s="41" t="inlineStr">
        <is>
          <t>EUR</t>
        </is>
      </c>
      <c r="L2217" s="42" t="n">
        <v>9500</v>
      </c>
    </row>
    <row r="2218">
      <c r="B2218" s="39" t="inlineStr">
        <is>
          <t>IPAC_MTP</t>
        </is>
      </c>
      <c r="C2218" s="40" t="inlineStr">
        <is>
          <t>BAC_CCE</t>
        </is>
      </c>
      <c r="D2218" s="40" t="inlineStr">
        <is>
          <t>B3</t>
        </is>
      </c>
      <c r="E2218" s="40" t="inlineStr">
        <is>
          <t>ALT</t>
        </is>
      </c>
      <c r="F2218" s="40" t="inlineStr">
        <is>
          <t>681100</t>
        </is>
      </c>
      <c r="G2218" s="39" t="inlineStr">
        <is>
          <t>Dotations aux amortissements</t>
        </is>
      </c>
      <c r="H2218" s="40" t="inlineStr">
        <is>
          <t>COMPTABLE</t>
        </is>
      </c>
      <c r="I2218" s="41" t="inlineStr">
        <is>
          <t>2025FCST_V4</t>
        </is>
      </c>
      <c r="J2218" s="41" t="n">
        <v>2025</v>
      </c>
      <c r="K2218" s="41" t="inlineStr">
        <is>
          <t>EUR</t>
        </is>
      </c>
      <c r="L2218" s="42" t="n">
        <v>10000</v>
      </c>
    </row>
    <row r="2219">
      <c r="B2219" s="39" t="inlineStr">
        <is>
          <t>IPAC_MTP</t>
        </is>
      </c>
      <c r="C2219" s="40" t="inlineStr">
        <is>
          <t>BAC_CCE</t>
        </is>
      </c>
      <c r="D2219" s="40" t="inlineStr">
        <is>
          <t>B3</t>
        </is>
      </c>
      <c r="E2219" s="40" t="inlineStr">
        <is>
          <t>ALT</t>
        </is>
      </c>
      <c r="F2219" s="40" t="inlineStr">
        <is>
          <t>STA_EFF</t>
        </is>
      </c>
      <c r="G2219" s="39" t="inlineStr">
        <is>
          <t>Effectif inscrit</t>
        </is>
      </c>
      <c r="H2219" s="40" t="inlineStr">
        <is>
          <t>TECHNIQUE</t>
        </is>
      </c>
      <c r="I2219" s="41" t="inlineStr">
        <is>
          <t>2023ACT_VDEF</t>
        </is>
      </c>
      <c r="J2219" s="41" t="n">
        <v>2023</v>
      </c>
      <c r="K2219" s="41" t="inlineStr">
        <is>
          <t>NB</t>
        </is>
      </c>
      <c r="L2219" s="43" t="n">
        <v>27</v>
      </c>
    </row>
    <row r="2220">
      <c r="B2220" s="39" t="inlineStr">
        <is>
          <t>IPAC_MTP</t>
        </is>
      </c>
      <c r="C2220" s="40" t="inlineStr">
        <is>
          <t>BAC_CCE</t>
        </is>
      </c>
      <c r="D2220" s="40" t="inlineStr">
        <is>
          <t>B3</t>
        </is>
      </c>
      <c r="E2220" s="40" t="inlineStr">
        <is>
          <t>ALT</t>
        </is>
      </c>
      <c r="F2220" s="40" t="inlineStr">
        <is>
          <t>STA_EFF</t>
        </is>
      </c>
      <c r="G2220" s="39" t="inlineStr">
        <is>
          <t>Effectif inscrit</t>
        </is>
      </c>
      <c r="H2220" s="40" t="inlineStr">
        <is>
          <t>TECHNIQUE</t>
        </is>
      </c>
      <c r="I2220" s="41" t="inlineStr">
        <is>
          <t>2024ACT_VDEF</t>
        </is>
      </c>
      <c r="J2220" s="41" t="n">
        <v>2024</v>
      </c>
      <c r="K2220" s="41" t="inlineStr">
        <is>
          <t>NB</t>
        </is>
      </c>
      <c r="L2220" s="43" t="n">
        <v>28</v>
      </c>
    </row>
    <row r="2221">
      <c r="B2221" s="39" t="inlineStr">
        <is>
          <t>IPAC_MTP</t>
        </is>
      </c>
      <c r="C2221" s="40" t="inlineStr">
        <is>
          <t>BAC_CCE</t>
        </is>
      </c>
      <c r="D2221" s="40" t="inlineStr">
        <is>
          <t>B3</t>
        </is>
      </c>
      <c r="E2221" s="40" t="inlineStr">
        <is>
          <t>ALT</t>
        </is>
      </c>
      <c r="F2221" s="40" t="inlineStr">
        <is>
          <t>STA_EFF</t>
        </is>
      </c>
      <c r="G2221" s="39" t="inlineStr">
        <is>
          <t>Effectif inscrit</t>
        </is>
      </c>
      <c r="H2221" s="40" t="inlineStr">
        <is>
          <t>TECHNIQUE</t>
        </is>
      </c>
      <c r="I2221" s="41" t="inlineStr">
        <is>
          <t>2025FCST_V4</t>
        </is>
      </c>
      <c r="J2221" s="41" t="n">
        <v>2025</v>
      </c>
      <c r="K2221" s="41" t="inlineStr">
        <is>
          <t>NB</t>
        </is>
      </c>
      <c r="L2221" s="43" t="n">
        <v>30</v>
      </c>
    </row>
    <row r="2222">
      <c r="B2222" s="39" t="inlineStr">
        <is>
          <t>IPAC_MTP</t>
        </is>
      </c>
      <c r="C2222" s="40" t="inlineStr">
        <is>
          <t>BAC_CCE</t>
        </is>
      </c>
      <c r="D2222" s="40" t="inlineStr">
        <is>
          <t>B3</t>
        </is>
      </c>
      <c r="E2222" s="40" t="inlineStr">
        <is>
          <t>ALT</t>
        </is>
      </c>
      <c r="F2222" s="40" t="inlineStr">
        <is>
          <t>STA_REINS</t>
        </is>
      </c>
      <c r="G2222" s="39" t="inlineStr">
        <is>
          <t>Réinscrits</t>
        </is>
      </c>
      <c r="H2222" s="40" t="inlineStr">
        <is>
          <t>TECHNIQUE</t>
        </is>
      </c>
      <c r="I2222" s="41" t="inlineStr">
        <is>
          <t>2023ACT_VDEF</t>
        </is>
      </c>
      <c r="J2222" s="41" t="n">
        <v>2023</v>
      </c>
      <c r="K2222" s="41" t="inlineStr">
        <is>
          <t>NB</t>
        </is>
      </c>
      <c r="L2222" s="43" t="n">
        <v>27</v>
      </c>
    </row>
    <row r="2223">
      <c r="B2223" s="39" t="inlineStr">
        <is>
          <t>IPAC_MTP</t>
        </is>
      </c>
      <c r="C2223" s="40" t="inlineStr">
        <is>
          <t>BAC_CCE</t>
        </is>
      </c>
      <c r="D2223" s="40" t="inlineStr">
        <is>
          <t>B3</t>
        </is>
      </c>
      <c r="E2223" s="40" t="inlineStr">
        <is>
          <t>ALT</t>
        </is>
      </c>
      <c r="F2223" s="40" t="inlineStr">
        <is>
          <t>STA_REINS</t>
        </is>
      </c>
      <c r="G2223" s="39" t="inlineStr">
        <is>
          <t>Réinscrits</t>
        </is>
      </c>
      <c r="H2223" s="40" t="inlineStr">
        <is>
          <t>TECHNIQUE</t>
        </is>
      </c>
      <c r="I2223" s="41" t="inlineStr">
        <is>
          <t>2024ACT_VDEF</t>
        </is>
      </c>
      <c r="J2223" s="41" t="n">
        <v>2024</v>
      </c>
      <c r="K2223" s="41" t="inlineStr">
        <is>
          <t>NB</t>
        </is>
      </c>
      <c r="L2223" s="43" t="n">
        <v>28</v>
      </c>
    </row>
    <row r="2224">
      <c r="B2224" s="39" t="inlineStr">
        <is>
          <t>IPAC_MTP</t>
        </is>
      </c>
      <c r="C2224" s="40" t="inlineStr">
        <is>
          <t>BAC_CCE</t>
        </is>
      </c>
      <c r="D2224" s="40" t="inlineStr">
        <is>
          <t>B3</t>
        </is>
      </c>
      <c r="E2224" s="40" t="inlineStr">
        <is>
          <t>ALT</t>
        </is>
      </c>
      <c r="F2224" s="40" t="inlineStr">
        <is>
          <t>STA_REINS</t>
        </is>
      </c>
      <c r="G2224" s="39" t="inlineStr">
        <is>
          <t>Réinscrits</t>
        </is>
      </c>
      <c r="H2224" s="40" t="inlineStr">
        <is>
          <t>TECHNIQUE</t>
        </is>
      </c>
      <c r="I2224" s="41" t="inlineStr">
        <is>
          <t>2025FCST_V4</t>
        </is>
      </c>
      <c r="J2224" s="41" t="n">
        <v>2025</v>
      </c>
      <c r="K2224" s="41" t="inlineStr">
        <is>
          <t>NB</t>
        </is>
      </c>
      <c r="L2224" s="43" t="n">
        <v>30</v>
      </c>
    </row>
    <row r="2225">
      <c r="B2225" s="39" t="inlineStr">
        <is>
          <t>IPAC_MTP</t>
        </is>
      </c>
      <c r="C2225" s="40" t="inlineStr">
        <is>
          <t>BAC_CCE</t>
        </is>
      </c>
      <c r="D2225" s="40" t="inlineStr">
        <is>
          <t>B3</t>
        </is>
      </c>
      <c r="E2225" s="40" t="inlineStr">
        <is>
          <t>ALT</t>
        </is>
      </c>
      <c r="F2225" s="40" t="inlineStr">
        <is>
          <t>STA_CLASS</t>
        </is>
      </c>
      <c r="G2225" s="39" t="inlineStr">
        <is>
          <t>Nombre de classes</t>
        </is>
      </c>
      <c r="H2225" s="40" t="inlineStr">
        <is>
          <t>TECHNIQUE</t>
        </is>
      </c>
      <c r="I2225" s="41" t="inlineStr">
        <is>
          <t>2023ACT_VDEF</t>
        </is>
      </c>
      <c r="J2225" s="41" t="n">
        <v>2023</v>
      </c>
      <c r="K2225" s="41" t="inlineStr">
        <is>
          <t>NB</t>
        </is>
      </c>
      <c r="L2225" s="43" t="n">
        <v>1</v>
      </c>
    </row>
    <row r="2226">
      <c r="B2226" s="39" t="inlineStr">
        <is>
          <t>IPAC_MTP</t>
        </is>
      </c>
      <c r="C2226" s="40" t="inlineStr">
        <is>
          <t>BAC_CCE</t>
        </is>
      </c>
      <c r="D2226" s="40" t="inlineStr">
        <is>
          <t>B3</t>
        </is>
      </c>
      <c r="E2226" s="40" t="inlineStr">
        <is>
          <t>ALT</t>
        </is>
      </c>
      <c r="F2226" s="40" t="inlineStr">
        <is>
          <t>STA_CLASS</t>
        </is>
      </c>
      <c r="G2226" s="39" t="inlineStr">
        <is>
          <t>Nombre de classes</t>
        </is>
      </c>
      <c r="H2226" s="40" t="inlineStr">
        <is>
          <t>TECHNIQUE</t>
        </is>
      </c>
      <c r="I2226" s="41" t="inlineStr">
        <is>
          <t>2024ACT_VDEF</t>
        </is>
      </c>
      <c r="J2226" s="41" t="n">
        <v>2024</v>
      </c>
      <c r="K2226" s="41" t="inlineStr">
        <is>
          <t>NB</t>
        </is>
      </c>
      <c r="L2226" s="43" t="n">
        <v>1</v>
      </c>
    </row>
    <row r="2227">
      <c r="B2227" s="39" t="inlineStr">
        <is>
          <t>IPAC_MTP</t>
        </is>
      </c>
      <c r="C2227" s="40" t="inlineStr">
        <is>
          <t>BAC_CCE</t>
        </is>
      </c>
      <c r="D2227" s="40" t="inlineStr">
        <is>
          <t>B3</t>
        </is>
      </c>
      <c r="E2227" s="40" t="inlineStr">
        <is>
          <t>ALT</t>
        </is>
      </c>
      <c r="F2227" s="40" t="inlineStr">
        <is>
          <t>STA_CLASS</t>
        </is>
      </c>
      <c r="G2227" s="39" t="inlineStr">
        <is>
          <t>Nombre de classes</t>
        </is>
      </c>
      <c r="H2227" s="40" t="inlineStr">
        <is>
          <t>TECHNIQUE</t>
        </is>
      </c>
      <c r="I2227" s="41" t="inlineStr">
        <is>
          <t>2025FCST_V4</t>
        </is>
      </c>
      <c r="J2227" s="41" t="n">
        <v>2025</v>
      </c>
      <c r="K2227" s="41" t="inlineStr">
        <is>
          <t>NB</t>
        </is>
      </c>
      <c r="L2227" s="43" t="n">
        <v>1</v>
      </c>
    </row>
    <row r="2228">
      <c r="B2228" s="39" t="inlineStr">
        <is>
          <t>IPAC_MTP</t>
        </is>
      </c>
      <c r="C2228" s="40" t="inlineStr">
        <is>
          <t>BAC_CCE</t>
        </is>
      </c>
      <c r="D2228" s="40" t="inlineStr">
        <is>
          <t>B3</t>
        </is>
      </c>
      <c r="E2228" s="40" t="inlineStr">
        <is>
          <t>ALT</t>
        </is>
      </c>
      <c r="F2228" s="40" t="inlineStr">
        <is>
          <t>STA_HEURE</t>
        </is>
      </c>
      <c r="G2228" s="39" t="inlineStr">
        <is>
          <t>Heures d'enseignement</t>
        </is>
      </c>
      <c r="H2228" s="40" t="inlineStr">
        <is>
          <t>TECHNIQUE</t>
        </is>
      </c>
      <c r="I2228" s="41" t="inlineStr">
        <is>
          <t>2023ACT_VDEF</t>
        </is>
      </c>
      <c r="J2228" s="41" t="n">
        <v>2023</v>
      </c>
      <c r="K2228" s="41" t="inlineStr">
        <is>
          <t>NB</t>
        </is>
      </c>
      <c r="L2228" s="43" t="n">
        <v>468</v>
      </c>
    </row>
    <row r="2229">
      <c r="B2229" s="39" t="inlineStr">
        <is>
          <t>IPAC_MTP</t>
        </is>
      </c>
      <c r="C2229" s="40" t="inlineStr">
        <is>
          <t>BAC_CCE</t>
        </is>
      </c>
      <c r="D2229" s="40" t="inlineStr">
        <is>
          <t>B3</t>
        </is>
      </c>
      <c r="E2229" s="40" t="inlineStr">
        <is>
          <t>ALT</t>
        </is>
      </c>
      <c r="F2229" s="40" t="inlineStr">
        <is>
          <t>STA_HEURE</t>
        </is>
      </c>
      <c r="G2229" s="39" t="inlineStr">
        <is>
          <t>Heures d'enseignement</t>
        </is>
      </c>
      <c r="H2229" s="40" t="inlineStr">
        <is>
          <t>TECHNIQUE</t>
        </is>
      </c>
      <c r="I2229" s="41" t="inlineStr">
        <is>
          <t>2024ACT_VDEF</t>
        </is>
      </c>
      <c r="J2229" s="41" t="n">
        <v>2024</v>
      </c>
      <c r="K2229" s="41" t="inlineStr">
        <is>
          <t>NB</t>
        </is>
      </c>
      <c r="L2229" s="43" t="n">
        <v>494</v>
      </c>
    </row>
    <row r="2230">
      <c r="B2230" s="39" t="inlineStr">
        <is>
          <t>IPAC_MTP</t>
        </is>
      </c>
      <c r="C2230" s="40" t="inlineStr">
        <is>
          <t>BAC_CCE</t>
        </is>
      </c>
      <c r="D2230" s="40" t="inlineStr">
        <is>
          <t>B3</t>
        </is>
      </c>
      <c r="E2230" s="40" t="inlineStr">
        <is>
          <t>ALT</t>
        </is>
      </c>
      <c r="F2230" s="40" t="inlineStr">
        <is>
          <t>STA_HEURE</t>
        </is>
      </c>
      <c r="G2230" s="39" t="inlineStr">
        <is>
          <t>Heures d'enseignement</t>
        </is>
      </c>
      <c r="H2230" s="40" t="inlineStr">
        <is>
          <t>TECHNIQUE</t>
        </is>
      </c>
      <c r="I2230" s="41" t="inlineStr">
        <is>
          <t>2025FCST_V4</t>
        </is>
      </c>
      <c r="J2230" s="41" t="n">
        <v>2025</v>
      </c>
      <c r="K2230" s="41" t="inlineStr">
        <is>
          <t>NB</t>
        </is>
      </c>
      <c r="L2230" s="43" t="n">
        <v>520</v>
      </c>
    </row>
    <row r="2231">
      <c r="B2231" s="39" t="inlineStr">
        <is>
          <t>IPAC_MTP</t>
        </is>
      </c>
      <c r="C2231" s="40" t="inlineStr">
        <is>
          <t>BAC_CCE</t>
        </is>
      </c>
      <c r="D2231" s="40" t="inlineStr">
        <is>
          <t>B3</t>
        </is>
      </c>
      <c r="E2231" s="40" t="inlineStr">
        <is>
          <t>ALT</t>
        </is>
      </c>
      <c r="F2231" s="40" t="inlineStr">
        <is>
          <t>STA_CAPA</t>
        </is>
      </c>
      <c r="G2231" s="39" t="inlineStr">
        <is>
          <t>Capacité par classe</t>
        </is>
      </c>
      <c r="H2231" s="40" t="inlineStr">
        <is>
          <t>TECHNIQUE</t>
        </is>
      </c>
      <c r="I2231" s="41" t="inlineStr">
        <is>
          <t>2023ACT_VDEF</t>
        </is>
      </c>
      <c r="J2231" s="41" t="n">
        <v>2023</v>
      </c>
      <c r="K2231" s="41" t="inlineStr">
        <is>
          <t>NB</t>
        </is>
      </c>
      <c r="L2231" s="43" t="n">
        <v>32</v>
      </c>
    </row>
    <row r="2232">
      <c r="B2232" s="39" t="inlineStr">
        <is>
          <t>IPAC_MTP</t>
        </is>
      </c>
      <c r="C2232" s="40" t="inlineStr">
        <is>
          <t>BAC_CCE</t>
        </is>
      </c>
      <c r="D2232" s="40" t="inlineStr">
        <is>
          <t>B3</t>
        </is>
      </c>
      <c r="E2232" s="40" t="inlineStr">
        <is>
          <t>ALT</t>
        </is>
      </c>
      <c r="F2232" s="40" t="inlineStr">
        <is>
          <t>STA_CAPA</t>
        </is>
      </c>
      <c r="G2232" s="39" t="inlineStr">
        <is>
          <t>Capacité par classe</t>
        </is>
      </c>
      <c r="H2232" s="40" t="inlineStr">
        <is>
          <t>TECHNIQUE</t>
        </is>
      </c>
      <c r="I2232" s="41" t="inlineStr">
        <is>
          <t>2024ACT_VDEF</t>
        </is>
      </c>
      <c r="J2232" s="41" t="n">
        <v>2024</v>
      </c>
      <c r="K2232" s="41" t="inlineStr">
        <is>
          <t>NB</t>
        </is>
      </c>
      <c r="L2232" s="43" t="n">
        <v>32</v>
      </c>
    </row>
    <row r="2233">
      <c r="B2233" s="39" t="inlineStr">
        <is>
          <t>IPAC_MTP</t>
        </is>
      </c>
      <c r="C2233" s="40" t="inlineStr">
        <is>
          <t>BAC_CCE</t>
        </is>
      </c>
      <c r="D2233" s="40" t="inlineStr">
        <is>
          <t>B3</t>
        </is>
      </c>
      <c r="E2233" s="40" t="inlineStr">
        <is>
          <t>ALT</t>
        </is>
      </c>
      <c r="F2233" s="40" t="inlineStr">
        <is>
          <t>STA_CAPA</t>
        </is>
      </c>
      <c r="G2233" s="39" t="inlineStr">
        <is>
          <t>Capacité par classe</t>
        </is>
      </c>
      <c r="H2233" s="40" t="inlineStr">
        <is>
          <t>TECHNIQUE</t>
        </is>
      </c>
      <c r="I2233" s="41" t="inlineStr">
        <is>
          <t>2025FCST_V4</t>
        </is>
      </c>
      <c r="J2233" s="41" t="n">
        <v>2025</v>
      </c>
      <c r="K2233" s="41" t="inlineStr">
        <is>
          <t>NB</t>
        </is>
      </c>
      <c r="L2233" s="43" t="n">
        <v>32</v>
      </c>
    </row>
    <row r="2234">
      <c r="B2234" s="39" t="inlineStr">
        <is>
          <t>IPAC_MTP</t>
        </is>
      </c>
      <c r="C2234" s="40" t="inlineStr">
        <is>
          <t>BAC_CCE</t>
        </is>
      </c>
      <c r="D2234" s="40" t="inlineStr">
        <is>
          <t>B3</t>
        </is>
      </c>
      <c r="E2234" s="40" t="inlineStr">
        <is>
          <t>ALT</t>
        </is>
      </c>
      <c r="F2234" s="40" t="inlineStr">
        <is>
          <t>DRV_PASS</t>
        </is>
      </c>
      <c r="G2234" s="39" t="inlineStr">
        <is>
          <t>Taux de passage (réinscription)</t>
        </is>
      </c>
      <c r="H2234" s="40" t="inlineStr">
        <is>
          <t>TECHNIQUE</t>
        </is>
      </c>
      <c r="I2234" s="41" t="inlineStr">
        <is>
          <t>2023ACT_VDEF</t>
        </is>
      </c>
      <c r="J2234" s="41" t="n">
        <v>2023</v>
      </c>
      <c r="K2234" s="41" t="inlineStr">
        <is>
          <t>PCT</t>
        </is>
      </c>
      <c r="L2234" s="44" t="n">
        <v>0.95</v>
      </c>
    </row>
    <row r="2235">
      <c r="B2235" s="39" t="inlineStr">
        <is>
          <t>IPAC_MTP</t>
        </is>
      </c>
      <c r="C2235" s="40" t="inlineStr">
        <is>
          <t>BAC_CCE</t>
        </is>
      </c>
      <c r="D2235" s="40" t="inlineStr">
        <is>
          <t>B3</t>
        </is>
      </c>
      <c r="E2235" s="40" t="inlineStr">
        <is>
          <t>ALT</t>
        </is>
      </c>
      <c r="F2235" s="40" t="inlineStr">
        <is>
          <t>DRV_PASS</t>
        </is>
      </c>
      <c r="G2235" s="39" t="inlineStr">
        <is>
          <t>Taux de passage (réinscription)</t>
        </is>
      </c>
      <c r="H2235" s="40" t="inlineStr">
        <is>
          <t>TECHNIQUE</t>
        </is>
      </c>
      <c r="I2235" s="41" t="inlineStr">
        <is>
          <t>2024ACT_VDEF</t>
        </is>
      </c>
      <c r="J2235" s="41" t="n">
        <v>2024</v>
      </c>
      <c r="K2235" s="41" t="inlineStr">
        <is>
          <t>PCT</t>
        </is>
      </c>
      <c r="L2235" s="44" t="n">
        <v>0.95</v>
      </c>
    </row>
    <row r="2236">
      <c r="B2236" s="39" t="inlineStr">
        <is>
          <t>IPAC_MTP</t>
        </is>
      </c>
      <c r="C2236" s="40" t="inlineStr">
        <is>
          <t>BAC_CCE</t>
        </is>
      </c>
      <c r="D2236" s="40" t="inlineStr">
        <is>
          <t>B3</t>
        </is>
      </c>
      <c r="E2236" s="40" t="inlineStr">
        <is>
          <t>ALT</t>
        </is>
      </c>
      <c r="F2236" s="40" t="inlineStr">
        <is>
          <t>DRV_PASS</t>
        </is>
      </c>
      <c r="G2236" s="39" t="inlineStr">
        <is>
          <t>Taux de passage (réinscription)</t>
        </is>
      </c>
      <c r="H2236" s="40" t="inlineStr">
        <is>
          <t>TECHNIQUE</t>
        </is>
      </c>
      <c r="I2236" s="41" t="inlineStr">
        <is>
          <t>2025FCST_V4</t>
        </is>
      </c>
      <c r="J2236" s="41" t="n">
        <v>2025</v>
      </c>
      <c r="K2236" s="41" t="inlineStr">
        <is>
          <t>PCT</t>
        </is>
      </c>
      <c r="L2236" s="44" t="n">
        <v>0.95</v>
      </c>
    </row>
    <row r="2237">
      <c r="B2237" s="39" t="inlineStr">
        <is>
          <t>IPAC_MTP</t>
        </is>
      </c>
      <c r="C2237" s="40" t="inlineStr">
        <is>
          <t>BAC_CCE</t>
        </is>
      </c>
      <c r="D2237" s="40" t="inlineStr">
        <is>
          <t>B3</t>
        </is>
      </c>
      <c r="E2237" s="40" t="inlineStr">
        <is>
          <t>ALT</t>
        </is>
      </c>
      <c r="F2237" s="40" t="inlineStr">
        <is>
          <t>PRX_TARIF</t>
        </is>
      </c>
      <c r="G2237" s="39" t="inlineStr">
        <is>
          <t>Tarif moyen scolarité</t>
        </is>
      </c>
      <c r="H2237" s="40" t="inlineStr">
        <is>
          <t>TECHNIQUE</t>
        </is>
      </c>
      <c r="I2237" s="41" t="inlineStr">
        <is>
          <t>2023ACT_VDEF</t>
        </is>
      </c>
      <c r="J2237" s="41" t="n">
        <v>2023</v>
      </c>
      <c r="K2237" s="41" t="inlineStr">
        <is>
          <t>EUR</t>
        </is>
      </c>
      <c r="L2237" s="42" t="n">
        <v>8000</v>
      </c>
    </row>
    <row r="2238">
      <c r="B2238" s="39" t="inlineStr">
        <is>
          <t>IPAC_MTP</t>
        </is>
      </c>
      <c r="C2238" s="40" t="inlineStr">
        <is>
          <t>BAC_CCE</t>
        </is>
      </c>
      <c r="D2238" s="40" t="inlineStr">
        <is>
          <t>B3</t>
        </is>
      </c>
      <c r="E2238" s="40" t="inlineStr">
        <is>
          <t>ALT</t>
        </is>
      </c>
      <c r="F2238" s="40" t="inlineStr">
        <is>
          <t>PRX_TARIF</t>
        </is>
      </c>
      <c r="G2238" s="39" t="inlineStr">
        <is>
          <t>Tarif moyen scolarité</t>
        </is>
      </c>
      <c r="H2238" s="40" t="inlineStr">
        <is>
          <t>TECHNIQUE</t>
        </is>
      </c>
      <c r="I2238" s="41" t="inlineStr">
        <is>
          <t>2024ACT_VDEF</t>
        </is>
      </c>
      <c r="J2238" s="41" t="n">
        <v>2024</v>
      </c>
      <c r="K2238" s="41" t="inlineStr">
        <is>
          <t>EUR</t>
        </is>
      </c>
      <c r="L2238" s="42" t="n">
        <v>8000</v>
      </c>
    </row>
    <row r="2239">
      <c r="B2239" s="39" t="inlineStr">
        <is>
          <t>IPAC_MTP</t>
        </is>
      </c>
      <c r="C2239" s="40" t="inlineStr">
        <is>
          <t>BAC_CCE</t>
        </is>
      </c>
      <c r="D2239" s="40" t="inlineStr">
        <is>
          <t>B3</t>
        </is>
      </c>
      <c r="E2239" s="40" t="inlineStr">
        <is>
          <t>ALT</t>
        </is>
      </c>
      <c r="F2239" s="40" t="inlineStr">
        <is>
          <t>PRX_TARIF</t>
        </is>
      </c>
      <c r="G2239" s="39" t="inlineStr">
        <is>
          <t>Tarif moyen scolarité</t>
        </is>
      </c>
      <c r="H2239" s="40" t="inlineStr">
        <is>
          <t>TECHNIQUE</t>
        </is>
      </c>
      <c r="I2239" s="41" t="inlineStr">
        <is>
          <t>2025FCST_V4</t>
        </is>
      </c>
      <c r="J2239" s="41" t="n">
        <v>2025</v>
      </c>
      <c r="K2239" s="41" t="inlineStr">
        <is>
          <t>EUR</t>
        </is>
      </c>
      <c r="L2239" s="42" t="n">
        <v>8000</v>
      </c>
    </row>
    <row r="2240">
      <c r="B2240" s="39" t="inlineStr">
        <is>
          <t>PIGIER_LYO</t>
        </is>
      </c>
      <c r="C2240" s="40" t="inlineStr">
        <is>
          <t>BTS_GES</t>
        </is>
      </c>
      <c r="D2240" s="40" t="inlineStr">
        <is>
          <t>BTS1</t>
        </is>
      </c>
      <c r="E2240" s="40" t="inlineStr">
        <is>
          <t>ALT</t>
        </is>
      </c>
      <c r="F2240" s="40" t="inlineStr">
        <is>
          <t>706100</t>
        </is>
      </c>
      <c r="G2240" s="39" t="inlineStr">
        <is>
          <t>Droits de scolarité</t>
        </is>
      </c>
      <c r="H2240" s="40" t="inlineStr">
        <is>
          <t>COMPTABLE</t>
        </is>
      </c>
      <c r="I2240" s="41" t="inlineStr">
        <is>
          <t>2023ACT_VDEF</t>
        </is>
      </c>
      <c r="J2240" s="41" t="n">
        <v>2023</v>
      </c>
      <c r="K2240" s="41" t="inlineStr">
        <is>
          <t>EUR</t>
        </is>
      </c>
      <c r="L2240" s="42" t="n">
        <v>233100</v>
      </c>
    </row>
    <row r="2241">
      <c r="B2241" s="39" t="inlineStr">
        <is>
          <t>PIGIER_LYO</t>
        </is>
      </c>
      <c r="C2241" s="40" t="inlineStr">
        <is>
          <t>BTS_GES</t>
        </is>
      </c>
      <c r="D2241" s="40" t="inlineStr">
        <is>
          <t>BTS1</t>
        </is>
      </c>
      <c r="E2241" s="40" t="inlineStr">
        <is>
          <t>ALT</t>
        </is>
      </c>
      <c r="F2241" s="40" t="inlineStr">
        <is>
          <t>706100</t>
        </is>
      </c>
      <c r="G2241" s="39" t="inlineStr">
        <is>
          <t>Droits de scolarité</t>
        </is>
      </c>
      <c r="H2241" s="40" t="inlineStr">
        <is>
          <t>COMPTABLE</t>
        </is>
      </c>
      <c r="I2241" s="41" t="inlineStr">
        <is>
          <t>2024ACT_VDEF</t>
        </is>
      </c>
      <c r="J2241" s="41" t="n">
        <v>2024</v>
      </c>
      <c r="K2241" s="41" t="inlineStr">
        <is>
          <t>EUR</t>
        </is>
      </c>
      <c r="L2241" s="42" t="n">
        <v>246050</v>
      </c>
    </row>
    <row r="2242">
      <c r="B2242" s="39" t="inlineStr">
        <is>
          <t>PIGIER_LYO</t>
        </is>
      </c>
      <c r="C2242" s="40" t="inlineStr">
        <is>
          <t>BTS_GES</t>
        </is>
      </c>
      <c r="D2242" s="40" t="inlineStr">
        <is>
          <t>BTS1</t>
        </is>
      </c>
      <c r="E2242" s="40" t="inlineStr">
        <is>
          <t>ALT</t>
        </is>
      </c>
      <c r="F2242" s="40" t="inlineStr">
        <is>
          <t>706100</t>
        </is>
      </c>
      <c r="G2242" s="39" t="inlineStr">
        <is>
          <t>Droits de scolarité</t>
        </is>
      </c>
      <c r="H2242" s="40" t="inlineStr">
        <is>
          <t>COMPTABLE</t>
        </is>
      </c>
      <c r="I2242" s="41" t="inlineStr">
        <is>
          <t>2025FCST_V4</t>
        </is>
      </c>
      <c r="J2242" s="41" t="n">
        <v>2025</v>
      </c>
      <c r="K2242" s="41" t="inlineStr">
        <is>
          <t>EUR</t>
        </is>
      </c>
      <c r="L2242" s="42" t="n">
        <v>259000</v>
      </c>
    </row>
    <row r="2243">
      <c r="B2243" s="39" t="inlineStr">
        <is>
          <t>PIGIER_LYO</t>
        </is>
      </c>
      <c r="C2243" s="40" t="inlineStr">
        <is>
          <t>BTS_GES</t>
        </is>
      </c>
      <c r="D2243" s="40" t="inlineStr">
        <is>
          <t>BTS1</t>
        </is>
      </c>
      <c r="E2243" s="40" t="inlineStr">
        <is>
          <t>ALT</t>
        </is>
      </c>
      <c r="F2243" s="40" t="inlineStr">
        <is>
          <t>708500</t>
        </is>
      </c>
      <c r="G2243" s="39" t="inlineStr">
        <is>
          <t>Frais de dossier / inscription</t>
        </is>
      </c>
      <c r="H2243" s="40" t="inlineStr">
        <is>
          <t>COMPTABLE</t>
        </is>
      </c>
      <c r="I2243" s="41" t="inlineStr">
        <is>
          <t>2023ACT_VDEF</t>
        </is>
      </c>
      <c r="J2243" s="41" t="n">
        <v>2023</v>
      </c>
      <c r="K2243" s="41" t="inlineStr">
        <is>
          <t>EUR</t>
        </is>
      </c>
      <c r="L2243" s="42" t="n">
        <v>2997</v>
      </c>
    </row>
    <row r="2244">
      <c r="B2244" s="39" t="inlineStr">
        <is>
          <t>PIGIER_LYO</t>
        </is>
      </c>
      <c r="C2244" s="40" t="inlineStr">
        <is>
          <t>BTS_GES</t>
        </is>
      </c>
      <c r="D2244" s="40" t="inlineStr">
        <is>
          <t>BTS1</t>
        </is>
      </c>
      <c r="E2244" s="40" t="inlineStr">
        <is>
          <t>ALT</t>
        </is>
      </c>
      <c r="F2244" s="40" t="inlineStr">
        <is>
          <t>708500</t>
        </is>
      </c>
      <c r="G2244" s="39" t="inlineStr">
        <is>
          <t>Frais de dossier / inscription</t>
        </is>
      </c>
      <c r="H2244" s="40" t="inlineStr">
        <is>
          <t>COMPTABLE</t>
        </is>
      </c>
      <c r="I2244" s="41" t="inlineStr">
        <is>
          <t>2024ACT_VDEF</t>
        </is>
      </c>
      <c r="J2244" s="41" t="n">
        <v>2024</v>
      </c>
      <c r="K2244" s="41" t="inlineStr">
        <is>
          <t>EUR</t>
        </is>
      </c>
      <c r="L2244" s="42" t="n">
        <v>3164</v>
      </c>
    </row>
    <row r="2245">
      <c r="B2245" s="39" t="inlineStr">
        <is>
          <t>PIGIER_LYO</t>
        </is>
      </c>
      <c r="C2245" s="40" t="inlineStr">
        <is>
          <t>BTS_GES</t>
        </is>
      </c>
      <c r="D2245" s="40" t="inlineStr">
        <is>
          <t>BTS1</t>
        </is>
      </c>
      <c r="E2245" s="40" t="inlineStr">
        <is>
          <t>ALT</t>
        </is>
      </c>
      <c r="F2245" s="40" t="inlineStr">
        <is>
          <t>708500</t>
        </is>
      </c>
      <c r="G2245" s="39" t="inlineStr">
        <is>
          <t>Frais de dossier / inscription</t>
        </is>
      </c>
      <c r="H2245" s="40" t="inlineStr">
        <is>
          <t>COMPTABLE</t>
        </is>
      </c>
      <c r="I2245" s="41" t="inlineStr">
        <is>
          <t>2025FCST_V4</t>
        </is>
      </c>
      <c r="J2245" s="41" t="n">
        <v>2025</v>
      </c>
      <c r="K2245" s="41" t="inlineStr">
        <is>
          <t>EUR</t>
        </is>
      </c>
      <c r="L2245" s="42" t="n">
        <v>3330</v>
      </c>
    </row>
    <row r="2246">
      <c r="B2246" s="39" t="inlineStr">
        <is>
          <t>PIGIER_LYO</t>
        </is>
      </c>
      <c r="C2246" s="40" t="inlineStr">
        <is>
          <t>BTS_GES</t>
        </is>
      </c>
      <c r="D2246" s="40" t="inlineStr">
        <is>
          <t>BTS1</t>
        </is>
      </c>
      <c r="E2246" s="40" t="inlineStr">
        <is>
          <t>ALT</t>
        </is>
      </c>
      <c r="F2246" s="40" t="inlineStr">
        <is>
          <t>604100</t>
        </is>
      </c>
      <c r="G2246" s="39" t="inlineStr">
        <is>
          <t>Vacations &amp; sous-traitance pédagogique</t>
        </is>
      </c>
      <c r="H2246" s="40" t="inlineStr">
        <is>
          <t>COMPTABLE</t>
        </is>
      </c>
      <c r="I2246" s="41" t="inlineStr">
        <is>
          <t>2023ACT_VDEF</t>
        </is>
      </c>
      <c r="J2246" s="41" t="n">
        <v>2023</v>
      </c>
      <c r="K2246" s="41" t="inlineStr">
        <is>
          <t>EUR</t>
        </is>
      </c>
      <c r="L2246" s="42" t="n">
        <v>71280</v>
      </c>
    </row>
    <row r="2247">
      <c r="B2247" s="39" t="inlineStr">
        <is>
          <t>PIGIER_LYO</t>
        </is>
      </c>
      <c r="C2247" s="40" t="inlineStr">
        <is>
          <t>BTS_GES</t>
        </is>
      </c>
      <c r="D2247" s="40" t="inlineStr">
        <is>
          <t>BTS1</t>
        </is>
      </c>
      <c r="E2247" s="40" t="inlineStr">
        <is>
          <t>ALT</t>
        </is>
      </c>
      <c r="F2247" s="40" t="inlineStr">
        <is>
          <t>604100</t>
        </is>
      </c>
      <c r="G2247" s="39" t="inlineStr">
        <is>
          <t>Vacations &amp; sous-traitance pédagogique</t>
        </is>
      </c>
      <c r="H2247" s="40" t="inlineStr">
        <is>
          <t>COMPTABLE</t>
        </is>
      </c>
      <c r="I2247" s="41" t="inlineStr">
        <is>
          <t>2024ACT_VDEF</t>
        </is>
      </c>
      <c r="J2247" s="41" t="n">
        <v>2024</v>
      </c>
      <c r="K2247" s="41" t="inlineStr">
        <is>
          <t>EUR</t>
        </is>
      </c>
      <c r="L2247" s="42" t="n">
        <v>75240</v>
      </c>
    </row>
    <row r="2248">
      <c r="B2248" s="39" t="inlineStr">
        <is>
          <t>PIGIER_LYO</t>
        </is>
      </c>
      <c r="C2248" s="40" t="inlineStr">
        <is>
          <t>BTS_GES</t>
        </is>
      </c>
      <c r="D2248" s="40" t="inlineStr">
        <is>
          <t>BTS1</t>
        </is>
      </c>
      <c r="E2248" s="40" t="inlineStr">
        <is>
          <t>ALT</t>
        </is>
      </c>
      <c r="F2248" s="40" t="inlineStr">
        <is>
          <t>604100</t>
        </is>
      </c>
      <c r="G2248" s="39" t="inlineStr">
        <is>
          <t>Vacations &amp; sous-traitance pédagogique</t>
        </is>
      </c>
      <c r="H2248" s="40" t="inlineStr">
        <is>
          <t>COMPTABLE</t>
        </is>
      </c>
      <c r="I2248" s="41" t="inlineStr">
        <is>
          <t>2025FCST_V4</t>
        </is>
      </c>
      <c r="J2248" s="41" t="n">
        <v>2025</v>
      </c>
      <c r="K2248" s="41" t="inlineStr">
        <is>
          <t>EUR</t>
        </is>
      </c>
      <c r="L2248" s="42" t="n">
        <v>79200</v>
      </c>
    </row>
    <row r="2249">
      <c r="B2249" s="39" t="inlineStr">
        <is>
          <t>PIGIER_LYO</t>
        </is>
      </c>
      <c r="C2249" s="40" t="inlineStr">
        <is>
          <t>BTS_GES</t>
        </is>
      </c>
      <c r="D2249" s="40" t="inlineStr">
        <is>
          <t>BTS1</t>
        </is>
      </c>
      <c r="E2249" s="40" t="inlineStr">
        <is>
          <t>ALT</t>
        </is>
      </c>
      <c r="F2249" s="40" t="inlineStr">
        <is>
          <t>606300</t>
        </is>
      </c>
      <c r="G2249" s="39" t="inlineStr">
        <is>
          <t>Fournitures &amp; ressources pédagogiques</t>
        </is>
      </c>
      <c r="H2249" s="40" t="inlineStr">
        <is>
          <t>COMPTABLE</t>
        </is>
      </c>
      <c r="I2249" s="41" t="inlineStr">
        <is>
          <t>2023ACT_VDEF</t>
        </is>
      </c>
      <c r="J2249" s="41" t="n">
        <v>2023</v>
      </c>
      <c r="K2249" s="41" t="inlineStr">
        <is>
          <t>EUR</t>
        </is>
      </c>
      <c r="L2249" s="42" t="n">
        <v>11655</v>
      </c>
    </row>
    <row r="2250">
      <c r="B2250" s="39" t="inlineStr">
        <is>
          <t>PIGIER_LYO</t>
        </is>
      </c>
      <c r="C2250" s="40" t="inlineStr">
        <is>
          <t>BTS_GES</t>
        </is>
      </c>
      <c r="D2250" s="40" t="inlineStr">
        <is>
          <t>BTS1</t>
        </is>
      </c>
      <c r="E2250" s="40" t="inlineStr">
        <is>
          <t>ALT</t>
        </is>
      </c>
      <c r="F2250" s="40" t="inlineStr">
        <is>
          <t>606300</t>
        </is>
      </c>
      <c r="G2250" s="39" t="inlineStr">
        <is>
          <t>Fournitures &amp; ressources pédagogiques</t>
        </is>
      </c>
      <c r="H2250" s="40" t="inlineStr">
        <is>
          <t>COMPTABLE</t>
        </is>
      </c>
      <c r="I2250" s="41" t="inlineStr">
        <is>
          <t>2024ACT_VDEF</t>
        </is>
      </c>
      <c r="J2250" s="41" t="n">
        <v>2024</v>
      </c>
      <c r="K2250" s="41" t="inlineStr">
        <is>
          <t>EUR</t>
        </is>
      </c>
      <c r="L2250" s="42" t="n">
        <v>12302</v>
      </c>
    </row>
    <row r="2251">
      <c r="B2251" s="39" t="inlineStr">
        <is>
          <t>PIGIER_LYO</t>
        </is>
      </c>
      <c r="C2251" s="40" t="inlineStr">
        <is>
          <t>BTS_GES</t>
        </is>
      </c>
      <c r="D2251" s="40" t="inlineStr">
        <is>
          <t>BTS1</t>
        </is>
      </c>
      <c r="E2251" s="40" t="inlineStr">
        <is>
          <t>ALT</t>
        </is>
      </c>
      <c r="F2251" s="40" t="inlineStr">
        <is>
          <t>606300</t>
        </is>
      </c>
      <c r="G2251" s="39" t="inlineStr">
        <is>
          <t>Fournitures &amp; ressources pédagogiques</t>
        </is>
      </c>
      <c r="H2251" s="40" t="inlineStr">
        <is>
          <t>COMPTABLE</t>
        </is>
      </c>
      <c r="I2251" s="41" t="inlineStr">
        <is>
          <t>2025FCST_V4</t>
        </is>
      </c>
      <c r="J2251" s="41" t="n">
        <v>2025</v>
      </c>
      <c r="K2251" s="41" t="inlineStr">
        <is>
          <t>EUR</t>
        </is>
      </c>
      <c r="L2251" s="42" t="n">
        <v>12950</v>
      </c>
    </row>
    <row r="2252">
      <c r="B2252" s="39" t="inlineStr">
        <is>
          <t>PIGIER_LYO</t>
        </is>
      </c>
      <c r="C2252" s="40" t="inlineStr">
        <is>
          <t>BTS_GES</t>
        </is>
      </c>
      <c r="D2252" s="40" t="inlineStr">
        <is>
          <t>BTS1</t>
        </is>
      </c>
      <c r="E2252" s="40" t="inlineStr">
        <is>
          <t>ALT</t>
        </is>
      </c>
      <c r="F2252" s="40" t="inlineStr">
        <is>
          <t>623000</t>
        </is>
      </c>
      <c r="G2252" s="39" t="inlineStr">
        <is>
          <t>Publicité &amp; marketing (acquisition)</t>
        </is>
      </c>
      <c r="H2252" s="40" t="inlineStr">
        <is>
          <t>COMPTABLE</t>
        </is>
      </c>
      <c r="I2252" s="41" t="inlineStr">
        <is>
          <t>2023ACT_VDEF</t>
        </is>
      </c>
      <c r="J2252" s="41" t="n">
        <v>2023</v>
      </c>
      <c r="K2252" s="41" t="inlineStr">
        <is>
          <t>EUR</t>
        </is>
      </c>
      <c r="L2252" s="42" t="n">
        <v>8325</v>
      </c>
    </row>
    <row r="2253">
      <c r="B2253" s="39" t="inlineStr">
        <is>
          <t>PIGIER_LYO</t>
        </is>
      </c>
      <c r="C2253" s="40" t="inlineStr">
        <is>
          <t>BTS_GES</t>
        </is>
      </c>
      <c r="D2253" s="40" t="inlineStr">
        <is>
          <t>BTS1</t>
        </is>
      </c>
      <c r="E2253" s="40" t="inlineStr">
        <is>
          <t>ALT</t>
        </is>
      </c>
      <c r="F2253" s="40" t="inlineStr">
        <is>
          <t>623000</t>
        </is>
      </c>
      <c r="G2253" s="39" t="inlineStr">
        <is>
          <t>Publicité &amp; marketing (acquisition)</t>
        </is>
      </c>
      <c r="H2253" s="40" t="inlineStr">
        <is>
          <t>COMPTABLE</t>
        </is>
      </c>
      <c r="I2253" s="41" t="inlineStr">
        <is>
          <t>2024ACT_VDEF</t>
        </is>
      </c>
      <c r="J2253" s="41" t="n">
        <v>2024</v>
      </c>
      <c r="K2253" s="41" t="inlineStr">
        <is>
          <t>EUR</t>
        </is>
      </c>
      <c r="L2253" s="42" t="n">
        <v>8788</v>
      </c>
    </row>
    <row r="2254">
      <c r="B2254" s="39" t="inlineStr">
        <is>
          <t>PIGIER_LYO</t>
        </is>
      </c>
      <c r="C2254" s="40" t="inlineStr">
        <is>
          <t>BTS_GES</t>
        </is>
      </c>
      <c r="D2254" s="40" t="inlineStr">
        <is>
          <t>BTS1</t>
        </is>
      </c>
      <c r="E2254" s="40" t="inlineStr">
        <is>
          <t>ALT</t>
        </is>
      </c>
      <c r="F2254" s="40" t="inlineStr">
        <is>
          <t>623000</t>
        </is>
      </c>
      <c r="G2254" s="39" t="inlineStr">
        <is>
          <t>Publicité &amp; marketing (acquisition)</t>
        </is>
      </c>
      <c r="H2254" s="40" t="inlineStr">
        <is>
          <t>COMPTABLE</t>
        </is>
      </c>
      <c r="I2254" s="41" t="inlineStr">
        <is>
          <t>2025FCST_V4</t>
        </is>
      </c>
      <c r="J2254" s="41" t="n">
        <v>2025</v>
      </c>
      <c r="K2254" s="41" t="inlineStr">
        <is>
          <t>EUR</t>
        </is>
      </c>
      <c r="L2254" s="42" t="n">
        <v>9250</v>
      </c>
    </row>
    <row r="2255">
      <c r="B2255" s="39" t="inlineStr">
        <is>
          <t>PIGIER_LYO</t>
        </is>
      </c>
      <c r="C2255" s="40" t="inlineStr">
        <is>
          <t>BTS_GES</t>
        </is>
      </c>
      <c r="D2255" s="40" t="inlineStr">
        <is>
          <t>BTS1</t>
        </is>
      </c>
      <c r="E2255" s="40" t="inlineStr">
        <is>
          <t>ALT</t>
        </is>
      </c>
      <c r="F2255" s="40" t="inlineStr">
        <is>
          <t>613200</t>
        </is>
      </c>
      <c r="G2255" s="39" t="inlineStr">
        <is>
          <t>Locations immobilières (loyers)</t>
        </is>
      </c>
      <c r="H2255" s="40" t="inlineStr">
        <is>
          <t>COMPTABLE</t>
        </is>
      </c>
      <c r="I2255" s="41" t="inlineStr">
        <is>
          <t>2023ACT_VDEF</t>
        </is>
      </c>
      <c r="J2255" s="41" t="n">
        <v>2023</v>
      </c>
      <c r="K2255" s="41" t="inlineStr">
        <is>
          <t>EUR</t>
        </is>
      </c>
      <c r="L2255" s="42" t="n">
        <v>27900</v>
      </c>
    </row>
    <row r="2256">
      <c r="B2256" s="39" t="inlineStr">
        <is>
          <t>PIGIER_LYO</t>
        </is>
      </c>
      <c r="C2256" s="40" t="inlineStr">
        <is>
          <t>BTS_GES</t>
        </is>
      </c>
      <c r="D2256" s="40" t="inlineStr">
        <is>
          <t>BTS1</t>
        </is>
      </c>
      <c r="E2256" s="40" t="inlineStr">
        <is>
          <t>ALT</t>
        </is>
      </c>
      <c r="F2256" s="40" t="inlineStr">
        <is>
          <t>613200</t>
        </is>
      </c>
      <c r="G2256" s="39" t="inlineStr">
        <is>
          <t>Locations immobilières (loyers)</t>
        </is>
      </c>
      <c r="H2256" s="40" t="inlineStr">
        <is>
          <t>COMPTABLE</t>
        </is>
      </c>
      <c r="I2256" s="41" t="inlineStr">
        <is>
          <t>2024ACT_VDEF</t>
        </is>
      </c>
      <c r="J2256" s="41" t="n">
        <v>2024</v>
      </c>
      <c r="K2256" s="41" t="inlineStr">
        <is>
          <t>EUR</t>
        </is>
      </c>
      <c r="L2256" s="42" t="n">
        <v>29450</v>
      </c>
    </row>
    <row r="2257">
      <c r="B2257" s="39" t="inlineStr">
        <is>
          <t>PIGIER_LYO</t>
        </is>
      </c>
      <c r="C2257" s="40" t="inlineStr">
        <is>
          <t>BTS_GES</t>
        </is>
      </c>
      <c r="D2257" s="40" t="inlineStr">
        <is>
          <t>BTS1</t>
        </is>
      </c>
      <c r="E2257" s="40" t="inlineStr">
        <is>
          <t>ALT</t>
        </is>
      </c>
      <c r="F2257" s="40" t="inlineStr">
        <is>
          <t>613200</t>
        </is>
      </c>
      <c r="G2257" s="39" t="inlineStr">
        <is>
          <t>Locations immobilières (loyers)</t>
        </is>
      </c>
      <c r="H2257" s="40" t="inlineStr">
        <is>
          <t>COMPTABLE</t>
        </is>
      </c>
      <c r="I2257" s="41" t="inlineStr">
        <is>
          <t>2025FCST_V4</t>
        </is>
      </c>
      <c r="J2257" s="41" t="n">
        <v>2025</v>
      </c>
      <c r="K2257" s="41" t="inlineStr">
        <is>
          <t>EUR</t>
        </is>
      </c>
      <c r="L2257" s="42" t="n">
        <v>31000</v>
      </c>
    </row>
    <row r="2258">
      <c r="B2258" s="39" t="inlineStr">
        <is>
          <t>PIGIER_LYO</t>
        </is>
      </c>
      <c r="C2258" s="40" t="inlineStr">
        <is>
          <t>BTS_GES</t>
        </is>
      </c>
      <c r="D2258" s="40" t="inlineStr">
        <is>
          <t>BTS1</t>
        </is>
      </c>
      <c r="E2258" s="40" t="inlineStr">
        <is>
          <t>ALT</t>
        </is>
      </c>
      <c r="F2258" s="40" t="inlineStr">
        <is>
          <t>641100</t>
        </is>
      </c>
      <c r="G2258" s="39" t="inlineStr">
        <is>
          <t>Rémunérations du personnel permanent</t>
        </is>
      </c>
      <c r="H2258" s="40" t="inlineStr">
        <is>
          <t>COMPTABLE</t>
        </is>
      </c>
      <c r="I2258" s="41" t="inlineStr">
        <is>
          <t>2023ACT_VDEF</t>
        </is>
      </c>
      <c r="J2258" s="41" t="n">
        <v>2023</v>
      </c>
      <c r="K2258" s="41" t="inlineStr">
        <is>
          <t>EUR</t>
        </is>
      </c>
      <c r="L2258" s="42" t="n">
        <v>78300</v>
      </c>
    </row>
    <row r="2259">
      <c r="B2259" s="39" t="inlineStr">
        <is>
          <t>PIGIER_LYO</t>
        </is>
      </c>
      <c r="C2259" s="40" t="inlineStr">
        <is>
          <t>BTS_GES</t>
        </is>
      </c>
      <c r="D2259" s="40" t="inlineStr">
        <is>
          <t>BTS1</t>
        </is>
      </c>
      <c r="E2259" s="40" t="inlineStr">
        <is>
          <t>ALT</t>
        </is>
      </c>
      <c r="F2259" s="40" t="inlineStr">
        <is>
          <t>641100</t>
        </is>
      </c>
      <c r="G2259" s="39" t="inlineStr">
        <is>
          <t>Rémunérations du personnel permanent</t>
        </is>
      </c>
      <c r="H2259" s="40" t="inlineStr">
        <is>
          <t>COMPTABLE</t>
        </is>
      </c>
      <c r="I2259" s="41" t="inlineStr">
        <is>
          <t>2024ACT_VDEF</t>
        </is>
      </c>
      <c r="J2259" s="41" t="n">
        <v>2024</v>
      </c>
      <c r="K2259" s="41" t="inlineStr">
        <is>
          <t>EUR</t>
        </is>
      </c>
      <c r="L2259" s="42" t="n">
        <v>82650</v>
      </c>
    </row>
    <row r="2260">
      <c r="B2260" s="39" t="inlineStr">
        <is>
          <t>PIGIER_LYO</t>
        </is>
      </c>
      <c r="C2260" s="40" t="inlineStr">
        <is>
          <t>BTS_GES</t>
        </is>
      </c>
      <c r="D2260" s="40" t="inlineStr">
        <is>
          <t>BTS1</t>
        </is>
      </c>
      <c r="E2260" s="40" t="inlineStr">
        <is>
          <t>ALT</t>
        </is>
      </c>
      <c r="F2260" s="40" t="inlineStr">
        <is>
          <t>641100</t>
        </is>
      </c>
      <c r="G2260" s="39" t="inlineStr">
        <is>
          <t>Rémunérations du personnel permanent</t>
        </is>
      </c>
      <c r="H2260" s="40" t="inlineStr">
        <is>
          <t>COMPTABLE</t>
        </is>
      </c>
      <c r="I2260" s="41" t="inlineStr">
        <is>
          <t>2025FCST_V4</t>
        </is>
      </c>
      <c r="J2260" s="41" t="n">
        <v>2025</v>
      </c>
      <c r="K2260" s="41" t="inlineStr">
        <is>
          <t>EUR</t>
        </is>
      </c>
      <c r="L2260" s="42" t="n">
        <v>87000</v>
      </c>
    </row>
    <row r="2261">
      <c r="B2261" s="39" t="inlineStr">
        <is>
          <t>PIGIER_LYO</t>
        </is>
      </c>
      <c r="C2261" s="40" t="inlineStr">
        <is>
          <t>BTS_GES</t>
        </is>
      </c>
      <c r="D2261" s="40" t="inlineStr">
        <is>
          <t>BTS1</t>
        </is>
      </c>
      <c r="E2261" s="40" t="inlineStr">
        <is>
          <t>ALT</t>
        </is>
      </c>
      <c r="F2261" s="40" t="inlineStr">
        <is>
          <t>622600</t>
        </is>
      </c>
      <c r="G2261" s="39" t="inlineStr">
        <is>
          <t>Honoraires &amp; frais de siège (structure groupe)</t>
        </is>
      </c>
      <c r="H2261" s="40" t="inlineStr">
        <is>
          <t>COMPTABLE</t>
        </is>
      </c>
      <c r="I2261" s="41" t="inlineStr">
        <is>
          <t>2023ACT_VDEF</t>
        </is>
      </c>
      <c r="J2261" s="41" t="n">
        <v>2023</v>
      </c>
      <c r="K2261" s="41" t="inlineStr">
        <is>
          <t>EUR</t>
        </is>
      </c>
      <c r="L2261" s="42" t="n">
        <v>25455</v>
      </c>
    </row>
    <row r="2262">
      <c r="B2262" s="39" t="inlineStr">
        <is>
          <t>PIGIER_LYO</t>
        </is>
      </c>
      <c r="C2262" s="40" t="inlineStr">
        <is>
          <t>BTS_GES</t>
        </is>
      </c>
      <c r="D2262" s="40" t="inlineStr">
        <is>
          <t>BTS1</t>
        </is>
      </c>
      <c r="E2262" s="40" t="inlineStr">
        <is>
          <t>ALT</t>
        </is>
      </c>
      <c r="F2262" s="40" t="inlineStr">
        <is>
          <t>622600</t>
        </is>
      </c>
      <c r="G2262" s="39" t="inlineStr">
        <is>
          <t>Honoraires &amp; frais de siège (structure groupe)</t>
        </is>
      </c>
      <c r="H2262" s="40" t="inlineStr">
        <is>
          <t>COMPTABLE</t>
        </is>
      </c>
      <c r="I2262" s="41" t="inlineStr">
        <is>
          <t>2024ACT_VDEF</t>
        </is>
      </c>
      <c r="J2262" s="41" t="n">
        <v>2024</v>
      </c>
      <c r="K2262" s="41" t="inlineStr">
        <is>
          <t>EUR</t>
        </is>
      </c>
      <c r="L2262" s="42" t="n">
        <v>26869</v>
      </c>
    </row>
    <row r="2263">
      <c r="B2263" s="39" t="inlineStr">
        <is>
          <t>PIGIER_LYO</t>
        </is>
      </c>
      <c r="C2263" s="40" t="inlineStr">
        <is>
          <t>BTS_GES</t>
        </is>
      </c>
      <c r="D2263" s="40" t="inlineStr">
        <is>
          <t>BTS1</t>
        </is>
      </c>
      <c r="E2263" s="40" t="inlineStr">
        <is>
          <t>ALT</t>
        </is>
      </c>
      <c r="F2263" s="40" t="inlineStr">
        <is>
          <t>622600</t>
        </is>
      </c>
      <c r="G2263" s="39" t="inlineStr">
        <is>
          <t>Honoraires &amp; frais de siège (structure groupe)</t>
        </is>
      </c>
      <c r="H2263" s="40" t="inlineStr">
        <is>
          <t>COMPTABLE</t>
        </is>
      </c>
      <c r="I2263" s="41" t="inlineStr">
        <is>
          <t>2025FCST_V4</t>
        </is>
      </c>
      <c r="J2263" s="41" t="n">
        <v>2025</v>
      </c>
      <c r="K2263" s="41" t="inlineStr">
        <is>
          <t>EUR</t>
        </is>
      </c>
      <c r="L2263" s="42" t="n">
        <v>28283</v>
      </c>
    </row>
    <row r="2264">
      <c r="B2264" s="39" t="inlineStr">
        <is>
          <t>PIGIER_LYO</t>
        </is>
      </c>
      <c r="C2264" s="40" t="inlineStr">
        <is>
          <t>BTS_GES</t>
        </is>
      </c>
      <c r="D2264" s="40" t="inlineStr">
        <is>
          <t>BTS1</t>
        </is>
      </c>
      <c r="E2264" s="40" t="inlineStr">
        <is>
          <t>ALT</t>
        </is>
      </c>
      <c r="F2264" s="40" t="inlineStr">
        <is>
          <t>606800</t>
        </is>
      </c>
      <c r="G2264" s="39" t="inlineStr">
        <is>
          <t>Autres achats &amp; charges externes</t>
        </is>
      </c>
      <c r="H2264" s="40" t="inlineStr">
        <is>
          <t>COMPTABLE</t>
        </is>
      </c>
      <c r="I2264" s="41" t="inlineStr">
        <is>
          <t>2023ACT_VDEF</t>
        </is>
      </c>
      <c r="J2264" s="41" t="n">
        <v>2023</v>
      </c>
      <c r="K2264" s="41" t="inlineStr">
        <is>
          <t>EUR</t>
        </is>
      </c>
      <c r="L2264" s="42" t="n">
        <v>31102</v>
      </c>
    </row>
    <row r="2265">
      <c r="B2265" s="39" t="inlineStr">
        <is>
          <t>PIGIER_LYO</t>
        </is>
      </c>
      <c r="C2265" s="40" t="inlineStr">
        <is>
          <t>BTS_GES</t>
        </is>
      </c>
      <c r="D2265" s="40" t="inlineStr">
        <is>
          <t>BTS1</t>
        </is>
      </c>
      <c r="E2265" s="40" t="inlineStr">
        <is>
          <t>ALT</t>
        </is>
      </c>
      <c r="F2265" s="40" t="inlineStr">
        <is>
          <t>606800</t>
        </is>
      </c>
      <c r="G2265" s="39" t="inlineStr">
        <is>
          <t>Autres achats &amp; charges externes</t>
        </is>
      </c>
      <c r="H2265" s="40" t="inlineStr">
        <is>
          <t>COMPTABLE</t>
        </is>
      </c>
      <c r="I2265" s="41" t="inlineStr">
        <is>
          <t>2024ACT_VDEF</t>
        </is>
      </c>
      <c r="J2265" s="41" t="n">
        <v>2024</v>
      </c>
      <c r="K2265" s="41" t="inlineStr">
        <is>
          <t>EUR</t>
        </is>
      </c>
      <c r="L2265" s="42" t="n">
        <v>32830</v>
      </c>
    </row>
    <row r="2266">
      <c r="B2266" s="39" t="inlineStr">
        <is>
          <t>PIGIER_LYO</t>
        </is>
      </c>
      <c r="C2266" s="40" t="inlineStr">
        <is>
          <t>BTS_GES</t>
        </is>
      </c>
      <c r="D2266" s="40" t="inlineStr">
        <is>
          <t>BTS1</t>
        </is>
      </c>
      <c r="E2266" s="40" t="inlineStr">
        <is>
          <t>ALT</t>
        </is>
      </c>
      <c r="F2266" s="40" t="inlineStr">
        <is>
          <t>606800</t>
        </is>
      </c>
      <c r="G2266" s="39" t="inlineStr">
        <is>
          <t>Autres achats &amp; charges externes</t>
        </is>
      </c>
      <c r="H2266" s="40" t="inlineStr">
        <is>
          <t>COMPTABLE</t>
        </is>
      </c>
      <c r="I2266" s="41" t="inlineStr">
        <is>
          <t>2025FCST_V4</t>
        </is>
      </c>
      <c r="J2266" s="41" t="n">
        <v>2025</v>
      </c>
      <c r="K2266" s="41" t="inlineStr">
        <is>
          <t>EUR</t>
        </is>
      </c>
      <c r="L2266" s="42" t="n">
        <v>34558</v>
      </c>
    </row>
    <row r="2267">
      <c r="B2267" s="39" t="inlineStr">
        <is>
          <t>PIGIER_LYO</t>
        </is>
      </c>
      <c r="C2267" s="40" t="inlineStr">
        <is>
          <t>BTS_GES</t>
        </is>
      </c>
      <c r="D2267" s="40" t="inlineStr">
        <is>
          <t>BTS1</t>
        </is>
      </c>
      <c r="E2267" s="40" t="inlineStr">
        <is>
          <t>ALT</t>
        </is>
      </c>
      <c r="F2267" s="40" t="inlineStr">
        <is>
          <t>681100</t>
        </is>
      </c>
      <c r="G2267" s="39" t="inlineStr">
        <is>
          <t>Dotations aux amortissements</t>
        </is>
      </c>
      <c r="H2267" s="40" t="inlineStr">
        <is>
          <t>COMPTABLE</t>
        </is>
      </c>
      <c r="I2267" s="41" t="inlineStr">
        <is>
          <t>2023ACT_VDEF</t>
        </is>
      </c>
      <c r="J2267" s="41" t="n">
        <v>2023</v>
      </c>
      <c r="K2267" s="41" t="inlineStr">
        <is>
          <t>EUR</t>
        </is>
      </c>
      <c r="L2267" s="42" t="n">
        <v>15300</v>
      </c>
    </row>
    <row r="2268">
      <c r="B2268" s="39" t="inlineStr">
        <is>
          <t>PIGIER_LYO</t>
        </is>
      </c>
      <c r="C2268" s="40" t="inlineStr">
        <is>
          <t>BTS_GES</t>
        </is>
      </c>
      <c r="D2268" s="40" t="inlineStr">
        <is>
          <t>BTS1</t>
        </is>
      </c>
      <c r="E2268" s="40" t="inlineStr">
        <is>
          <t>ALT</t>
        </is>
      </c>
      <c r="F2268" s="40" t="inlineStr">
        <is>
          <t>681100</t>
        </is>
      </c>
      <c r="G2268" s="39" t="inlineStr">
        <is>
          <t>Dotations aux amortissements</t>
        </is>
      </c>
      <c r="H2268" s="40" t="inlineStr">
        <is>
          <t>COMPTABLE</t>
        </is>
      </c>
      <c r="I2268" s="41" t="inlineStr">
        <is>
          <t>2024ACT_VDEF</t>
        </is>
      </c>
      <c r="J2268" s="41" t="n">
        <v>2024</v>
      </c>
      <c r="K2268" s="41" t="inlineStr">
        <is>
          <t>EUR</t>
        </is>
      </c>
      <c r="L2268" s="42" t="n">
        <v>16150</v>
      </c>
    </row>
    <row r="2269">
      <c r="B2269" s="39" t="inlineStr">
        <is>
          <t>PIGIER_LYO</t>
        </is>
      </c>
      <c r="C2269" s="40" t="inlineStr">
        <is>
          <t>BTS_GES</t>
        </is>
      </c>
      <c r="D2269" s="40" t="inlineStr">
        <is>
          <t>BTS1</t>
        </is>
      </c>
      <c r="E2269" s="40" t="inlineStr">
        <is>
          <t>ALT</t>
        </is>
      </c>
      <c r="F2269" s="40" t="inlineStr">
        <is>
          <t>681100</t>
        </is>
      </c>
      <c r="G2269" s="39" t="inlineStr">
        <is>
          <t>Dotations aux amortissements</t>
        </is>
      </c>
      <c r="H2269" s="40" t="inlineStr">
        <is>
          <t>COMPTABLE</t>
        </is>
      </c>
      <c r="I2269" s="41" t="inlineStr">
        <is>
          <t>2025FCST_V4</t>
        </is>
      </c>
      <c r="J2269" s="41" t="n">
        <v>2025</v>
      </c>
      <c r="K2269" s="41" t="inlineStr">
        <is>
          <t>EUR</t>
        </is>
      </c>
      <c r="L2269" s="42" t="n">
        <v>17000</v>
      </c>
    </row>
    <row r="2270">
      <c r="B2270" s="39" t="inlineStr">
        <is>
          <t>PIGIER_LYO</t>
        </is>
      </c>
      <c r="C2270" s="40" t="inlineStr">
        <is>
          <t>BTS_GES</t>
        </is>
      </c>
      <c r="D2270" s="40" t="inlineStr">
        <is>
          <t>BTS1</t>
        </is>
      </c>
      <c r="E2270" s="40" t="inlineStr">
        <is>
          <t>ALT</t>
        </is>
      </c>
      <c r="F2270" s="40" t="inlineStr">
        <is>
          <t>STA_EFF</t>
        </is>
      </c>
      <c r="G2270" s="39" t="inlineStr">
        <is>
          <t>Effectif inscrit</t>
        </is>
      </c>
      <c r="H2270" s="40" t="inlineStr">
        <is>
          <t>TECHNIQUE</t>
        </is>
      </c>
      <c r="I2270" s="41" t="inlineStr">
        <is>
          <t>2023ACT_VDEF</t>
        </is>
      </c>
      <c r="J2270" s="41" t="n">
        <v>2023</v>
      </c>
      <c r="K2270" s="41" t="inlineStr">
        <is>
          <t>NB</t>
        </is>
      </c>
      <c r="L2270" s="43" t="n">
        <v>33</v>
      </c>
    </row>
    <row r="2271">
      <c r="B2271" s="39" t="inlineStr">
        <is>
          <t>PIGIER_LYO</t>
        </is>
      </c>
      <c r="C2271" s="40" t="inlineStr">
        <is>
          <t>BTS_GES</t>
        </is>
      </c>
      <c r="D2271" s="40" t="inlineStr">
        <is>
          <t>BTS1</t>
        </is>
      </c>
      <c r="E2271" s="40" t="inlineStr">
        <is>
          <t>ALT</t>
        </is>
      </c>
      <c r="F2271" s="40" t="inlineStr">
        <is>
          <t>STA_EFF</t>
        </is>
      </c>
      <c r="G2271" s="39" t="inlineStr">
        <is>
          <t>Effectif inscrit</t>
        </is>
      </c>
      <c r="H2271" s="40" t="inlineStr">
        <is>
          <t>TECHNIQUE</t>
        </is>
      </c>
      <c r="I2271" s="41" t="inlineStr">
        <is>
          <t>2024ACT_VDEF</t>
        </is>
      </c>
      <c r="J2271" s="41" t="n">
        <v>2024</v>
      </c>
      <c r="K2271" s="41" t="inlineStr">
        <is>
          <t>NB</t>
        </is>
      </c>
      <c r="L2271" s="43" t="n">
        <v>35</v>
      </c>
    </row>
    <row r="2272">
      <c r="B2272" s="39" t="inlineStr">
        <is>
          <t>PIGIER_LYO</t>
        </is>
      </c>
      <c r="C2272" s="40" t="inlineStr">
        <is>
          <t>BTS_GES</t>
        </is>
      </c>
      <c r="D2272" s="40" t="inlineStr">
        <is>
          <t>BTS1</t>
        </is>
      </c>
      <c r="E2272" s="40" t="inlineStr">
        <is>
          <t>ALT</t>
        </is>
      </c>
      <c r="F2272" s="40" t="inlineStr">
        <is>
          <t>STA_EFF</t>
        </is>
      </c>
      <c r="G2272" s="39" t="inlineStr">
        <is>
          <t>Effectif inscrit</t>
        </is>
      </c>
      <c r="H2272" s="40" t="inlineStr">
        <is>
          <t>TECHNIQUE</t>
        </is>
      </c>
      <c r="I2272" s="41" t="inlineStr">
        <is>
          <t>2025FCST_V4</t>
        </is>
      </c>
      <c r="J2272" s="41" t="n">
        <v>2025</v>
      </c>
      <c r="K2272" s="41" t="inlineStr">
        <is>
          <t>NB</t>
        </is>
      </c>
      <c r="L2272" s="43" t="n">
        <v>37</v>
      </c>
    </row>
    <row r="2273">
      <c r="B2273" s="39" t="inlineStr">
        <is>
          <t>PIGIER_LYO</t>
        </is>
      </c>
      <c r="C2273" s="40" t="inlineStr">
        <is>
          <t>BTS_GES</t>
        </is>
      </c>
      <c r="D2273" s="40" t="inlineStr">
        <is>
          <t>BTS1</t>
        </is>
      </c>
      <c r="E2273" s="40" t="inlineStr">
        <is>
          <t>ALT</t>
        </is>
      </c>
      <c r="F2273" s="40" t="inlineStr">
        <is>
          <t>STA_CAND</t>
        </is>
      </c>
      <c r="G2273" s="39" t="inlineStr">
        <is>
          <t>Candidatures reçues</t>
        </is>
      </c>
      <c r="H2273" s="40" t="inlineStr">
        <is>
          <t>TECHNIQUE</t>
        </is>
      </c>
      <c r="I2273" s="41" t="inlineStr">
        <is>
          <t>2023ACT_VDEF</t>
        </is>
      </c>
      <c r="J2273" s="41" t="n">
        <v>2023</v>
      </c>
      <c r="K2273" s="41" t="inlineStr">
        <is>
          <t>NB</t>
        </is>
      </c>
      <c r="L2273" s="43" t="n">
        <v>89</v>
      </c>
    </row>
    <row r="2274">
      <c r="B2274" s="39" t="inlineStr">
        <is>
          <t>PIGIER_LYO</t>
        </is>
      </c>
      <c r="C2274" s="40" t="inlineStr">
        <is>
          <t>BTS_GES</t>
        </is>
      </c>
      <c r="D2274" s="40" t="inlineStr">
        <is>
          <t>BTS1</t>
        </is>
      </c>
      <c r="E2274" s="40" t="inlineStr">
        <is>
          <t>ALT</t>
        </is>
      </c>
      <c r="F2274" s="40" t="inlineStr">
        <is>
          <t>STA_CAND</t>
        </is>
      </c>
      <c r="G2274" s="39" t="inlineStr">
        <is>
          <t>Candidatures reçues</t>
        </is>
      </c>
      <c r="H2274" s="40" t="inlineStr">
        <is>
          <t>TECHNIQUE</t>
        </is>
      </c>
      <c r="I2274" s="41" t="inlineStr">
        <is>
          <t>2024ACT_VDEF</t>
        </is>
      </c>
      <c r="J2274" s="41" t="n">
        <v>2024</v>
      </c>
      <c r="K2274" s="41" t="inlineStr">
        <is>
          <t>NB</t>
        </is>
      </c>
      <c r="L2274" s="43" t="n">
        <v>94</v>
      </c>
    </row>
    <row r="2275">
      <c r="B2275" s="39" t="inlineStr">
        <is>
          <t>PIGIER_LYO</t>
        </is>
      </c>
      <c r="C2275" s="40" t="inlineStr">
        <is>
          <t>BTS_GES</t>
        </is>
      </c>
      <c r="D2275" s="40" t="inlineStr">
        <is>
          <t>BTS1</t>
        </is>
      </c>
      <c r="E2275" s="40" t="inlineStr">
        <is>
          <t>ALT</t>
        </is>
      </c>
      <c r="F2275" s="40" t="inlineStr">
        <is>
          <t>STA_CAND</t>
        </is>
      </c>
      <c r="G2275" s="39" t="inlineStr">
        <is>
          <t>Candidatures reçues</t>
        </is>
      </c>
      <c r="H2275" s="40" t="inlineStr">
        <is>
          <t>TECHNIQUE</t>
        </is>
      </c>
      <c r="I2275" s="41" t="inlineStr">
        <is>
          <t>2025FCST_V4</t>
        </is>
      </c>
      <c r="J2275" s="41" t="n">
        <v>2025</v>
      </c>
      <c r="K2275" s="41" t="inlineStr">
        <is>
          <t>NB</t>
        </is>
      </c>
      <c r="L2275" s="43" t="n">
        <v>99</v>
      </c>
    </row>
    <row r="2276">
      <c r="B2276" s="39" t="inlineStr">
        <is>
          <t>PIGIER_LYO</t>
        </is>
      </c>
      <c r="C2276" s="40" t="inlineStr">
        <is>
          <t>BTS_GES</t>
        </is>
      </c>
      <c r="D2276" s="40" t="inlineStr">
        <is>
          <t>BTS1</t>
        </is>
      </c>
      <c r="E2276" s="40" t="inlineStr">
        <is>
          <t>ALT</t>
        </is>
      </c>
      <c r="F2276" s="40" t="inlineStr">
        <is>
          <t>STA_ADMIS</t>
        </is>
      </c>
      <c r="G2276" s="39" t="inlineStr">
        <is>
          <t>Candidats admis</t>
        </is>
      </c>
      <c r="H2276" s="40" t="inlineStr">
        <is>
          <t>TECHNIQUE</t>
        </is>
      </c>
      <c r="I2276" s="41" t="inlineStr">
        <is>
          <t>2023ACT_VDEF</t>
        </is>
      </c>
      <c r="J2276" s="41" t="n">
        <v>2023</v>
      </c>
      <c r="K2276" s="41" t="inlineStr">
        <is>
          <t>NB</t>
        </is>
      </c>
      <c r="L2276" s="43" t="n">
        <v>55</v>
      </c>
    </row>
    <row r="2277">
      <c r="B2277" s="39" t="inlineStr">
        <is>
          <t>PIGIER_LYO</t>
        </is>
      </c>
      <c r="C2277" s="40" t="inlineStr">
        <is>
          <t>BTS_GES</t>
        </is>
      </c>
      <c r="D2277" s="40" t="inlineStr">
        <is>
          <t>BTS1</t>
        </is>
      </c>
      <c r="E2277" s="40" t="inlineStr">
        <is>
          <t>ALT</t>
        </is>
      </c>
      <c r="F2277" s="40" t="inlineStr">
        <is>
          <t>STA_ADMIS</t>
        </is>
      </c>
      <c r="G2277" s="39" t="inlineStr">
        <is>
          <t>Candidats admis</t>
        </is>
      </c>
      <c r="H2277" s="40" t="inlineStr">
        <is>
          <t>TECHNIQUE</t>
        </is>
      </c>
      <c r="I2277" s="41" t="inlineStr">
        <is>
          <t>2024ACT_VDEF</t>
        </is>
      </c>
      <c r="J2277" s="41" t="n">
        <v>2024</v>
      </c>
      <c r="K2277" s="41" t="inlineStr">
        <is>
          <t>NB</t>
        </is>
      </c>
      <c r="L2277" s="43" t="n">
        <v>58</v>
      </c>
    </row>
    <row r="2278">
      <c r="B2278" s="39" t="inlineStr">
        <is>
          <t>PIGIER_LYO</t>
        </is>
      </c>
      <c r="C2278" s="40" t="inlineStr">
        <is>
          <t>BTS_GES</t>
        </is>
      </c>
      <c r="D2278" s="40" t="inlineStr">
        <is>
          <t>BTS1</t>
        </is>
      </c>
      <c r="E2278" s="40" t="inlineStr">
        <is>
          <t>ALT</t>
        </is>
      </c>
      <c r="F2278" s="40" t="inlineStr">
        <is>
          <t>STA_ADMIS</t>
        </is>
      </c>
      <c r="G2278" s="39" t="inlineStr">
        <is>
          <t>Candidats admis</t>
        </is>
      </c>
      <c r="H2278" s="40" t="inlineStr">
        <is>
          <t>TECHNIQUE</t>
        </is>
      </c>
      <c r="I2278" s="41" t="inlineStr">
        <is>
          <t>2025FCST_V4</t>
        </is>
      </c>
      <c r="J2278" s="41" t="n">
        <v>2025</v>
      </c>
      <c r="K2278" s="41" t="inlineStr">
        <is>
          <t>NB</t>
        </is>
      </c>
      <c r="L2278" s="43" t="n">
        <v>61</v>
      </c>
    </row>
    <row r="2279">
      <c r="B2279" s="39" t="inlineStr">
        <is>
          <t>PIGIER_LYO</t>
        </is>
      </c>
      <c r="C2279" s="40" t="inlineStr">
        <is>
          <t>BTS_GES</t>
        </is>
      </c>
      <c r="D2279" s="40" t="inlineStr">
        <is>
          <t>BTS1</t>
        </is>
      </c>
      <c r="E2279" s="40" t="inlineStr">
        <is>
          <t>ALT</t>
        </is>
      </c>
      <c r="F2279" s="40" t="inlineStr">
        <is>
          <t>STA_NOUV</t>
        </is>
      </c>
      <c r="G2279" s="39" t="inlineStr">
        <is>
          <t>Nouveaux inscrits</t>
        </is>
      </c>
      <c r="H2279" s="40" t="inlineStr">
        <is>
          <t>TECHNIQUE</t>
        </is>
      </c>
      <c r="I2279" s="41" t="inlineStr">
        <is>
          <t>2023ACT_VDEF</t>
        </is>
      </c>
      <c r="J2279" s="41" t="n">
        <v>2023</v>
      </c>
      <c r="K2279" s="41" t="inlineStr">
        <is>
          <t>NB</t>
        </is>
      </c>
      <c r="L2279" s="43" t="n">
        <v>33</v>
      </c>
    </row>
    <row r="2280">
      <c r="B2280" s="39" t="inlineStr">
        <is>
          <t>PIGIER_LYO</t>
        </is>
      </c>
      <c r="C2280" s="40" t="inlineStr">
        <is>
          <t>BTS_GES</t>
        </is>
      </c>
      <c r="D2280" s="40" t="inlineStr">
        <is>
          <t>BTS1</t>
        </is>
      </c>
      <c r="E2280" s="40" t="inlineStr">
        <is>
          <t>ALT</t>
        </is>
      </c>
      <c r="F2280" s="40" t="inlineStr">
        <is>
          <t>STA_NOUV</t>
        </is>
      </c>
      <c r="G2280" s="39" t="inlineStr">
        <is>
          <t>Nouveaux inscrits</t>
        </is>
      </c>
      <c r="H2280" s="40" t="inlineStr">
        <is>
          <t>TECHNIQUE</t>
        </is>
      </c>
      <c r="I2280" s="41" t="inlineStr">
        <is>
          <t>2024ACT_VDEF</t>
        </is>
      </c>
      <c r="J2280" s="41" t="n">
        <v>2024</v>
      </c>
      <c r="K2280" s="41" t="inlineStr">
        <is>
          <t>NB</t>
        </is>
      </c>
      <c r="L2280" s="43" t="n">
        <v>35</v>
      </c>
    </row>
    <row r="2281">
      <c r="B2281" s="39" t="inlineStr">
        <is>
          <t>PIGIER_LYO</t>
        </is>
      </c>
      <c r="C2281" s="40" t="inlineStr">
        <is>
          <t>BTS_GES</t>
        </is>
      </c>
      <c r="D2281" s="40" t="inlineStr">
        <is>
          <t>BTS1</t>
        </is>
      </c>
      <c r="E2281" s="40" t="inlineStr">
        <is>
          <t>ALT</t>
        </is>
      </c>
      <c r="F2281" s="40" t="inlineStr">
        <is>
          <t>STA_NOUV</t>
        </is>
      </c>
      <c r="G2281" s="39" t="inlineStr">
        <is>
          <t>Nouveaux inscrits</t>
        </is>
      </c>
      <c r="H2281" s="40" t="inlineStr">
        <is>
          <t>TECHNIQUE</t>
        </is>
      </c>
      <c r="I2281" s="41" t="inlineStr">
        <is>
          <t>2025FCST_V4</t>
        </is>
      </c>
      <c r="J2281" s="41" t="n">
        <v>2025</v>
      </c>
      <c r="K2281" s="41" t="inlineStr">
        <is>
          <t>NB</t>
        </is>
      </c>
      <c r="L2281" s="43" t="n">
        <v>37</v>
      </c>
    </row>
    <row r="2282">
      <c r="B2282" s="39" t="inlineStr">
        <is>
          <t>PIGIER_LYO</t>
        </is>
      </c>
      <c r="C2282" s="40" t="inlineStr">
        <is>
          <t>BTS_GES</t>
        </is>
      </c>
      <c r="D2282" s="40" t="inlineStr">
        <is>
          <t>BTS1</t>
        </is>
      </c>
      <c r="E2282" s="40" t="inlineStr">
        <is>
          <t>ALT</t>
        </is>
      </c>
      <c r="F2282" s="40" t="inlineStr">
        <is>
          <t>STA_CLASS</t>
        </is>
      </c>
      <c r="G2282" s="39" t="inlineStr">
        <is>
          <t>Nombre de classes</t>
        </is>
      </c>
      <c r="H2282" s="40" t="inlineStr">
        <is>
          <t>TECHNIQUE</t>
        </is>
      </c>
      <c r="I2282" s="41" t="inlineStr">
        <is>
          <t>2023ACT_VDEF</t>
        </is>
      </c>
      <c r="J2282" s="41" t="n">
        <v>2023</v>
      </c>
      <c r="K2282" s="41" t="inlineStr">
        <is>
          <t>NB</t>
        </is>
      </c>
      <c r="L2282" s="43" t="n">
        <v>2</v>
      </c>
    </row>
    <row r="2283">
      <c r="B2283" s="39" t="inlineStr">
        <is>
          <t>PIGIER_LYO</t>
        </is>
      </c>
      <c r="C2283" s="40" t="inlineStr">
        <is>
          <t>BTS_GES</t>
        </is>
      </c>
      <c r="D2283" s="40" t="inlineStr">
        <is>
          <t>BTS1</t>
        </is>
      </c>
      <c r="E2283" s="40" t="inlineStr">
        <is>
          <t>ALT</t>
        </is>
      </c>
      <c r="F2283" s="40" t="inlineStr">
        <is>
          <t>STA_CLASS</t>
        </is>
      </c>
      <c r="G2283" s="39" t="inlineStr">
        <is>
          <t>Nombre de classes</t>
        </is>
      </c>
      <c r="H2283" s="40" t="inlineStr">
        <is>
          <t>TECHNIQUE</t>
        </is>
      </c>
      <c r="I2283" s="41" t="inlineStr">
        <is>
          <t>2024ACT_VDEF</t>
        </is>
      </c>
      <c r="J2283" s="41" t="n">
        <v>2024</v>
      </c>
      <c r="K2283" s="41" t="inlineStr">
        <is>
          <t>NB</t>
        </is>
      </c>
      <c r="L2283" s="43" t="n">
        <v>2</v>
      </c>
    </row>
    <row r="2284">
      <c r="B2284" s="39" t="inlineStr">
        <is>
          <t>PIGIER_LYO</t>
        </is>
      </c>
      <c r="C2284" s="40" t="inlineStr">
        <is>
          <t>BTS_GES</t>
        </is>
      </c>
      <c r="D2284" s="40" t="inlineStr">
        <is>
          <t>BTS1</t>
        </is>
      </c>
      <c r="E2284" s="40" t="inlineStr">
        <is>
          <t>ALT</t>
        </is>
      </c>
      <c r="F2284" s="40" t="inlineStr">
        <is>
          <t>STA_CLASS</t>
        </is>
      </c>
      <c r="G2284" s="39" t="inlineStr">
        <is>
          <t>Nombre de classes</t>
        </is>
      </c>
      <c r="H2284" s="40" t="inlineStr">
        <is>
          <t>TECHNIQUE</t>
        </is>
      </c>
      <c r="I2284" s="41" t="inlineStr">
        <is>
          <t>2025FCST_V4</t>
        </is>
      </c>
      <c r="J2284" s="41" t="n">
        <v>2025</v>
      </c>
      <c r="K2284" s="41" t="inlineStr">
        <is>
          <t>NB</t>
        </is>
      </c>
      <c r="L2284" s="43" t="n">
        <v>2</v>
      </c>
    </row>
    <row r="2285">
      <c r="B2285" s="39" t="inlineStr">
        <is>
          <t>PIGIER_LYO</t>
        </is>
      </c>
      <c r="C2285" s="40" t="inlineStr">
        <is>
          <t>BTS_GES</t>
        </is>
      </c>
      <c r="D2285" s="40" t="inlineStr">
        <is>
          <t>BTS1</t>
        </is>
      </c>
      <c r="E2285" s="40" t="inlineStr">
        <is>
          <t>ALT</t>
        </is>
      </c>
      <c r="F2285" s="40" t="inlineStr">
        <is>
          <t>STA_HEURE</t>
        </is>
      </c>
      <c r="G2285" s="39" t="inlineStr">
        <is>
          <t>Heures d'enseignement</t>
        </is>
      </c>
      <c r="H2285" s="40" t="inlineStr">
        <is>
          <t>TECHNIQUE</t>
        </is>
      </c>
      <c r="I2285" s="41" t="inlineStr">
        <is>
          <t>2023ACT_VDEF</t>
        </is>
      </c>
      <c r="J2285" s="41" t="n">
        <v>2023</v>
      </c>
      <c r="K2285" s="41" t="inlineStr">
        <is>
          <t>NB</t>
        </is>
      </c>
      <c r="L2285" s="43" t="n">
        <v>1296</v>
      </c>
    </row>
    <row r="2286">
      <c r="B2286" s="39" t="inlineStr">
        <is>
          <t>PIGIER_LYO</t>
        </is>
      </c>
      <c r="C2286" s="40" t="inlineStr">
        <is>
          <t>BTS_GES</t>
        </is>
      </c>
      <c r="D2286" s="40" t="inlineStr">
        <is>
          <t>BTS1</t>
        </is>
      </c>
      <c r="E2286" s="40" t="inlineStr">
        <is>
          <t>ALT</t>
        </is>
      </c>
      <c r="F2286" s="40" t="inlineStr">
        <is>
          <t>STA_HEURE</t>
        </is>
      </c>
      <c r="G2286" s="39" t="inlineStr">
        <is>
          <t>Heures d'enseignement</t>
        </is>
      </c>
      <c r="H2286" s="40" t="inlineStr">
        <is>
          <t>TECHNIQUE</t>
        </is>
      </c>
      <c r="I2286" s="41" t="inlineStr">
        <is>
          <t>2024ACT_VDEF</t>
        </is>
      </c>
      <c r="J2286" s="41" t="n">
        <v>2024</v>
      </c>
      <c r="K2286" s="41" t="inlineStr">
        <is>
          <t>NB</t>
        </is>
      </c>
      <c r="L2286" s="43" t="n">
        <v>1368</v>
      </c>
    </row>
    <row r="2287">
      <c r="B2287" s="39" t="inlineStr">
        <is>
          <t>PIGIER_LYO</t>
        </is>
      </c>
      <c r="C2287" s="40" t="inlineStr">
        <is>
          <t>BTS_GES</t>
        </is>
      </c>
      <c r="D2287" s="40" t="inlineStr">
        <is>
          <t>BTS1</t>
        </is>
      </c>
      <c r="E2287" s="40" t="inlineStr">
        <is>
          <t>ALT</t>
        </is>
      </c>
      <c r="F2287" s="40" t="inlineStr">
        <is>
          <t>STA_HEURE</t>
        </is>
      </c>
      <c r="G2287" s="39" t="inlineStr">
        <is>
          <t>Heures d'enseignement</t>
        </is>
      </c>
      <c r="H2287" s="40" t="inlineStr">
        <is>
          <t>TECHNIQUE</t>
        </is>
      </c>
      <c r="I2287" s="41" t="inlineStr">
        <is>
          <t>2025FCST_V4</t>
        </is>
      </c>
      <c r="J2287" s="41" t="n">
        <v>2025</v>
      </c>
      <c r="K2287" s="41" t="inlineStr">
        <is>
          <t>NB</t>
        </is>
      </c>
      <c r="L2287" s="43" t="n">
        <v>1440</v>
      </c>
    </row>
    <row r="2288">
      <c r="B2288" s="39" t="inlineStr">
        <is>
          <t>PIGIER_LYO</t>
        </is>
      </c>
      <c r="C2288" s="40" t="inlineStr">
        <is>
          <t>BTS_GES</t>
        </is>
      </c>
      <c r="D2288" s="40" t="inlineStr">
        <is>
          <t>BTS1</t>
        </is>
      </c>
      <c r="E2288" s="40" t="inlineStr">
        <is>
          <t>ALT</t>
        </is>
      </c>
      <c r="F2288" s="40" t="inlineStr">
        <is>
          <t>STA_CAPA</t>
        </is>
      </c>
      <c r="G2288" s="39" t="inlineStr">
        <is>
          <t>Capacité par classe</t>
        </is>
      </c>
      <c r="H2288" s="40" t="inlineStr">
        <is>
          <t>TECHNIQUE</t>
        </is>
      </c>
      <c r="I2288" s="41" t="inlineStr">
        <is>
          <t>2023ACT_VDEF</t>
        </is>
      </c>
      <c r="J2288" s="41" t="n">
        <v>2023</v>
      </c>
      <c r="K2288" s="41" t="inlineStr">
        <is>
          <t>NB</t>
        </is>
      </c>
      <c r="L2288" s="43" t="n">
        <v>30</v>
      </c>
    </row>
    <row r="2289">
      <c r="B2289" s="39" t="inlineStr">
        <is>
          <t>PIGIER_LYO</t>
        </is>
      </c>
      <c r="C2289" s="40" t="inlineStr">
        <is>
          <t>BTS_GES</t>
        </is>
      </c>
      <c r="D2289" s="40" t="inlineStr">
        <is>
          <t>BTS1</t>
        </is>
      </c>
      <c r="E2289" s="40" t="inlineStr">
        <is>
          <t>ALT</t>
        </is>
      </c>
      <c r="F2289" s="40" t="inlineStr">
        <is>
          <t>STA_CAPA</t>
        </is>
      </c>
      <c r="G2289" s="39" t="inlineStr">
        <is>
          <t>Capacité par classe</t>
        </is>
      </c>
      <c r="H2289" s="40" t="inlineStr">
        <is>
          <t>TECHNIQUE</t>
        </is>
      </c>
      <c r="I2289" s="41" t="inlineStr">
        <is>
          <t>2024ACT_VDEF</t>
        </is>
      </c>
      <c r="J2289" s="41" t="n">
        <v>2024</v>
      </c>
      <c r="K2289" s="41" t="inlineStr">
        <is>
          <t>NB</t>
        </is>
      </c>
      <c r="L2289" s="43" t="n">
        <v>30</v>
      </c>
    </row>
    <row r="2290">
      <c r="B2290" s="39" t="inlineStr">
        <is>
          <t>PIGIER_LYO</t>
        </is>
      </c>
      <c r="C2290" s="40" t="inlineStr">
        <is>
          <t>BTS_GES</t>
        </is>
      </c>
      <c r="D2290" s="40" t="inlineStr">
        <is>
          <t>BTS1</t>
        </is>
      </c>
      <c r="E2290" s="40" t="inlineStr">
        <is>
          <t>ALT</t>
        </is>
      </c>
      <c r="F2290" s="40" t="inlineStr">
        <is>
          <t>STA_CAPA</t>
        </is>
      </c>
      <c r="G2290" s="39" t="inlineStr">
        <is>
          <t>Capacité par classe</t>
        </is>
      </c>
      <c r="H2290" s="40" t="inlineStr">
        <is>
          <t>TECHNIQUE</t>
        </is>
      </c>
      <c r="I2290" s="41" t="inlineStr">
        <is>
          <t>2025FCST_V4</t>
        </is>
      </c>
      <c r="J2290" s="41" t="n">
        <v>2025</v>
      </c>
      <c r="K2290" s="41" t="inlineStr">
        <is>
          <t>NB</t>
        </is>
      </c>
      <c r="L2290" s="43" t="n">
        <v>30</v>
      </c>
    </row>
    <row r="2291">
      <c r="B2291" s="39" t="inlineStr">
        <is>
          <t>PIGIER_LYO</t>
        </is>
      </c>
      <c r="C2291" s="40" t="inlineStr">
        <is>
          <t>BTS_GES</t>
        </is>
      </c>
      <c r="D2291" s="40" t="inlineStr">
        <is>
          <t>BTS1</t>
        </is>
      </c>
      <c r="E2291" s="40" t="inlineStr">
        <is>
          <t>ALT</t>
        </is>
      </c>
      <c r="F2291" s="40" t="inlineStr">
        <is>
          <t>DRV_CONV</t>
        </is>
      </c>
      <c r="G2291" s="39" t="inlineStr">
        <is>
          <t>Taux de conversion candidat→inscrit</t>
        </is>
      </c>
      <c r="H2291" s="40" t="inlineStr">
        <is>
          <t>TECHNIQUE</t>
        </is>
      </c>
      <c r="I2291" s="41" t="inlineStr">
        <is>
          <t>2023ACT_VDEF</t>
        </is>
      </c>
      <c r="J2291" s="41" t="n">
        <v>2023</v>
      </c>
      <c r="K2291" s="41" t="inlineStr">
        <is>
          <t>PCT</t>
        </is>
      </c>
      <c r="L2291" s="44" t="n">
        <v>0.3737</v>
      </c>
    </row>
    <row r="2292">
      <c r="B2292" s="39" t="inlineStr">
        <is>
          <t>PIGIER_LYO</t>
        </is>
      </c>
      <c r="C2292" s="40" t="inlineStr">
        <is>
          <t>BTS_GES</t>
        </is>
      </c>
      <c r="D2292" s="40" t="inlineStr">
        <is>
          <t>BTS1</t>
        </is>
      </c>
      <c r="E2292" s="40" t="inlineStr">
        <is>
          <t>ALT</t>
        </is>
      </c>
      <c r="F2292" s="40" t="inlineStr">
        <is>
          <t>DRV_CONV</t>
        </is>
      </c>
      <c r="G2292" s="39" t="inlineStr">
        <is>
          <t>Taux de conversion candidat→inscrit</t>
        </is>
      </c>
      <c r="H2292" s="40" t="inlineStr">
        <is>
          <t>TECHNIQUE</t>
        </is>
      </c>
      <c r="I2292" s="41" t="inlineStr">
        <is>
          <t>2024ACT_VDEF</t>
        </is>
      </c>
      <c r="J2292" s="41" t="n">
        <v>2024</v>
      </c>
      <c r="K2292" s="41" t="inlineStr">
        <is>
          <t>PCT</t>
        </is>
      </c>
      <c r="L2292" s="44" t="n">
        <v>0.3737</v>
      </c>
    </row>
    <row r="2293">
      <c r="B2293" s="39" t="inlineStr">
        <is>
          <t>PIGIER_LYO</t>
        </is>
      </c>
      <c r="C2293" s="40" t="inlineStr">
        <is>
          <t>BTS_GES</t>
        </is>
      </c>
      <c r="D2293" s="40" t="inlineStr">
        <is>
          <t>BTS1</t>
        </is>
      </c>
      <c r="E2293" s="40" t="inlineStr">
        <is>
          <t>ALT</t>
        </is>
      </c>
      <c r="F2293" s="40" t="inlineStr">
        <is>
          <t>DRV_CONV</t>
        </is>
      </c>
      <c r="G2293" s="39" t="inlineStr">
        <is>
          <t>Taux de conversion candidat→inscrit</t>
        </is>
      </c>
      <c r="H2293" s="40" t="inlineStr">
        <is>
          <t>TECHNIQUE</t>
        </is>
      </c>
      <c r="I2293" s="41" t="inlineStr">
        <is>
          <t>2025FCST_V4</t>
        </is>
      </c>
      <c r="J2293" s="41" t="n">
        <v>2025</v>
      </c>
      <c r="K2293" s="41" t="inlineStr">
        <is>
          <t>PCT</t>
        </is>
      </c>
      <c r="L2293" s="44" t="n">
        <v>0.3737</v>
      </c>
    </row>
    <row r="2294">
      <c r="B2294" s="39" t="inlineStr">
        <is>
          <t>PIGIER_LYO</t>
        </is>
      </c>
      <c r="C2294" s="40" t="inlineStr">
        <is>
          <t>BTS_GES</t>
        </is>
      </c>
      <c r="D2294" s="40" t="inlineStr">
        <is>
          <t>BTS1</t>
        </is>
      </c>
      <c r="E2294" s="40" t="inlineStr">
        <is>
          <t>ALT</t>
        </is>
      </c>
      <c r="F2294" s="40" t="inlineStr">
        <is>
          <t>PRX_TARIF</t>
        </is>
      </c>
      <c r="G2294" s="39" t="inlineStr">
        <is>
          <t>Tarif moyen scolarité</t>
        </is>
      </c>
      <c r="H2294" s="40" t="inlineStr">
        <is>
          <t>TECHNIQUE</t>
        </is>
      </c>
      <c r="I2294" s="41" t="inlineStr">
        <is>
          <t>2023ACT_VDEF</t>
        </is>
      </c>
      <c r="J2294" s="41" t="n">
        <v>2023</v>
      </c>
      <c r="K2294" s="41" t="inlineStr">
        <is>
          <t>EUR</t>
        </is>
      </c>
      <c r="L2294" s="42" t="n">
        <v>7000</v>
      </c>
    </row>
    <row r="2295">
      <c r="B2295" s="39" t="inlineStr">
        <is>
          <t>PIGIER_LYO</t>
        </is>
      </c>
      <c r="C2295" s="40" t="inlineStr">
        <is>
          <t>BTS_GES</t>
        </is>
      </c>
      <c r="D2295" s="40" t="inlineStr">
        <is>
          <t>BTS1</t>
        </is>
      </c>
      <c r="E2295" s="40" t="inlineStr">
        <is>
          <t>ALT</t>
        </is>
      </c>
      <c r="F2295" s="40" t="inlineStr">
        <is>
          <t>PRX_TARIF</t>
        </is>
      </c>
      <c r="G2295" s="39" t="inlineStr">
        <is>
          <t>Tarif moyen scolarité</t>
        </is>
      </c>
      <c r="H2295" s="40" t="inlineStr">
        <is>
          <t>TECHNIQUE</t>
        </is>
      </c>
      <c r="I2295" s="41" t="inlineStr">
        <is>
          <t>2024ACT_VDEF</t>
        </is>
      </c>
      <c r="J2295" s="41" t="n">
        <v>2024</v>
      </c>
      <c r="K2295" s="41" t="inlineStr">
        <is>
          <t>EUR</t>
        </is>
      </c>
      <c r="L2295" s="42" t="n">
        <v>7000</v>
      </c>
    </row>
    <row r="2296">
      <c r="B2296" s="39" t="inlineStr">
        <is>
          <t>PIGIER_LYO</t>
        </is>
      </c>
      <c r="C2296" s="40" t="inlineStr">
        <is>
          <t>BTS_GES</t>
        </is>
      </c>
      <c r="D2296" s="40" t="inlineStr">
        <is>
          <t>BTS1</t>
        </is>
      </c>
      <c r="E2296" s="40" t="inlineStr">
        <is>
          <t>ALT</t>
        </is>
      </c>
      <c r="F2296" s="40" t="inlineStr">
        <is>
          <t>PRX_TARIF</t>
        </is>
      </c>
      <c r="G2296" s="39" t="inlineStr">
        <is>
          <t>Tarif moyen scolarité</t>
        </is>
      </c>
      <c r="H2296" s="40" t="inlineStr">
        <is>
          <t>TECHNIQUE</t>
        </is>
      </c>
      <c r="I2296" s="41" t="inlineStr">
        <is>
          <t>2025FCST_V4</t>
        </is>
      </c>
      <c r="J2296" s="41" t="n">
        <v>2025</v>
      </c>
      <c r="K2296" s="41" t="inlineStr">
        <is>
          <t>EUR</t>
        </is>
      </c>
      <c r="L2296" s="42" t="n">
        <v>7000</v>
      </c>
    </row>
    <row r="2297">
      <c r="B2297" s="39" t="inlineStr">
        <is>
          <t>PIGIER_LYO</t>
        </is>
      </c>
      <c r="C2297" s="40" t="inlineStr">
        <is>
          <t>BTS_GES</t>
        </is>
      </c>
      <c r="D2297" s="40" t="inlineStr">
        <is>
          <t>BTS1</t>
        </is>
      </c>
      <c r="E2297" s="40" t="inlineStr">
        <is>
          <t>ALT</t>
        </is>
      </c>
      <c r="F2297" s="40" t="inlineStr">
        <is>
          <t>CAC_LEAD</t>
        </is>
      </c>
      <c r="G2297" s="39" t="inlineStr">
        <is>
          <t>Coût d'acquisition par lead</t>
        </is>
      </c>
      <c r="H2297" s="40" t="inlineStr">
        <is>
          <t>TECHNIQUE</t>
        </is>
      </c>
      <c r="I2297" s="41" t="inlineStr">
        <is>
          <t>2023ACT_VDEF</t>
        </is>
      </c>
      <c r="J2297" s="41" t="n">
        <v>2023</v>
      </c>
      <c r="K2297" s="41" t="inlineStr">
        <is>
          <t>EUR</t>
        </is>
      </c>
      <c r="L2297" s="42" t="n">
        <v>250</v>
      </c>
    </row>
    <row r="2298">
      <c r="B2298" s="39" t="inlineStr">
        <is>
          <t>PIGIER_LYO</t>
        </is>
      </c>
      <c r="C2298" s="40" t="inlineStr">
        <is>
          <t>BTS_GES</t>
        </is>
      </c>
      <c r="D2298" s="40" t="inlineStr">
        <is>
          <t>BTS1</t>
        </is>
      </c>
      <c r="E2298" s="40" t="inlineStr">
        <is>
          <t>ALT</t>
        </is>
      </c>
      <c r="F2298" s="40" t="inlineStr">
        <is>
          <t>CAC_LEAD</t>
        </is>
      </c>
      <c r="G2298" s="39" t="inlineStr">
        <is>
          <t>Coût d'acquisition par lead</t>
        </is>
      </c>
      <c r="H2298" s="40" t="inlineStr">
        <is>
          <t>TECHNIQUE</t>
        </is>
      </c>
      <c r="I2298" s="41" t="inlineStr">
        <is>
          <t>2024ACT_VDEF</t>
        </is>
      </c>
      <c r="J2298" s="41" t="n">
        <v>2024</v>
      </c>
      <c r="K2298" s="41" t="inlineStr">
        <is>
          <t>EUR</t>
        </is>
      </c>
      <c r="L2298" s="42" t="n">
        <v>250</v>
      </c>
    </row>
    <row r="2299">
      <c r="B2299" s="39" t="inlineStr">
        <is>
          <t>PIGIER_LYO</t>
        </is>
      </c>
      <c r="C2299" s="40" t="inlineStr">
        <is>
          <t>BTS_GES</t>
        </is>
      </c>
      <c r="D2299" s="40" t="inlineStr">
        <is>
          <t>BTS1</t>
        </is>
      </c>
      <c r="E2299" s="40" t="inlineStr">
        <is>
          <t>ALT</t>
        </is>
      </c>
      <c r="F2299" s="40" t="inlineStr">
        <is>
          <t>CAC_LEAD</t>
        </is>
      </c>
      <c r="G2299" s="39" t="inlineStr">
        <is>
          <t>Coût d'acquisition par lead</t>
        </is>
      </c>
      <c r="H2299" s="40" t="inlineStr">
        <is>
          <t>TECHNIQUE</t>
        </is>
      </c>
      <c r="I2299" s="41" t="inlineStr">
        <is>
          <t>2025FCST_V4</t>
        </is>
      </c>
      <c r="J2299" s="41" t="n">
        <v>2025</v>
      </c>
      <c r="K2299" s="41" t="inlineStr">
        <is>
          <t>EUR</t>
        </is>
      </c>
      <c r="L2299" s="42" t="n">
        <v>250</v>
      </c>
    </row>
    <row r="2300">
      <c r="B2300" s="39" t="inlineStr">
        <is>
          <t>PIGIER_LYO</t>
        </is>
      </c>
      <c r="C2300" s="40" t="inlineStr">
        <is>
          <t>BTS_GES</t>
        </is>
      </c>
      <c r="D2300" s="40" t="inlineStr">
        <is>
          <t>BTS2</t>
        </is>
      </c>
      <c r="E2300" s="40" t="inlineStr">
        <is>
          <t>ALT</t>
        </is>
      </c>
      <c r="F2300" s="40" t="inlineStr">
        <is>
          <t>706100</t>
        </is>
      </c>
      <c r="G2300" s="39" t="inlineStr">
        <is>
          <t>Droits de scolarité</t>
        </is>
      </c>
      <c r="H2300" s="40" t="inlineStr">
        <is>
          <t>COMPTABLE</t>
        </is>
      </c>
      <c r="I2300" s="41" t="inlineStr">
        <is>
          <t>2023ACT_VDEF</t>
        </is>
      </c>
      <c r="J2300" s="41" t="n">
        <v>2023</v>
      </c>
      <c r="K2300" s="41" t="inlineStr">
        <is>
          <t>EUR</t>
        </is>
      </c>
      <c r="L2300" s="42" t="n">
        <v>201600</v>
      </c>
    </row>
    <row r="2301">
      <c r="B2301" s="39" t="inlineStr">
        <is>
          <t>PIGIER_LYO</t>
        </is>
      </c>
      <c r="C2301" s="40" t="inlineStr">
        <is>
          <t>BTS_GES</t>
        </is>
      </c>
      <c r="D2301" s="40" t="inlineStr">
        <is>
          <t>BTS2</t>
        </is>
      </c>
      <c r="E2301" s="40" t="inlineStr">
        <is>
          <t>ALT</t>
        </is>
      </c>
      <c r="F2301" s="40" t="inlineStr">
        <is>
          <t>706100</t>
        </is>
      </c>
      <c r="G2301" s="39" t="inlineStr">
        <is>
          <t>Droits de scolarité</t>
        </is>
      </c>
      <c r="H2301" s="40" t="inlineStr">
        <is>
          <t>COMPTABLE</t>
        </is>
      </c>
      <c r="I2301" s="41" t="inlineStr">
        <is>
          <t>2024ACT_VDEF</t>
        </is>
      </c>
      <c r="J2301" s="41" t="n">
        <v>2024</v>
      </c>
      <c r="K2301" s="41" t="inlineStr">
        <is>
          <t>EUR</t>
        </is>
      </c>
      <c r="L2301" s="42" t="n">
        <v>212800</v>
      </c>
    </row>
    <row r="2302">
      <c r="B2302" s="39" t="inlineStr">
        <is>
          <t>PIGIER_LYO</t>
        </is>
      </c>
      <c r="C2302" s="40" t="inlineStr">
        <is>
          <t>BTS_GES</t>
        </is>
      </c>
      <c r="D2302" s="40" t="inlineStr">
        <is>
          <t>BTS2</t>
        </is>
      </c>
      <c r="E2302" s="40" t="inlineStr">
        <is>
          <t>ALT</t>
        </is>
      </c>
      <c r="F2302" s="40" t="inlineStr">
        <is>
          <t>706100</t>
        </is>
      </c>
      <c r="G2302" s="39" t="inlineStr">
        <is>
          <t>Droits de scolarité</t>
        </is>
      </c>
      <c r="H2302" s="40" t="inlineStr">
        <is>
          <t>COMPTABLE</t>
        </is>
      </c>
      <c r="I2302" s="41" t="inlineStr">
        <is>
          <t>2025FCST_V4</t>
        </is>
      </c>
      <c r="J2302" s="41" t="n">
        <v>2025</v>
      </c>
      <c r="K2302" s="41" t="inlineStr">
        <is>
          <t>EUR</t>
        </is>
      </c>
      <c r="L2302" s="42" t="n">
        <v>224000</v>
      </c>
    </row>
    <row r="2303">
      <c r="B2303" s="39" t="inlineStr">
        <is>
          <t>PIGIER_LYO</t>
        </is>
      </c>
      <c r="C2303" s="40" t="inlineStr">
        <is>
          <t>BTS_GES</t>
        </is>
      </c>
      <c r="D2303" s="40" t="inlineStr">
        <is>
          <t>BTS2</t>
        </is>
      </c>
      <c r="E2303" s="40" t="inlineStr">
        <is>
          <t>ALT</t>
        </is>
      </c>
      <c r="F2303" s="40" t="inlineStr">
        <is>
          <t>604100</t>
        </is>
      </c>
      <c r="G2303" s="39" t="inlineStr">
        <is>
          <t>Vacations &amp; sous-traitance pédagogique</t>
        </is>
      </c>
      <c r="H2303" s="40" t="inlineStr">
        <is>
          <t>COMPTABLE</t>
        </is>
      </c>
      <c r="I2303" s="41" t="inlineStr">
        <is>
          <t>2023ACT_VDEF</t>
        </is>
      </c>
      <c r="J2303" s="41" t="n">
        <v>2023</v>
      </c>
      <c r="K2303" s="41" t="inlineStr">
        <is>
          <t>EUR</t>
        </is>
      </c>
      <c r="L2303" s="42" t="n">
        <v>67320</v>
      </c>
    </row>
    <row r="2304">
      <c r="B2304" s="39" t="inlineStr">
        <is>
          <t>PIGIER_LYO</t>
        </is>
      </c>
      <c r="C2304" s="40" t="inlineStr">
        <is>
          <t>BTS_GES</t>
        </is>
      </c>
      <c r="D2304" s="40" t="inlineStr">
        <is>
          <t>BTS2</t>
        </is>
      </c>
      <c r="E2304" s="40" t="inlineStr">
        <is>
          <t>ALT</t>
        </is>
      </c>
      <c r="F2304" s="40" t="inlineStr">
        <is>
          <t>604100</t>
        </is>
      </c>
      <c r="G2304" s="39" t="inlineStr">
        <is>
          <t>Vacations &amp; sous-traitance pédagogique</t>
        </is>
      </c>
      <c r="H2304" s="40" t="inlineStr">
        <is>
          <t>COMPTABLE</t>
        </is>
      </c>
      <c r="I2304" s="41" t="inlineStr">
        <is>
          <t>2024ACT_VDEF</t>
        </is>
      </c>
      <c r="J2304" s="41" t="n">
        <v>2024</v>
      </c>
      <c r="K2304" s="41" t="inlineStr">
        <is>
          <t>EUR</t>
        </is>
      </c>
      <c r="L2304" s="42" t="n">
        <v>71060</v>
      </c>
    </row>
    <row r="2305">
      <c r="B2305" s="39" t="inlineStr">
        <is>
          <t>PIGIER_LYO</t>
        </is>
      </c>
      <c r="C2305" s="40" t="inlineStr">
        <is>
          <t>BTS_GES</t>
        </is>
      </c>
      <c r="D2305" s="40" t="inlineStr">
        <is>
          <t>BTS2</t>
        </is>
      </c>
      <c r="E2305" s="40" t="inlineStr">
        <is>
          <t>ALT</t>
        </is>
      </c>
      <c r="F2305" s="40" t="inlineStr">
        <is>
          <t>604100</t>
        </is>
      </c>
      <c r="G2305" s="39" t="inlineStr">
        <is>
          <t>Vacations &amp; sous-traitance pédagogique</t>
        </is>
      </c>
      <c r="H2305" s="40" t="inlineStr">
        <is>
          <t>COMPTABLE</t>
        </is>
      </c>
      <c r="I2305" s="41" t="inlineStr">
        <is>
          <t>2025FCST_V4</t>
        </is>
      </c>
      <c r="J2305" s="41" t="n">
        <v>2025</v>
      </c>
      <c r="K2305" s="41" t="inlineStr">
        <is>
          <t>EUR</t>
        </is>
      </c>
      <c r="L2305" s="42" t="n">
        <v>74800</v>
      </c>
    </row>
    <row r="2306">
      <c r="B2306" s="39" t="inlineStr">
        <is>
          <t>PIGIER_LYO</t>
        </is>
      </c>
      <c r="C2306" s="40" t="inlineStr">
        <is>
          <t>BTS_GES</t>
        </is>
      </c>
      <c r="D2306" s="40" t="inlineStr">
        <is>
          <t>BTS2</t>
        </is>
      </c>
      <c r="E2306" s="40" t="inlineStr">
        <is>
          <t>ALT</t>
        </is>
      </c>
      <c r="F2306" s="40" t="inlineStr">
        <is>
          <t>606300</t>
        </is>
      </c>
      <c r="G2306" s="39" t="inlineStr">
        <is>
          <t>Fournitures &amp; ressources pédagogiques</t>
        </is>
      </c>
      <c r="H2306" s="40" t="inlineStr">
        <is>
          <t>COMPTABLE</t>
        </is>
      </c>
      <c r="I2306" s="41" t="inlineStr">
        <is>
          <t>2023ACT_VDEF</t>
        </is>
      </c>
      <c r="J2306" s="41" t="n">
        <v>2023</v>
      </c>
      <c r="K2306" s="41" t="inlineStr">
        <is>
          <t>EUR</t>
        </is>
      </c>
      <c r="L2306" s="42" t="n">
        <v>10080</v>
      </c>
    </row>
    <row r="2307">
      <c r="B2307" s="39" t="inlineStr">
        <is>
          <t>PIGIER_LYO</t>
        </is>
      </c>
      <c r="C2307" s="40" t="inlineStr">
        <is>
          <t>BTS_GES</t>
        </is>
      </c>
      <c r="D2307" s="40" t="inlineStr">
        <is>
          <t>BTS2</t>
        </is>
      </c>
      <c r="E2307" s="40" t="inlineStr">
        <is>
          <t>ALT</t>
        </is>
      </c>
      <c r="F2307" s="40" t="inlineStr">
        <is>
          <t>606300</t>
        </is>
      </c>
      <c r="G2307" s="39" t="inlineStr">
        <is>
          <t>Fournitures &amp; ressources pédagogiques</t>
        </is>
      </c>
      <c r="H2307" s="40" t="inlineStr">
        <is>
          <t>COMPTABLE</t>
        </is>
      </c>
      <c r="I2307" s="41" t="inlineStr">
        <is>
          <t>2024ACT_VDEF</t>
        </is>
      </c>
      <c r="J2307" s="41" t="n">
        <v>2024</v>
      </c>
      <c r="K2307" s="41" t="inlineStr">
        <is>
          <t>EUR</t>
        </is>
      </c>
      <c r="L2307" s="42" t="n">
        <v>10640</v>
      </c>
    </row>
    <row r="2308">
      <c r="B2308" s="39" t="inlineStr">
        <is>
          <t>PIGIER_LYO</t>
        </is>
      </c>
      <c r="C2308" s="40" t="inlineStr">
        <is>
          <t>BTS_GES</t>
        </is>
      </c>
      <c r="D2308" s="40" t="inlineStr">
        <is>
          <t>BTS2</t>
        </is>
      </c>
      <c r="E2308" s="40" t="inlineStr">
        <is>
          <t>ALT</t>
        </is>
      </c>
      <c r="F2308" s="40" t="inlineStr">
        <is>
          <t>606300</t>
        </is>
      </c>
      <c r="G2308" s="39" t="inlineStr">
        <is>
          <t>Fournitures &amp; ressources pédagogiques</t>
        </is>
      </c>
      <c r="H2308" s="40" t="inlineStr">
        <is>
          <t>COMPTABLE</t>
        </is>
      </c>
      <c r="I2308" s="41" t="inlineStr">
        <is>
          <t>2025FCST_V4</t>
        </is>
      </c>
      <c r="J2308" s="41" t="n">
        <v>2025</v>
      </c>
      <c r="K2308" s="41" t="inlineStr">
        <is>
          <t>EUR</t>
        </is>
      </c>
      <c r="L2308" s="42" t="n">
        <v>11200</v>
      </c>
    </row>
    <row r="2309">
      <c r="B2309" s="39" t="inlineStr">
        <is>
          <t>PIGIER_LYO</t>
        </is>
      </c>
      <c r="C2309" s="40" t="inlineStr">
        <is>
          <t>BTS_GES</t>
        </is>
      </c>
      <c r="D2309" s="40" t="inlineStr">
        <is>
          <t>BTS2</t>
        </is>
      </c>
      <c r="E2309" s="40" t="inlineStr">
        <is>
          <t>ALT</t>
        </is>
      </c>
      <c r="F2309" s="40" t="inlineStr">
        <is>
          <t>613200</t>
        </is>
      </c>
      <c r="G2309" s="39" t="inlineStr">
        <is>
          <t>Locations immobilières (loyers)</t>
        </is>
      </c>
      <c r="H2309" s="40" t="inlineStr">
        <is>
          <t>COMPTABLE</t>
        </is>
      </c>
      <c r="I2309" s="41" t="inlineStr">
        <is>
          <t>2023ACT_VDEF</t>
        </is>
      </c>
      <c r="J2309" s="41" t="n">
        <v>2023</v>
      </c>
      <c r="K2309" s="41" t="inlineStr">
        <is>
          <t>EUR</t>
        </is>
      </c>
      <c r="L2309" s="42" t="n">
        <v>27900</v>
      </c>
    </row>
    <row r="2310">
      <c r="B2310" s="39" t="inlineStr">
        <is>
          <t>PIGIER_LYO</t>
        </is>
      </c>
      <c r="C2310" s="40" t="inlineStr">
        <is>
          <t>BTS_GES</t>
        </is>
      </c>
      <c r="D2310" s="40" t="inlineStr">
        <is>
          <t>BTS2</t>
        </is>
      </c>
      <c r="E2310" s="40" t="inlineStr">
        <is>
          <t>ALT</t>
        </is>
      </c>
      <c r="F2310" s="40" t="inlineStr">
        <is>
          <t>613200</t>
        </is>
      </c>
      <c r="G2310" s="39" t="inlineStr">
        <is>
          <t>Locations immobilières (loyers)</t>
        </is>
      </c>
      <c r="H2310" s="40" t="inlineStr">
        <is>
          <t>COMPTABLE</t>
        </is>
      </c>
      <c r="I2310" s="41" t="inlineStr">
        <is>
          <t>2024ACT_VDEF</t>
        </is>
      </c>
      <c r="J2310" s="41" t="n">
        <v>2024</v>
      </c>
      <c r="K2310" s="41" t="inlineStr">
        <is>
          <t>EUR</t>
        </is>
      </c>
      <c r="L2310" s="42" t="n">
        <v>29450</v>
      </c>
    </row>
    <row r="2311">
      <c r="B2311" s="39" t="inlineStr">
        <is>
          <t>PIGIER_LYO</t>
        </is>
      </c>
      <c r="C2311" s="40" t="inlineStr">
        <is>
          <t>BTS_GES</t>
        </is>
      </c>
      <c r="D2311" s="40" t="inlineStr">
        <is>
          <t>BTS2</t>
        </is>
      </c>
      <c r="E2311" s="40" t="inlineStr">
        <is>
          <t>ALT</t>
        </is>
      </c>
      <c r="F2311" s="40" t="inlineStr">
        <is>
          <t>613200</t>
        </is>
      </c>
      <c r="G2311" s="39" t="inlineStr">
        <is>
          <t>Locations immobilières (loyers)</t>
        </is>
      </c>
      <c r="H2311" s="40" t="inlineStr">
        <is>
          <t>COMPTABLE</t>
        </is>
      </c>
      <c r="I2311" s="41" t="inlineStr">
        <is>
          <t>2025FCST_V4</t>
        </is>
      </c>
      <c r="J2311" s="41" t="n">
        <v>2025</v>
      </c>
      <c r="K2311" s="41" t="inlineStr">
        <is>
          <t>EUR</t>
        </is>
      </c>
      <c r="L2311" s="42" t="n">
        <v>31000</v>
      </c>
    </row>
    <row r="2312">
      <c r="B2312" s="39" t="inlineStr">
        <is>
          <t>PIGIER_LYO</t>
        </is>
      </c>
      <c r="C2312" s="40" t="inlineStr">
        <is>
          <t>BTS_GES</t>
        </is>
      </c>
      <c r="D2312" s="40" t="inlineStr">
        <is>
          <t>BTS2</t>
        </is>
      </c>
      <c r="E2312" s="40" t="inlineStr">
        <is>
          <t>ALT</t>
        </is>
      </c>
      <c r="F2312" s="40" t="inlineStr">
        <is>
          <t>641100</t>
        </is>
      </c>
      <c r="G2312" s="39" t="inlineStr">
        <is>
          <t>Rémunérations du personnel permanent</t>
        </is>
      </c>
      <c r="H2312" s="40" t="inlineStr">
        <is>
          <t>COMPTABLE</t>
        </is>
      </c>
      <c r="I2312" s="41" t="inlineStr">
        <is>
          <t>2023ACT_VDEF</t>
        </is>
      </c>
      <c r="J2312" s="41" t="n">
        <v>2023</v>
      </c>
      <c r="K2312" s="41" t="inlineStr">
        <is>
          <t>EUR</t>
        </is>
      </c>
      <c r="L2312" s="42" t="n">
        <v>78300</v>
      </c>
    </row>
    <row r="2313">
      <c r="B2313" s="39" t="inlineStr">
        <is>
          <t>PIGIER_LYO</t>
        </is>
      </c>
      <c r="C2313" s="40" t="inlineStr">
        <is>
          <t>BTS_GES</t>
        </is>
      </c>
      <c r="D2313" s="40" t="inlineStr">
        <is>
          <t>BTS2</t>
        </is>
      </c>
      <c r="E2313" s="40" t="inlineStr">
        <is>
          <t>ALT</t>
        </is>
      </c>
      <c r="F2313" s="40" t="inlineStr">
        <is>
          <t>641100</t>
        </is>
      </c>
      <c r="G2313" s="39" t="inlineStr">
        <is>
          <t>Rémunérations du personnel permanent</t>
        </is>
      </c>
      <c r="H2313" s="40" t="inlineStr">
        <is>
          <t>COMPTABLE</t>
        </is>
      </c>
      <c r="I2313" s="41" t="inlineStr">
        <is>
          <t>2024ACT_VDEF</t>
        </is>
      </c>
      <c r="J2313" s="41" t="n">
        <v>2024</v>
      </c>
      <c r="K2313" s="41" t="inlineStr">
        <is>
          <t>EUR</t>
        </is>
      </c>
      <c r="L2313" s="42" t="n">
        <v>82650</v>
      </c>
    </row>
    <row r="2314">
      <c r="B2314" s="39" t="inlineStr">
        <is>
          <t>PIGIER_LYO</t>
        </is>
      </c>
      <c r="C2314" s="40" t="inlineStr">
        <is>
          <t>BTS_GES</t>
        </is>
      </c>
      <c r="D2314" s="40" t="inlineStr">
        <is>
          <t>BTS2</t>
        </is>
      </c>
      <c r="E2314" s="40" t="inlineStr">
        <is>
          <t>ALT</t>
        </is>
      </c>
      <c r="F2314" s="40" t="inlineStr">
        <is>
          <t>641100</t>
        </is>
      </c>
      <c r="G2314" s="39" t="inlineStr">
        <is>
          <t>Rémunérations du personnel permanent</t>
        </is>
      </c>
      <c r="H2314" s="40" t="inlineStr">
        <is>
          <t>COMPTABLE</t>
        </is>
      </c>
      <c r="I2314" s="41" t="inlineStr">
        <is>
          <t>2025FCST_V4</t>
        </is>
      </c>
      <c r="J2314" s="41" t="n">
        <v>2025</v>
      </c>
      <c r="K2314" s="41" t="inlineStr">
        <is>
          <t>EUR</t>
        </is>
      </c>
      <c r="L2314" s="42" t="n">
        <v>87000</v>
      </c>
    </row>
    <row r="2315">
      <c r="B2315" s="39" t="inlineStr">
        <is>
          <t>PIGIER_LYO</t>
        </is>
      </c>
      <c r="C2315" s="40" t="inlineStr">
        <is>
          <t>BTS_GES</t>
        </is>
      </c>
      <c r="D2315" s="40" t="inlineStr">
        <is>
          <t>BTS2</t>
        </is>
      </c>
      <c r="E2315" s="40" t="inlineStr">
        <is>
          <t>ALT</t>
        </is>
      </c>
      <c r="F2315" s="40" t="inlineStr">
        <is>
          <t>622600</t>
        </is>
      </c>
      <c r="G2315" s="39" t="inlineStr">
        <is>
          <t>Honoraires &amp; frais de siège (structure groupe)</t>
        </is>
      </c>
      <c r="H2315" s="40" t="inlineStr">
        <is>
          <t>COMPTABLE</t>
        </is>
      </c>
      <c r="I2315" s="41" t="inlineStr">
        <is>
          <t>2023ACT_VDEF</t>
        </is>
      </c>
      <c r="J2315" s="41" t="n">
        <v>2023</v>
      </c>
      <c r="K2315" s="41" t="inlineStr">
        <is>
          <t>EUR</t>
        </is>
      </c>
      <c r="L2315" s="42" t="n">
        <v>25455</v>
      </c>
    </row>
    <row r="2316">
      <c r="B2316" s="39" t="inlineStr">
        <is>
          <t>PIGIER_LYO</t>
        </is>
      </c>
      <c r="C2316" s="40" t="inlineStr">
        <is>
          <t>BTS_GES</t>
        </is>
      </c>
      <c r="D2316" s="40" t="inlineStr">
        <is>
          <t>BTS2</t>
        </is>
      </c>
      <c r="E2316" s="40" t="inlineStr">
        <is>
          <t>ALT</t>
        </is>
      </c>
      <c r="F2316" s="40" t="inlineStr">
        <is>
          <t>622600</t>
        </is>
      </c>
      <c r="G2316" s="39" t="inlineStr">
        <is>
          <t>Honoraires &amp; frais de siège (structure groupe)</t>
        </is>
      </c>
      <c r="H2316" s="40" t="inlineStr">
        <is>
          <t>COMPTABLE</t>
        </is>
      </c>
      <c r="I2316" s="41" t="inlineStr">
        <is>
          <t>2024ACT_VDEF</t>
        </is>
      </c>
      <c r="J2316" s="41" t="n">
        <v>2024</v>
      </c>
      <c r="K2316" s="41" t="inlineStr">
        <is>
          <t>EUR</t>
        </is>
      </c>
      <c r="L2316" s="42" t="n">
        <v>26869</v>
      </c>
    </row>
    <row r="2317">
      <c r="B2317" s="39" t="inlineStr">
        <is>
          <t>PIGIER_LYO</t>
        </is>
      </c>
      <c r="C2317" s="40" t="inlineStr">
        <is>
          <t>BTS_GES</t>
        </is>
      </c>
      <c r="D2317" s="40" t="inlineStr">
        <is>
          <t>BTS2</t>
        </is>
      </c>
      <c r="E2317" s="40" t="inlineStr">
        <is>
          <t>ALT</t>
        </is>
      </c>
      <c r="F2317" s="40" t="inlineStr">
        <is>
          <t>622600</t>
        </is>
      </c>
      <c r="G2317" s="39" t="inlineStr">
        <is>
          <t>Honoraires &amp; frais de siège (structure groupe)</t>
        </is>
      </c>
      <c r="H2317" s="40" t="inlineStr">
        <is>
          <t>COMPTABLE</t>
        </is>
      </c>
      <c r="I2317" s="41" t="inlineStr">
        <is>
          <t>2025FCST_V4</t>
        </is>
      </c>
      <c r="J2317" s="41" t="n">
        <v>2025</v>
      </c>
      <c r="K2317" s="41" t="inlineStr">
        <is>
          <t>EUR</t>
        </is>
      </c>
      <c r="L2317" s="42" t="n">
        <v>28283</v>
      </c>
    </row>
    <row r="2318">
      <c r="B2318" s="39" t="inlineStr">
        <is>
          <t>PIGIER_LYO</t>
        </is>
      </c>
      <c r="C2318" s="40" t="inlineStr">
        <is>
          <t>BTS_GES</t>
        </is>
      </c>
      <c r="D2318" s="40" t="inlineStr">
        <is>
          <t>BTS2</t>
        </is>
      </c>
      <c r="E2318" s="40" t="inlineStr">
        <is>
          <t>ALT</t>
        </is>
      </c>
      <c r="F2318" s="40" t="inlineStr">
        <is>
          <t>606800</t>
        </is>
      </c>
      <c r="G2318" s="39" t="inlineStr">
        <is>
          <t>Autres achats &amp; charges externes</t>
        </is>
      </c>
      <c r="H2318" s="40" t="inlineStr">
        <is>
          <t>COMPTABLE</t>
        </is>
      </c>
      <c r="I2318" s="41" t="inlineStr">
        <is>
          <t>2023ACT_VDEF</t>
        </is>
      </c>
      <c r="J2318" s="41" t="n">
        <v>2023</v>
      </c>
      <c r="K2318" s="41" t="inlineStr">
        <is>
          <t>EUR</t>
        </is>
      </c>
      <c r="L2318" s="42" t="n">
        <v>26899</v>
      </c>
    </row>
    <row r="2319">
      <c r="B2319" s="39" t="inlineStr">
        <is>
          <t>PIGIER_LYO</t>
        </is>
      </c>
      <c r="C2319" s="40" t="inlineStr">
        <is>
          <t>BTS_GES</t>
        </is>
      </c>
      <c r="D2319" s="40" t="inlineStr">
        <is>
          <t>BTS2</t>
        </is>
      </c>
      <c r="E2319" s="40" t="inlineStr">
        <is>
          <t>ALT</t>
        </is>
      </c>
      <c r="F2319" s="40" t="inlineStr">
        <is>
          <t>606800</t>
        </is>
      </c>
      <c r="G2319" s="39" t="inlineStr">
        <is>
          <t>Autres achats &amp; charges externes</t>
        </is>
      </c>
      <c r="H2319" s="40" t="inlineStr">
        <is>
          <t>COMPTABLE</t>
        </is>
      </c>
      <c r="I2319" s="41" t="inlineStr">
        <is>
          <t>2024ACT_VDEF</t>
        </is>
      </c>
      <c r="J2319" s="41" t="n">
        <v>2024</v>
      </c>
      <c r="K2319" s="41" t="inlineStr">
        <is>
          <t>EUR</t>
        </is>
      </c>
      <c r="L2319" s="42" t="n">
        <v>28394</v>
      </c>
    </row>
    <row r="2320">
      <c r="B2320" s="39" t="inlineStr">
        <is>
          <t>PIGIER_LYO</t>
        </is>
      </c>
      <c r="C2320" s="40" t="inlineStr">
        <is>
          <t>BTS_GES</t>
        </is>
      </c>
      <c r="D2320" s="40" t="inlineStr">
        <is>
          <t>BTS2</t>
        </is>
      </c>
      <c r="E2320" s="40" t="inlineStr">
        <is>
          <t>ALT</t>
        </is>
      </c>
      <c r="F2320" s="40" t="inlineStr">
        <is>
          <t>606800</t>
        </is>
      </c>
      <c r="G2320" s="39" t="inlineStr">
        <is>
          <t>Autres achats &amp; charges externes</t>
        </is>
      </c>
      <c r="H2320" s="40" t="inlineStr">
        <is>
          <t>COMPTABLE</t>
        </is>
      </c>
      <c r="I2320" s="41" t="inlineStr">
        <is>
          <t>2025FCST_V4</t>
        </is>
      </c>
      <c r="J2320" s="41" t="n">
        <v>2025</v>
      </c>
      <c r="K2320" s="41" t="inlineStr">
        <is>
          <t>EUR</t>
        </is>
      </c>
      <c r="L2320" s="42" t="n">
        <v>29888</v>
      </c>
    </row>
    <row r="2321">
      <c r="B2321" s="39" t="inlineStr">
        <is>
          <t>PIGIER_LYO</t>
        </is>
      </c>
      <c r="C2321" s="40" t="inlineStr">
        <is>
          <t>BTS_GES</t>
        </is>
      </c>
      <c r="D2321" s="40" t="inlineStr">
        <is>
          <t>BTS2</t>
        </is>
      </c>
      <c r="E2321" s="40" t="inlineStr">
        <is>
          <t>ALT</t>
        </is>
      </c>
      <c r="F2321" s="40" t="inlineStr">
        <is>
          <t>681100</t>
        </is>
      </c>
      <c r="G2321" s="39" t="inlineStr">
        <is>
          <t>Dotations aux amortissements</t>
        </is>
      </c>
      <c r="H2321" s="40" t="inlineStr">
        <is>
          <t>COMPTABLE</t>
        </is>
      </c>
      <c r="I2321" s="41" t="inlineStr">
        <is>
          <t>2023ACT_VDEF</t>
        </is>
      </c>
      <c r="J2321" s="41" t="n">
        <v>2023</v>
      </c>
      <c r="K2321" s="41" t="inlineStr">
        <is>
          <t>EUR</t>
        </is>
      </c>
      <c r="L2321" s="42" t="n">
        <v>15300</v>
      </c>
    </row>
    <row r="2322">
      <c r="B2322" s="39" t="inlineStr">
        <is>
          <t>PIGIER_LYO</t>
        </is>
      </c>
      <c r="C2322" s="40" t="inlineStr">
        <is>
          <t>BTS_GES</t>
        </is>
      </c>
      <c r="D2322" s="40" t="inlineStr">
        <is>
          <t>BTS2</t>
        </is>
      </c>
      <c r="E2322" s="40" t="inlineStr">
        <is>
          <t>ALT</t>
        </is>
      </c>
      <c r="F2322" s="40" t="inlineStr">
        <is>
          <t>681100</t>
        </is>
      </c>
      <c r="G2322" s="39" t="inlineStr">
        <is>
          <t>Dotations aux amortissements</t>
        </is>
      </c>
      <c r="H2322" s="40" t="inlineStr">
        <is>
          <t>COMPTABLE</t>
        </is>
      </c>
      <c r="I2322" s="41" t="inlineStr">
        <is>
          <t>2024ACT_VDEF</t>
        </is>
      </c>
      <c r="J2322" s="41" t="n">
        <v>2024</v>
      </c>
      <c r="K2322" s="41" t="inlineStr">
        <is>
          <t>EUR</t>
        </is>
      </c>
      <c r="L2322" s="42" t="n">
        <v>16150</v>
      </c>
    </row>
    <row r="2323">
      <c r="B2323" s="39" t="inlineStr">
        <is>
          <t>PIGIER_LYO</t>
        </is>
      </c>
      <c r="C2323" s="40" t="inlineStr">
        <is>
          <t>BTS_GES</t>
        </is>
      </c>
      <c r="D2323" s="40" t="inlineStr">
        <is>
          <t>BTS2</t>
        </is>
      </c>
      <c r="E2323" s="40" t="inlineStr">
        <is>
          <t>ALT</t>
        </is>
      </c>
      <c r="F2323" s="40" t="inlineStr">
        <is>
          <t>681100</t>
        </is>
      </c>
      <c r="G2323" s="39" t="inlineStr">
        <is>
          <t>Dotations aux amortissements</t>
        </is>
      </c>
      <c r="H2323" s="40" t="inlineStr">
        <is>
          <t>COMPTABLE</t>
        </is>
      </c>
      <c r="I2323" s="41" t="inlineStr">
        <is>
          <t>2025FCST_V4</t>
        </is>
      </c>
      <c r="J2323" s="41" t="n">
        <v>2025</v>
      </c>
      <c r="K2323" s="41" t="inlineStr">
        <is>
          <t>EUR</t>
        </is>
      </c>
      <c r="L2323" s="42" t="n">
        <v>17000</v>
      </c>
    </row>
    <row r="2324">
      <c r="B2324" s="39" t="inlineStr">
        <is>
          <t>PIGIER_LYO</t>
        </is>
      </c>
      <c r="C2324" s="40" t="inlineStr">
        <is>
          <t>BTS_GES</t>
        </is>
      </c>
      <c r="D2324" s="40" t="inlineStr">
        <is>
          <t>BTS2</t>
        </is>
      </c>
      <c r="E2324" s="40" t="inlineStr">
        <is>
          <t>ALT</t>
        </is>
      </c>
      <c r="F2324" s="40" t="inlineStr">
        <is>
          <t>STA_EFF</t>
        </is>
      </c>
      <c r="G2324" s="39" t="inlineStr">
        <is>
          <t>Effectif inscrit</t>
        </is>
      </c>
      <c r="H2324" s="40" t="inlineStr">
        <is>
          <t>TECHNIQUE</t>
        </is>
      </c>
      <c r="I2324" s="41" t="inlineStr">
        <is>
          <t>2023ACT_VDEF</t>
        </is>
      </c>
      <c r="J2324" s="41" t="n">
        <v>2023</v>
      </c>
      <c r="K2324" s="41" t="inlineStr">
        <is>
          <t>NB</t>
        </is>
      </c>
      <c r="L2324" s="43" t="n">
        <v>29</v>
      </c>
    </row>
    <row r="2325">
      <c r="B2325" s="39" t="inlineStr">
        <is>
          <t>PIGIER_LYO</t>
        </is>
      </c>
      <c r="C2325" s="40" t="inlineStr">
        <is>
          <t>BTS_GES</t>
        </is>
      </c>
      <c r="D2325" s="40" t="inlineStr">
        <is>
          <t>BTS2</t>
        </is>
      </c>
      <c r="E2325" s="40" t="inlineStr">
        <is>
          <t>ALT</t>
        </is>
      </c>
      <c r="F2325" s="40" t="inlineStr">
        <is>
          <t>STA_EFF</t>
        </is>
      </c>
      <c r="G2325" s="39" t="inlineStr">
        <is>
          <t>Effectif inscrit</t>
        </is>
      </c>
      <c r="H2325" s="40" t="inlineStr">
        <is>
          <t>TECHNIQUE</t>
        </is>
      </c>
      <c r="I2325" s="41" t="inlineStr">
        <is>
          <t>2024ACT_VDEF</t>
        </is>
      </c>
      <c r="J2325" s="41" t="n">
        <v>2024</v>
      </c>
      <c r="K2325" s="41" t="inlineStr">
        <is>
          <t>NB</t>
        </is>
      </c>
      <c r="L2325" s="43" t="n">
        <v>30</v>
      </c>
    </row>
    <row r="2326">
      <c r="B2326" s="39" t="inlineStr">
        <is>
          <t>PIGIER_LYO</t>
        </is>
      </c>
      <c r="C2326" s="40" t="inlineStr">
        <is>
          <t>BTS_GES</t>
        </is>
      </c>
      <c r="D2326" s="40" t="inlineStr">
        <is>
          <t>BTS2</t>
        </is>
      </c>
      <c r="E2326" s="40" t="inlineStr">
        <is>
          <t>ALT</t>
        </is>
      </c>
      <c r="F2326" s="40" t="inlineStr">
        <is>
          <t>STA_EFF</t>
        </is>
      </c>
      <c r="G2326" s="39" t="inlineStr">
        <is>
          <t>Effectif inscrit</t>
        </is>
      </c>
      <c r="H2326" s="40" t="inlineStr">
        <is>
          <t>TECHNIQUE</t>
        </is>
      </c>
      <c r="I2326" s="41" t="inlineStr">
        <is>
          <t>2025FCST_V4</t>
        </is>
      </c>
      <c r="J2326" s="41" t="n">
        <v>2025</v>
      </c>
      <c r="K2326" s="41" t="inlineStr">
        <is>
          <t>NB</t>
        </is>
      </c>
      <c r="L2326" s="43" t="n">
        <v>32</v>
      </c>
    </row>
    <row r="2327">
      <c r="B2327" s="39" t="inlineStr">
        <is>
          <t>PIGIER_LYO</t>
        </is>
      </c>
      <c r="C2327" s="40" t="inlineStr">
        <is>
          <t>BTS_GES</t>
        </is>
      </c>
      <c r="D2327" s="40" t="inlineStr">
        <is>
          <t>BTS2</t>
        </is>
      </c>
      <c r="E2327" s="40" t="inlineStr">
        <is>
          <t>ALT</t>
        </is>
      </c>
      <c r="F2327" s="40" t="inlineStr">
        <is>
          <t>STA_REINS</t>
        </is>
      </c>
      <c r="G2327" s="39" t="inlineStr">
        <is>
          <t>Réinscrits</t>
        </is>
      </c>
      <c r="H2327" s="40" t="inlineStr">
        <is>
          <t>TECHNIQUE</t>
        </is>
      </c>
      <c r="I2327" s="41" t="inlineStr">
        <is>
          <t>2023ACT_VDEF</t>
        </is>
      </c>
      <c r="J2327" s="41" t="n">
        <v>2023</v>
      </c>
      <c r="K2327" s="41" t="inlineStr">
        <is>
          <t>NB</t>
        </is>
      </c>
      <c r="L2327" s="43" t="n">
        <v>29</v>
      </c>
    </row>
    <row r="2328">
      <c r="B2328" s="39" t="inlineStr">
        <is>
          <t>PIGIER_LYO</t>
        </is>
      </c>
      <c r="C2328" s="40" t="inlineStr">
        <is>
          <t>BTS_GES</t>
        </is>
      </c>
      <c r="D2328" s="40" t="inlineStr">
        <is>
          <t>BTS2</t>
        </is>
      </c>
      <c r="E2328" s="40" t="inlineStr">
        <is>
          <t>ALT</t>
        </is>
      </c>
      <c r="F2328" s="40" t="inlineStr">
        <is>
          <t>STA_REINS</t>
        </is>
      </c>
      <c r="G2328" s="39" t="inlineStr">
        <is>
          <t>Réinscrits</t>
        </is>
      </c>
      <c r="H2328" s="40" t="inlineStr">
        <is>
          <t>TECHNIQUE</t>
        </is>
      </c>
      <c r="I2328" s="41" t="inlineStr">
        <is>
          <t>2024ACT_VDEF</t>
        </is>
      </c>
      <c r="J2328" s="41" t="n">
        <v>2024</v>
      </c>
      <c r="K2328" s="41" t="inlineStr">
        <is>
          <t>NB</t>
        </is>
      </c>
      <c r="L2328" s="43" t="n">
        <v>30</v>
      </c>
    </row>
    <row r="2329">
      <c r="B2329" s="39" t="inlineStr">
        <is>
          <t>PIGIER_LYO</t>
        </is>
      </c>
      <c r="C2329" s="40" t="inlineStr">
        <is>
          <t>BTS_GES</t>
        </is>
      </c>
      <c r="D2329" s="40" t="inlineStr">
        <is>
          <t>BTS2</t>
        </is>
      </c>
      <c r="E2329" s="40" t="inlineStr">
        <is>
          <t>ALT</t>
        </is>
      </c>
      <c r="F2329" s="40" t="inlineStr">
        <is>
          <t>STA_REINS</t>
        </is>
      </c>
      <c r="G2329" s="39" t="inlineStr">
        <is>
          <t>Réinscrits</t>
        </is>
      </c>
      <c r="H2329" s="40" t="inlineStr">
        <is>
          <t>TECHNIQUE</t>
        </is>
      </c>
      <c r="I2329" s="41" t="inlineStr">
        <is>
          <t>2025FCST_V4</t>
        </is>
      </c>
      <c r="J2329" s="41" t="n">
        <v>2025</v>
      </c>
      <c r="K2329" s="41" t="inlineStr">
        <is>
          <t>NB</t>
        </is>
      </c>
      <c r="L2329" s="43" t="n">
        <v>32</v>
      </c>
    </row>
    <row r="2330">
      <c r="B2330" s="39" t="inlineStr">
        <is>
          <t>PIGIER_LYO</t>
        </is>
      </c>
      <c r="C2330" s="40" t="inlineStr">
        <is>
          <t>BTS_GES</t>
        </is>
      </c>
      <c r="D2330" s="40" t="inlineStr">
        <is>
          <t>BTS2</t>
        </is>
      </c>
      <c r="E2330" s="40" t="inlineStr">
        <is>
          <t>ALT</t>
        </is>
      </c>
      <c r="F2330" s="40" t="inlineStr">
        <is>
          <t>STA_CLASS</t>
        </is>
      </c>
      <c r="G2330" s="39" t="inlineStr">
        <is>
          <t>Nombre de classes</t>
        </is>
      </c>
      <c r="H2330" s="40" t="inlineStr">
        <is>
          <t>TECHNIQUE</t>
        </is>
      </c>
      <c r="I2330" s="41" t="inlineStr">
        <is>
          <t>2023ACT_VDEF</t>
        </is>
      </c>
      <c r="J2330" s="41" t="n">
        <v>2023</v>
      </c>
      <c r="K2330" s="41" t="inlineStr">
        <is>
          <t>NB</t>
        </is>
      </c>
      <c r="L2330" s="43" t="n">
        <v>2</v>
      </c>
    </row>
    <row r="2331">
      <c r="B2331" s="39" t="inlineStr">
        <is>
          <t>PIGIER_LYO</t>
        </is>
      </c>
      <c r="C2331" s="40" t="inlineStr">
        <is>
          <t>BTS_GES</t>
        </is>
      </c>
      <c r="D2331" s="40" t="inlineStr">
        <is>
          <t>BTS2</t>
        </is>
      </c>
      <c r="E2331" s="40" t="inlineStr">
        <is>
          <t>ALT</t>
        </is>
      </c>
      <c r="F2331" s="40" t="inlineStr">
        <is>
          <t>STA_CLASS</t>
        </is>
      </c>
      <c r="G2331" s="39" t="inlineStr">
        <is>
          <t>Nombre de classes</t>
        </is>
      </c>
      <c r="H2331" s="40" t="inlineStr">
        <is>
          <t>TECHNIQUE</t>
        </is>
      </c>
      <c r="I2331" s="41" t="inlineStr">
        <is>
          <t>2024ACT_VDEF</t>
        </is>
      </c>
      <c r="J2331" s="41" t="n">
        <v>2024</v>
      </c>
      <c r="K2331" s="41" t="inlineStr">
        <is>
          <t>NB</t>
        </is>
      </c>
      <c r="L2331" s="43" t="n">
        <v>2</v>
      </c>
    </row>
    <row r="2332">
      <c r="B2332" s="39" t="inlineStr">
        <is>
          <t>PIGIER_LYO</t>
        </is>
      </c>
      <c r="C2332" s="40" t="inlineStr">
        <is>
          <t>BTS_GES</t>
        </is>
      </c>
      <c r="D2332" s="40" t="inlineStr">
        <is>
          <t>BTS2</t>
        </is>
      </c>
      <c r="E2332" s="40" t="inlineStr">
        <is>
          <t>ALT</t>
        </is>
      </c>
      <c r="F2332" s="40" t="inlineStr">
        <is>
          <t>STA_CLASS</t>
        </is>
      </c>
      <c r="G2332" s="39" t="inlineStr">
        <is>
          <t>Nombre de classes</t>
        </is>
      </c>
      <c r="H2332" s="40" t="inlineStr">
        <is>
          <t>TECHNIQUE</t>
        </is>
      </c>
      <c r="I2332" s="41" t="inlineStr">
        <is>
          <t>2025FCST_V4</t>
        </is>
      </c>
      <c r="J2332" s="41" t="n">
        <v>2025</v>
      </c>
      <c r="K2332" s="41" t="inlineStr">
        <is>
          <t>NB</t>
        </is>
      </c>
      <c r="L2332" s="43" t="n">
        <v>2</v>
      </c>
    </row>
    <row r="2333">
      <c r="B2333" s="39" t="inlineStr">
        <is>
          <t>PIGIER_LYO</t>
        </is>
      </c>
      <c r="C2333" s="40" t="inlineStr">
        <is>
          <t>BTS_GES</t>
        </is>
      </c>
      <c r="D2333" s="40" t="inlineStr">
        <is>
          <t>BTS2</t>
        </is>
      </c>
      <c r="E2333" s="40" t="inlineStr">
        <is>
          <t>ALT</t>
        </is>
      </c>
      <c r="F2333" s="40" t="inlineStr">
        <is>
          <t>STA_HEURE</t>
        </is>
      </c>
      <c r="G2333" s="39" t="inlineStr">
        <is>
          <t>Heures d'enseignement</t>
        </is>
      </c>
      <c r="H2333" s="40" t="inlineStr">
        <is>
          <t>TECHNIQUE</t>
        </is>
      </c>
      <c r="I2333" s="41" t="inlineStr">
        <is>
          <t>2023ACT_VDEF</t>
        </is>
      </c>
      <c r="J2333" s="41" t="n">
        <v>2023</v>
      </c>
      <c r="K2333" s="41" t="inlineStr">
        <is>
          <t>NB</t>
        </is>
      </c>
      <c r="L2333" s="43" t="n">
        <v>1224</v>
      </c>
    </row>
    <row r="2334">
      <c r="B2334" s="39" t="inlineStr">
        <is>
          <t>PIGIER_LYO</t>
        </is>
      </c>
      <c r="C2334" s="40" t="inlineStr">
        <is>
          <t>BTS_GES</t>
        </is>
      </c>
      <c r="D2334" s="40" t="inlineStr">
        <is>
          <t>BTS2</t>
        </is>
      </c>
      <c r="E2334" s="40" t="inlineStr">
        <is>
          <t>ALT</t>
        </is>
      </c>
      <c r="F2334" s="40" t="inlineStr">
        <is>
          <t>STA_HEURE</t>
        </is>
      </c>
      <c r="G2334" s="39" t="inlineStr">
        <is>
          <t>Heures d'enseignement</t>
        </is>
      </c>
      <c r="H2334" s="40" t="inlineStr">
        <is>
          <t>TECHNIQUE</t>
        </is>
      </c>
      <c r="I2334" s="41" t="inlineStr">
        <is>
          <t>2024ACT_VDEF</t>
        </is>
      </c>
      <c r="J2334" s="41" t="n">
        <v>2024</v>
      </c>
      <c r="K2334" s="41" t="inlineStr">
        <is>
          <t>NB</t>
        </is>
      </c>
      <c r="L2334" s="43" t="n">
        <v>1292</v>
      </c>
    </row>
    <row r="2335">
      <c r="B2335" s="39" t="inlineStr">
        <is>
          <t>PIGIER_LYO</t>
        </is>
      </c>
      <c r="C2335" s="40" t="inlineStr">
        <is>
          <t>BTS_GES</t>
        </is>
      </c>
      <c r="D2335" s="40" t="inlineStr">
        <is>
          <t>BTS2</t>
        </is>
      </c>
      <c r="E2335" s="40" t="inlineStr">
        <is>
          <t>ALT</t>
        </is>
      </c>
      <c r="F2335" s="40" t="inlineStr">
        <is>
          <t>STA_HEURE</t>
        </is>
      </c>
      <c r="G2335" s="39" t="inlineStr">
        <is>
          <t>Heures d'enseignement</t>
        </is>
      </c>
      <c r="H2335" s="40" t="inlineStr">
        <is>
          <t>TECHNIQUE</t>
        </is>
      </c>
      <c r="I2335" s="41" t="inlineStr">
        <is>
          <t>2025FCST_V4</t>
        </is>
      </c>
      <c r="J2335" s="41" t="n">
        <v>2025</v>
      </c>
      <c r="K2335" s="41" t="inlineStr">
        <is>
          <t>NB</t>
        </is>
      </c>
      <c r="L2335" s="43" t="n">
        <v>1360</v>
      </c>
    </row>
    <row r="2336">
      <c r="B2336" s="39" t="inlineStr">
        <is>
          <t>PIGIER_LYO</t>
        </is>
      </c>
      <c r="C2336" s="40" t="inlineStr">
        <is>
          <t>BTS_GES</t>
        </is>
      </c>
      <c r="D2336" s="40" t="inlineStr">
        <is>
          <t>BTS2</t>
        </is>
      </c>
      <c r="E2336" s="40" t="inlineStr">
        <is>
          <t>ALT</t>
        </is>
      </c>
      <c r="F2336" s="40" t="inlineStr">
        <is>
          <t>STA_CAPA</t>
        </is>
      </c>
      <c r="G2336" s="39" t="inlineStr">
        <is>
          <t>Capacité par classe</t>
        </is>
      </c>
      <c r="H2336" s="40" t="inlineStr">
        <is>
          <t>TECHNIQUE</t>
        </is>
      </c>
      <c r="I2336" s="41" t="inlineStr">
        <is>
          <t>2023ACT_VDEF</t>
        </is>
      </c>
      <c r="J2336" s="41" t="n">
        <v>2023</v>
      </c>
      <c r="K2336" s="41" t="inlineStr">
        <is>
          <t>NB</t>
        </is>
      </c>
      <c r="L2336" s="43" t="n">
        <v>30</v>
      </c>
    </row>
    <row r="2337">
      <c r="B2337" s="39" t="inlineStr">
        <is>
          <t>PIGIER_LYO</t>
        </is>
      </c>
      <c r="C2337" s="40" t="inlineStr">
        <is>
          <t>BTS_GES</t>
        </is>
      </c>
      <c r="D2337" s="40" t="inlineStr">
        <is>
          <t>BTS2</t>
        </is>
      </c>
      <c r="E2337" s="40" t="inlineStr">
        <is>
          <t>ALT</t>
        </is>
      </c>
      <c r="F2337" s="40" t="inlineStr">
        <is>
          <t>STA_CAPA</t>
        </is>
      </c>
      <c r="G2337" s="39" t="inlineStr">
        <is>
          <t>Capacité par classe</t>
        </is>
      </c>
      <c r="H2337" s="40" t="inlineStr">
        <is>
          <t>TECHNIQUE</t>
        </is>
      </c>
      <c r="I2337" s="41" t="inlineStr">
        <is>
          <t>2024ACT_VDEF</t>
        </is>
      </c>
      <c r="J2337" s="41" t="n">
        <v>2024</v>
      </c>
      <c r="K2337" s="41" t="inlineStr">
        <is>
          <t>NB</t>
        </is>
      </c>
      <c r="L2337" s="43" t="n">
        <v>30</v>
      </c>
    </row>
    <row r="2338">
      <c r="B2338" s="39" t="inlineStr">
        <is>
          <t>PIGIER_LYO</t>
        </is>
      </c>
      <c r="C2338" s="40" t="inlineStr">
        <is>
          <t>BTS_GES</t>
        </is>
      </c>
      <c r="D2338" s="40" t="inlineStr">
        <is>
          <t>BTS2</t>
        </is>
      </c>
      <c r="E2338" s="40" t="inlineStr">
        <is>
          <t>ALT</t>
        </is>
      </c>
      <c r="F2338" s="40" t="inlineStr">
        <is>
          <t>STA_CAPA</t>
        </is>
      </c>
      <c r="G2338" s="39" t="inlineStr">
        <is>
          <t>Capacité par classe</t>
        </is>
      </c>
      <c r="H2338" s="40" t="inlineStr">
        <is>
          <t>TECHNIQUE</t>
        </is>
      </c>
      <c r="I2338" s="41" t="inlineStr">
        <is>
          <t>2025FCST_V4</t>
        </is>
      </c>
      <c r="J2338" s="41" t="n">
        <v>2025</v>
      </c>
      <c r="K2338" s="41" t="inlineStr">
        <is>
          <t>NB</t>
        </is>
      </c>
      <c r="L2338" s="43" t="n">
        <v>30</v>
      </c>
    </row>
    <row r="2339">
      <c r="B2339" s="39" t="inlineStr">
        <is>
          <t>PIGIER_LYO</t>
        </is>
      </c>
      <c r="C2339" s="40" t="inlineStr">
        <is>
          <t>BTS_GES</t>
        </is>
      </c>
      <c r="D2339" s="40" t="inlineStr">
        <is>
          <t>BTS2</t>
        </is>
      </c>
      <c r="E2339" s="40" t="inlineStr">
        <is>
          <t>ALT</t>
        </is>
      </c>
      <c r="F2339" s="40" t="inlineStr">
        <is>
          <t>DRV_PASS</t>
        </is>
      </c>
      <c r="G2339" s="39" t="inlineStr">
        <is>
          <t>Taux de passage (réinscription)</t>
        </is>
      </c>
      <c r="H2339" s="40" t="inlineStr">
        <is>
          <t>TECHNIQUE</t>
        </is>
      </c>
      <c r="I2339" s="41" t="inlineStr">
        <is>
          <t>2023ACT_VDEF</t>
        </is>
      </c>
      <c r="J2339" s="41" t="n">
        <v>2023</v>
      </c>
      <c r="K2339" s="41" t="inlineStr">
        <is>
          <t>PCT</t>
        </is>
      </c>
      <c r="L2339" s="44" t="n">
        <v>0.9399999999999999</v>
      </c>
    </row>
    <row r="2340">
      <c r="B2340" s="39" t="inlineStr">
        <is>
          <t>PIGIER_LYO</t>
        </is>
      </c>
      <c r="C2340" s="40" t="inlineStr">
        <is>
          <t>BTS_GES</t>
        </is>
      </c>
      <c r="D2340" s="40" t="inlineStr">
        <is>
          <t>BTS2</t>
        </is>
      </c>
      <c r="E2340" s="40" t="inlineStr">
        <is>
          <t>ALT</t>
        </is>
      </c>
      <c r="F2340" s="40" t="inlineStr">
        <is>
          <t>DRV_PASS</t>
        </is>
      </c>
      <c r="G2340" s="39" t="inlineStr">
        <is>
          <t>Taux de passage (réinscription)</t>
        </is>
      </c>
      <c r="H2340" s="40" t="inlineStr">
        <is>
          <t>TECHNIQUE</t>
        </is>
      </c>
      <c r="I2340" s="41" t="inlineStr">
        <is>
          <t>2024ACT_VDEF</t>
        </is>
      </c>
      <c r="J2340" s="41" t="n">
        <v>2024</v>
      </c>
      <c r="K2340" s="41" t="inlineStr">
        <is>
          <t>PCT</t>
        </is>
      </c>
      <c r="L2340" s="44" t="n">
        <v>0.9399999999999999</v>
      </c>
    </row>
    <row r="2341">
      <c r="B2341" s="39" t="inlineStr">
        <is>
          <t>PIGIER_LYO</t>
        </is>
      </c>
      <c r="C2341" s="40" t="inlineStr">
        <is>
          <t>BTS_GES</t>
        </is>
      </c>
      <c r="D2341" s="40" t="inlineStr">
        <is>
          <t>BTS2</t>
        </is>
      </c>
      <c r="E2341" s="40" t="inlineStr">
        <is>
          <t>ALT</t>
        </is>
      </c>
      <c r="F2341" s="40" t="inlineStr">
        <is>
          <t>DRV_PASS</t>
        </is>
      </c>
      <c r="G2341" s="39" t="inlineStr">
        <is>
          <t>Taux de passage (réinscription)</t>
        </is>
      </c>
      <c r="H2341" s="40" t="inlineStr">
        <is>
          <t>TECHNIQUE</t>
        </is>
      </c>
      <c r="I2341" s="41" t="inlineStr">
        <is>
          <t>2025FCST_V4</t>
        </is>
      </c>
      <c r="J2341" s="41" t="n">
        <v>2025</v>
      </c>
      <c r="K2341" s="41" t="inlineStr">
        <is>
          <t>PCT</t>
        </is>
      </c>
      <c r="L2341" s="44" t="n">
        <v>0.9399999999999999</v>
      </c>
    </row>
    <row r="2342">
      <c r="B2342" s="39" t="inlineStr">
        <is>
          <t>PIGIER_LYO</t>
        </is>
      </c>
      <c r="C2342" s="40" t="inlineStr">
        <is>
          <t>BTS_GES</t>
        </is>
      </c>
      <c r="D2342" s="40" t="inlineStr">
        <is>
          <t>BTS2</t>
        </is>
      </c>
      <c r="E2342" s="40" t="inlineStr">
        <is>
          <t>ALT</t>
        </is>
      </c>
      <c r="F2342" s="40" t="inlineStr">
        <is>
          <t>PRX_TARIF</t>
        </is>
      </c>
      <c r="G2342" s="39" t="inlineStr">
        <is>
          <t>Tarif moyen scolarité</t>
        </is>
      </c>
      <c r="H2342" s="40" t="inlineStr">
        <is>
          <t>TECHNIQUE</t>
        </is>
      </c>
      <c r="I2342" s="41" t="inlineStr">
        <is>
          <t>2023ACT_VDEF</t>
        </is>
      </c>
      <c r="J2342" s="41" t="n">
        <v>2023</v>
      </c>
      <c r="K2342" s="41" t="inlineStr">
        <is>
          <t>EUR</t>
        </is>
      </c>
      <c r="L2342" s="42" t="n">
        <v>7000</v>
      </c>
    </row>
    <row r="2343">
      <c r="B2343" s="39" t="inlineStr">
        <is>
          <t>PIGIER_LYO</t>
        </is>
      </c>
      <c r="C2343" s="40" t="inlineStr">
        <is>
          <t>BTS_GES</t>
        </is>
      </c>
      <c r="D2343" s="40" t="inlineStr">
        <is>
          <t>BTS2</t>
        </is>
      </c>
      <c r="E2343" s="40" t="inlineStr">
        <is>
          <t>ALT</t>
        </is>
      </c>
      <c r="F2343" s="40" t="inlineStr">
        <is>
          <t>PRX_TARIF</t>
        </is>
      </c>
      <c r="G2343" s="39" t="inlineStr">
        <is>
          <t>Tarif moyen scolarité</t>
        </is>
      </c>
      <c r="H2343" s="40" t="inlineStr">
        <is>
          <t>TECHNIQUE</t>
        </is>
      </c>
      <c r="I2343" s="41" t="inlineStr">
        <is>
          <t>2024ACT_VDEF</t>
        </is>
      </c>
      <c r="J2343" s="41" t="n">
        <v>2024</v>
      </c>
      <c r="K2343" s="41" t="inlineStr">
        <is>
          <t>EUR</t>
        </is>
      </c>
      <c r="L2343" s="42" t="n">
        <v>7000</v>
      </c>
    </row>
    <row r="2344">
      <c r="B2344" s="39" t="inlineStr">
        <is>
          <t>PIGIER_LYO</t>
        </is>
      </c>
      <c r="C2344" s="40" t="inlineStr">
        <is>
          <t>BTS_GES</t>
        </is>
      </c>
      <c r="D2344" s="40" t="inlineStr">
        <is>
          <t>BTS2</t>
        </is>
      </c>
      <c r="E2344" s="40" t="inlineStr">
        <is>
          <t>ALT</t>
        </is>
      </c>
      <c r="F2344" s="40" t="inlineStr">
        <is>
          <t>PRX_TARIF</t>
        </is>
      </c>
      <c r="G2344" s="39" t="inlineStr">
        <is>
          <t>Tarif moyen scolarité</t>
        </is>
      </c>
      <c r="H2344" s="40" t="inlineStr">
        <is>
          <t>TECHNIQUE</t>
        </is>
      </c>
      <c r="I2344" s="41" t="inlineStr">
        <is>
          <t>2025FCST_V4</t>
        </is>
      </c>
      <c r="J2344" s="41" t="n">
        <v>2025</v>
      </c>
      <c r="K2344" s="41" t="inlineStr">
        <is>
          <t>EUR</t>
        </is>
      </c>
      <c r="L2344" s="42" t="n">
        <v>7000</v>
      </c>
    </row>
    <row r="2345">
      <c r="B2345" s="39" t="inlineStr">
        <is>
          <t>PIGIER_LYO</t>
        </is>
      </c>
      <c r="C2345" s="40" t="inlineStr">
        <is>
          <t>BAC_RH</t>
        </is>
      </c>
      <c r="D2345" s="40" t="inlineStr">
        <is>
          <t>B1</t>
        </is>
      </c>
      <c r="E2345" s="40" t="inlineStr">
        <is>
          <t>ALT</t>
        </is>
      </c>
      <c r="F2345" s="40" t="inlineStr">
        <is>
          <t>706100</t>
        </is>
      </c>
      <c r="G2345" s="39" t="inlineStr">
        <is>
          <t>Droits de scolarité</t>
        </is>
      </c>
      <c r="H2345" s="40" t="inlineStr">
        <is>
          <t>COMPTABLE</t>
        </is>
      </c>
      <c r="I2345" s="41" t="inlineStr">
        <is>
          <t>2023ACT_VDEF</t>
        </is>
      </c>
      <c r="J2345" s="41" t="n">
        <v>2023</v>
      </c>
      <c r="K2345" s="41" t="inlineStr">
        <is>
          <t>EUR</t>
        </is>
      </c>
      <c r="L2345" s="42" t="n">
        <v>331200</v>
      </c>
    </row>
    <row r="2346">
      <c r="B2346" s="39" t="inlineStr">
        <is>
          <t>PIGIER_LYO</t>
        </is>
      </c>
      <c r="C2346" s="40" t="inlineStr">
        <is>
          <t>BAC_RH</t>
        </is>
      </c>
      <c r="D2346" s="40" t="inlineStr">
        <is>
          <t>B1</t>
        </is>
      </c>
      <c r="E2346" s="40" t="inlineStr">
        <is>
          <t>ALT</t>
        </is>
      </c>
      <c r="F2346" s="40" t="inlineStr">
        <is>
          <t>706100</t>
        </is>
      </c>
      <c r="G2346" s="39" t="inlineStr">
        <is>
          <t>Droits de scolarité</t>
        </is>
      </c>
      <c r="H2346" s="40" t="inlineStr">
        <is>
          <t>COMPTABLE</t>
        </is>
      </c>
      <c r="I2346" s="41" t="inlineStr">
        <is>
          <t>2024ACT_VDEF</t>
        </is>
      </c>
      <c r="J2346" s="41" t="n">
        <v>2024</v>
      </c>
      <c r="K2346" s="41" t="inlineStr">
        <is>
          <t>EUR</t>
        </is>
      </c>
      <c r="L2346" s="42" t="n">
        <v>349600</v>
      </c>
    </row>
    <row r="2347">
      <c r="B2347" s="39" t="inlineStr">
        <is>
          <t>PIGIER_LYO</t>
        </is>
      </c>
      <c r="C2347" s="40" t="inlineStr">
        <is>
          <t>BAC_RH</t>
        </is>
      </c>
      <c r="D2347" s="40" t="inlineStr">
        <is>
          <t>B1</t>
        </is>
      </c>
      <c r="E2347" s="40" t="inlineStr">
        <is>
          <t>ALT</t>
        </is>
      </c>
      <c r="F2347" s="40" t="inlineStr">
        <is>
          <t>706100</t>
        </is>
      </c>
      <c r="G2347" s="39" t="inlineStr">
        <is>
          <t>Droits de scolarité</t>
        </is>
      </c>
      <c r="H2347" s="40" t="inlineStr">
        <is>
          <t>COMPTABLE</t>
        </is>
      </c>
      <c r="I2347" s="41" t="inlineStr">
        <is>
          <t>2025FCST_V4</t>
        </is>
      </c>
      <c r="J2347" s="41" t="n">
        <v>2025</v>
      </c>
      <c r="K2347" s="41" t="inlineStr">
        <is>
          <t>EUR</t>
        </is>
      </c>
      <c r="L2347" s="42" t="n">
        <v>368000</v>
      </c>
    </row>
    <row r="2348">
      <c r="B2348" s="39" t="inlineStr">
        <is>
          <t>PIGIER_LYO</t>
        </is>
      </c>
      <c r="C2348" s="40" t="inlineStr">
        <is>
          <t>BAC_RH</t>
        </is>
      </c>
      <c r="D2348" s="40" t="inlineStr">
        <is>
          <t>B1</t>
        </is>
      </c>
      <c r="E2348" s="40" t="inlineStr">
        <is>
          <t>ALT</t>
        </is>
      </c>
      <c r="F2348" s="40" t="inlineStr">
        <is>
          <t>708500</t>
        </is>
      </c>
      <c r="G2348" s="39" t="inlineStr">
        <is>
          <t>Frais de dossier / inscription</t>
        </is>
      </c>
      <c r="H2348" s="40" t="inlineStr">
        <is>
          <t>COMPTABLE</t>
        </is>
      </c>
      <c r="I2348" s="41" t="inlineStr">
        <is>
          <t>2023ACT_VDEF</t>
        </is>
      </c>
      <c r="J2348" s="41" t="n">
        <v>2023</v>
      </c>
      <c r="K2348" s="41" t="inlineStr">
        <is>
          <t>EUR</t>
        </is>
      </c>
      <c r="L2348" s="42" t="n">
        <v>3726</v>
      </c>
    </row>
    <row r="2349">
      <c r="B2349" s="39" t="inlineStr">
        <is>
          <t>PIGIER_LYO</t>
        </is>
      </c>
      <c r="C2349" s="40" t="inlineStr">
        <is>
          <t>BAC_RH</t>
        </is>
      </c>
      <c r="D2349" s="40" t="inlineStr">
        <is>
          <t>B1</t>
        </is>
      </c>
      <c r="E2349" s="40" t="inlineStr">
        <is>
          <t>ALT</t>
        </is>
      </c>
      <c r="F2349" s="40" t="inlineStr">
        <is>
          <t>708500</t>
        </is>
      </c>
      <c r="G2349" s="39" t="inlineStr">
        <is>
          <t>Frais de dossier / inscription</t>
        </is>
      </c>
      <c r="H2349" s="40" t="inlineStr">
        <is>
          <t>COMPTABLE</t>
        </is>
      </c>
      <c r="I2349" s="41" t="inlineStr">
        <is>
          <t>2024ACT_VDEF</t>
        </is>
      </c>
      <c r="J2349" s="41" t="n">
        <v>2024</v>
      </c>
      <c r="K2349" s="41" t="inlineStr">
        <is>
          <t>EUR</t>
        </is>
      </c>
      <c r="L2349" s="42" t="n">
        <v>3933</v>
      </c>
    </row>
    <row r="2350">
      <c r="B2350" s="39" t="inlineStr">
        <is>
          <t>PIGIER_LYO</t>
        </is>
      </c>
      <c r="C2350" s="40" t="inlineStr">
        <is>
          <t>BAC_RH</t>
        </is>
      </c>
      <c r="D2350" s="40" t="inlineStr">
        <is>
          <t>B1</t>
        </is>
      </c>
      <c r="E2350" s="40" t="inlineStr">
        <is>
          <t>ALT</t>
        </is>
      </c>
      <c r="F2350" s="40" t="inlineStr">
        <is>
          <t>708500</t>
        </is>
      </c>
      <c r="G2350" s="39" t="inlineStr">
        <is>
          <t>Frais de dossier / inscription</t>
        </is>
      </c>
      <c r="H2350" s="40" t="inlineStr">
        <is>
          <t>COMPTABLE</t>
        </is>
      </c>
      <c r="I2350" s="41" t="inlineStr">
        <is>
          <t>2025FCST_V4</t>
        </is>
      </c>
      <c r="J2350" s="41" t="n">
        <v>2025</v>
      </c>
      <c r="K2350" s="41" t="inlineStr">
        <is>
          <t>EUR</t>
        </is>
      </c>
      <c r="L2350" s="42" t="n">
        <v>4140</v>
      </c>
    </row>
    <row r="2351">
      <c r="B2351" s="39" t="inlineStr">
        <is>
          <t>PIGIER_LYO</t>
        </is>
      </c>
      <c r="C2351" s="40" t="inlineStr">
        <is>
          <t>BAC_RH</t>
        </is>
      </c>
      <c r="D2351" s="40" t="inlineStr">
        <is>
          <t>B1</t>
        </is>
      </c>
      <c r="E2351" s="40" t="inlineStr">
        <is>
          <t>ALT</t>
        </is>
      </c>
      <c r="F2351" s="40" t="inlineStr">
        <is>
          <t>604100</t>
        </is>
      </c>
      <c r="G2351" s="39" t="inlineStr">
        <is>
          <t>Vacations &amp; sous-traitance pédagogique</t>
        </is>
      </c>
      <c r="H2351" s="40" t="inlineStr">
        <is>
          <t>COMPTABLE</t>
        </is>
      </c>
      <c r="I2351" s="41" t="inlineStr">
        <is>
          <t>2023ACT_VDEF</t>
        </is>
      </c>
      <c r="J2351" s="41" t="n">
        <v>2023</v>
      </c>
      <c r="K2351" s="41" t="inlineStr">
        <is>
          <t>EUR</t>
        </is>
      </c>
      <c r="L2351" s="42" t="n">
        <v>62640</v>
      </c>
    </row>
    <row r="2352">
      <c r="B2352" s="39" t="inlineStr">
        <is>
          <t>PIGIER_LYO</t>
        </is>
      </c>
      <c r="C2352" s="40" t="inlineStr">
        <is>
          <t>BAC_RH</t>
        </is>
      </c>
      <c r="D2352" s="40" t="inlineStr">
        <is>
          <t>B1</t>
        </is>
      </c>
      <c r="E2352" s="40" t="inlineStr">
        <is>
          <t>ALT</t>
        </is>
      </c>
      <c r="F2352" s="40" t="inlineStr">
        <is>
          <t>604100</t>
        </is>
      </c>
      <c r="G2352" s="39" t="inlineStr">
        <is>
          <t>Vacations &amp; sous-traitance pédagogique</t>
        </is>
      </c>
      <c r="H2352" s="40" t="inlineStr">
        <is>
          <t>COMPTABLE</t>
        </is>
      </c>
      <c r="I2352" s="41" t="inlineStr">
        <is>
          <t>2024ACT_VDEF</t>
        </is>
      </c>
      <c r="J2352" s="41" t="n">
        <v>2024</v>
      </c>
      <c r="K2352" s="41" t="inlineStr">
        <is>
          <t>EUR</t>
        </is>
      </c>
      <c r="L2352" s="42" t="n">
        <v>66120</v>
      </c>
    </row>
    <row r="2353">
      <c r="B2353" s="39" t="inlineStr">
        <is>
          <t>PIGIER_LYO</t>
        </is>
      </c>
      <c r="C2353" s="40" t="inlineStr">
        <is>
          <t>BAC_RH</t>
        </is>
      </c>
      <c r="D2353" s="40" t="inlineStr">
        <is>
          <t>B1</t>
        </is>
      </c>
      <c r="E2353" s="40" t="inlineStr">
        <is>
          <t>ALT</t>
        </is>
      </c>
      <c r="F2353" s="40" t="inlineStr">
        <is>
          <t>604100</t>
        </is>
      </c>
      <c r="G2353" s="39" t="inlineStr">
        <is>
          <t>Vacations &amp; sous-traitance pédagogique</t>
        </is>
      </c>
      <c r="H2353" s="40" t="inlineStr">
        <is>
          <t>COMPTABLE</t>
        </is>
      </c>
      <c r="I2353" s="41" t="inlineStr">
        <is>
          <t>2025FCST_V4</t>
        </is>
      </c>
      <c r="J2353" s="41" t="n">
        <v>2025</v>
      </c>
      <c r="K2353" s="41" t="inlineStr">
        <is>
          <t>EUR</t>
        </is>
      </c>
      <c r="L2353" s="42" t="n">
        <v>69600</v>
      </c>
    </row>
    <row r="2354">
      <c r="B2354" s="39" t="inlineStr">
        <is>
          <t>PIGIER_LYO</t>
        </is>
      </c>
      <c r="C2354" s="40" t="inlineStr">
        <is>
          <t>BAC_RH</t>
        </is>
      </c>
      <c r="D2354" s="40" t="inlineStr">
        <is>
          <t>B1</t>
        </is>
      </c>
      <c r="E2354" s="40" t="inlineStr">
        <is>
          <t>ALT</t>
        </is>
      </c>
      <c r="F2354" s="40" t="inlineStr">
        <is>
          <t>606300</t>
        </is>
      </c>
      <c r="G2354" s="39" t="inlineStr">
        <is>
          <t>Fournitures &amp; ressources pédagogiques</t>
        </is>
      </c>
      <c r="H2354" s="40" t="inlineStr">
        <is>
          <t>COMPTABLE</t>
        </is>
      </c>
      <c r="I2354" s="41" t="inlineStr">
        <is>
          <t>2023ACT_VDEF</t>
        </is>
      </c>
      <c r="J2354" s="41" t="n">
        <v>2023</v>
      </c>
      <c r="K2354" s="41" t="inlineStr">
        <is>
          <t>EUR</t>
        </is>
      </c>
      <c r="L2354" s="42" t="n">
        <v>15732</v>
      </c>
    </row>
    <row r="2355">
      <c r="B2355" s="39" t="inlineStr">
        <is>
          <t>PIGIER_LYO</t>
        </is>
      </c>
      <c r="C2355" s="40" t="inlineStr">
        <is>
          <t>BAC_RH</t>
        </is>
      </c>
      <c r="D2355" s="40" t="inlineStr">
        <is>
          <t>B1</t>
        </is>
      </c>
      <c r="E2355" s="40" t="inlineStr">
        <is>
          <t>ALT</t>
        </is>
      </c>
      <c r="F2355" s="40" t="inlineStr">
        <is>
          <t>606300</t>
        </is>
      </c>
      <c r="G2355" s="39" t="inlineStr">
        <is>
          <t>Fournitures &amp; ressources pédagogiques</t>
        </is>
      </c>
      <c r="H2355" s="40" t="inlineStr">
        <is>
          <t>COMPTABLE</t>
        </is>
      </c>
      <c r="I2355" s="41" t="inlineStr">
        <is>
          <t>2024ACT_VDEF</t>
        </is>
      </c>
      <c r="J2355" s="41" t="n">
        <v>2024</v>
      </c>
      <c r="K2355" s="41" t="inlineStr">
        <is>
          <t>EUR</t>
        </is>
      </c>
      <c r="L2355" s="42" t="n">
        <v>16606</v>
      </c>
    </row>
    <row r="2356">
      <c r="B2356" s="39" t="inlineStr">
        <is>
          <t>PIGIER_LYO</t>
        </is>
      </c>
      <c r="C2356" s="40" t="inlineStr">
        <is>
          <t>BAC_RH</t>
        </is>
      </c>
      <c r="D2356" s="40" t="inlineStr">
        <is>
          <t>B1</t>
        </is>
      </c>
      <c r="E2356" s="40" t="inlineStr">
        <is>
          <t>ALT</t>
        </is>
      </c>
      <c r="F2356" s="40" t="inlineStr">
        <is>
          <t>606300</t>
        </is>
      </c>
      <c r="G2356" s="39" t="inlineStr">
        <is>
          <t>Fournitures &amp; ressources pédagogiques</t>
        </is>
      </c>
      <c r="H2356" s="40" t="inlineStr">
        <is>
          <t>COMPTABLE</t>
        </is>
      </c>
      <c r="I2356" s="41" t="inlineStr">
        <is>
          <t>2025FCST_V4</t>
        </is>
      </c>
      <c r="J2356" s="41" t="n">
        <v>2025</v>
      </c>
      <c r="K2356" s="41" t="inlineStr">
        <is>
          <t>EUR</t>
        </is>
      </c>
      <c r="L2356" s="42" t="n">
        <v>17480</v>
      </c>
    </row>
    <row r="2357">
      <c r="B2357" s="39" t="inlineStr">
        <is>
          <t>PIGIER_LYO</t>
        </is>
      </c>
      <c r="C2357" s="40" t="inlineStr">
        <is>
          <t>BAC_RH</t>
        </is>
      </c>
      <c r="D2357" s="40" t="inlineStr">
        <is>
          <t>B1</t>
        </is>
      </c>
      <c r="E2357" s="40" t="inlineStr">
        <is>
          <t>ALT</t>
        </is>
      </c>
      <c r="F2357" s="40" t="inlineStr">
        <is>
          <t>623000</t>
        </is>
      </c>
      <c r="G2357" s="39" t="inlineStr">
        <is>
          <t>Publicité &amp; marketing (acquisition)</t>
        </is>
      </c>
      <c r="H2357" s="40" t="inlineStr">
        <is>
          <t>COMPTABLE</t>
        </is>
      </c>
      <c r="I2357" s="41" t="inlineStr">
        <is>
          <t>2023ACT_VDEF</t>
        </is>
      </c>
      <c r="J2357" s="41" t="n">
        <v>2023</v>
      </c>
      <c r="K2357" s="41" t="inlineStr">
        <is>
          <t>EUR</t>
        </is>
      </c>
      <c r="L2357" s="42" t="n">
        <v>13248</v>
      </c>
    </row>
    <row r="2358">
      <c r="B2358" s="39" t="inlineStr">
        <is>
          <t>PIGIER_LYO</t>
        </is>
      </c>
      <c r="C2358" s="40" t="inlineStr">
        <is>
          <t>BAC_RH</t>
        </is>
      </c>
      <c r="D2358" s="40" t="inlineStr">
        <is>
          <t>B1</t>
        </is>
      </c>
      <c r="E2358" s="40" t="inlineStr">
        <is>
          <t>ALT</t>
        </is>
      </c>
      <c r="F2358" s="40" t="inlineStr">
        <is>
          <t>623000</t>
        </is>
      </c>
      <c r="G2358" s="39" t="inlineStr">
        <is>
          <t>Publicité &amp; marketing (acquisition)</t>
        </is>
      </c>
      <c r="H2358" s="40" t="inlineStr">
        <is>
          <t>COMPTABLE</t>
        </is>
      </c>
      <c r="I2358" s="41" t="inlineStr">
        <is>
          <t>2024ACT_VDEF</t>
        </is>
      </c>
      <c r="J2358" s="41" t="n">
        <v>2024</v>
      </c>
      <c r="K2358" s="41" t="inlineStr">
        <is>
          <t>EUR</t>
        </is>
      </c>
      <c r="L2358" s="42" t="n">
        <v>13984</v>
      </c>
    </row>
    <row r="2359">
      <c r="B2359" s="39" t="inlineStr">
        <is>
          <t>PIGIER_LYO</t>
        </is>
      </c>
      <c r="C2359" s="40" t="inlineStr">
        <is>
          <t>BAC_RH</t>
        </is>
      </c>
      <c r="D2359" s="40" t="inlineStr">
        <is>
          <t>B1</t>
        </is>
      </c>
      <c r="E2359" s="40" t="inlineStr">
        <is>
          <t>ALT</t>
        </is>
      </c>
      <c r="F2359" s="40" t="inlineStr">
        <is>
          <t>623000</t>
        </is>
      </c>
      <c r="G2359" s="39" t="inlineStr">
        <is>
          <t>Publicité &amp; marketing (acquisition)</t>
        </is>
      </c>
      <c r="H2359" s="40" t="inlineStr">
        <is>
          <t>COMPTABLE</t>
        </is>
      </c>
      <c r="I2359" s="41" t="inlineStr">
        <is>
          <t>2025FCST_V4</t>
        </is>
      </c>
      <c r="J2359" s="41" t="n">
        <v>2025</v>
      </c>
      <c r="K2359" s="41" t="inlineStr">
        <is>
          <t>EUR</t>
        </is>
      </c>
      <c r="L2359" s="42" t="n">
        <v>14720</v>
      </c>
    </row>
    <row r="2360">
      <c r="B2360" s="39" t="inlineStr">
        <is>
          <t>PIGIER_LYO</t>
        </is>
      </c>
      <c r="C2360" s="40" t="inlineStr">
        <is>
          <t>BAC_RH</t>
        </is>
      </c>
      <c r="D2360" s="40" t="inlineStr">
        <is>
          <t>B1</t>
        </is>
      </c>
      <c r="E2360" s="40" t="inlineStr">
        <is>
          <t>ALT</t>
        </is>
      </c>
      <c r="F2360" s="40" t="inlineStr">
        <is>
          <t>613200</t>
        </is>
      </c>
      <c r="G2360" s="39" t="inlineStr">
        <is>
          <t>Locations immobilières (loyers)</t>
        </is>
      </c>
      <c r="H2360" s="40" t="inlineStr">
        <is>
          <t>COMPTABLE</t>
        </is>
      </c>
      <c r="I2360" s="41" t="inlineStr">
        <is>
          <t>2023ACT_VDEF</t>
        </is>
      </c>
      <c r="J2360" s="41" t="n">
        <v>2023</v>
      </c>
      <c r="K2360" s="41" t="inlineStr">
        <is>
          <t>EUR</t>
        </is>
      </c>
      <c r="L2360" s="42" t="n">
        <v>27900</v>
      </c>
    </row>
    <row r="2361">
      <c r="B2361" s="39" t="inlineStr">
        <is>
          <t>PIGIER_LYO</t>
        </is>
      </c>
      <c r="C2361" s="40" t="inlineStr">
        <is>
          <t>BAC_RH</t>
        </is>
      </c>
      <c r="D2361" s="40" t="inlineStr">
        <is>
          <t>B1</t>
        </is>
      </c>
      <c r="E2361" s="40" t="inlineStr">
        <is>
          <t>ALT</t>
        </is>
      </c>
      <c r="F2361" s="40" t="inlineStr">
        <is>
          <t>613200</t>
        </is>
      </c>
      <c r="G2361" s="39" t="inlineStr">
        <is>
          <t>Locations immobilières (loyers)</t>
        </is>
      </c>
      <c r="H2361" s="40" t="inlineStr">
        <is>
          <t>COMPTABLE</t>
        </is>
      </c>
      <c r="I2361" s="41" t="inlineStr">
        <is>
          <t>2024ACT_VDEF</t>
        </is>
      </c>
      <c r="J2361" s="41" t="n">
        <v>2024</v>
      </c>
      <c r="K2361" s="41" t="inlineStr">
        <is>
          <t>EUR</t>
        </is>
      </c>
      <c r="L2361" s="42" t="n">
        <v>29450</v>
      </c>
    </row>
    <row r="2362">
      <c r="B2362" s="39" t="inlineStr">
        <is>
          <t>PIGIER_LYO</t>
        </is>
      </c>
      <c r="C2362" s="40" t="inlineStr">
        <is>
          <t>BAC_RH</t>
        </is>
      </c>
      <c r="D2362" s="40" t="inlineStr">
        <is>
          <t>B1</t>
        </is>
      </c>
      <c r="E2362" s="40" t="inlineStr">
        <is>
          <t>ALT</t>
        </is>
      </c>
      <c r="F2362" s="40" t="inlineStr">
        <is>
          <t>613200</t>
        </is>
      </c>
      <c r="G2362" s="39" t="inlineStr">
        <is>
          <t>Locations immobilières (loyers)</t>
        </is>
      </c>
      <c r="H2362" s="40" t="inlineStr">
        <is>
          <t>COMPTABLE</t>
        </is>
      </c>
      <c r="I2362" s="41" t="inlineStr">
        <is>
          <t>2025FCST_V4</t>
        </is>
      </c>
      <c r="J2362" s="41" t="n">
        <v>2025</v>
      </c>
      <c r="K2362" s="41" t="inlineStr">
        <is>
          <t>EUR</t>
        </is>
      </c>
      <c r="L2362" s="42" t="n">
        <v>31000</v>
      </c>
    </row>
    <row r="2363">
      <c r="B2363" s="39" t="inlineStr">
        <is>
          <t>PIGIER_LYO</t>
        </is>
      </c>
      <c r="C2363" s="40" t="inlineStr">
        <is>
          <t>BAC_RH</t>
        </is>
      </c>
      <c r="D2363" s="40" t="inlineStr">
        <is>
          <t>B1</t>
        </is>
      </c>
      <c r="E2363" s="40" t="inlineStr">
        <is>
          <t>ALT</t>
        </is>
      </c>
      <c r="F2363" s="40" t="inlineStr">
        <is>
          <t>641100</t>
        </is>
      </c>
      <c r="G2363" s="39" t="inlineStr">
        <is>
          <t>Rémunérations du personnel permanent</t>
        </is>
      </c>
      <c r="H2363" s="40" t="inlineStr">
        <is>
          <t>COMPTABLE</t>
        </is>
      </c>
      <c r="I2363" s="41" t="inlineStr">
        <is>
          <t>2023ACT_VDEF</t>
        </is>
      </c>
      <c r="J2363" s="41" t="n">
        <v>2023</v>
      </c>
      <c r="K2363" s="41" t="inlineStr">
        <is>
          <t>EUR</t>
        </is>
      </c>
      <c r="L2363" s="42" t="n">
        <v>78300</v>
      </c>
    </row>
    <row r="2364">
      <c r="B2364" s="39" t="inlineStr">
        <is>
          <t>PIGIER_LYO</t>
        </is>
      </c>
      <c r="C2364" s="40" t="inlineStr">
        <is>
          <t>BAC_RH</t>
        </is>
      </c>
      <c r="D2364" s="40" t="inlineStr">
        <is>
          <t>B1</t>
        </is>
      </c>
      <c r="E2364" s="40" t="inlineStr">
        <is>
          <t>ALT</t>
        </is>
      </c>
      <c r="F2364" s="40" t="inlineStr">
        <is>
          <t>641100</t>
        </is>
      </c>
      <c r="G2364" s="39" t="inlineStr">
        <is>
          <t>Rémunérations du personnel permanent</t>
        </is>
      </c>
      <c r="H2364" s="40" t="inlineStr">
        <is>
          <t>COMPTABLE</t>
        </is>
      </c>
      <c r="I2364" s="41" t="inlineStr">
        <is>
          <t>2024ACT_VDEF</t>
        </is>
      </c>
      <c r="J2364" s="41" t="n">
        <v>2024</v>
      </c>
      <c r="K2364" s="41" t="inlineStr">
        <is>
          <t>EUR</t>
        </is>
      </c>
      <c r="L2364" s="42" t="n">
        <v>82650</v>
      </c>
    </row>
    <row r="2365">
      <c r="B2365" s="39" t="inlineStr">
        <is>
          <t>PIGIER_LYO</t>
        </is>
      </c>
      <c r="C2365" s="40" t="inlineStr">
        <is>
          <t>BAC_RH</t>
        </is>
      </c>
      <c r="D2365" s="40" t="inlineStr">
        <is>
          <t>B1</t>
        </is>
      </c>
      <c r="E2365" s="40" t="inlineStr">
        <is>
          <t>ALT</t>
        </is>
      </c>
      <c r="F2365" s="40" t="inlineStr">
        <is>
          <t>641100</t>
        </is>
      </c>
      <c r="G2365" s="39" t="inlineStr">
        <is>
          <t>Rémunérations du personnel permanent</t>
        </is>
      </c>
      <c r="H2365" s="40" t="inlineStr">
        <is>
          <t>COMPTABLE</t>
        </is>
      </c>
      <c r="I2365" s="41" t="inlineStr">
        <is>
          <t>2025FCST_V4</t>
        </is>
      </c>
      <c r="J2365" s="41" t="n">
        <v>2025</v>
      </c>
      <c r="K2365" s="41" t="inlineStr">
        <is>
          <t>EUR</t>
        </is>
      </c>
      <c r="L2365" s="42" t="n">
        <v>87000</v>
      </c>
    </row>
    <row r="2366">
      <c r="B2366" s="39" t="inlineStr">
        <is>
          <t>PIGIER_LYO</t>
        </is>
      </c>
      <c r="C2366" s="40" t="inlineStr">
        <is>
          <t>BAC_RH</t>
        </is>
      </c>
      <c r="D2366" s="40" t="inlineStr">
        <is>
          <t>B1</t>
        </is>
      </c>
      <c r="E2366" s="40" t="inlineStr">
        <is>
          <t>ALT</t>
        </is>
      </c>
      <c r="F2366" s="40" t="inlineStr">
        <is>
          <t>622600</t>
        </is>
      </c>
      <c r="G2366" s="39" t="inlineStr">
        <is>
          <t>Honoraires &amp; frais de siège (structure groupe)</t>
        </is>
      </c>
      <c r="H2366" s="40" t="inlineStr">
        <is>
          <t>COMPTABLE</t>
        </is>
      </c>
      <c r="I2366" s="41" t="inlineStr">
        <is>
          <t>2023ACT_VDEF</t>
        </is>
      </c>
      <c r="J2366" s="41" t="n">
        <v>2023</v>
      </c>
      <c r="K2366" s="41" t="inlineStr">
        <is>
          <t>EUR</t>
        </is>
      </c>
      <c r="L2366" s="42" t="n">
        <v>25455</v>
      </c>
    </row>
    <row r="2367">
      <c r="B2367" s="39" t="inlineStr">
        <is>
          <t>PIGIER_LYO</t>
        </is>
      </c>
      <c r="C2367" s="40" t="inlineStr">
        <is>
          <t>BAC_RH</t>
        </is>
      </c>
      <c r="D2367" s="40" t="inlineStr">
        <is>
          <t>B1</t>
        </is>
      </c>
      <c r="E2367" s="40" t="inlineStr">
        <is>
          <t>ALT</t>
        </is>
      </c>
      <c r="F2367" s="40" t="inlineStr">
        <is>
          <t>622600</t>
        </is>
      </c>
      <c r="G2367" s="39" t="inlineStr">
        <is>
          <t>Honoraires &amp; frais de siège (structure groupe)</t>
        </is>
      </c>
      <c r="H2367" s="40" t="inlineStr">
        <is>
          <t>COMPTABLE</t>
        </is>
      </c>
      <c r="I2367" s="41" t="inlineStr">
        <is>
          <t>2024ACT_VDEF</t>
        </is>
      </c>
      <c r="J2367" s="41" t="n">
        <v>2024</v>
      </c>
      <c r="K2367" s="41" t="inlineStr">
        <is>
          <t>EUR</t>
        </is>
      </c>
      <c r="L2367" s="42" t="n">
        <v>26869</v>
      </c>
    </row>
    <row r="2368">
      <c r="B2368" s="39" t="inlineStr">
        <is>
          <t>PIGIER_LYO</t>
        </is>
      </c>
      <c r="C2368" s="40" t="inlineStr">
        <is>
          <t>BAC_RH</t>
        </is>
      </c>
      <c r="D2368" s="40" t="inlineStr">
        <is>
          <t>B1</t>
        </is>
      </c>
      <c r="E2368" s="40" t="inlineStr">
        <is>
          <t>ALT</t>
        </is>
      </c>
      <c r="F2368" s="40" t="inlineStr">
        <is>
          <t>622600</t>
        </is>
      </c>
      <c r="G2368" s="39" t="inlineStr">
        <is>
          <t>Honoraires &amp; frais de siège (structure groupe)</t>
        </is>
      </c>
      <c r="H2368" s="40" t="inlineStr">
        <is>
          <t>COMPTABLE</t>
        </is>
      </c>
      <c r="I2368" s="41" t="inlineStr">
        <is>
          <t>2025FCST_V4</t>
        </is>
      </c>
      <c r="J2368" s="41" t="n">
        <v>2025</v>
      </c>
      <c r="K2368" s="41" t="inlineStr">
        <is>
          <t>EUR</t>
        </is>
      </c>
      <c r="L2368" s="42" t="n">
        <v>28283</v>
      </c>
    </row>
    <row r="2369">
      <c r="B2369" s="39" t="inlineStr">
        <is>
          <t>PIGIER_LYO</t>
        </is>
      </c>
      <c r="C2369" s="40" t="inlineStr">
        <is>
          <t>BAC_RH</t>
        </is>
      </c>
      <c r="D2369" s="40" t="inlineStr">
        <is>
          <t>B1</t>
        </is>
      </c>
      <c r="E2369" s="40" t="inlineStr">
        <is>
          <t>ALT</t>
        </is>
      </c>
      <c r="F2369" s="40" t="inlineStr">
        <is>
          <t>606800</t>
        </is>
      </c>
      <c r="G2369" s="39" t="inlineStr">
        <is>
          <t>Autres achats &amp; charges externes</t>
        </is>
      </c>
      <c r="H2369" s="40" t="inlineStr">
        <is>
          <t>COMPTABLE</t>
        </is>
      </c>
      <c r="I2369" s="41" t="inlineStr">
        <is>
          <t>2023ACT_VDEF</t>
        </is>
      </c>
      <c r="J2369" s="41" t="n">
        <v>2023</v>
      </c>
      <c r="K2369" s="41" t="inlineStr">
        <is>
          <t>EUR</t>
        </is>
      </c>
      <c r="L2369" s="42" t="n">
        <v>38668</v>
      </c>
    </row>
    <row r="2370">
      <c r="B2370" s="39" t="inlineStr">
        <is>
          <t>PIGIER_LYO</t>
        </is>
      </c>
      <c r="C2370" s="40" t="inlineStr">
        <is>
          <t>BAC_RH</t>
        </is>
      </c>
      <c r="D2370" s="40" t="inlineStr">
        <is>
          <t>B1</t>
        </is>
      </c>
      <c r="E2370" s="40" t="inlineStr">
        <is>
          <t>ALT</t>
        </is>
      </c>
      <c r="F2370" s="40" t="inlineStr">
        <is>
          <t>606800</t>
        </is>
      </c>
      <c r="G2370" s="39" t="inlineStr">
        <is>
          <t>Autres achats &amp; charges externes</t>
        </is>
      </c>
      <c r="H2370" s="40" t="inlineStr">
        <is>
          <t>COMPTABLE</t>
        </is>
      </c>
      <c r="I2370" s="41" t="inlineStr">
        <is>
          <t>2024ACT_VDEF</t>
        </is>
      </c>
      <c r="J2370" s="41" t="n">
        <v>2024</v>
      </c>
      <c r="K2370" s="41" t="inlineStr">
        <is>
          <t>EUR</t>
        </is>
      </c>
      <c r="L2370" s="42" t="n">
        <v>40816</v>
      </c>
    </row>
    <row r="2371">
      <c r="B2371" s="39" t="inlineStr">
        <is>
          <t>PIGIER_LYO</t>
        </is>
      </c>
      <c r="C2371" s="40" t="inlineStr">
        <is>
          <t>BAC_RH</t>
        </is>
      </c>
      <c r="D2371" s="40" t="inlineStr">
        <is>
          <t>B1</t>
        </is>
      </c>
      <c r="E2371" s="40" t="inlineStr">
        <is>
          <t>ALT</t>
        </is>
      </c>
      <c r="F2371" s="40" t="inlineStr">
        <is>
          <t>606800</t>
        </is>
      </c>
      <c r="G2371" s="39" t="inlineStr">
        <is>
          <t>Autres achats &amp; charges externes</t>
        </is>
      </c>
      <c r="H2371" s="40" t="inlineStr">
        <is>
          <t>COMPTABLE</t>
        </is>
      </c>
      <c r="I2371" s="41" t="inlineStr">
        <is>
          <t>2025FCST_V4</t>
        </is>
      </c>
      <c r="J2371" s="41" t="n">
        <v>2025</v>
      </c>
      <c r="K2371" s="41" t="inlineStr">
        <is>
          <t>EUR</t>
        </is>
      </c>
      <c r="L2371" s="42" t="n">
        <v>42964</v>
      </c>
    </row>
    <row r="2372">
      <c r="B2372" s="39" t="inlineStr">
        <is>
          <t>PIGIER_LYO</t>
        </is>
      </c>
      <c r="C2372" s="40" t="inlineStr">
        <is>
          <t>BAC_RH</t>
        </is>
      </c>
      <c r="D2372" s="40" t="inlineStr">
        <is>
          <t>B1</t>
        </is>
      </c>
      <c r="E2372" s="40" t="inlineStr">
        <is>
          <t>ALT</t>
        </is>
      </c>
      <c r="F2372" s="40" t="inlineStr">
        <is>
          <t>681100</t>
        </is>
      </c>
      <c r="G2372" s="39" t="inlineStr">
        <is>
          <t>Dotations aux amortissements</t>
        </is>
      </c>
      <c r="H2372" s="40" t="inlineStr">
        <is>
          <t>COMPTABLE</t>
        </is>
      </c>
      <c r="I2372" s="41" t="inlineStr">
        <is>
          <t>2023ACT_VDEF</t>
        </is>
      </c>
      <c r="J2372" s="41" t="n">
        <v>2023</v>
      </c>
      <c r="K2372" s="41" t="inlineStr">
        <is>
          <t>EUR</t>
        </is>
      </c>
      <c r="L2372" s="42" t="n">
        <v>15300</v>
      </c>
    </row>
    <row r="2373">
      <c r="B2373" s="39" t="inlineStr">
        <is>
          <t>PIGIER_LYO</t>
        </is>
      </c>
      <c r="C2373" s="40" t="inlineStr">
        <is>
          <t>BAC_RH</t>
        </is>
      </c>
      <c r="D2373" s="40" t="inlineStr">
        <is>
          <t>B1</t>
        </is>
      </c>
      <c r="E2373" s="40" t="inlineStr">
        <is>
          <t>ALT</t>
        </is>
      </c>
      <c r="F2373" s="40" t="inlineStr">
        <is>
          <t>681100</t>
        </is>
      </c>
      <c r="G2373" s="39" t="inlineStr">
        <is>
          <t>Dotations aux amortissements</t>
        </is>
      </c>
      <c r="H2373" s="40" t="inlineStr">
        <is>
          <t>COMPTABLE</t>
        </is>
      </c>
      <c r="I2373" s="41" t="inlineStr">
        <is>
          <t>2024ACT_VDEF</t>
        </is>
      </c>
      <c r="J2373" s="41" t="n">
        <v>2024</v>
      </c>
      <c r="K2373" s="41" t="inlineStr">
        <is>
          <t>EUR</t>
        </is>
      </c>
      <c r="L2373" s="42" t="n">
        <v>16150</v>
      </c>
    </row>
    <row r="2374">
      <c r="B2374" s="39" t="inlineStr">
        <is>
          <t>PIGIER_LYO</t>
        </is>
      </c>
      <c r="C2374" s="40" t="inlineStr">
        <is>
          <t>BAC_RH</t>
        </is>
      </c>
      <c r="D2374" s="40" t="inlineStr">
        <is>
          <t>B1</t>
        </is>
      </c>
      <c r="E2374" s="40" t="inlineStr">
        <is>
          <t>ALT</t>
        </is>
      </c>
      <c r="F2374" s="40" t="inlineStr">
        <is>
          <t>681100</t>
        </is>
      </c>
      <c r="G2374" s="39" t="inlineStr">
        <is>
          <t>Dotations aux amortissements</t>
        </is>
      </c>
      <c r="H2374" s="40" t="inlineStr">
        <is>
          <t>COMPTABLE</t>
        </is>
      </c>
      <c r="I2374" s="41" t="inlineStr">
        <is>
          <t>2025FCST_V4</t>
        </is>
      </c>
      <c r="J2374" s="41" t="n">
        <v>2025</v>
      </c>
      <c r="K2374" s="41" t="inlineStr">
        <is>
          <t>EUR</t>
        </is>
      </c>
      <c r="L2374" s="42" t="n">
        <v>17000</v>
      </c>
    </row>
    <row r="2375">
      <c r="B2375" s="39" t="inlineStr">
        <is>
          <t>PIGIER_LYO</t>
        </is>
      </c>
      <c r="C2375" s="40" t="inlineStr">
        <is>
          <t>BAC_RH</t>
        </is>
      </c>
      <c r="D2375" s="40" t="inlineStr">
        <is>
          <t>B1</t>
        </is>
      </c>
      <c r="E2375" s="40" t="inlineStr">
        <is>
          <t>ALT</t>
        </is>
      </c>
      <c r="F2375" s="40" t="inlineStr">
        <is>
          <t>STA_EFF</t>
        </is>
      </c>
      <c r="G2375" s="39" t="inlineStr">
        <is>
          <t>Effectif inscrit</t>
        </is>
      </c>
      <c r="H2375" s="40" t="inlineStr">
        <is>
          <t>TECHNIQUE</t>
        </is>
      </c>
      <c r="I2375" s="41" t="inlineStr">
        <is>
          <t>2023ACT_VDEF</t>
        </is>
      </c>
      <c r="J2375" s="41" t="n">
        <v>2023</v>
      </c>
      <c r="K2375" s="41" t="inlineStr">
        <is>
          <t>NB</t>
        </is>
      </c>
      <c r="L2375" s="43" t="n">
        <v>41</v>
      </c>
    </row>
    <row r="2376">
      <c r="B2376" s="39" t="inlineStr">
        <is>
          <t>PIGIER_LYO</t>
        </is>
      </c>
      <c r="C2376" s="40" t="inlineStr">
        <is>
          <t>BAC_RH</t>
        </is>
      </c>
      <c r="D2376" s="40" t="inlineStr">
        <is>
          <t>B1</t>
        </is>
      </c>
      <c r="E2376" s="40" t="inlineStr">
        <is>
          <t>ALT</t>
        </is>
      </c>
      <c r="F2376" s="40" t="inlineStr">
        <is>
          <t>STA_EFF</t>
        </is>
      </c>
      <c r="G2376" s="39" t="inlineStr">
        <is>
          <t>Effectif inscrit</t>
        </is>
      </c>
      <c r="H2376" s="40" t="inlineStr">
        <is>
          <t>TECHNIQUE</t>
        </is>
      </c>
      <c r="I2376" s="41" t="inlineStr">
        <is>
          <t>2024ACT_VDEF</t>
        </is>
      </c>
      <c r="J2376" s="41" t="n">
        <v>2024</v>
      </c>
      <c r="K2376" s="41" t="inlineStr">
        <is>
          <t>NB</t>
        </is>
      </c>
      <c r="L2376" s="43" t="n">
        <v>44</v>
      </c>
    </row>
    <row r="2377">
      <c r="B2377" s="39" t="inlineStr">
        <is>
          <t>PIGIER_LYO</t>
        </is>
      </c>
      <c r="C2377" s="40" t="inlineStr">
        <is>
          <t>BAC_RH</t>
        </is>
      </c>
      <c r="D2377" s="40" t="inlineStr">
        <is>
          <t>B1</t>
        </is>
      </c>
      <c r="E2377" s="40" t="inlineStr">
        <is>
          <t>ALT</t>
        </is>
      </c>
      <c r="F2377" s="40" t="inlineStr">
        <is>
          <t>STA_EFF</t>
        </is>
      </c>
      <c r="G2377" s="39" t="inlineStr">
        <is>
          <t>Effectif inscrit</t>
        </is>
      </c>
      <c r="H2377" s="40" t="inlineStr">
        <is>
          <t>TECHNIQUE</t>
        </is>
      </c>
      <c r="I2377" s="41" t="inlineStr">
        <is>
          <t>2025FCST_V4</t>
        </is>
      </c>
      <c r="J2377" s="41" t="n">
        <v>2025</v>
      </c>
      <c r="K2377" s="41" t="inlineStr">
        <is>
          <t>NB</t>
        </is>
      </c>
      <c r="L2377" s="43" t="n">
        <v>46</v>
      </c>
    </row>
    <row r="2378">
      <c r="B2378" s="39" t="inlineStr">
        <is>
          <t>PIGIER_LYO</t>
        </is>
      </c>
      <c r="C2378" s="40" t="inlineStr">
        <is>
          <t>BAC_RH</t>
        </is>
      </c>
      <c r="D2378" s="40" t="inlineStr">
        <is>
          <t>B1</t>
        </is>
      </c>
      <c r="E2378" s="40" t="inlineStr">
        <is>
          <t>ALT</t>
        </is>
      </c>
      <c r="F2378" s="40" t="inlineStr">
        <is>
          <t>STA_CAND</t>
        </is>
      </c>
      <c r="G2378" s="39" t="inlineStr">
        <is>
          <t>Candidatures reçues</t>
        </is>
      </c>
      <c r="H2378" s="40" t="inlineStr">
        <is>
          <t>TECHNIQUE</t>
        </is>
      </c>
      <c r="I2378" s="41" t="inlineStr">
        <is>
          <t>2023ACT_VDEF</t>
        </is>
      </c>
      <c r="J2378" s="41" t="n">
        <v>2023</v>
      </c>
      <c r="K2378" s="41" t="inlineStr">
        <is>
          <t>NB</t>
        </is>
      </c>
      <c r="L2378" s="43" t="n">
        <v>112</v>
      </c>
    </row>
    <row r="2379">
      <c r="B2379" s="39" t="inlineStr">
        <is>
          <t>PIGIER_LYO</t>
        </is>
      </c>
      <c r="C2379" s="40" t="inlineStr">
        <is>
          <t>BAC_RH</t>
        </is>
      </c>
      <c r="D2379" s="40" t="inlineStr">
        <is>
          <t>B1</t>
        </is>
      </c>
      <c r="E2379" s="40" t="inlineStr">
        <is>
          <t>ALT</t>
        </is>
      </c>
      <c r="F2379" s="40" t="inlineStr">
        <is>
          <t>STA_CAND</t>
        </is>
      </c>
      <c r="G2379" s="39" t="inlineStr">
        <is>
          <t>Candidatures reçues</t>
        </is>
      </c>
      <c r="H2379" s="40" t="inlineStr">
        <is>
          <t>TECHNIQUE</t>
        </is>
      </c>
      <c r="I2379" s="41" t="inlineStr">
        <is>
          <t>2024ACT_VDEF</t>
        </is>
      </c>
      <c r="J2379" s="41" t="n">
        <v>2024</v>
      </c>
      <c r="K2379" s="41" t="inlineStr">
        <is>
          <t>NB</t>
        </is>
      </c>
      <c r="L2379" s="43" t="n">
        <v>118</v>
      </c>
    </row>
    <row r="2380">
      <c r="B2380" s="39" t="inlineStr">
        <is>
          <t>PIGIER_LYO</t>
        </is>
      </c>
      <c r="C2380" s="40" t="inlineStr">
        <is>
          <t>BAC_RH</t>
        </is>
      </c>
      <c r="D2380" s="40" t="inlineStr">
        <is>
          <t>B1</t>
        </is>
      </c>
      <c r="E2380" s="40" t="inlineStr">
        <is>
          <t>ALT</t>
        </is>
      </c>
      <c r="F2380" s="40" t="inlineStr">
        <is>
          <t>STA_CAND</t>
        </is>
      </c>
      <c r="G2380" s="39" t="inlineStr">
        <is>
          <t>Candidatures reçues</t>
        </is>
      </c>
      <c r="H2380" s="40" t="inlineStr">
        <is>
          <t>TECHNIQUE</t>
        </is>
      </c>
      <c r="I2380" s="41" t="inlineStr">
        <is>
          <t>2025FCST_V4</t>
        </is>
      </c>
      <c r="J2380" s="41" t="n">
        <v>2025</v>
      </c>
      <c r="K2380" s="41" t="inlineStr">
        <is>
          <t>NB</t>
        </is>
      </c>
      <c r="L2380" s="43" t="n">
        <v>124</v>
      </c>
    </row>
    <row r="2381">
      <c r="B2381" s="39" t="inlineStr">
        <is>
          <t>PIGIER_LYO</t>
        </is>
      </c>
      <c r="C2381" s="40" t="inlineStr">
        <is>
          <t>BAC_RH</t>
        </is>
      </c>
      <c r="D2381" s="40" t="inlineStr">
        <is>
          <t>B1</t>
        </is>
      </c>
      <c r="E2381" s="40" t="inlineStr">
        <is>
          <t>ALT</t>
        </is>
      </c>
      <c r="F2381" s="40" t="inlineStr">
        <is>
          <t>STA_ADMIS</t>
        </is>
      </c>
      <c r="G2381" s="39" t="inlineStr">
        <is>
          <t>Candidats admis</t>
        </is>
      </c>
      <c r="H2381" s="40" t="inlineStr">
        <is>
          <t>TECHNIQUE</t>
        </is>
      </c>
      <c r="I2381" s="41" t="inlineStr">
        <is>
          <t>2023ACT_VDEF</t>
        </is>
      </c>
      <c r="J2381" s="41" t="n">
        <v>2023</v>
      </c>
      <c r="K2381" s="41" t="inlineStr">
        <is>
          <t>NB</t>
        </is>
      </c>
      <c r="L2381" s="43" t="n">
        <v>69</v>
      </c>
    </row>
    <row r="2382">
      <c r="B2382" s="39" t="inlineStr">
        <is>
          <t>PIGIER_LYO</t>
        </is>
      </c>
      <c r="C2382" s="40" t="inlineStr">
        <is>
          <t>BAC_RH</t>
        </is>
      </c>
      <c r="D2382" s="40" t="inlineStr">
        <is>
          <t>B1</t>
        </is>
      </c>
      <c r="E2382" s="40" t="inlineStr">
        <is>
          <t>ALT</t>
        </is>
      </c>
      <c r="F2382" s="40" t="inlineStr">
        <is>
          <t>STA_ADMIS</t>
        </is>
      </c>
      <c r="G2382" s="39" t="inlineStr">
        <is>
          <t>Candidats admis</t>
        </is>
      </c>
      <c r="H2382" s="40" t="inlineStr">
        <is>
          <t>TECHNIQUE</t>
        </is>
      </c>
      <c r="I2382" s="41" t="inlineStr">
        <is>
          <t>2024ACT_VDEF</t>
        </is>
      </c>
      <c r="J2382" s="41" t="n">
        <v>2024</v>
      </c>
      <c r="K2382" s="41" t="inlineStr">
        <is>
          <t>NB</t>
        </is>
      </c>
      <c r="L2382" s="43" t="n">
        <v>73</v>
      </c>
    </row>
    <row r="2383">
      <c r="B2383" s="39" t="inlineStr">
        <is>
          <t>PIGIER_LYO</t>
        </is>
      </c>
      <c r="C2383" s="40" t="inlineStr">
        <is>
          <t>BAC_RH</t>
        </is>
      </c>
      <c r="D2383" s="40" t="inlineStr">
        <is>
          <t>B1</t>
        </is>
      </c>
      <c r="E2383" s="40" t="inlineStr">
        <is>
          <t>ALT</t>
        </is>
      </c>
      <c r="F2383" s="40" t="inlineStr">
        <is>
          <t>STA_ADMIS</t>
        </is>
      </c>
      <c r="G2383" s="39" t="inlineStr">
        <is>
          <t>Candidats admis</t>
        </is>
      </c>
      <c r="H2383" s="40" t="inlineStr">
        <is>
          <t>TECHNIQUE</t>
        </is>
      </c>
      <c r="I2383" s="41" t="inlineStr">
        <is>
          <t>2025FCST_V4</t>
        </is>
      </c>
      <c r="J2383" s="41" t="n">
        <v>2025</v>
      </c>
      <c r="K2383" s="41" t="inlineStr">
        <is>
          <t>NB</t>
        </is>
      </c>
      <c r="L2383" s="43" t="n">
        <v>77</v>
      </c>
    </row>
    <row r="2384">
      <c r="B2384" s="39" t="inlineStr">
        <is>
          <t>PIGIER_LYO</t>
        </is>
      </c>
      <c r="C2384" s="40" t="inlineStr">
        <is>
          <t>BAC_RH</t>
        </is>
      </c>
      <c r="D2384" s="40" t="inlineStr">
        <is>
          <t>B1</t>
        </is>
      </c>
      <c r="E2384" s="40" t="inlineStr">
        <is>
          <t>ALT</t>
        </is>
      </c>
      <c r="F2384" s="40" t="inlineStr">
        <is>
          <t>STA_NOUV</t>
        </is>
      </c>
      <c r="G2384" s="39" t="inlineStr">
        <is>
          <t>Nouveaux inscrits</t>
        </is>
      </c>
      <c r="H2384" s="40" t="inlineStr">
        <is>
          <t>TECHNIQUE</t>
        </is>
      </c>
      <c r="I2384" s="41" t="inlineStr">
        <is>
          <t>2023ACT_VDEF</t>
        </is>
      </c>
      <c r="J2384" s="41" t="n">
        <v>2023</v>
      </c>
      <c r="K2384" s="41" t="inlineStr">
        <is>
          <t>NB</t>
        </is>
      </c>
      <c r="L2384" s="43" t="n">
        <v>41</v>
      </c>
    </row>
    <row r="2385">
      <c r="B2385" s="39" t="inlineStr">
        <is>
          <t>PIGIER_LYO</t>
        </is>
      </c>
      <c r="C2385" s="40" t="inlineStr">
        <is>
          <t>BAC_RH</t>
        </is>
      </c>
      <c r="D2385" s="40" t="inlineStr">
        <is>
          <t>B1</t>
        </is>
      </c>
      <c r="E2385" s="40" t="inlineStr">
        <is>
          <t>ALT</t>
        </is>
      </c>
      <c r="F2385" s="40" t="inlineStr">
        <is>
          <t>STA_NOUV</t>
        </is>
      </c>
      <c r="G2385" s="39" t="inlineStr">
        <is>
          <t>Nouveaux inscrits</t>
        </is>
      </c>
      <c r="H2385" s="40" t="inlineStr">
        <is>
          <t>TECHNIQUE</t>
        </is>
      </c>
      <c r="I2385" s="41" t="inlineStr">
        <is>
          <t>2024ACT_VDEF</t>
        </is>
      </c>
      <c r="J2385" s="41" t="n">
        <v>2024</v>
      </c>
      <c r="K2385" s="41" t="inlineStr">
        <is>
          <t>NB</t>
        </is>
      </c>
      <c r="L2385" s="43" t="n">
        <v>44</v>
      </c>
    </row>
    <row r="2386">
      <c r="B2386" s="39" t="inlineStr">
        <is>
          <t>PIGIER_LYO</t>
        </is>
      </c>
      <c r="C2386" s="40" t="inlineStr">
        <is>
          <t>BAC_RH</t>
        </is>
      </c>
      <c r="D2386" s="40" t="inlineStr">
        <is>
          <t>B1</t>
        </is>
      </c>
      <c r="E2386" s="40" t="inlineStr">
        <is>
          <t>ALT</t>
        </is>
      </c>
      <c r="F2386" s="40" t="inlineStr">
        <is>
          <t>STA_NOUV</t>
        </is>
      </c>
      <c r="G2386" s="39" t="inlineStr">
        <is>
          <t>Nouveaux inscrits</t>
        </is>
      </c>
      <c r="H2386" s="40" t="inlineStr">
        <is>
          <t>TECHNIQUE</t>
        </is>
      </c>
      <c r="I2386" s="41" t="inlineStr">
        <is>
          <t>2025FCST_V4</t>
        </is>
      </c>
      <c r="J2386" s="41" t="n">
        <v>2025</v>
      </c>
      <c r="K2386" s="41" t="inlineStr">
        <is>
          <t>NB</t>
        </is>
      </c>
      <c r="L2386" s="43" t="n">
        <v>46</v>
      </c>
    </row>
    <row r="2387">
      <c r="B2387" s="39" t="inlineStr">
        <is>
          <t>PIGIER_LYO</t>
        </is>
      </c>
      <c r="C2387" s="40" t="inlineStr">
        <is>
          <t>BAC_RH</t>
        </is>
      </c>
      <c r="D2387" s="40" t="inlineStr">
        <is>
          <t>B1</t>
        </is>
      </c>
      <c r="E2387" s="40" t="inlineStr">
        <is>
          <t>ALT</t>
        </is>
      </c>
      <c r="F2387" s="40" t="inlineStr">
        <is>
          <t>STA_CLASS</t>
        </is>
      </c>
      <c r="G2387" s="39" t="inlineStr">
        <is>
          <t>Nombre de classes</t>
        </is>
      </c>
      <c r="H2387" s="40" t="inlineStr">
        <is>
          <t>TECHNIQUE</t>
        </is>
      </c>
      <c r="I2387" s="41" t="inlineStr">
        <is>
          <t>2023ACT_VDEF</t>
        </is>
      </c>
      <c r="J2387" s="41" t="n">
        <v>2023</v>
      </c>
      <c r="K2387" s="41" t="inlineStr">
        <is>
          <t>NB</t>
        </is>
      </c>
      <c r="L2387" s="43" t="n">
        <v>2</v>
      </c>
    </row>
    <row r="2388">
      <c r="B2388" s="39" t="inlineStr">
        <is>
          <t>PIGIER_LYO</t>
        </is>
      </c>
      <c r="C2388" s="40" t="inlineStr">
        <is>
          <t>BAC_RH</t>
        </is>
      </c>
      <c r="D2388" s="40" t="inlineStr">
        <is>
          <t>B1</t>
        </is>
      </c>
      <c r="E2388" s="40" t="inlineStr">
        <is>
          <t>ALT</t>
        </is>
      </c>
      <c r="F2388" s="40" t="inlineStr">
        <is>
          <t>STA_CLASS</t>
        </is>
      </c>
      <c r="G2388" s="39" t="inlineStr">
        <is>
          <t>Nombre de classes</t>
        </is>
      </c>
      <c r="H2388" s="40" t="inlineStr">
        <is>
          <t>TECHNIQUE</t>
        </is>
      </c>
      <c r="I2388" s="41" t="inlineStr">
        <is>
          <t>2024ACT_VDEF</t>
        </is>
      </c>
      <c r="J2388" s="41" t="n">
        <v>2024</v>
      </c>
      <c r="K2388" s="41" t="inlineStr">
        <is>
          <t>NB</t>
        </is>
      </c>
      <c r="L2388" s="43" t="n">
        <v>2</v>
      </c>
    </row>
    <row r="2389">
      <c r="B2389" s="39" t="inlineStr">
        <is>
          <t>PIGIER_LYO</t>
        </is>
      </c>
      <c r="C2389" s="40" t="inlineStr">
        <is>
          <t>BAC_RH</t>
        </is>
      </c>
      <c r="D2389" s="40" t="inlineStr">
        <is>
          <t>B1</t>
        </is>
      </c>
      <c r="E2389" s="40" t="inlineStr">
        <is>
          <t>ALT</t>
        </is>
      </c>
      <c r="F2389" s="40" t="inlineStr">
        <is>
          <t>STA_CLASS</t>
        </is>
      </c>
      <c r="G2389" s="39" t="inlineStr">
        <is>
          <t>Nombre de classes</t>
        </is>
      </c>
      <c r="H2389" s="40" t="inlineStr">
        <is>
          <t>TECHNIQUE</t>
        </is>
      </c>
      <c r="I2389" s="41" t="inlineStr">
        <is>
          <t>2025FCST_V4</t>
        </is>
      </c>
      <c r="J2389" s="41" t="n">
        <v>2025</v>
      </c>
      <c r="K2389" s="41" t="inlineStr">
        <is>
          <t>NB</t>
        </is>
      </c>
      <c r="L2389" s="43" t="n">
        <v>2</v>
      </c>
    </row>
    <row r="2390">
      <c r="B2390" s="39" t="inlineStr">
        <is>
          <t>PIGIER_LYO</t>
        </is>
      </c>
      <c r="C2390" s="40" t="inlineStr">
        <is>
          <t>BAC_RH</t>
        </is>
      </c>
      <c r="D2390" s="40" t="inlineStr">
        <is>
          <t>B1</t>
        </is>
      </c>
      <c r="E2390" s="40" t="inlineStr">
        <is>
          <t>ALT</t>
        </is>
      </c>
      <c r="F2390" s="40" t="inlineStr">
        <is>
          <t>STA_HEURE</t>
        </is>
      </c>
      <c r="G2390" s="39" t="inlineStr">
        <is>
          <t>Heures d'enseignement</t>
        </is>
      </c>
      <c r="H2390" s="40" t="inlineStr">
        <is>
          <t>TECHNIQUE</t>
        </is>
      </c>
      <c r="I2390" s="41" t="inlineStr">
        <is>
          <t>2023ACT_VDEF</t>
        </is>
      </c>
      <c r="J2390" s="41" t="n">
        <v>2023</v>
      </c>
      <c r="K2390" s="41" t="inlineStr">
        <is>
          <t>NB</t>
        </is>
      </c>
      <c r="L2390" s="43" t="n">
        <v>1080</v>
      </c>
    </row>
    <row r="2391">
      <c r="B2391" s="39" t="inlineStr">
        <is>
          <t>PIGIER_LYO</t>
        </is>
      </c>
      <c r="C2391" s="40" t="inlineStr">
        <is>
          <t>BAC_RH</t>
        </is>
      </c>
      <c r="D2391" s="40" t="inlineStr">
        <is>
          <t>B1</t>
        </is>
      </c>
      <c r="E2391" s="40" t="inlineStr">
        <is>
          <t>ALT</t>
        </is>
      </c>
      <c r="F2391" s="40" t="inlineStr">
        <is>
          <t>STA_HEURE</t>
        </is>
      </c>
      <c r="G2391" s="39" t="inlineStr">
        <is>
          <t>Heures d'enseignement</t>
        </is>
      </c>
      <c r="H2391" s="40" t="inlineStr">
        <is>
          <t>TECHNIQUE</t>
        </is>
      </c>
      <c r="I2391" s="41" t="inlineStr">
        <is>
          <t>2024ACT_VDEF</t>
        </is>
      </c>
      <c r="J2391" s="41" t="n">
        <v>2024</v>
      </c>
      <c r="K2391" s="41" t="inlineStr">
        <is>
          <t>NB</t>
        </is>
      </c>
      <c r="L2391" s="43" t="n">
        <v>1140</v>
      </c>
    </row>
    <row r="2392">
      <c r="B2392" s="39" t="inlineStr">
        <is>
          <t>PIGIER_LYO</t>
        </is>
      </c>
      <c r="C2392" s="40" t="inlineStr">
        <is>
          <t>BAC_RH</t>
        </is>
      </c>
      <c r="D2392" s="40" t="inlineStr">
        <is>
          <t>B1</t>
        </is>
      </c>
      <c r="E2392" s="40" t="inlineStr">
        <is>
          <t>ALT</t>
        </is>
      </c>
      <c r="F2392" s="40" t="inlineStr">
        <is>
          <t>STA_HEURE</t>
        </is>
      </c>
      <c r="G2392" s="39" t="inlineStr">
        <is>
          <t>Heures d'enseignement</t>
        </is>
      </c>
      <c r="H2392" s="40" t="inlineStr">
        <is>
          <t>TECHNIQUE</t>
        </is>
      </c>
      <c r="I2392" s="41" t="inlineStr">
        <is>
          <t>2025FCST_V4</t>
        </is>
      </c>
      <c r="J2392" s="41" t="n">
        <v>2025</v>
      </c>
      <c r="K2392" s="41" t="inlineStr">
        <is>
          <t>NB</t>
        </is>
      </c>
      <c r="L2392" s="43" t="n">
        <v>1200</v>
      </c>
    </row>
    <row r="2393">
      <c r="B2393" s="39" t="inlineStr">
        <is>
          <t>PIGIER_LYO</t>
        </is>
      </c>
      <c r="C2393" s="40" t="inlineStr">
        <is>
          <t>BAC_RH</t>
        </is>
      </c>
      <c r="D2393" s="40" t="inlineStr">
        <is>
          <t>B1</t>
        </is>
      </c>
      <c r="E2393" s="40" t="inlineStr">
        <is>
          <t>ALT</t>
        </is>
      </c>
      <c r="F2393" s="40" t="inlineStr">
        <is>
          <t>STA_CAPA</t>
        </is>
      </c>
      <c r="G2393" s="39" t="inlineStr">
        <is>
          <t>Capacité par classe</t>
        </is>
      </c>
      <c r="H2393" s="40" t="inlineStr">
        <is>
          <t>TECHNIQUE</t>
        </is>
      </c>
      <c r="I2393" s="41" t="inlineStr">
        <is>
          <t>2023ACT_VDEF</t>
        </is>
      </c>
      <c r="J2393" s="41" t="n">
        <v>2023</v>
      </c>
      <c r="K2393" s="41" t="inlineStr">
        <is>
          <t>NB</t>
        </is>
      </c>
      <c r="L2393" s="43" t="n">
        <v>32</v>
      </c>
    </row>
    <row r="2394">
      <c r="B2394" s="39" t="inlineStr">
        <is>
          <t>PIGIER_LYO</t>
        </is>
      </c>
      <c r="C2394" s="40" t="inlineStr">
        <is>
          <t>BAC_RH</t>
        </is>
      </c>
      <c r="D2394" s="40" t="inlineStr">
        <is>
          <t>B1</t>
        </is>
      </c>
      <c r="E2394" s="40" t="inlineStr">
        <is>
          <t>ALT</t>
        </is>
      </c>
      <c r="F2394" s="40" t="inlineStr">
        <is>
          <t>STA_CAPA</t>
        </is>
      </c>
      <c r="G2394" s="39" t="inlineStr">
        <is>
          <t>Capacité par classe</t>
        </is>
      </c>
      <c r="H2394" s="40" t="inlineStr">
        <is>
          <t>TECHNIQUE</t>
        </is>
      </c>
      <c r="I2394" s="41" t="inlineStr">
        <is>
          <t>2024ACT_VDEF</t>
        </is>
      </c>
      <c r="J2394" s="41" t="n">
        <v>2024</v>
      </c>
      <c r="K2394" s="41" t="inlineStr">
        <is>
          <t>NB</t>
        </is>
      </c>
      <c r="L2394" s="43" t="n">
        <v>32</v>
      </c>
    </row>
    <row r="2395">
      <c r="B2395" s="39" t="inlineStr">
        <is>
          <t>PIGIER_LYO</t>
        </is>
      </c>
      <c r="C2395" s="40" t="inlineStr">
        <is>
          <t>BAC_RH</t>
        </is>
      </c>
      <c r="D2395" s="40" t="inlineStr">
        <is>
          <t>B1</t>
        </is>
      </c>
      <c r="E2395" s="40" t="inlineStr">
        <is>
          <t>ALT</t>
        </is>
      </c>
      <c r="F2395" s="40" t="inlineStr">
        <is>
          <t>STA_CAPA</t>
        </is>
      </c>
      <c r="G2395" s="39" t="inlineStr">
        <is>
          <t>Capacité par classe</t>
        </is>
      </c>
      <c r="H2395" s="40" t="inlineStr">
        <is>
          <t>TECHNIQUE</t>
        </is>
      </c>
      <c r="I2395" s="41" t="inlineStr">
        <is>
          <t>2025FCST_V4</t>
        </is>
      </c>
      <c r="J2395" s="41" t="n">
        <v>2025</v>
      </c>
      <c r="K2395" s="41" t="inlineStr">
        <is>
          <t>NB</t>
        </is>
      </c>
      <c r="L2395" s="43" t="n">
        <v>32</v>
      </c>
    </row>
    <row r="2396">
      <c r="B2396" s="39" t="inlineStr">
        <is>
          <t>PIGIER_LYO</t>
        </is>
      </c>
      <c r="C2396" s="40" t="inlineStr">
        <is>
          <t>BAC_RH</t>
        </is>
      </c>
      <c r="D2396" s="40" t="inlineStr">
        <is>
          <t>B1</t>
        </is>
      </c>
      <c r="E2396" s="40" t="inlineStr">
        <is>
          <t>ALT</t>
        </is>
      </c>
      <c r="F2396" s="40" t="inlineStr">
        <is>
          <t>DRV_CONV</t>
        </is>
      </c>
      <c r="G2396" s="39" t="inlineStr">
        <is>
          <t>Taux de conversion candidat→inscrit</t>
        </is>
      </c>
      <c r="H2396" s="40" t="inlineStr">
        <is>
          <t>TECHNIQUE</t>
        </is>
      </c>
      <c r="I2396" s="41" t="inlineStr">
        <is>
          <t>2023ACT_VDEF</t>
        </is>
      </c>
      <c r="J2396" s="41" t="n">
        <v>2023</v>
      </c>
      <c r="K2396" s="41" t="inlineStr">
        <is>
          <t>PCT</t>
        </is>
      </c>
      <c r="L2396" s="44" t="n">
        <v>0.371</v>
      </c>
    </row>
    <row r="2397">
      <c r="B2397" s="39" t="inlineStr">
        <is>
          <t>PIGIER_LYO</t>
        </is>
      </c>
      <c r="C2397" s="40" t="inlineStr">
        <is>
          <t>BAC_RH</t>
        </is>
      </c>
      <c r="D2397" s="40" t="inlineStr">
        <is>
          <t>B1</t>
        </is>
      </c>
      <c r="E2397" s="40" t="inlineStr">
        <is>
          <t>ALT</t>
        </is>
      </c>
      <c r="F2397" s="40" t="inlineStr">
        <is>
          <t>DRV_CONV</t>
        </is>
      </c>
      <c r="G2397" s="39" t="inlineStr">
        <is>
          <t>Taux de conversion candidat→inscrit</t>
        </is>
      </c>
      <c r="H2397" s="40" t="inlineStr">
        <is>
          <t>TECHNIQUE</t>
        </is>
      </c>
      <c r="I2397" s="41" t="inlineStr">
        <is>
          <t>2024ACT_VDEF</t>
        </is>
      </c>
      <c r="J2397" s="41" t="n">
        <v>2024</v>
      </c>
      <c r="K2397" s="41" t="inlineStr">
        <is>
          <t>PCT</t>
        </is>
      </c>
      <c r="L2397" s="44" t="n">
        <v>0.371</v>
      </c>
    </row>
    <row r="2398">
      <c r="B2398" s="39" t="inlineStr">
        <is>
          <t>PIGIER_LYO</t>
        </is>
      </c>
      <c r="C2398" s="40" t="inlineStr">
        <is>
          <t>BAC_RH</t>
        </is>
      </c>
      <c r="D2398" s="40" t="inlineStr">
        <is>
          <t>B1</t>
        </is>
      </c>
      <c r="E2398" s="40" t="inlineStr">
        <is>
          <t>ALT</t>
        </is>
      </c>
      <c r="F2398" s="40" t="inlineStr">
        <is>
          <t>DRV_CONV</t>
        </is>
      </c>
      <c r="G2398" s="39" t="inlineStr">
        <is>
          <t>Taux de conversion candidat→inscrit</t>
        </is>
      </c>
      <c r="H2398" s="40" t="inlineStr">
        <is>
          <t>TECHNIQUE</t>
        </is>
      </c>
      <c r="I2398" s="41" t="inlineStr">
        <is>
          <t>2025FCST_V4</t>
        </is>
      </c>
      <c r="J2398" s="41" t="n">
        <v>2025</v>
      </c>
      <c r="K2398" s="41" t="inlineStr">
        <is>
          <t>PCT</t>
        </is>
      </c>
      <c r="L2398" s="44" t="n">
        <v>0.371</v>
      </c>
    </row>
    <row r="2399">
      <c r="B2399" s="39" t="inlineStr">
        <is>
          <t>PIGIER_LYO</t>
        </is>
      </c>
      <c r="C2399" s="40" t="inlineStr">
        <is>
          <t>BAC_RH</t>
        </is>
      </c>
      <c r="D2399" s="40" t="inlineStr">
        <is>
          <t>B1</t>
        </is>
      </c>
      <c r="E2399" s="40" t="inlineStr">
        <is>
          <t>ALT</t>
        </is>
      </c>
      <c r="F2399" s="40" t="inlineStr">
        <is>
          <t>PRX_TARIF</t>
        </is>
      </c>
      <c r="G2399" s="39" t="inlineStr">
        <is>
          <t>Tarif moyen scolarité</t>
        </is>
      </c>
      <c r="H2399" s="40" t="inlineStr">
        <is>
          <t>TECHNIQUE</t>
        </is>
      </c>
      <c r="I2399" s="41" t="inlineStr">
        <is>
          <t>2023ACT_VDEF</t>
        </is>
      </c>
      <c r="J2399" s="41" t="n">
        <v>2023</v>
      </c>
      <c r="K2399" s="41" t="inlineStr">
        <is>
          <t>EUR</t>
        </is>
      </c>
      <c r="L2399" s="42" t="n">
        <v>8000</v>
      </c>
    </row>
    <row r="2400">
      <c r="B2400" s="39" t="inlineStr">
        <is>
          <t>PIGIER_LYO</t>
        </is>
      </c>
      <c r="C2400" s="40" t="inlineStr">
        <is>
          <t>BAC_RH</t>
        </is>
      </c>
      <c r="D2400" s="40" t="inlineStr">
        <is>
          <t>B1</t>
        </is>
      </c>
      <c r="E2400" s="40" t="inlineStr">
        <is>
          <t>ALT</t>
        </is>
      </c>
      <c r="F2400" s="40" t="inlineStr">
        <is>
          <t>PRX_TARIF</t>
        </is>
      </c>
      <c r="G2400" s="39" t="inlineStr">
        <is>
          <t>Tarif moyen scolarité</t>
        </is>
      </c>
      <c r="H2400" s="40" t="inlineStr">
        <is>
          <t>TECHNIQUE</t>
        </is>
      </c>
      <c r="I2400" s="41" t="inlineStr">
        <is>
          <t>2024ACT_VDEF</t>
        </is>
      </c>
      <c r="J2400" s="41" t="n">
        <v>2024</v>
      </c>
      <c r="K2400" s="41" t="inlineStr">
        <is>
          <t>EUR</t>
        </is>
      </c>
      <c r="L2400" s="42" t="n">
        <v>8000</v>
      </c>
    </row>
    <row r="2401">
      <c r="B2401" s="39" t="inlineStr">
        <is>
          <t>PIGIER_LYO</t>
        </is>
      </c>
      <c r="C2401" s="40" t="inlineStr">
        <is>
          <t>BAC_RH</t>
        </is>
      </c>
      <c r="D2401" s="40" t="inlineStr">
        <is>
          <t>B1</t>
        </is>
      </c>
      <c r="E2401" s="40" t="inlineStr">
        <is>
          <t>ALT</t>
        </is>
      </c>
      <c r="F2401" s="40" t="inlineStr">
        <is>
          <t>PRX_TARIF</t>
        </is>
      </c>
      <c r="G2401" s="39" t="inlineStr">
        <is>
          <t>Tarif moyen scolarité</t>
        </is>
      </c>
      <c r="H2401" s="40" t="inlineStr">
        <is>
          <t>TECHNIQUE</t>
        </is>
      </c>
      <c r="I2401" s="41" t="inlineStr">
        <is>
          <t>2025FCST_V4</t>
        </is>
      </c>
      <c r="J2401" s="41" t="n">
        <v>2025</v>
      </c>
      <c r="K2401" s="41" t="inlineStr">
        <is>
          <t>EUR</t>
        </is>
      </c>
      <c r="L2401" s="42" t="n">
        <v>8000</v>
      </c>
    </row>
    <row r="2402">
      <c r="B2402" s="39" t="inlineStr">
        <is>
          <t>PIGIER_LYO</t>
        </is>
      </c>
      <c r="C2402" s="40" t="inlineStr">
        <is>
          <t>BAC_RH</t>
        </is>
      </c>
      <c r="D2402" s="40" t="inlineStr">
        <is>
          <t>B1</t>
        </is>
      </c>
      <c r="E2402" s="40" t="inlineStr">
        <is>
          <t>ALT</t>
        </is>
      </c>
      <c r="F2402" s="40" t="inlineStr">
        <is>
          <t>CAC_LEAD</t>
        </is>
      </c>
      <c r="G2402" s="39" t="inlineStr">
        <is>
          <t>Coût d'acquisition par lead</t>
        </is>
      </c>
      <c r="H2402" s="40" t="inlineStr">
        <is>
          <t>TECHNIQUE</t>
        </is>
      </c>
      <c r="I2402" s="41" t="inlineStr">
        <is>
          <t>2023ACT_VDEF</t>
        </is>
      </c>
      <c r="J2402" s="41" t="n">
        <v>2023</v>
      </c>
      <c r="K2402" s="41" t="inlineStr">
        <is>
          <t>EUR</t>
        </is>
      </c>
      <c r="L2402" s="42" t="n">
        <v>320</v>
      </c>
    </row>
    <row r="2403">
      <c r="B2403" s="39" t="inlineStr">
        <is>
          <t>PIGIER_LYO</t>
        </is>
      </c>
      <c r="C2403" s="40" t="inlineStr">
        <is>
          <t>BAC_RH</t>
        </is>
      </c>
      <c r="D2403" s="40" t="inlineStr">
        <is>
          <t>B1</t>
        </is>
      </c>
      <c r="E2403" s="40" t="inlineStr">
        <is>
          <t>ALT</t>
        </is>
      </c>
      <c r="F2403" s="40" t="inlineStr">
        <is>
          <t>CAC_LEAD</t>
        </is>
      </c>
      <c r="G2403" s="39" t="inlineStr">
        <is>
          <t>Coût d'acquisition par lead</t>
        </is>
      </c>
      <c r="H2403" s="40" t="inlineStr">
        <is>
          <t>TECHNIQUE</t>
        </is>
      </c>
      <c r="I2403" s="41" t="inlineStr">
        <is>
          <t>2024ACT_VDEF</t>
        </is>
      </c>
      <c r="J2403" s="41" t="n">
        <v>2024</v>
      </c>
      <c r="K2403" s="41" t="inlineStr">
        <is>
          <t>EUR</t>
        </is>
      </c>
      <c r="L2403" s="42" t="n">
        <v>320</v>
      </c>
    </row>
    <row r="2404">
      <c r="B2404" s="39" t="inlineStr">
        <is>
          <t>PIGIER_LYO</t>
        </is>
      </c>
      <c r="C2404" s="40" t="inlineStr">
        <is>
          <t>BAC_RH</t>
        </is>
      </c>
      <c r="D2404" s="40" t="inlineStr">
        <is>
          <t>B1</t>
        </is>
      </c>
      <c r="E2404" s="40" t="inlineStr">
        <is>
          <t>ALT</t>
        </is>
      </c>
      <c r="F2404" s="40" t="inlineStr">
        <is>
          <t>CAC_LEAD</t>
        </is>
      </c>
      <c r="G2404" s="39" t="inlineStr">
        <is>
          <t>Coût d'acquisition par lead</t>
        </is>
      </c>
      <c r="H2404" s="40" t="inlineStr">
        <is>
          <t>TECHNIQUE</t>
        </is>
      </c>
      <c r="I2404" s="41" t="inlineStr">
        <is>
          <t>2025FCST_V4</t>
        </is>
      </c>
      <c r="J2404" s="41" t="n">
        <v>2025</v>
      </c>
      <c r="K2404" s="41" t="inlineStr">
        <is>
          <t>EUR</t>
        </is>
      </c>
      <c r="L2404" s="42" t="n">
        <v>320</v>
      </c>
    </row>
    <row r="2405">
      <c r="B2405" s="39" t="inlineStr">
        <is>
          <t>PIGIER_LYO</t>
        </is>
      </c>
      <c r="C2405" s="40" t="inlineStr">
        <is>
          <t>BAC_RH</t>
        </is>
      </c>
      <c r="D2405" s="40" t="inlineStr">
        <is>
          <t>B3</t>
        </is>
      </c>
      <c r="E2405" s="40" t="inlineStr">
        <is>
          <t>ALT</t>
        </is>
      </c>
      <c r="F2405" s="40" t="inlineStr">
        <is>
          <t>706100</t>
        </is>
      </c>
      <c r="G2405" s="39" t="inlineStr">
        <is>
          <t>Droits de scolarité</t>
        </is>
      </c>
      <c r="H2405" s="40" t="inlineStr">
        <is>
          <t>COMPTABLE</t>
        </is>
      </c>
      <c r="I2405" s="41" t="inlineStr">
        <is>
          <t>2023ACT_VDEF</t>
        </is>
      </c>
      <c r="J2405" s="41" t="n">
        <v>2023</v>
      </c>
      <c r="K2405" s="41" t="inlineStr">
        <is>
          <t>EUR</t>
        </is>
      </c>
      <c r="L2405" s="42" t="n">
        <v>244800</v>
      </c>
    </row>
    <row r="2406">
      <c r="B2406" s="39" t="inlineStr">
        <is>
          <t>PIGIER_LYO</t>
        </is>
      </c>
      <c r="C2406" s="40" t="inlineStr">
        <is>
          <t>BAC_RH</t>
        </is>
      </c>
      <c r="D2406" s="40" t="inlineStr">
        <is>
          <t>B3</t>
        </is>
      </c>
      <c r="E2406" s="40" t="inlineStr">
        <is>
          <t>ALT</t>
        </is>
      </c>
      <c r="F2406" s="40" t="inlineStr">
        <is>
          <t>706100</t>
        </is>
      </c>
      <c r="G2406" s="39" t="inlineStr">
        <is>
          <t>Droits de scolarité</t>
        </is>
      </c>
      <c r="H2406" s="40" t="inlineStr">
        <is>
          <t>COMPTABLE</t>
        </is>
      </c>
      <c r="I2406" s="41" t="inlineStr">
        <is>
          <t>2024ACT_VDEF</t>
        </is>
      </c>
      <c r="J2406" s="41" t="n">
        <v>2024</v>
      </c>
      <c r="K2406" s="41" t="inlineStr">
        <is>
          <t>EUR</t>
        </is>
      </c>
      <c r="L2406" s="42" t="n">
        <v>258400</v>
      </c>
    </row>
    <row r="2407">
      <c r="B2407" s="39" t="inlineStr">
        <is>
          <t>PIGIER_LYO</t>
        </is>
      </c>
      <c r="C2407" s="40" t="inlineStr">
        <is>
          <t>BAC_RH</t>
        </is>
      </c>
      <c r="D2407" s="40" t="inlineStr">
        <is>
          <t>B3</t>
        </is>
      </c>
      <c r="E2407" s="40" t="inlineStr">
        <is>
          <t>ALT</t>
        </is>
      </c>
      <c r="F2407" s="40" t="inlineStr">
        <is>
          <t>706100</t>
        </is>
      </c>
      <c r="G2407" s="39" t="inlineStr">
        <is>
          <t>Droits de scolarité</t>
        </is>
      </c>
      <c r="H2407" s="40" t="inlineStr">
        <is>
          <t>COMPTABLE</t>
        </is>
      </c>
      <c r="I2407" s="41" t="inlineStr">
        <is>
          <t>2025FCST_V4</t>
        </is>
      </c>
      <c r="J2407" s="41" t="n">
        <v>2025</v>
      </c>
      <c r="K2407" s="41" t="inlineStr">
        <is>
          <t>EUR</t>
        </is>
      </c>
      <c r="L2407" s="42" t="n">
        <v>272000</v>
      </c>
    </row>
    <row r="2408">
      <c r="B2408" s="39" t="inlineStr">
        <is>
          <t>PIGIER_LYO</t>
        </is>
      </c>
      <c r="C2408" s="40" t="inlineStr">
        <is>
          <t>BAC_RH</t>
        </is>
      </c>
      <c r="D2408" s="40" t="inlineStr">
        <is>
          <t>B3</t>
        </is>
      </c>
      <c r="E2408" s="40" t="inlineStr">
        <is>
          <t>ALT</t>
        </is>
      </c>
      <c r="F2408" s="40" t="inlineStr">
        <is>
          <t>604100</t>
        </is>
      </c>
      <c r="G2408" s="39" t="inlineStr">
        <is>
          <t>Vacations &amp; sous-traitance pédagogique</t>
        </is>
      </c>
      <c r="H2408" s="40" t="inlineStr">
        <is>
          <t>COMPTABLE</t>
        </is>
      </c>
      <c r="I2408" s="41" t="inlineStr">
        <is>
          <t>2023ACT_VDEF</t>
        </is>
      </c>
      <c r="J2408" s="41" t="n">
        <v>2023</v>
      </c>
      <c r="K2408" s="41" t="inlineStr">
        <is>
          <t>EUR</t>
        </is>
      </c>
      <c r="L2408" s="42" t="n">
        <v>54288</v>
      </c>
    </row>
    <row r="2409">
      <c r="B2409" s="39" t="inlineStr">
        <is>
          <t>PIGIER_LYO</t>
        </is>
      </c>
      <c r="C2409" s="40" t="inlineStr">
        <is>
          <t>BAC_RH</t>
        </is>
      </c>
      <c r="D2409" s="40" t="inlineStr">
        <is>
          <t>B3</t>
        </is>
      </c>
      <c r="E2409" s="40" t="inlineStr">
        <is>
          <t>ALT</t>
        </is>
      </c>
      <c r="F2409" s="40" t="inlineStr">
        <is>
          <t>604100</t>
        </is>
      </c>
      <c r="G2409" s="39" t="inlineStr">
        <is>
          <t>Vacations &amp; sous-traitance pédagogique</t>
        </is>
      </c>
      <c r="H2409" s="40" t="inlineStr">
        <is>
          <t>COMPTABLE</t>
        </is>
      </c>
      <c r="I2409" s="41" t="inlineStr">
        <is>
          <t>2024ACT_VDEF</t>
        </is>
      </c>
      <c r="J2409" s="41" t="n">
        <v>2024</v>
      </c>
      <c r="K2409" s="41" t="inlineStr">
        <is>
          <t>EUR</t>
        </is>
      </c>
      <c r="L2409" s="42" t="n">
        <v>57304</v>
      </c>
    </row>
    <row r="2410">
      <c r="B2410" s="39" t="inlineStr">
        <is>
          <t>PIGIER_LYO</t>
        </is>
      </c>
      <c r="C2410" s="40" t="inlineStr">
        <is>
          <t>BAC_RH</t>
        </is>
      </c>
      <c r="D2410" s="40" t="inlineStr">
        <is>
          <t>B3</t>
        </is>
      </c>
      <c r="E2410" s="40" t="inlineStr">
        <is>
          <t>ALT</t>
        </is>
      </c>
      <c r="F2410" s="40" t="inlineStr">
        <is>
          <t>604100</t>
        </is>
      </c>
      <c r="G2410" s="39" t="inlineStr">
        <is>
          <t>Vacations &amp; sous-traitance pédagogique</t>
        </is>
      </c>
      <c r="H2410" s="40" t="inlineStr">
        <is>
          <t>COMPTABLE</t>
        </is>
      </c>
      <c r="I2410" s="41" t="inlineStr">
        <is>
          <t>2025FCST_V4</t>
        </is>
      </c>
      <c r="J2410" s="41" t="n">
        <v>2025</v>
      </c>
      <c r="K2410" s="41" t="inlineStr">
        <is>
          <t>EUR</t>
        </is>
      </c>
      <c r="L2410" s="42" t="n">
        <v>60320</v>
      </c>
    </row>
    <row r="2411">
      <c r="B2411" s="39" t="inlineStr">
        <is>
          <t>PIGIER_LYO</t>
        </is>
      </c>
      <c r="C2411" s="40" t="inlineStr">
        <is>
          <t>BAC_RH</t>
        </is>
      </c>
      <c r="D2411" s="40" t="inlineStr">
        <is>
          <t>B3</t>
        </is>
      </c>
      <c r="E2411" s="40" t="inlineStr">
        <is>
          <t>ALT</t>
        </is>
      </c>
      <c r="F2411" s="40" t="inlineStr">
        <is>
          <t>606300</t>
        </is>
      </c>
      <c r="G2411" s="39" t="inlineStr">
        <is>
          <t>Fournitures &amp; ressources pédagogiques</t>
        </is>
      </c>
      <c r="H2411" s="40" t="inlineStr">
        <is>
          <t>COMPTABLE</t>
        </is>
      </c>
      <c r="I2411" s="41" t="inlineStr">
        <is>
          <t>2023ACT_VDEF</t>
        </is>
      </c>
      <c r="J2411" s="41" t="n">
        <v>2023</v>
      </c>
      <c r="K2411" s="41" t="inlineStr">
        <is>
          <t>EUR</t>
        </is>
      </c>
      <c r="L2411" s="42" t="n">
        <v>11628</v>
      </c>
    </row>
    <row r="2412">
      <c r="B2412" s="39" t="inlineStr">
        <is>
          <t>PIGIER_LYO</t>
        </is>
      </c>
      <c r="C2412" s="40" t="inlineStr">
        <is>
          <t>BAC_RH</t>
        </is>
      </c>
      <c r="D2412" s="40" t="inlineStr">
        <is>
          <t>B3</t>
        </is>
      </c>
      <c r="E2412" s="40" t="inlineStr">
        <is>
          <t>ALT</t>
        </is>
      </c>
      <c r="F2412" s="40" t="inlineStr">
        <is>
          <t>606300</t>
        </is>
      </c>
      <c r="G2412" s="39" t="inlineStr">
        <is>
          <t>Fournitures &amp; ressources pédagogiques</t>
        </is>
      </c>
      <c r="H2412" s="40" t="inlineStr">
        <is>
          <t>COMPTABLE</t>
        </is>
      </c>
      <c r="I2412" s="41" t="inlineStr">
        <is>
          <t>2024ACT_VDEF</t>
        </is>
      </c>
      <c r="J2412" s="41" t="n">
        <v>2024</v>
      </c>
      <c r="K2412" s="41" t="inlineStr">
        <is>
          <t>EUR</t>
        </is>
      </c>
      <c r="L2412" s="42" t="n">
        <v>12274</v>
      </c>
    </row>
    <row r="2413">
      <c r="B2413" s="39" t="inlineStr">
        <is>
          <t>PIGIER_LYO</t>
        </is>
      </c>
      <c r="C2413" s="40" t="inlineStr">
        <is>
          <t>BAC_RH</t>
        </is>
      </c>
      <c r="D2413" s="40" t="inlineStr">
        <is>
          <t>B3</t>
        </is>
      </c>
      <c r="E2413" s="40" t="inlineStr">
        <is>
          <t>ALT</t>
        </is>
      </c>
      <c r="F2413" s="40" t="inlineStr">
        <is>
          <t>606300</t>
        </is>
      </c>
      <c r="G2413" s="39" t="inlineStr">
        <is>
          <t>Fournitures &amp; ressources pédagogiques</t>
        </is>
      </c>
      <c r="H2413" s="40" t="inlineStr">
        <is>
          <t>COMPTABLE</t>
        </is>
      </c>
      <c r="I2413" s="41" t="inlineStr">
        <is>
          <t>2025FCST_V4</t>
        </is>
      </c>
      <c r="J2413" s="41" t="n">
        <v>2025</v>
      </c>
      <c r="K2413" s="41" t="inlineStr">
        <is>
          <t>EUR</t>
        </is>
      </c>
      <c r="L2413" s="42" t="n">
        <v>12920</v>
      </c>
    </row>
    <row r="2414">
      <c r="B2414" s="39" t="inlineStr">
        <is>
          <t>PIGIER_LYO</t>
        </is>
      </c>
      <c r="C2414" s="40" t="inlineStr">
        <is>
          <t>BAC_RH</t>
        </is>
      </c>
      <c r="D2414" s="40" t="inlineStr">
        <is>
          <t>B3</t>
        </is>
      </c>
      <c r="E2414" s="40" t="inlineStr">
        <is>
          <t>ALT</t>
        </is>
      </c>
      <c r="F2414" s="40" t="inlineStr">
        <is>
          <t>613200</t>
        </is>
      </c>
      <c r="G2414" s="39" t="inlineStr">
        <is>
          <t>Locations immobilières (loyers)</t>
        </is>
      </c>
      <c r="H2414" s="40" t="inlineStr">
        <is>
          <t>COMPTABLE</t>
        </is>
      </c>
      <c r="I2414" s="41" t="inlineStr">
        <is>
          <t>2023ACT_VDEF</t>
        </is>
      </c>
      <c r="J2414" s="41" t="n">
        <v>2023</v>
      </c>
      <c r="K2414" s="41" t="inlineStr">
        <is>
          <t>EUR</t>
        </is>
      </c>
      <c r="L2414" s="42" t="n">
        <v>27900</v>
      </c>
    </row>
    <row r="2415">
      <c r="B2415" s="39" t="inlineStr">
        <is>
          <t>PIGIER_LYO</t>
        </is>
      </c>
      <c r="C2415" s="40" t="inlineStr">
        <is>
          <t>BAC_RH</t>
        </is>
      </c>
      <c r="D2415" s="40" t="inlineStr">
        <is>
          <t>B3</t>
        </is>
      </c>
      <c r="E2415" s="40" t="inlineStr">
        <is>
          <t>ALT</t>
        </is>
      </c>
      <c r="F2415" s="40" t="inlineStr">
        <is>
          <t>613200</t>
        </is>
      </c>
      <c r="G2415" s="39" t="inlineStr">
        <is>
          <t>Locations immobilières (loyers)</t>
        </is>
      </c>
      <c r="H2415" s="40" t="inlineStr">
        <is>
          <t>COMPTABLE</t>
        </is>
      </c>
      <c r="I2415" s="41" t="inlineStr">
        <is>
          <t>2024ACT_VDEF</t>
        </is>
      </c>
      <c r="J2415" s="41" t="n">
        <v>2024</v>
      </c>
      <c r="K2415" s="41" t="inlineStr">
        <is>
          <t>EUR</t>
        </is>
      </c>
      <c r="L2415" s="42" t="n">
        <v>29450</v>
      </c>
    </row>
    <row r="2416">
      <c r="B2416" s="39" t="inlineStr">
        <is>
          <t>PIGIER_LYO</t>
        </is>
      </c>
      <c r="C2416" s="40" t="inlineStr">
        <is>
          <t>BAC_RH</t>
        </is>
      </c>
      <c r="D2416" s="40" t="inlineStr">
        <is>
          <t>B3</t>
        </is>
      </c>
      <c r="E2416" s="40" t="inlineStr">
        <is>
          <t>ALT</t>
        </is>
      </c>
      <c r="F2416" s="40" t="inlineStr">
        <is>
          <t>613200</t>
        </is>
      </c>
      <c r="G2416" s="39" t="inlineStr">
        <is>
          <t>Locations immobilières (loyers)</t>
        </is>
      </c>
      <c r="H2416" s="40" t="inlineStr">
        <is>
          <t>COMPTABLE</t>
        </is>
      </c>
      <c r="I2416" s="41" t="inlineStr">
        <is>
          <t>2025FCST_V4</t>
        </is>
      </c>
      <c r="J2416" s="41" t="n">
        <v>2025</v>
      </c>
      <c r="K2416" s="41" t="inlineStr">
        <is>
          <t>EUR</t>
        </is>
      </c>
      <c r="L2416" s="42" t="n">
        <v>31000</v>
      </c>
    </row>
    <row r="2417">
      <c r="B2417" s="39" t="inlineStr">
        <is>
          <t>PIGIER_LYO</t>
        </is>
      </c>
      <c r="C2417" s="40" t="inlineStr">
        <is>
          <t>BAC_RH</t>
        </is>
      </c>
      <c r="D2417" s="40" t="inlineStr">
        <is>
          <t>B3</t>
        </is>
      </c>
      <c r="E2417" s="40" t="inlineStr">
        <is>
          <t>ALT</t>
        </is>
      </c>
      <c r="F2417" s="40" t="inlineStr">
        <is>
          <t>641100</t>
        </is>
      </c>
      <c r="G2417" s="39" t="inlineStr">
        <is>
          <t>Rémunérations du personnel permanent</t>
        </is>
      </c>
      <c r="H2417" s="40" t="inlineStr">
        <is>
          <t>COMPTABLE</t>
        </is>
      </c>
      <c r="I2417" s="41" t="inlineStr">
        <is>
          <t>2023ACT_VDEF</t>
        </is>
      </c>
      <c r="J2417" s="41" t="n">
        <v>2023</v>
      </c>
      <c r="K2417" s="41" t="inlineStr">
        <is>
          <t>EUR</t>
        </is>
      </c>
      <c r="L2417" s="42" t="n">
        <v>78300</v>
      </c>
    </row>
    <row r="2418">
      <c r="B2418" s="39" t="inlineStr">
        <is>
          <t>PIGIER_LYO</t>
        </is>
      </c>
      <c r="C2418" s="40" t="inlineStr">
        <is>
          <t>BAC_RH</t>
        </is>
      </c>
      <c r="D2418" s="40" t="inlineStr">
        <is>
          <t>B3</t>
        </is>
      </c>
      <c r="E2418" s="40" t="inlineStr">
        <is>
          <t>ALT</t>
        </is>
      </c>
      <c r="F2418" s="40" t="inlineStr">
        <is>
          <t>641100</t>
        </is>
      </c>
      <c r="G2418" s="39" t="inlineStr">
        <is>
          <t>Rémunérations du personnel permanent</t>
        </is>
      </c>
      <c r="H2418" s="40" t="inlineStr">
        <is>
          <t>COMPTABLE</t>
        </is>
      </c>
      <c r="I2418" s="41" t="inlineStr">
        <is>
          <t>2024ACT_VDEF</t>
        </is>
      </c>
      <c r="J2418" s="41" t="n">
        <v>2024</v>
      </c>
      <c r="K2418" s="41" t="inlineStr">
        <is>
          <t>EUR</t>
        </is>
      </c>
      <c r="L2418" s="42" t="n">
        <v>82650</v>
      </c>
    </row>
    <row r="2419">
      <c r="B2419" s="39" t="inlineStr">
        <is>
          <t>PIGIER_LYO</t>
        </is>
      </c>
      <c r="C2419" s="40" t="inlineStr">
        <is>
          <t>BAC_RH</t>
        </is>
      </c>
      <c r="D2419" s="40" t="inlineStr">
        <is>
          <t>B3</t>
        </is>
      </c>
      <c r="E2419" s="40" t="inlineStr">
        <is>
          <t>ALT</t>
        </is>
      </c>
      <c r="F2419" s="40" t="inlineStr">
        <is>
          <t>641100</t>
        </is>
      </c>
      <c r="G2419" s="39" t="inlineStr">
        <is>
          <t>Rémunérations du personnel permanent</t>
        </is>
      </c>
      <c r="H2419" s="40" t="inlineStr">
        <is>
          <t>COMPTABLE</t>
        </is>
      </c>
      <c r="I2419" s="41" t="inlineStr">
        <is>
          <t>2025FCST_V4</t>
        </is>
      </c>
      <c r="J2419" s="41" t="n">
        <v>2025</v>
      </c>
      <c r="K2419" s="41" t="inlineStr">
        <is>
          <t>EUR</t>
        </is>
      </c>
      <c r="L2419" s="42" t="n">
        <v>87000</v>
      </c>
    </row>
    <row r="2420">
      <c r="B2420" s="39" t="inlineStr">
        <is>
          <t>PIGIER_LYO</t>
        </is>
      </c>
      <c r="C2420" s="40" t="inlineStr">
        <is>
          <t>BAC_RH</t>
        </is>
      </c>
      <c r="D2420" s="40" t="inlineStr">
        <is>
          <t>B3</t>
        </is>
      </c>
      <c r="E2420" s="40" t="inlineStr">
        <is>
          <t>ALT</t>
        </is>
      </c>
      <c r="F2420" s="40" t="inlineStr">
        <is>
          <t>622600</t>
        </is>
      </c>
      <c r="G2420" s="39" t="inlineStr">
        <is>
          <t>Honoraires &amp; frais de siège (structure groupe)</t>
        </is>
      </c>
      <c r="H2420" s="40" t="inlineStr">
        <is>
          <t>COMPTABLE</t>
        </is>
      </c>
      <c r="I2420" s="41" t="inlineStr">
        <is>
          <t>2023ACT_VDEF</t>
        </is>
      </c>
      <c r="J2420" s="41" t="n">
        <v>2023</v>
      </c>
      <c r="K2420" s="41" t="inlineStr">
        <is>
          <t>EUR</t>
        </is>
      </c>
      <c r="L2420" s="42" t="n">
        <v>25455</v>
      </c>
    </row>
    <row r="2421">
      <c r="B2421" s="39" t="inlineStr">
        <is>
          <t>PIGIER_LYO</t>
        </is>
      </c>
      <c r="C2421" s="40" t="inlineStr">
        <is>
          <t>BAC_RH</t>
        </is>
      </c>
      <c r="D2421" s="40" t="inlineStr">
        <is>
          <t>B3</t>
        </is>
      </c>
      <c r="E2421" s="40" t="inlineStr">
        <is>
          <t>ALT</t>
        </is>
      </c>
      <c r="F2421" s="40" t="inlineStr">
        <is>
          <t>622600</t>
        </is>
      </c>
      <c r="G2421" s="39" t="inlineStr">
        <is>
          <t>Honoraires &amp; frais de siège (structure groupe)</t>
        </is>
      </c>
      <c r="H2421" s="40" t="inlineStr">
        <is>
          <t>COMPTABLE</t>
        </is>
      </c>
      <c r="I2421" s="41" t="inlineStr">
        <is>
          <t>2024ACT_VDEF</t>
        </is>
      </c>
      <c r="J2421" s="41" t="n">
        <v>2024</v>
      </c>
      <c r="K2421" s="41" t="inlineStr">
        <is>
          <t>EUR</t>
        </is>
      </c>
      <c r="L2421" s="42" t="n">
        <v>26869</v>
      </c>
    </row>
    <row r="2422">
      <c r="B2422" s="39" t="inlineStr">
        <is>
          <t>PIGIER_LYO</t>
        </is>
      </c>
      <c r="C2422" s="40" t="inlineStr">
        <is>
          <t>BAC_RH</t>
        </is>
      </c>
      <c r="D2422" s="40" t="inlineStr">
        <is>
          <t>B3</t>
        </is>
      </c>
      <c r="E2422" s="40" t="inlineStr">
        <is>
          <t>ALT</t>
        </is>
      </c>
      <c r="F2422" s="40" t="inlineStr">
        <is>
          <t>622600</t>
        </is>
      </c>
      <c r="G2422" s="39" t="inlineStr">
        <is>
          <t>Honoraires &amp; frais de siège (structure groupe)</t>
        </is>
      </c>
      <c r="H2422" s="40" t="inlineStr">
        <is>
          <t>COMPTABLE</t>
        </is>
      </c>
      <c r="I2422" s="41" t="inlineStr">
        <is>
          <t>2025FCST_V4</t>
        </is>
      </c>
      <c r="J2422" s="41" t="n">
        <v>2025</v>
      </c>
      <c r="K2422" s="41" t="inlineStr">
        <is>
          <t>EUR</t>
        </is>
      </c>
      <c r="L2422" s="42" t="n">
        <v>28283</v>
      </c>
    </row>
    <row r="2423">
      <c r="B2423" s="39" t="inlineStr">
        <is>
          <t>PIGIER_LYO</t>
        </is>
      </c>
      <c r="C2423" s="40" t="inlineStr">
        <is>
          <t>BAC_RH</t>
        </is>
      </c>
      <c r="D2423" s="40" t="inlineStr">
        <is>
          <t>B3</t>
        </is>
      </c>
      <c r="E2423" s="40" t="inlineStr">
        <is>
          <t>ALT</t>
        </is>
      </c>
      <c r="F2423" s="40" t="inlineStr">
        <is>
          <t>606800</t>
        </is>
      </c>
      <c r="G2423" s="39" t="inlineStr">
        <is>
          <t>Autres achats &amp; charges externes</t>
        </is>
      </c>
      <c r="H2423" s="40" t="inlineStr">
        <is>
          <t>COMPTABLE</t>
        </is>
      </c>
      <c r="I2423" s="41" t="inlineStr">
        <is>
          <t>2023ACT_VDEF</t>
        </is>
      </c>
      <c r="J2423" s="41" t="n">
        <v>2023</v>
      </c>
      <c r="K2423" s="41" t="inlineStr">
        <is>
          <t>EUR</t>
        </is>
      </c>
      <c r="L2423" s="42" t="n">
        <v>28580</v>
      </c>
    </row>
    <row r="2424">
      <c r="B2424" s="39" t="inlineStr">
        <is>
          <t>PIGIER_LYO</t>
        </is>
      </c>
      <c r="C2424" s="40" t="inlineStr">
        <is>
          <t>BAC_RH</t>
        </is>
      </c>
      <c r="D2424" s="40" t="inlineStr">
        <is>
          <t>B3</t>
        </is>
      </c>
      <c r="E2424" s="40" t="inlineStr">
        <is>
          <t>ALT</t>
        </is>
      </c>
      <c r="F2424" s="40" t="inlineStr">
        <is>
          <t>606800</t>
        </is>
      </c>
      <c r="G2424" s="39" t="inlineStr">
        <is>
          <t>Autres achats &amp; charges externes</t>
        </is>
      </c>
      <c r="H2424" s="40" t="inlineStr">
        <is>
          <t>COMPTABLE</t>
        </is>
      </c>
      <c r="I2424" s="41" t="inlineStr">
        <is>
          <t>2024ACT_VDEF</t>
        </is>
      </c>
      <c r="J2424" s="41" t="n">
        <v>2024</v>
      </c>
      <c r="K2424" s="41" t="inlineStr">
        <is>
          <t>EUR</t>
        </is>
      </c>
      <c r="L2424" s="42" t="n">
        <v>30168</v>
      </c>
    </row>
    <row r="2425">
      <c r="B2425" s="39" t="inlineStr">
        <is>
          <t>PIGIER_LYO</t>
        </is>
      </c>
      <c r="C2425" s="40" t="inlineStr">
        <is>
          <t>BAC_RH</t>
        </is>
      </c>
      <c r="D2425" s="40" t="inlineStr">
        <is>
          <t>B3</t>
        </is>
      </c>
      <c r="E2425" s="40" t="inlineStr">
        <is>
          <t>ALT</t>
        </is>
      </c>
      <c r="F2425" s="40" t="inlineStr">
        <is>
          <t>606800</t>
        </is>
      </c>
      <c r="G2425" s="39" t="inlineStr">
        <is>
          <t>Autres achats &amp; charges externes</t>
        </is>
      </c>
      <c r="H2425" s="40" t="inlineStr">
        <is>
          <t>COMPTABLE</t>
        </is>
      </c>
      <c r="I2425" s="41" t="inlineStr">
        <is>
          <t>2025FCST_V4</t>
        </is>
      </c>
      <c r="J2425" s="41" t="n">
        <v>2025</v>
      </c>
      <c r="K2425" s="41" t="inlineStr">
        <is>
          <t>EUR</t>
        </is>
      </c>
      <c r="L2425" s="42" t="n">
        <v>31756</v>
      </c>
    </row>
    <row r="2426">
      <c r="B2426" s="39" t="inlineStr">
        <is>
          <t>PIGIER_LYO</t>
        </is>
      </c>
      <c r="C2426" s="40" t="inlineStr">
        <is>
          <t>BAC_RH</t>
        </is>
      </c>
      <c r="D2426" s="40" t="inlineStr">
        <is>
          <t>B3</t>
        </is>
      </c>
      <c r="E2426" s="40" t="inlineStr">
        <is>
          <t>ALT</t>
        </is>
      </c>
      <c r="F2426" s="40" t="inlineStr">
        <is>
          <t>681100</t>
        </is>
      </c>
      <c r="G2426" s="39" t="inlineStr">
        <is>
          <t>Dotations aux amortissements</t>
        </is>
      </c>
      <c r="H2426" s="40" t="inlineStr">
        <is>
          <t>COMPTABLE</t>
        </is>
      </c>
      <c r="I2426" s="41" t="inlineStr">
        <is>
          <t>2023ACT_VDEF</t>
        </is>
      </c>
      <c r="J2426" s="41" t="n">
        <v>2023</v>
      </c>
      <c r="K2426" s="41" t="inlineStr">
        <is>
          <t>EUR</t>
        </is>
      </c>
      <c r="L2426" s="42" t="n">
        <v>15300</v>
      </c>
    </row>
    <row r="2427">
      <c r="B2427" s="39" t="inlineStr">
        <is>
          <t>PIGIER_LYO</t>
        </is>
      </c>
      <c r="C2427" s="40" t="inlineStr">
        <is>
          <t>BAC_RH</t>
        </is>
      </c>
      <c r="D2427" s="40" t="inlineStr">
        <is>
          <t>B3</t>
        </is>
      </c>
      <c r="E2427" s="40" t="inlineStr">
        <is>
          <t>ALT</t>
        </is>
      </c>
      <c r="F2427" s="40" t="inlineStr">
        <is>
          <t>681100</t>
        </is>
      </c>
      <c r="G2427" s="39" t="inlineStr">
        <is>
          <t>Dotations aux amortissements</t>
        </is>
      </c>
      <c r="H2427" s="40" t="inlineStr">
        <is>
          <t>COMPTABLE</t>
        </is>
      </c>
      <c r="I2427" s="41" t="inlineStr">
        <is>
          <t>2024ACT_VDEF</t>
        </is>
      </c>
      <c r="J2427" s="41" t="n">
        <v>2024</v>
      </c>
      <c r="K2427" s="41" t="inlineStr">
        <is>
          <t>EUR</t>
        </is>
      </c>
      <c r="L2427" s="42" t="n">
        <v>16150</v>
      </c>
    </row>
    <row r="2428">
      <c r="B2428" s="39" t="inlineStr">
        <is>
          <t>PIGIER_LYO</t>
        </is>
      </c>
      <c r="C2428" s="40" t="inlineStr">
        <is>
          <t>BAC_RH</t>
        </is>
      </c>
      <c r="D2428" s="40" t="inlineStr">
        <is>
          <t>B3</t>
        </is>
      </c>
      <c r="E2428" s="40" t="inlineStr">
        <is>
          <t>ALT</t>
        </is>
      </c>
      <c r="F2428" s="40" t="inlineStr">
        <is>
          <t>681100</t>
        </is>
      </c>
      <c r="G2428" s="39" t="inlineStr">
        <is>
          <t>Dotations aux amortissements</t>
        </is>
      </c>
      <c r="H2428" s="40" t="inlineStr">
        <is>
          <t>COMPTABLE</t>
        </is>
      </c>
      <c r="I2428" s="41" t="inlineStr">
        <is>
          <t>2025FCST_V4</t>
        </is>
      </c>
      <c r="J2428" s="41" t="n">
        <v>2025</v>
      </c>
      <c r="K2428" s="41" t="inlineStr">
        <is>
          <t>EUR</t>
        </is>
      </c>
      <c r="L2428" s="42" t="n">
        <v>17000</v>
      </c>
    </row>
    <row r="2429">
      <c r="B2429" s="39" t="inlineStr">
        <is>
          <t>PIGIER_LYO</t>
        </is>
      </c>
      <c r="C2429" s="40" t="inlineStr">
        <is>
          <t>BAC_RH</t>
        </is>
      </c>
      <c r="D2429" s="40" t="inlineStr">
        <is>
          <t>B3</t>
        </is>
      </c>
      <c r="E2429" s="40" t="inlineStr">
        <is>
          <t>ALT</t>
        </is>
      </c>
      <c r="F2429" s="40" t="inlineStr">
        <is>
          <t>STA_EFF</t>
        </is>
      </c>
      <c r="G2429" s="39" t="inlineStr">
        <is>
          <t>Effectif inscrit</t>
        </is>
      </c>
      <c r="H2429" s="40" t="inlineStr">
        <is>
          <t>TECHNIQUE</t>
        </is>
      </c>
      <c r="I2429" s="41" t="inlineStr">
        <is>
          <t>2023ACT_VDEF</t>
        </is>
      </c>
      <c r="J2429" s="41" t="n">
        <v>2023</v>
      </c>
      <c r="K2429" s="41" t="inlineStr">
        <is>
          <t>NB</t>
        </is>
      </c>
      <c r="L2429" s="43" t="n">
        <v>31</v>
      </c>
    </row>
    <row r="2430">
      <c r="B2430" s="39" t="inlineStr">
        <is>
          <t>PIGIER_LYO</t>
        </is>
      </c>
      <c r="C2430" s="40" t="inlineStr">
        <is>
          <t>BAC_RH</t>
        </is>
      </c>
      <c r="D2430" s="40" t="inlineStr">
        <is>
          <t>B3</t>
        </is>
      </c>
      <c r="E2430" s="40" t="inlineStr">
        <is>
          <t>ALT</t>
        </is>
      </c>
      <c r="F2430" s="40" t="inlineStr">
        <is>
          <t>STA_EFF</t>
        </is>
      </c>
      <c r="G2430" s="39" t="inlineStr">
        <is>
          <t>Effectif inscrit</t>
        </is>
      </c>
      <c r="H2430" s="40" t="inlineStr">
        <is>
          <t>TECHNIQUE</t>
        </is>
      </c>
      <c r="I2430" s="41" t="inlineStr">
        <is>
          <t>2024ACT_VDEF</t>
        </is>
      </c>
      <c r="J2430" s="41" t="n">
        <v>2024</v>
      </c>
      <c r="K2430" s="41" t="inlineStr">
        <is>
          <t>NB</t>
        </is>
      </c>
      <c r="L2430" s="43" t="n">
        <v>32</v>
      </c>
    </row>
    <row r="2431">
      <c r="B2431" s="39" t="inlineStr">
        <is>
          <t>PIGIER_LYO</t>
        </is>
      </c>
      <c r="C2431" s="40" t="inlineStr">
        <is>
          <t>BAC_RH</t>
        </is>
      </c>
      <c r="D2431" s="40" t="inlineStr">
        <is>
          <t>B3</t>
        </is>
      </c>
      <c r="E2431" s="40" t="inlineStr">
        <is>
          <t>ALT</t>
        </is>
      </c>
      <c r="F2431" s="40" t="inlineStr">
        <is>
          <t>STA_EFF</t>
        </is>
      </c>
      <c r="G2431" s="39" t="inlineStr">
        <is>
          <t>Effectif inscrit</t>
        </is>
      </c>
      <c r="H2431" s="40" t="inlineStr">
        <is>
          <t>TECHNIQUE</t>
        </is>
      </c>
      <c r="I2431" s="41" t="inlineStr">
        <is>
          <t>2025FCST_V4</t>
        </is>
      </c>
      <c r="J2431" s="41" t="n">
        <v>2025</v>
      </c>
      <c r="K2431" s="41" t="inlineStr">
        <is>
          <t>NB</t>
        </is>
      </c>
      <c r="L2431" s="43" t="n">
        <v>34</v>
      </c>
    </row>
    <row r="2432">
      <c r="B2432" s="39" t="inlineStr">
        <is>
          <t>PIGIER_LYO</t>
        </is>
      </c>
      <c r="C2432" s="40" t="inlineStr">
        <is>
          <t>BAC_RH</t>
        </is>
      </c>
      <c r="D2432" s="40" t="inlineStr">
        <is>
          <t>B3</t>
        </is>
      </c>
      <c r="E2432" s="40" t="inlineStr">
        <is>
          <t>ALT</t>
        </is>
      </c>
      <c r="F2432" s="40" t="inlineStr">
        <is>
          <t>STA_REINS</t>
        </is>
      </c>
      <c r="G2432" s="39" t="inlineStr">
        <is>
          <t>Réinscrits</t>
        </is>
      </c>
      <c r="H2432" s="40" t="inlineStr">
        <is>
          <t>TECHNIQUE</t>
        </is>
      </c>
      <c r="I2432" s="41" t="inlineStr">
        <is>
          <t>2023ACT_VDEF</t>
        </is>
      </c>
      <c r="J2432" s="41" t="n">
        <v>2023</v>
      </c>
      <c r="K2432" s="41" t="inlineStr">
        <is>
          <t>NB</t>
        </is>
      </c>
      <c r="L2432" s="43" t="n">
        <v>31</v>
      </c>
    </row>
    <row r="2433">
      <c r="B2433" s="39" t="inlineStr">
        <is>
          <t>PIGIER_LYO</t>
        </is>
      </c>
      <c r="C2433" s="40" t="inlineStr">
        <is>
          <t>BAC_RH</t>
        </is>
      </c>
      <c r="D2433" s="40" t="inlineStr">
        <is>
          <t>B3</t>
        </is>
      </c>
      <c r="E2433" s="40" t="inlineStr">
        <is>
          <t>ALT</t>
        </is>
      </c>
      <c r="F2433" s="40" t="inlineStr">
        <is>
          <t>STA_REINS</t>
        </is>
      </c>
      <c r="G2433" s="39" t="inlineStr">
        <is>
          <t>Réinscrits</t>
        </is>
      </c>
      <c r="H2433" s="40" t="inlineStr">
        <is>
          <t>TECHNIQUE</t>
        </is>
      </c>
      <c r="I2433" s="41" t="inlineStr">
        <is>
          <t>2024ACT_VDEF</t>
        </is>
      </c>
      <c r="J2433" s="41" t="n">
        <v>2024</v>
      </c>
      <c r="K2433" s="41" t="inlineStr">
        <is>
          <t>NB</t>
        </is>
      </c>
      <c r="L2433" s="43" t="n">
        <v>32</v>
      </c>
    </row>
    <row r="2434">
      <c r="B2434" s="39" t="inlineStr">
        <is>
          <t>PIGIER_LYO</t>
        </is>
      </c>
      <c r="C2434" s="40" t="inlineStr">
        <is>
          <t>BAC_RH</t>
        </is>
      </c>
      <c r="D2434" s="40" t="inlineStr">
        <is>
          <t>B3</t>
        </is>
      </c>
      <c r="E2434" s="40" t="inlineStr">
        <is>
          <t>ALT</t>
        </is>
      </c>
      <c r="F2434" s="40" t="inlineStr">
        <is>
          <t>STA_REINS</t>
        </is>
      </c>
      <c r="G2434" s="39" t="inlineStr">
        <is>
          <t>Réinscrits</t>
        </is>
      </c>
      <c r="H2434" s="40" t="inlineStr">
        <is>
          <t>TECHNIQUE</t>
        </is>
      </c>
      <c r="I2434" s="41" t="inlineStr">
        <is>
          <t>2025FCST_V4</t>
        </is>
      </c>
      <c r="J2434" s="41" t="n">
        <v>2025</v>
      </c>
      <c r="K2434" s="41" t="inlineStr">
        <is>
          <t>NB</t>
        </is>
      </c>
      <c r="L2434" s="43" t="n">
        <v>34</v>
      </c>
    </row>
    <row r="2435">
      <c r="B2435" s="39" t="inlineStr">
        <is>
          <t>PIGIER_LYO</t>
        </is>
      </c>
      <c r="C2435" s="40" t="inlineStr">
        <is>
          <t>BAC_RH</t>
        </is>
      </c>
      <c r="D2435" s="40" t="inlineStr">
        <is>
          <t>B3</t>
        </is>
      </c>
      <c r="E2435" s="40" t="inlineStr">
        <is>
          <t>ALT</t>
        </is>
      </c>
      <c r="F2435" s="40" t="inlineStr">
        <is>
          <t>STA_CLASS</t>
        </is>
      </c>
      <c r="G2435" s="39" t="inlineStr">
        <is>
          <t>Nombre de classes</t>
        </is>
      </c>
      <c r="H2435" s="40" t="inlineStr">
        <is>
          <t>TECHNIQUE</t>
        </is>
      </c>
      <c r="I2435" s="41" t="inlineStr">
        <is>
          <t>2023ACT_VDEF</t>
        </is>
      </c>
      <c r="J2435" s="41" t="n">
        <v>2023</v>
      </c>
      <c r="K2435" s="41" t="inlineStr">
        <is>
          <t>NB</t>
        </is>
      </c>
      <c r="L2435" s="43" t="n">
        <v>2</v>
      </c>
    </row>
    <row r="2436">
      <c r="B2436" s="39" t="inlineStr">
        <is>
          <t>PIGIER_LYO</t>
        </is>
      </c>
      <c r="C2436" s="40" t="inlineStr">
        <is>
          <t>BAC_RH</t>
        </is>
      </c>
      <c r="D2436" s="40" t="inlineStr">
        <is>
          <t>B3</t>
        </is>
      </c>
      <c r="E2436" s="40" t="inlineStr">
        <is>
          <t>ALT</t>
        </is>
      </c>
      <c r="F2436" s="40" t="inlineStr">
        <is>
          <t>STA_CLASS</t>
        </is>
      </c>
      <c r="G2436" s="39" t="inlineStr">
        <is>
          <t>Nombre de classes</t>
        </is>
      </c>
      <c r="H2436" s="40" t="inlineStr">
        <is>
          <t>TECHNIQUE</t>
        </is>
      </c>
      <c r="I2436" s="41" t="inlineStr">
        <is>
          <t>2024ACT_VDEF</t>
        </is>
      </c>
      <c r="J2436" s="41" t="n">
        <v>2024</v>
      </c>
      <c r="K2436" s="41" t="inlineStr">
        <is>
          <t>NB</t>
        </is>
      </c>
      <c r="L2436" s="43" t="n">
        <v>2</v>
      </c>
    </row>
    <row r="2437">
      <c r="B2437" s="39" t="inlineStr">
        <is>
          <t>PIGIER_LYO</t>
        </is>
      </c>
      <c r="C2437" s="40" t="inlineStr">
        <is>
          <t>BAC_RH</t>
        </is>
      </c>
      <c r="D2437" s="40" t="inlineStr">
        <is>
          <t>B3</t>
        </is>
      </c>
      <c r="E2437" s="40" t="inlineStr">
        <is>
          <t>ALT</t>
        </is>
      </c>
      <c r="F2437" s="40" t="inlineStr">
        <is>
          <t>STA_CLASS</t>
        </is>
      </c>
      <c r="G2437" s="39" t="inlineStr">
        <is>
          <t>Nombre de classes</t>
        </is>
      </c>
      <c r="H2437" s="40" t="inlineStr">
        <is>
          <t>TECHNIQUE</t>
        </is>
      </c>
      <c r="I2437" s="41" t="inlineStr">
        <is>
          <t>2025FCST_V4</t>
        </is>
      </c>
      <c r="J2437" s="41" t="n">
        <v>2025</v>
      </c>
      <c r="K2437" s="41" t="inlineStr">
        <is>
          <t>NB</t>
        </is>
      </c>
      <c r="L2437" s="43" t="n">
        <v>2</v>
      </c>
    </row>
    <row r="2438">
      <c r="B2438" s="39" t="inlineStr">
        <is>
          <t>PIGIER_LYO</t>
        </is>
      </c>
      <c r="C2438" s="40" t="inlineStr">
        <is>
          <t>BAC_RH</t>
        </is>
      </c>
      <c r="D2438" s="40" t="inlineStr">
        <is>
          <t>B3</t>
        </is>
      </c>
      <c r="E2438" s="40" t="inlineStr">
        <is>
          <t>ALT</t>
        </is>
      </c>
      <c r="F2438" s="40" t="inlineStr">
        <is>
          <t>STA_HEURE</t>
        </is>
      </c>
      <c r="G2438" s="39" t="inlineStr">
        <is>
          <t>Heures d'enseignement</t>
        </is>
      </c>
      <c r="H2438" s="40" t="inlineStr">
        <is>
          <t>TECHNIQUE</t>
        </is>
      </c>
      <c r="I2438" s="41" t="inlineStr">
        <is>
          <t>2023ACT_VDEF</t>
        </is>
      </c>
      <c r="J2438" s="41" t="n">
        <v>2023</v>
      </c>
      <c r="K2438" s="41" t="inlineStr">
        <is>
          <t>NB</t>
        </is>
      </c>
      <c r="L2438" s="43" t="n">
        <v>936</v>
      </c>
    </row>
    <row r="2439">
      <c r="B2439" s="39" t="inlineStr">
        <is>
          <t>PIGIER_LYO</t>
        </is>
      </c>
      <c r="C2439" s="40" t="inlineStr">
        <is>
          <t>BAC_RH</t>
        </is>
      </c>
      <c r="D2439" s="40" t="inlineStr">
        <is>
          <t>B3</t>
        </is>
      </c>
      <c r="E2439" s="40" t="inlineStr">
        <is>
          <t>ALT</t>
        </is>
      </c>
      <c r="F2439" s="40" t="inlineStr">
        <is>
          <t>STA_HEURE</t>
        </is>
      </c>
      <c r="G2439" s="39" t="inlineStr">
        <is>
          <t>Heures d'enseignement</t>
        </is>
      </c>
      <c r="H2439" s="40" t="inlineStr">
        <is>
          <t>TECHNIQUE</t>
        </is>
      </c>
      <c r="I2439" s="41" t="inlineStr">
        <is>
          <t>2024ACT_VDEF</t>
        </is>
      </c>
      <c r="J2439" s="41" t="n">
        <v>2024</v>
      </c>
      <c r="K2439" s="41" t="inlineStr">
        <is>
          <t>NB</t>
        </is>
      </c>
      <c r="L2439" s="43" t="n">
        <v>988</v>
      </c>
    </row>
    <row r="2440">
      <c r="B2440" s="39" t="inlineStr">
        <is>
          <t>PIGIER_LYO</t>
        </is>
      </c>
      <c r="C2440" s="40" t="inlineStr">
        <is>
          <t>BAC_RH</t>
        </is>
      </c>
      <c r="D2440" s="40" t="inlineStr">
        <is>
          <t>B3</t>
        </is>
      </c>
      <c r="E2440" s="40" t="inlineStr">
        <is>
          <t>ALT</t>
        </is>
      </c>
      <c r="F2440" s="40" t="inlineStr">
        <is>
          <t>STA_HEURE</t>
        </is>
      </c>
      <c r="G2440" s="39" t="inlineStr">
        <is>
          <t>Heures d'enseignement</t>
        </is>
      </c>
      <c r="H2440" s="40" t="inlineStr">
        <is>
          <t>TECHNIQUE</t>
        </is>
      </c>
      <c r="I2440" s="41" t="inlineStr">
        <is>
          <t>2025FCST_V4</t>
        </is>
      </c>
      <c r="J2440" s="41" t="n">
        <v>2025</v>
      </c>
      <c r="K2440" s="41" t="inlineStr">
        <is>
          <t>NB</t>
        </is>
      </c>
      <c r="L2440" s="43" t="n">
        <v>1040</v>
      </c>
    </row>
    <row r="2441">
      <c r="B2441" s="39" t="inlineStr">
        <is>
          <t>PIGIER_LYO</t>
        </is>
      </c>
      <c r="C2441" s="40" t="inlineStr">
        <is>
          <t>BAC_RH</t>
        </is>
      </c>
      <c r="D2441" s="40" t="inlineStr">
        <is>
          <t>B3</t>
        </is>
      </c>
      <c r="E2441" s="40" t="inlineStr">
        <is>
          <t>ALT</t>
        </is>
      </c>
      <c r="F2441" s="40" t="inlineStr">
        <is>
          <t>STA_CAPA</t>
        </is>
      </c>
      <c r="G2441" s="39" t="inlineStr">
        <is>
          <t>Capacité par classe</t>
        </is>
      </c>
      <c r="H2441" s="40" t="inlineStr">
        <is>
          <t>TECHNIQUE</t>
        </is>
      </c>
      <c r="I2441" s="41" t="inlineStr">
        <is>
          <t>2023ACT_VDEF</t>
        </is>
      </c>
      <c r="J2441" s="41" t="n">
        <v>2023</v>
      </c>
      <c r="K2441" s="41" t="inlineStr">
        <is>
          <t>NB</t>
        </is>
      </c>
      <c r="L2441" s="43" t="n">
        <v>32</v>
      </c>
    </row>
    <row r="2442">
      <c r="B2442" s="39" t="inlineStr">
        <is>
          <t>PIGIER_LYO</t>
        </is>
      </c>
      <c r="C2442" s="40" t="inlineStr">
        <is>
          <t>BAC_RH</t>
        </is>
      </c>
      <c r="D2442" s="40" t="inlineStr">
        <is>
          <t>B3</t>
        </is>
      </c>
      <c r="E2442" s="40" t="inlineStr">
        <is>
          <t>ALT</t>
        </is>
      </c>
      <c r="F2442" s="40" t="inlineStr">
        <is>
          <t>STA_CAPA</t>
        </is>
      </c>
      <c r="G2442" s="39" t="inlineStr">
        <is>
          <t>Capacité par classe</t>
        </is>
      </c>
      <c r="H2442" s="40" t="inlineStr">
        <is>
          <t>TECHNIQUE</t>
        </is>
      </c>
      <c r="I2442" s="41" t="inlineStr">
        <is>
          <t>2024ACT_VDEF</t>
        </is>
      </c>
      <c r="J2442" s="41" t="n">
        <v>2024</v>
      </c>
      <c r="K2442" s="41" t="inlineStr">
        <is>
          <t>NB</t>
        </is>
      </c>
      <c r="L2442" s="43" t="n">
        <v>32</v>
      </c>
    </row>
    <row r="2443">
      <c r="B2443" s="39" t="inlineStr">
        <is>
          <t>PIGIER_LYO</t>
        </is>
      </c>
      <c r="C2443" s="40" t="inlineStr">
        <is>
          <t>BAC_RH</t>
        </is>
      </c>
      <c r="D2443" s="40" t="inlineStr">
        <is>
          <t>B3</t>
        </is>
      </c>
      <c r="E2443" s="40" t="inlineStr">
        <is>
          <t>ALT</t>
        </is>
      </c>
      <c r="F2443" s="40" t="inlineStr">
        <is>
          <t>STA_CAPA</t>
        </is>
      </c>
      <c r="G2443" s="39" t="inlineStr">
        <is>
          <t>Capacité par classe</t>
        </is>
      </c>
      <c r="H2443" s="40" t="inlineStr">
        <is>
          <t>TECHNIQUE</t>
        </is>
      </c>
      <c r="I2443" s="41" t="inlineStr">
        <is>
          <t>2025FCST_V4</t>
        </is>
      </c>
      <c r="J2443" s="41" t="n">
        <v>2025</v>
      </c>
      <c r="K2443" s="41" t="inlineStr">
        <is>
          <t>NB</t>
        </is>
      </c>
      <c r="L2443" s="43" t="n">
        <v>32</v>
      </c>
    </row>
    <row r="2444">
      <c r="B2444" s="39" t="inlineStr">
        <is>
          <t>PIGIER_LYO</t>
        </is>
      </c>
      <c r="C2444" s="40" t="inlineStr">
        <is>
          <t>BAC_RH</t>
        </is>
      </c>
      <c r="D2444" s="40" t="inlineStr">
        <is>
          <t>B3</t>
        </is>
      </c>
      <c r="E2444" s="40" t="inlineStr">
        <is>
          <t>ALT</t>
        </is>
      </c>
      <c r="F2444" s="40" t="inlineStr">
        <is>
          <t>DRV_PASS</t>
        </is>
      </c>
      <c r="G2444" s="39" t="inlineStr">
        <is>
          <t>Taux de passage (réinscription)</t>
        </is>
      </c>
      <c r="H2444" s="40" t="inlineStr">
        <is>
          <t>TECHNIQUE</t>
        </is>
      </c>
      <c r="I2444" s="41" t="inlineStr">
        <is>
          <t>2023ACT_VDEF</t>
        </is>
      </c>
      <c r="J2444" s="41" t="n">
        <v>2023</v>
      </c>
      <c r="K2444" s="41" t="inlineStr">
        <is>
          <t>PCT</t>
        </is>
      </c>
      <c r="L2444" s="44" t="n">
        <v>0.95</v>
      </c>
    </row>
    <row r="2445">
      <c r="B2445" s="39" t="inlineStr">
        <is>
          <t>PIGIER_LYO</t>
        </is>
      </c>
      <c r="C2445" s="40" t="inlineStr">
        <is>
          <t>BAC_RH</t>
        </is>
      </c>
      <c r="D2445" s="40" t="inlineStr">
        <is>
          <t>B3</t>
        </is>
      </c>
      <c r="E2445" s="40" t="inlineStr">
        <is>
          <t>ALT</t>
        </is>
      </c>
      <c r="F2445" s="40" t="inlineStr">
        <is>
          <t>DRV_PASS</t>
        </is>
      </c>
      <c r="G2445" s="39" t="inlineStr">
        <is>
          <t>Taux de passage (réinscription)</t>
        </is>
      </c>
      <c r="H2445" s="40" t="inlineStr">
        <is>
          <t>TECHNIQUE</t>
        </is>
      </c>
      <c r="I2445" s="41" t="inlineStr">
        <is>
          <t>2024ACT_VDEF</t>
        </is>
      </c>
      <c r="J2445" s="41" t="n">
        <v>2024</v>
      </c>
      <c r="K2445" s="41" t="inlineStr">
        <is>
          <t>PCT</t>
        </is>
      </c>
      <c r="L2445" s="44" t="n">
        <v>0.95</v>
      </c>
    </row>
    <row r="2446">
      <c r="B2446" s="39" t="inlineStr">
        <is>
          <t>PIGIER_LYO</t>
        </is>
      </c>
      <c r="C2446" s="40" t="inlineStr">
        <is>
          <t>BAC_RH</t>
        </is>
      </c>
      <c r="D2446" s="40" t="inlineStr">
        <is>
          <t>B3</t>
        </is>
      </c>
      <c r="E2446" s="40" t="inlineStr">
        <is>
          <t>ALT</t>
        </is>
      </c>
      <c r="F2446" s="40" t="inlineStr">
        <is>
          <t>DRV_PASS</t>
        </is>
      </c>
      <c r="G2446" s="39" t="inlineStr">
        <is>
          <t>Taux de passage (réinscription)</t>
        </is>
      </c>
      <c r="H2446" s="40" t="inlineStr">
        <is>
          <t>TECHNIQUE</t>
        </is>
      </c>
      <c r="I2446" s="41" t="inlineStr">
        <is>
          <t>2025FCST_V4</t>
        </is>
      </c>
      <c r="J2446" s="41" t="n">
        <v>2025</v>
      </c>
      <c r="K2446" s="41" t="inlineStr">
        <is>
          <t>PCT</t>
        </is>
      </c>
      <c r="L2446" s="44" t="n">
        <v>0.95</v>
      </c>
    </row>
    <row r="2447">
      <c r="B2447" s="39" t="inlineStr">
        <is>
          <t>PIGIER_LYO</t>
        </is>
      </c>
      <c r="C2447" s="40" t="inlineStr">
        <is>
          <t>BAC_RH</t>
        </is>
      </c>
      <c r="D2447" s="40" t="inlineStr">
        <is>
          <t>B3</t>
        </is>
      </c>
      <c r="E2447" s="40" t="inlineStr">
        <is>
          <t>ALT</t>
        </is>
      </c>
      <c r="F2447" s="40" t="inlineStr">
        <is>
          <t>PRX_TARIF</t>
        </is>
      </c>
      <c r="G2447" s="39" t="inlineStr">
        <is>
          <t>Tarif moyen scolarité</t>
        </is>
      </c>
      <c r="H2447" s="40" t="inlineStr">
        <is>
          <t>TECHNIQUE</t>
        </is>
      </c>
      <c r="I2447" s="41" t="inlineStr">
        <is>
          <t>2023ACT_VDEF</t>
        </is>
      </c>
      <c r="J2447" s="41" t="n">
        <v>2023</v>
      </c>
      <c r="K2447" s="41" t="inlineStr">
        <is>
          <t>EUR</t>
        </is>
      </c>
      <c r="L2447" s="42" t="n">
        <v>8000</v>
      </c>
    </row>
    <row r="2448">
      <c r="B2448" s="39" t="inlineStr">
        <is>
          <t>PIGIER_LYO</t>
        </is>
      </c>
      <c r="C2448" s="40" t="inlineStr">
        <is>
          <t>BAC_RH</t>
        </is>
      </c>
      <c r="D2448" s="40" t="inlineStr">
        <is>
          <t>B3</t>
        </is>
      </c>
      <c r="E2448" s="40" t="inlineStr">
        <is>
          <t>ALT</t>
        </is>
      </c>
      <c r="F2448" s="40" t="inlineStr">
        <is>
          <t>PRX_TARIF</t>
        </is>
      </c>
      <c r="G2448" s="39" t="inlineStr">
        <is>
          <t>Tarif moyen scolarité</t>
        </is>
      </c>
      <c r="H2448" s="40" t="inlineStr">
        <is>
          <t>TECHNIQUE</t>
        </is>
      </c>
      <c r="I2448" s="41" t="inlineStr">
        <is>
          <t>2024ACT_VDEF</t>
        </is>
      </c>
      <c r="J2448" s="41" t="n">
        <v>2024</v>
      </c>
      <c r="K2448" s="41" t="inlineStr">
        <is>
          <t>EUR</t>
        </is>
      </c>
      <c r="L2448" s="42" t="n">
        <v>8000</v>
      </c>
    </row>
    <row r="2449">
      <c r="B2449" s="39" t="inlineStr">
        <is>
          <t>PIGIER_LYO</t>
        </is>
      </c>
      <c r="C2449" s="40" t="inlineStr">
        <is>
          <t>BAC_RH</t>
        </is>
      </c>
      <c r="D2449" s="40" t="inlineStr">
        <is>
          <t>B3</t>
        </is>
      </c>
      <c r="E2449" s="40" t="inlineStr">
        <is>
          <t>ALT</t>
        </is>
      </c>
      <c r="F2449" s="40" t="inlineStr">
        <is>
          <t>PRX_TARIF</t>
        </is>
      </c>
      <c r="G2449" s="39" t="inlineStr">
        <is>
          <t>Tarif moyen scolarité</t>
        </is>
      </c>
      <c r="H2449" s="40" t="inlineStr">
        <is>
          <t>TECHNIQUE</t>
        </is>
      </c>
      <c r="I2449" s="41" t="inlineStr">
        <is>
          <t>2025FCST_V4</t>
        </is>
      </c>
      <c r="J2449" s="41" t="n">
        <v>2025</v>
      </c>
      <c r="K2449" s="41" t="inlineStr">
        <is>
          <t>EUR</t>
        </is>
      </c>
      <c r="L2449" s="42" t="n">
        <v>8000</v>
      </c>
    </row>
    <row r="2450">
      <c r="B2450" s="39" t="inlineStr">
        <is>
          <t>PIGIER_BOR</t>
        </is>
      </c>
      <c r="C2450" s="40" t="inlineStr">
        <is>
          <t>BTS_GES</t>
        </is>
      </c>
      <c r="D2450" s="40" t="inlineStr">
        <is>
          <t>BTS1</t>
        </is>
      </c>
      <c r="E2450" s="40" t="inlineStr">
        <is>
          <t>ALT</t>
        </is>
      </c>
      <c r="F2450" s="40" t="inlineStr">
        <is>
          <t>706100</t>
        </is>
      </c>
      <c r="G2450" s="39" t="inlineStr">
        <is>
          <t>Droits de scolarité</t>
        </is>
      </c>
      <c r="H2450" s="40" t="inlineStr">
        <is>
          <t>COMPTABLE</t>
        </is>
      </c>
      <c r="I2450" s="41" t="inlineStr">
        <is>
          <t>2023ACT_VDEF</t>
        </is>
      </c>
      <c r="J2450" s="41" t="n">
        <v>2023</v>
      </c>
      <c r="K2450" s="41" t="inlineStr">
        <is>
          <t>EUR</t>
        </is>
      </c>
      <c r="L2450" s="42" t="n">
        <v>182700</v>
      </c>
    </row>
    <row r="2451">
      <c r="B2451" s="39" t="inlineStr">
        <is>
          <t>PIGIER_BOR</t>
        </is>
      </c>
      <c r="C2451" s="40" t="inlineStr">
        <is>
          <t>BTS_GES</t>
        </is>
      </c>
      <c r="D2451" s="40" t="inlineStr">
        <is>
          <t>BTS1</t>
        </is>
      </c>
      <c r="E2451" s="40" t="inlineStr">
        <is>
          <t>ALT</t>
        </is>
      </c>
      <c r="F2451" s="40" t="inlineStr">
        <is>
          <t>706100</t>
        </is>
      </c>
      <c r="G2451" s="39" t="inlineStr">
        <is>
          <t>Droits de scolarité</t>
        </is>
      </c>
      <c r="H2451" s="40" t="inlineStr">
        <is>
          <t>COMPTABLE</t>
        </is>
      </c>
      <c r="I2451" s="41" t="inlineStr">
        <is>
          <t>2024ACT_VDEF</t>
        </is>
      </c>
      <c r="J2451" s="41" t="n">
        <v>2024</v>
      </c>
      <c r="K2451" s="41" t="inlineStr">
        <is>
          <t>EUR</t>
        </is>
      </c>
      <c r="L2451" s="42" t="n">
        <v>192850</v>
      </c>
    </row>
    <row r="2452">
      <c r="B2452" s="39" t="inlineStr">
        <is>
          <t>PIGIER_BOR</t>
        </is>
      </c>
      <c r="C2452" s="40" t="inlineStr">
        <is>
          <t>BTS_GES</t>
        </is>
      </c>
      <c r="D2452" s="40" t="inlineStr">
        <is>
          <t>BTS1</t>
        </is>
      </c>
      <c r="E2452" s="40" t="inlineStr">
        <is>
          <t>ALT</t>
        </is>
      </c>
      <c r="F2452" s="40" t="inlineStr">
        <is>
          <t>706100</t>
        </is>
      </c>
      <c r="G2452" s="39" t="inlineStr">
        <is>
          <t>Droits de scolarité</t>
        </is>
      </c>
      <c r="H2452" s="40" t="inlineStr">
        <is>
          <t>COMPTABLE</t>
        </is>
      </c>
      <c r="I2452" s="41" t="inlineStr">
        <is>
          <t>2025FCST_V4</t>
        </is>
      </c>
      <c r="J2452" s="41" t="n">
        <v>2025</v>
      </c>
      <c r="K2452" s="41" t="inlineStr">
        <is>
          <t>EUR</t>
        </is>
      </c>
      <c r="L2452" s="42" t="n">
        <v>203000</v>
      </c>
    </row>
    <row r="2453">
      <c r="B2453" s="39" t="inlineStr">
        <is>
          <t>PIGIER_BOR</t>
        </is>
      </c>
      <c r="C2453" s="40" t="inlineStr">
        <is>
          <t>BTS_GES</t>
        </is>
      </c>
      <c r="D2453" s="40" t="inlineStr">
        <is>
          <t>BTS1</t>
        </is>
      </c>
      <c r="E2453" s="40" t="inlineStr">
        <is>
          <t>ALT</t>
        </is>
      </c>
      <c r="F2453" s="40" t="inlineStr">
        <is>
          <t>708500</t>
        </is>
      </c>
      <c r="G2453" s="39" t="inlineStr">
        <is>
          <t>Frais de dossier / inscription</t>
        </is>
      </c>
      <c r="H2453" s="40" t="inlineStr">
        <is>
          <t>COMPTABLE</t>
        </is>
      </c>
      <c r="I2453" s="41" t="inlineStr">
        <is>
          <t>2023ACT_VDEF</t>
        </is>
      </c>
      <c r="J2453" s="41" t="n">
        <v>2023</v>
      </c>
      <c r="K2453" s="41" t="inlineStr">
        <is>
          <t>EUR</t>
        </is>
      </c>
      <c r="L2453" s="42" t="n">
        <v>2349</v>
      </c>
    </row>
    <row r="2454">
      <c r="B2454" s="39" t="inlineStr">
        <is>
          <t>PIGIER_BOR</t>
        </is>
      </c>
      <c r="C2454" s="40" t="inlineStr">
        <is>
          <t>BTS_GES</t>
        </is>
      </c>
      <c r="D2454" s="40" t="inlineStr">
        <is>
          <t>BTS1</t>
        </is>
      </c>
      <c r="E2454" s="40" t="inlineStr">
        <is>
          <t>ALT</t>
        </is>
      </c>
      <c r="F2454" s="40" t="inlineStr">
        <is>
          <t>708500</t>
        </is>
      </c>
      <c r="G2454" s="39" t="inlineStr">
        <is>
          <t>Frais de dossier / inscription</t>
        </is>
      </c>
      <c r="H2454" s="40" t="inlineStr">
        <is>
          <t>COMPTABLE</t>
        </is>
      </c>
      <c r="I2454" s="41" t="inlineStr">
        <is>
          <t>2024ACT_VDEF</t>
        </is>
      </c>
      <c r="J2454" s="41" t="n">
        <v>2024</v>
      </c>
      <c r="K2454" s="41" t="inlineStr">
        <is>
          <t>EUR</t>
        </is>
      </c>
      <c r="L2454" s="42" t="n">
        <v>2480</v>
      </c>
    </row>
    <row r="2455">
      <c r="B2455" s="39" t="inlineStr">
        <is>
          <t>PIGIER_BOR</t>
        </is>
      </c>
      <c r="C2455" s="40" t="inlineStr">
        <is>
          <t>BTS_GES</t>
        </is>
      </c>
      <c r="D2455" s="40" t="inlineStr">
        <is>
          <t>BTS1</t>
        </is>
      </c>
      <c r="E2455" s="40" t="inlineStr">
        <is>
          <t>ALT</t>
        </is>
      </c>
      <c r="F2455" s="40" t="inlineStr">
        <is>
          <t>708500</t>
        </is>
      </c>
      <c r="G2455" s="39" t="inlineStr">
        <is>
          <t>Frais de dossier / inscription</t>
        </is>
      </c>
      <c r="H2455" s="40" t="inlineStr">
        <is>
          <t>COMPTABLE</t>
        </is>
      </c>
      <c r="I2455" s="41" t="inlineStr">
        <is>
          <t>2025FCST_V4</t>
        </is>
      </c>
      <c r="J2455" s="41" t="n">
        <v>2025</v>
      </c>
      <c r="K2455" s="41" t="inlineStr">
        <is>
          <t>EUR</t>
        </is>
      </c>
      <c r="L2455" s="42" t="n">
        <v>2610</v>
      </c>
    </row>
    <row r="2456">
      <c r="B2456" s="39" t="inlineStr">
        <is>
          <t>PIGIER_BOR</t>
        </is>
      </c>
      <c r="C2456" s="40" t="inlineStr">
        <is>
          <t>BTS_GES</t>
        </is>
      </c>
      <c r="D2456" s="40" t="inlineStr">
        <is>
          <t>BTS1</t>
        </is>
      </c>
      <c r="E2456" s="40" t="inlineStr">
        <is>
          <t>ALT</t>
        </is>
      </c>
      <c r="F2456" s="40" t="inlineStr">
        <is>
          <t>604100</t>
        </is>
      </c>
      <c r="G2456" s="39" t="inlineStr">
        <is>
          <t>Vacations &amp; sous-traitance pédagogique</t>
        </is>
      </c>
      <c r="H2456" s="40" t="inlineStr">
        <is>
          <t>COMPTABLE</t>
        </is>
      </c>
      <c r="I2456" s="41" t="inlineStr">
        <is>
          <t>2023ACT_VDEF</t>
        </is>
      </c>
      <c r="J2456" s="41" t="n">
        <v>2023</v>
      </c>
      <c r="K2456" s="41" t="inlineStr">
        <is>
          <t>EUR</t>
        </is>
      </c>
      <c r="L2456" s="42" t="n">
        <v>35640</v>
      </c>
    </row>
    <row r="2457">
      <c r="B2457" s="39" t="inlineStr">
        <is>
          <t>PIGIER_BOR</t>
        </is>
      </c>
      <c r="C2457" s="40" t="inlineStr">
        <is>
          <t>BTS_GES</t>
        </is>
      </c>
      <c r="D2457" s="40" t="inlineStr">
        <is>
          <t>BTS1</t>
        </is>
      </c>
      <c r="E2457" s="40" t="inlineStr">
        <is>
          <t>ALT</t>
        </is>
      </c>
      <c r="F2457" s="40" t="inlineStr">
        <is>
          <t>604100</t>
        </is>
      </c>
      <c r="G2457" s="39" t="inlineStr">
        <is>
          <t>Vacations &amp; sous-traitance pédagogique</t>
        </is>
      </c>
      <c r="H2457" s="40" t="inlineStr">
        <is>
          <t>COMPTABLE</t>
        </is>
      </c>
      <c r="I2457" s="41" t="inlineStr">
        <is>
          <t>2024ACT_VDEF</t>
        </is>
      </c>
      <c r="J2457" s="41" t="n">
        <v>2024</v>
      </c>
      <c r="K2457" s="41" t="inlineStr">
        <is>
          <t>EUR</t>
        </is>
      </c>
      <c r="L2457" s="42" t="n">
        <v>37620</v>
      </c>
    </row>
    <row r="2458">
      <c r="B2458" s="39" t="inlineStr">
        <is>
          <t>PIGIER_BOR</t>
        </is>
      </c>
      <c r="C2458" s="40" t="inlineStr">
        <is>
          <t>BTS_GES</t>
        </is>
      </c>
      <c r="D2458" s="40" t="inlineStr">
        <is>
          <t>BTS1</t>
        </is>
      </c>
      <c r="E2458" s="40" t="inlineStr">
        <is>
          <t>ALT</t>
        </is>
      </c>
      <c r="F2458" s="40" t="inlineStr">
        <is>
          <t>604100</t>
        </is>
      </c>
      <c r="G2458" s="39" t="inlineStr">
        <is>
          <t>Vacations &amp; sous-traitance pédagogique</t>
        </is>
      </c>
      <c r="H2458" s="40" t="inlineStr">
        <is>
          <t>COMPTABLE</t>
        </is>
      </c>
      <c r="I2458" s="41" t="inlineStr">
        <is>
          <t>2025FCST_V4</t>
        </is>
      </c>
      <c r="J2458" s="41" t="n">
        <v>2025</v>
      </c>
      <c r="K2458" s="41" t="inlineStr">
        <is>
          <t>EUR</t>
        </is>
      </c>
      <c r="L2458" s="42" t="n">
        <v>39600</v>
      </c>
    </row>
    <row r="2459">
      <c r="B2459" s="39" t="inlineStr">
        <is>
          <t>PIGIER_BOR</t>
        </is>
      </c>
      <c r="C2459" s="40" t="inlineStr">
        <is>
          <t>BTS_GES</t>
        </is>
      </c>
      <c r="D2459" s="40" t="inlineStr">
        <is>
          <t>BTS1</t>
        </is>
      </c>
      <c r="E2459" s="40" t="inlineStr">
        <is>
          <t>ALT</t>
        </is>
      </c>
      <c r="F2459" s="40" t="inlineStr">
        <is>
          <t>606300</t>
        </is>
      </c>
      <c r="G2459" s="39" t="inlineStr">
        <is>
          <t>Fournitures &amp; ressources pédagogiques</t>
        </is>
      </c>
      <c r="H2459" s="40" t="inlineStr">
        <is>
          <t>COMPTABLE</t>
        </is>
      </c>
      <c r="I2459" s="41" t="inlineStr">
        <is>
          <t>2023ACT_VDEF</t>
        </is>
      </c>
      <c r="J2459" s="41" t="n">
        <v>2023</v>
      </c>
      <c r="K2459" s="41" t="inlineStr">
        <is>
          <t>EUR</t>
        </is>
      </c>
      <c r="L2459" s="42" t="n">
        <v>9135</v>
      </c>
    </row>
    <row r="2460">
      <c r="B2460" s="39" t="inlineStr">
        <is>
          <t>PIGIER_BOR</t>
        </is>
      </c>
      <c r="C2460" s="40" t="inlineStr">
        <is>
          <t>BTS_GES</t>
        </is>
      </c>
      <c r="D2460" s="40" t="inlineStr">
        <is>
          <t>BTS1</t>
        </is>
      </c>
      <c r="E2460" s="40" t="inlineStr">
        <is>
          <t>ALT</t>
        </is>
      </c>
      <c r="F2460" s="40" t="inlineStr">
        <is>
          <t>606300</t>
        </is>
      </c>
      <c r="G2460" s="39" t="inlineStr">
        <is>
          <t>Fournitures &amp; ressources pédagogiques</t>
        </is>
      </c>
      <c r="H2460" s="40" t="inlineStr">
        <is>
          <t>COMPTABLE</t>
        </is>
      </c>
      <c r="I2460" s="41" t="inlineStr">
        <is>
          <t>2024ACT_VDEF</t>
        </is>
      </c>
      <c r="J2460" s="41" t="n">
        <v>2024</v>
      </c>
      <c r="K2460" s="41" t="inlineStr">
        <is>
          <t>EUR</t>
        </is>
      </c>
      <c r="L2460" s="42" t="n">
        <v>9642</v>
      </c>
    </row>
    <row r="2461">
      <c r="B2461" s="39" t="inlineStr">
        <is>
          <t>PIGIER_BOR</t>
        </is>
      </c>
      <c r="C2461" s="40" t="inlineStr">
        <is>
          <t>BTS_GES</t>
        </is>
      </c>
      <c r="D2461" s="40" t="inlineStr">
        <is>
          <t>BTS1</t>
        </is>
      </c>
      <c r="E2461" s="40" t="inlineStr">
        <is>
          <t>ALT</t>
        </is>
      </c>
      <c r="F2461" s="40" t="inlineStr">
        <is>
          <t>606300</t>
        </is>
      </c>
      <c r="G2461" s="39" t="inlineStr">
        <is>
          <t>Fournitures &amp; ressources pédagogiques</t>
        </is>
      </c>
      <c r="H2461" s="40" t="inlineStr">
        <is>
          <t>COMPTABLE</t>
        </is>
      </c>
      <c r="I2461" s="41" t="inlineStr">
        <is>
          <t>2025FCST_V4</t>
        </is>
      </c>
      <c r="J2461" s="41" t="n">
        <v>2025</v>
      </c>
      <c r="K2461" s="41" t="inlineStr">
        <is>
          <t>EUR</t>
        </is>
      </c>
      <c r="L2461" s="42" t="n">
        <v>10150</v>
      </c>
    </row>
    <row r="2462">
      <c r="B2462" s="39" t="inlineStr">
        <is>
          <t>PIGIER_BOR</t>
        </is>
      </c>
      <c r="C2462" s="40" t="inlineStr">
        <is>
          <t>BTS_GES</t>
        </is>
      </c>
      <c r="D2462" s="40" t="inlineStr">
        <is>
          <t>BTS1</t>
        </is>
      </c>
      <c r="E2462" s="40" t="inlineStr">
        <is>
          <t>ALT</t>
        </is>
      </c>
      <c r="F2462" s="40" t="inlineStr">
        <is>
          <t>623000</t>
        </is>
      </c>
      <c r="G2462" s="39" t="inlineStr">
        <is>
          <t>Publicité &amp; marketing (acquisition)</t>
        </is>
      </c>
      <c r="H2462" s="40" t="inlineStr">
        <is>
          <t>COMPTABLE</t>
        </is>
      </c>
      <c r="I2462" s="41" t="inlineStr">
        <is>
          <t>2023ACT_VDEF</t>
        </is>
      </c>
      <c r="J2462" s="41" t="n">
        <v>2023</v>
      </c>
      <c r="K2462" s="41" t="inlineStr">
        <is>
          <t>EUR</t>
        </is>
      </c>
      <c r="L2462" s="42" t="n">
        <v>6525</v>
      </c>
    </row>
    <row r="2463">
      <c r="B2463" s="39" t="inlineStr">
        <is>
          <t>PIGIER_BOR</t>
        </is>
      </c>
      <c r="C2463" s="40" t="inlineStr">
        <is>
          <t>BTS_GES</t>
        </is>
      </c>
      <c r="D2463" s="40" t="inlineStr">
        <is>
          <t>BTS1</t>
        </is>
      </c>
      <c r="E2463" s="40" t="inlineStr">
        <is>
          <t>ALT</t>
        </is>
      </c>
      <c r="F2463" s="40" t="inlineStr">
        <is>
          <t>623000</t>
        </is>
      </c>
      <c r="G2463" s="39" t="inlineStr">
        <is>
          <t>Publicité &amp; marketing (acquisition)</t>
        </is>
      </c>
      <c r="H2463" s="40" t="inlineStr">
        <is>
          <t>COMPTABLE</t>
        </is>
      </c>
      <c r="I2463" s="41" t="inlineStr">
        <is>
          <t>2024ACT_VDEF</t>
        </is>
      </c>
      <c r="J2463" s="41" t="n">
        <v>2024</v>
      </c>
      <c r="K2463" s="41" t="inlineStr">
        <is>
          <t>EUR</t>
        </is>
      </c>
      <c r="L2463" s="42" t="n">
        <v>6888</v>
      </c>
    </row>
    <row r="2464">
      <c r="B2464" s="39" t="inlineStr">
        <is>
          <t>PIGIER_BOR</t>
        </is>
      </c>
      <c r="C2464" s="40" t="inlineStr">
        <is>
          <t>BTS_GES</t>
        </is>
      </c>
      <c r="D2464" s="40" t="inlineStr">
        <is>
          <t>BTS1</t>
        </is>
      </c>
      <c r="E2464" s="40" t="inlineStr">
        <is>
          <t>ALT</t>
        </is>
      </c>
      <c r="F2464" s="40" t="inlineStr">
        <is>
          <t>623000</t>
        </is>
      </c>
      <c r="G2464" s="39" t="inlineStr">
        <is>
          <t>Publicité &amp; marketing (acquisition)</t>
        </is>
      </c>
      <c r="H2464" s="40" t="inlineStr">
        <is>
          <t>COMPTABLE</t>
        </is>
      </c>
      <c r="I2464" s="41" t="inlineStr">
        <is>
          <t>2025FCST_V4</t>
        </is>
      </c>
      <c r="J2464" s="41" t="n">
        <v>2025</v>
      </c>
      <c r="K2464" s="41" t="inlineStr">
        <is>
          <t>EUR</t>
        </is>
      </c>
      <c r="L2464" s="42" t="n">
        <v>7250</v>
      </c>
    </row>
    <row r="2465">
      <c r="B2465" s="39" t="inlineStr">
        <is>
          <t>PIGIER_BOR</t>
        </is>
      </c>
      <c r="C2465" s="40" t="inlineStr">
        <is>
          <t>BTS_GES</t>
        </is>
      </c>
      <c r="D2465" s="40" t="inlineStr">
        <is>
          <t>BTS1</t>
        </is>
      </c>
      <c r="E2465" s="40" t="inlineStr">
        <is>
          <t>ALT</t>
        </is>
      </c>
      <c r="F2465" s="40" t="inlineStr">
        <is>
          <t>613200</t>
        </is>
      </c>
      <c r="G2465" s="39" t="inlineStr">
        <is>
          <t>Locations immobilières (loyers)</t>
        </is>
      </c>
      <c r="H2465" s="40" t="inlineStr">
        <is>
          <t>COMPTABLE</t>
        </is>
      </c>
      <c r="I2465" s="41" t="inlineStr">
        <is>
          <t>2023ACT_VDEF</t>
        </is>
      </c>
      <c r="J2465" s="41" t="n">
        <v>2023</v>
      </c>
      <c r="K2465" s="41" t="inlineStr">
        <is>
          <t>EUR</t>
        </is>
      </c>
      <c r="L2465" s="42" t="n">
        <v>17640</v>
      </c>
    </row>
    <row r="2466">
      <c r="B2466" s="39" t="inlineStr">
        <is>
          <t>PIGIER_BOR</t>
        </is>
      </c>
      <c r="C2466" s="40" t="inlineStr">
        <is>
          <t>BTS_GES</t>
        </is>
      </c>
      <c r="D2466" s="40" t="inlineStr">
        <is>
          <t>BTS1</t>
        </is>
      </c>
      <c r="E2466" s="40" t="inlineStr">
        <is>
          <t>ALT</t>
        </is>
      </c>
      <c r="F2466" s="40" t="inlineStr">
        <is>
          <t>613200</t>
        </is>
      </c>
      <c r="G2466" s="39" t="inlineStr">
        <is>
          <t>Locations immobilières (loyers)</t>
        </is>
      </c>
      <c r="H2466" s="40" t="inlineStr">
        <is>
          <t>COMPTABLE</t>
        </is>
      </c>
      <c r="I2466" s="41" t="inlineStr">
        <is>
          <t>2024ACT_VDEF</t>
        </is>
      </c>
      <c r="J2466" s="41" t="n">
        <v>2024</v>
      </c>
      <c r="K2466" s="41" t="inlineStr">
        <is>
          <t>EUR</t>
        </is>
      </c>
      <c r="L2466" s="42" t="n">
        <v>18620</v>
      </c>
    </row>
    <row r="2467">
      <c r="B2467" s="39" t="inlineStr">
        <is>
          <t>PIGIER_BOR</t>
        </is>
      </c>
      <c r="C2467" s="40" t="inlineStr">
        <is>
          <t>BTS_GES</t>
        </is>
      </c>
      <c r="D2467" s="40" t="inlineStr">
        <is>
          <t>BTS1</t>
        </is>
      </c>
      <c r="E2467" s="40" t="inlineStr">
        <is>
          <t>ALT</t>
        </is>
      </c>
      <c r="F2467" s="40" t="inlineStr">
        <is>
          <t>613200</t>
        </is>
      </c>
      <c r="G2467" s="39" t="inlineStr">
        <is>
          <t>Locations immobilières (loyers)</t>
        </is>
      </c>
      <c r="H2467" s="40" t="inlineStr">
        <is>
          <t>COMPTABLE</t>
        </is>
      </c>
      <c r="I2467" s="41" t="inlineStr">
        <is>
          <t>2025FCST_V4</t>
        </is>
      </c>
      <c r="J2467" s="41" t="n">
        <v>2025</v>
      </c>
      <c r="K2467" s="41" t="inlineStr">
        <is>
          <t>EUR</t>
        </is>
      </c>
      <c r="L2467" s="42" t="n">
        <v>19600</v>
      </c>
    </row>
    <row r="2468">
      <c r="B2468" s="39" t="inlineStr">
        <is>
          <t>PIGIER_BOR</t>
        </is>
      </c>
      <c r="C2468" s="40" t="inlineStr">
        <is>
          <t>BTS_GES</t>
        </is>
      </c>
      <c r="D2468" s="40" t="inlineStr">
        <is>
          <t>BTS1</t>
        </is>
      </c>
      <c r="E2468" s="40" t="inlineStr">
        <is>
          <t>ALT</t>
        </is>
      </c>
      <c r="F2468" s="40" t="inlineStr">
        <is>
          <t>641100</t>
        </is>
      </c>
      <c r="G2468" s="39" t="inlineStr">
        <is>
          <t>Rémunérations du personnel permanent</t>
        </is>
      </c>
      <c r="H2468" s="40" t="inlineStr">
        <is>
          <t>COMPTABLE</t>
        </is>
      </c>
      <c r="I2468" s="41" t="inlineStr">
        <is>
          <t>2023ACT_VDEF</t>
        </is>
      </c>
      <c r="J2468" s="41" t="n">
        <v>2023</v>
      </c>
      <c r="K2468" s="41" t="inlineStr">
        <is>
          <t>EUR</t>
        </is>
      </c>
      <c r="L2468" s="42" t="n">
        <v>52200</v>
      </c>
    </row>
    <row r="2469">
      <c r="B2469" s="39" t="inlineStr">
        <is>
          <t>PIGIER_BOR</t>
        </is>
      </c>
      <c r="C2469" s="40" t="inlineStr">
        <is>
          <t>BTS_GES</t>
        </is>
      </c>
      <c r="D2469" s="40" t="inlineStr">
        <is>
          <t>BTS1</t>
        </is>
      </c>
      <c r="E2469" s="40" t="inlineStr">
        <is>
          <t>ALT</t>
        </is>
      </c>
      <c r="F2469" s="40" t="inlineStr">
        <is>
          <t>641100</t>
        </is>
      </c>
      <c r="G2469" s="39" t="inlineStr">
        <is>
          <t>Rémunérations du personnel permanent</t>
        </is>
      </c>
      <c r="H2469" s="40" t="inlineStr">
        <is>
          <t>COMPTABLE</t>
        </is>
      </c>
      <c r="I2469" s="41" t="inlineStr">
        <is>
          <t>2024ACT_VDEF</t>
        </is>
      </c>
      <c r="J2469" s="41" t="n">
        <v>2024</v>
      </c>
      <c r="K2469" s="41" t="inlineStr">
        <is>
          <t>EUR</t>
        </is>
      </c>
      <c r="L2469" s="42" t="n">
        <v>55100</v>
      </c>
    </row>
    <row r="2470">
      <c r="B2470" s="39" t="inlineStr">
        <is>
          <t>PIGIER_BOR</t>
        </is>
      </c>
      <c r="C2470" s="40" t="inlineStr">
        <is>
          <t>BTS_GES</t>
        </is>
      </c>
      <c r="D2470" s="40" t="inlineStr">
        <is>
          <t>BTS1</t>
        </is>
      </c>
      <c r="E2470" s="40" t="inlineStr">
        <is>
          <t>ALT</t>
        </is>
      </c>
      <c r="F2470" s="40" t="inlineStr">
        <is>
          <t>641100</t>
        </is>
      </c>
      <c r="G2470" s="39" t="inlineStr">
        <is>
          <t>Rémunérations du personnel permanent</t>
        </is>
      </c>
      <c r="H2470" s="40" t="inlineStr">
        <is>
          <t>COMPTABLE</t>
        </is>
      </c>
      <c r="I2470" s="41" t="inlineStr">
        <is>
          <t>2025FCST_V4</t>
        </is>
      </c>
      <c r="J2470" s="41" t="n">
        <v>2025</v>
      </c>
      <c r="K2470" s="41" t="inlineStr">
        <is>
          <t>EUR</t>
        </is>
      </c>
      <c r="L2470" s="42" t="n">
        <v>58000</v>
      </c>
    </row>
    <row r="2471">
      <c r="B2471" s="39" t="inlineStr">
        <is>
          <t>PIGIER_BOR</t>
        </is>
      </c>
      <c r="C2471" s="40" t="inlineStr">
        <is>
          <t>BTS_GES</t>
        </is>
      </c>
      <c r="D2471" s="40" t="inlineStr">
        <is>
          <t>BTS1</t>
        </is>
      </c>
      <c r="E2471" s="40" t="inlineStr">
        <is>
          <t>ALT</t>
        </is>
      </c>
      <c r="F2471" s="40" t="inlineStr">
        <is>
          <t>622600</t>
        </is>
      </c>
      <c r="G2471" s="39" t="inlineStr">
        <is>
          <t>Honoraires &amp; frais de siège (structure groupe)</t>
        </is>
      </c>
      <c r="H2471" s="40" t="inlineStr">
        <is>
          <t>COMPTABLE</t>
        </is>
      </c>
      <c r="I2471" s="41" t="inlineStr">
        <is>
          <t>2023ACT_VDEF</t>
        </is>
      </c>
      <c r="J2471" s="41" t="n">
        <v>2023</v>
      </c>
      <c r="K2471" s="41" t="inlineStr">
        <is>
          <t>EUR</t>
        </is>
      </c>
      <c r="L2471" s="42" t="n">
        <v>15990</v>
      </c>
    </row>
    <row r="2472">
      <c r="B2472" s="39" t="inlineStr">
        <is>
          <t>PIGIER_BOR</t>
        </is>
      </c>
      <c r="C2472" s="40" t="inlineStr">
        <is>
          <t>BTS_GES</t>
        </is>
      </c>
      <c r="D2472" s="40" t="inlineStr">
        <is>
          <t>BTS1</t>
        </is>
      </c>
      <c r="E2472" s="40" t="inlineStr">
        <is>
          <t>ALT</t>
        </is>
      </c>
      <c r="F2472" s="40" t="inlineStr">
        <is>
          <t>622600</t>
        </is>
      </c>
      <c r="G2472" s="39" t="inlineStr">
        <is>
          <t>Honoraires &amp; frais de siège (structure groupe)</t>
        </is>
      </c>
      <c r="H2472" s="40" t="inlineStr">
        <is>
          <t>COMPTABLE</t>
        </is>
      </c>
      <c r="I2472" s="41" t="inlineStr">
        <is>
          <t>2024ACT_VDEF</t>
        </is>
      </c>
      <c r="J2472" s="41" t="n">
        <v>2024</v>
      </c>
      <c r="K2472" s="41" t="inlineStr">
        <is>
          <t>EUR</t>
        </is>
      </c>
      <c r="L2472" s="42" t="n">
        <v>16879</v>
      </c>
    </row>
    <row r="2473">
      <c r="B2473" s="39" t="inlineStr">
        <is>
          <t>PIGIER_BOR</t>
        </is>
      </c>
      <c r="C2473" s="40" t="inlineStr">
        <is>
          <t>BTS_GES</t>
        </is>
      </c>
      <c r="D2473" s="40" t="inlineStr">
        <is>
          <t>BTS1</t>
        </is>
      </c>
      <c r="E2473" s="40" t="inlineStr">
        <is>
          <t>ALT</t>
        </is>
      </c>
      <c r="F2473" s="40" t="inlineStr">
        <is>
          <t>622600</t>
        </is>
      </c>
      <c r="G2473" s="39" t="inlineStr">
        <is>
          <t>Honoraires &amp; frais de siège (structure groupe)</t>
        </is>
      </c>
      <c r="H2473" s="40" t="inlineStr">
        <is>
          <t>COMPTABLE</t>
        </is>
      </c>
      <c r="I2473" s="41" t="inlineStr">
        <is>
          <t>2025FCST_V4</t>
        </is>
      </c>
      <c r="J2473" s="41" t="n">
        <v>2025</v>
      </c>
      <c r="K2473" s="41" t="inlineStr">
        <is>
          <t>EUR</t>
        </is>
      </c>
      <c r="L2473" s="42" t="n">
        <v>17767</v>
      </c>
    </row>
    <row r="2474">
      <c r="B2474" s="39" t="inlineStr">
        <is>
          <t>PIGIER_BOR</t>
        </is>
      </c>
      <c r="C2474" s="40" t="inlineStr">
        <is>
          <t>BTS_GES</t>
        </is>
      </c>
      <c r="D2474" s="40" t="inlineStr">
        <is>
          <t>BTS1</t>
        </is>
      </c>
      <c r="E2474" s="40" t="inlineStr">
        <is>
          <t>ALT</t>
        </is>
      </c>
      <c r="F2474" s="40" t="inlineStr">
        <is>
          <t>606800</t>
        </is>
      </c>
      <c r="G2474" s="39" t="inlineStr">
        <is>
          <t>Autres achats &amp; charges externes</t>
        </is>
      </c>
      <c r="H2474" s="40" t="inlineStr">
        <is>
          <t>COMPTABLE</t>
        </is>
      </c>
      <c r="I2474" s="41" t="inlineStr">
        <is>
          <t>2023ACT_VDEF</t>
        </is>
      </c>
      <c r="J2474" s="41" t="n">
        <v>2023</v>
      </c>
      <c r="K2474" s="41" t="inlineStr">
        <is>
          <t>EUR</t>
        </is>
      </c>
      <c r="L2474" s="42" t="n">
        <v>24377</v>
      </c>
    </row>
    <row r="2475">
      <c r="B2475" s="39" t="inlineStr">
        <is>
          <t>PIGIER_BOR</t>
        </is>
      </c>
      <c r="C2475" s="40" t="inlineStr">
        <is>
          <t>BTS_GES</t>
        </is>
      </c>
      <c r="D2475" s="40" t="inlineStr">
        <is>
          <t>BTS1</t>
        </is>
      </c>
      <c r="E2475" s="40" t="inlineStr">
        <is>
          <t>ALT</t>
        </is>
      </c>
      <c r="F2475" s="40" t="inlineStr">
        <is>
          <t>606800</t>
        </is>
      </c>
      <c r="G2475" s="39" t="inlineStr">
        <is>
          <t>Autres achats &amp; charges externes</t>
        </is>
      </c>
      <c r="H2475" s="40" t="inlineStr">
        <is>
          <t>COMPTABLE</t>
        </is>
      </c>
      <c r="I2475" s="41" t="inlineStr">
        <is>
          <t>2024ACT_VDEF</t>
        </is>
      </c>
      <c r="J2475" s="41" t="n">
        <v>2024</v>
      </c>
      <c r="K2475" s="41" t="inlineStr">
        <is>
          <t>EUR</t>
        </is>
      </c>
      <c r="L2475" s="42" t="n">
        <v>25732</v>
      </c>
    </row>
    <row r="2476">
      <c r="B2476" s="39" t="inlineStr">
        <is>
          <t>PIGIER_BOR</t>
        </is>
      </c>
      <c r="C2476" s="40" t="inlineStr">
        <is>
          <t>BTS_GES</t>
        </is>
      </c>
      <c r="D2476" s="40" t="inlineStr">
        <is>
          <t>BTS1</t>
        </is>
      </c>
      <c r="E2476" s="40" t="inlineStr">
        <is>
          <t>ALT</t>
        </is>
      </c>
      <c r="F2476" s="40" t="inlineStr">
        <is>
          <t>606800</t>
        </is>
      </c>
      <c r="G2476" s="39" t="inlineStr">
        <is>
          <t>Autres achats &amp; charges externes</t>
        </is>
      </c>
      <c r="H2476" s="40" t="inlineStr">
        <is>
          <t>COMPTABLE</t>
        </is>
      </c>
      <c r="I2476" s="41" t="inlineStr">
        <is>
          <t>2025FCST_V4</t>
        </is>
      </c>
      <c r="J2476" s="41" t="n">
        <v>2025</v>
      </c>
      <c r="K2476" s="41" t="inlineStr">
        <is>
          <t>EUR</t>
        </is>
      </c>
      <c r="L2476" s="42" t="n">
        <v>27086</v>
      </c>
    </row>
    <row r="2477">
      <c r="B2477" s="39" t="inlineStr">
        <is>
          <t>PIGIER_BOR</t>
        </is>
      </c>
      <c r="C2477" s="40" t="inlineStr">
        <is>
          <t>BTS_GES</t>
        </is>
      </c>
      <c r="D2477" s="40" t="inlineStr">
        <is>
          <t>BTS1</t>
        </is>
      </c>
      <c r="E2477" s="40" t="inlineStr">
        <is>
          <t>ALT</t>
        </is>
      </c>
      <c r="F2477" s="40" t="inlineStr">
        <is>
          <t>681100</t>
        </is>
      </c>
      <c r="G2477" s="39" t="inlineStr">
        <is>
          <t>Dotations aux amortissements</t>
        </is>
      </c>
      <c r="H2477" s="40" t="inlineStr">
        <is>
          <t>COMPTABLE</t>
        </is>
      </c>
      <c r="I2477" s="41" t="inlineStr">
        <is>
          <t>2023ACT_VDEF</t>
        </is>
      </c>
      <c r="J2477" s="41" t="n">
        <v>2023</v>
      </c>
      <c r="K2477" s="41" t="inlineStr">
        <is>
          <t>EUR</t>
        </is>
      </c>
      <c r="L2477" s="42" t="n">
        <v>9540</v>
      </c>
    </row>
    <row r="2478">
      <c r="B2478" s="39" t="inlineStr">
        <is>
          <t>PIGIER_BOR</t>
        </is>
      </c>
      <c r="C2478" s="40" t="inlineStr">
        <is>
          <t>BTS_GES</t>
        </is>
      </c>
      <c r="D2478" s="40" t="inlineStr">
        <is>
          <t>BTS1</t>
        </is>
      </c>
      <c r="E2478" s="40" t="inlineStr">
        <is>
          <t>ALT</t>
        </is>
      </c>
      <c r="F2478" s="40" t="inlineStr">
        <is>
          <t>681100</t>
        </is>
      </c>
      <c r="G2478" s="39" t="inlineStr">
        <is>
          <t>Dotations aux amortissements</t>
        </is>
      </c>
      <c r="H2478" s="40" t="inlineStr">
        <is>
          <t>COMPTABLE</t>
        </is>
      </c>
      <c r="I2478" s="41" t="inlineStr">
        <is>
          <t>2024ACT_VDEF</t>
        </is>
      </c>
      <c r="J2478" s="41" t="n">
        <v>2024</v>
      </c>
      <c r="K2478" s="41" t="inlineStr">
        <is>
          <t>EUR</t>
        </is>
      </c>
      <c r="L2478" s="42" t="n">
        <v>10070</v>
      </c>
    </row>
    <row r="2479">
      <c r="B2479" s="39" t="inlineStr">
        <is>
          <t>PIGIER_BOR</t>
        </is>
      </c>
      <c r="C2479" s="40" t="inlineStr">
        <is>
          <t>BTS_GES</t>
        </is>
      </c>
      <c r="D2479" s="40" t="inlineStr">
        <is>
          <t>BTS1</t>
        </is>
      </c>
      <c r="E2479" s="40" t="inlineStr">
        <is>
          <t>ALT</t>
        </is>
      </c>
      <c r="F2479" s="40" t="inlineStr">
        <is>
          <t>681100</t>
        </is>
      </c>
      <c r="G2479" s="39" t="inlineStr">
        <is>
          <t>Dotations aux amortissements</t>
        </is>
      </c>
      <c r="H2479" s="40" t="inlineStr">
        <is>
          <t>COMPTABLE</t>
        </is>
      </c>
      <c r="I2479" s="41" t="inlineStr">
        <is>
          <t>2025FCST_V4</t>
        </is>
      </c>
      <c r="J2479" s="41" t="n">
        <v>2025</v>
      </c>
      <c r="K2479" s="41" t="inlineStr">
        <is>
          <t>EUR</t>
        </is>
      </c>
      <c r="L2479" s="42" t="n">
        <v>10600</v>
      </c>
    </row>
    <row r="2480">
      <c r="B2480" s="39" t="inlineStr">
        <is>
          <t>PIGIER_BOR</t>
        </is>
      </c>
      <c r="C2480" s="40" t="inlineStr">
        <is>
          <t>BTS_GES</t>
        </is>
      </c>
      <c r="D2480" s="40" t="inlineStr">
        <is>
          <t>BTS1</t>
        </is>
      </c>
      <c r="E2480" s="40" t="inlineStr">
        <is>
          <t>ALT</t>
        </is>
      </c>
      <c r="F2480" s="40" t="inlineStr">
        <is>
          <t>STA_EFF</t>
        </is>
      </c>
      <c r="G2480" s="39" t="inlineStr">
        <is>
          <t>Effectif inscrit</t>
        </is>
      </c>
      <c r="H2480" s="40" t="inlineStr">
        <is>
          <t>TECHNIQUE</t>
        </is>
      </c>
      <c r="I2480" s="41" t="inlineStr">
        <is>
          <t>2023ACT_VDEF</t>
        </is>
      </c>
      <c r="J2480" s="41" t="n">
        <v>2023</v>
      </c>
      <c r="K2480" s="41" t="inlineStr">
        <is>
          <t>NB</t>
        </is>
      </c>
      <c r="L2480" s="43" t="n">
        <v>26</v>
      </c>
    </row>
    <row r="2481">
      <c r="B2481" s="39" t="inlineStr">
        <is>
          <t>PIGIER_BOR</t>
        </is>
      </c>
      <c r="C2481" s="40" t="inlineStr">
        <is>
          <t>BTS_GES</t>
        </is>
      </c>
      <c r="D2481" s="40" t="inlineStr">
        <is>
          <t>BTS1</t>
        </is>
      </c>
      <c r="E2481" s="40" t="inlineStr">
        <is>
          <t>ALT</t>
        </is>
      </c>
      <c r="F2481" s="40" t="inlineStr">
        <is>
          <t>STA_EFF</t>
        </is>
      </c>
      <c r="G2481" s="39" t="inlineStr">
        <is>
          <t>Effectif inscrit</t>
        </is>
      </c>
      <c r="H2481" s="40" t="inlineStr">
        <is>
          <t>TECHNIQUE</t>
        </is>
      </c>
      <c r="I2481" s="41" t="inlineStr">
        <is>
          <t>2024ACT_VDEF</t>
        </is>
      </c>
      <c r="J2481" s="41" t="n">
        <v>2024</v>
      </c>
      <c r="K2481" s="41" t="inlineStr">
        <is>
          <t>NB</t>
        </is>
      </c>
      <c r="L2481" s="43" t="n">
        <v>28</v>
      </c>
    </row>
    <row r="2482">
      <c r="B2482" s="39" t="inlineStr">
        <is>
          <t>PIGIER_BOR</t>
        </is>
      </c>
      <c r="C2482" s="40" t="inlineStr">
        <is>
          <t>BTS_GES</t>
        </is>
      </c>
      <c r="D2482" s="40" t="inlineStr">
        <is>
          <t>BTS1</t>
        </is>
      </c>
      <c r="E2482" s="40" t="inlineStr">
        <is>
          <t>ALT</t>
        </is>
      </c>
      <c r="F2482" s="40" t="inlineStr">
        <is>
          <t>STA_EFF</t>
        </is>
      </c>
      <c r="G2482" s="39" t="inlineStr">
        <is>
          <t>Effectif inscrit</t>
        </is>
      </c>
      <c r="H2482" s="40" t="inlineStr">
        <is>
          <t>TECHNIQUE</t>
        </is>
      </c>
      <c r="I2482" s="41" t="inlineStr">
        <is>
          <t>2025FCST_V4</t>
        </is>
      </c>
      <c r="J2482" s="41" t="n">
        <v>2025</v>
      </c>
      <c r="K2482" s="41" t="inlineStr">
        <is>
          <t>NB</t>
        </is>
      </c>
      <c r="L2482" s="43" t="n">
        <v>29</v>
      </c>
    </row>
    <row r="2483">
      <c r="B2483" s="39" t="inlineStr">
        <is>
          <t>PIGIER_BOR</t>
        </is>
      </c>
      <c r="C2483" s="40" t="inlineStr">
        <is>
          <t>BTS_GES</t>
        </is>
      </c>
      <c r="D2483" s="40" t="inlineStr">
        <is>
          <t>BTS1</t>
        </is>
      </c>
      <c r="E2483" s="40" t="inlineStr">
        <is>
          <t>ALT</t>
        </is>
      </c>
      <c r="F2483" s="40" t="inlineStr">
        <is>
          <t>STA_CAND</t>
        </is>
      </c>
      <c r="G2483" s="39" t="inlineStr">
        <is>
          <t>Candidatures reçues</t>
        </is>
      </c>
      <c r="H2483" s="40" t="inlineStr">
        <is>
          <t>TECHNIQUE</t>
        </is>
      </c>
      <c r="I2483" s="41" t="inlineStr">
        <is>
          <t>2023ACT_VDEF</t>
        </is>
      </c>
      <c r="J2483" s="41" t="n">
        <v>2023</v>
      </c>
      <c r="K2483" s="41" t="inlineStr">
        <is>
          <t>NB</t>
        </is>
      </c>
      <c r="L2483" s="43" t="n">
        <v>70</v>
      </c>
    </row>
    <row r="2484">
      <c r="B2484" s="39" t="inlineStr">
        <is>
          <t>PIGIER_BOR</t>
        </is>
      </c>
      <c r="C2484" s="40" t="inlineStr">
        <is>
          <t>BTS_GES</t>
        </is>
      </c>
      <c r="D2484" s="40" t="inlineStr">
        <is>
          <t>BTS1</t>
        </is>
      </c>
      <c r="E2484" s="40" t="inlineStr">
        <is>
          <t>ALT</t>
        </is>
      </c>
      <c r="F2484" s="40" t="inlineStr">
        <is>
          <t>STA_CAND</t>
        </is>
      </c>
      <c r="G2484" s="39" t="inlineStr">
        <is>
          <t>Candidatures reçues</t>
        </is>
      </c>
      <c r="H2484" s="40" t="inlineStr">
        <is>
          <t>TECHNIQUE</t>
        </is>
      </c>
      <c r="I2484" s="41" t="inlineStr">
        <is>
          <t>2024ACT_VDEF</t>
        </is>
      </c>
      <c r="J2484" s="41" t="n">
        <v>2024</v>
      </c>
      <c r="K2484" s="41" t="inlineStr">
        <is>
          <t>NB</t>
        </is>
      </c>
      <c r="L2484" s="43" t="n">
        <v>74</v>
      </c>
    </row>
    <row r="2485">
      <c r="B2485" s="39" t="inlineStr">
        <is>
          <t>PIGIER_BOR</t>
        </is>
      </c>
      <c r="C2485" s="40" t="inlineStr">
        <is>
          <t>BTS_GES</t>
        </is>
      </c>
      <c r="D2485" s="40" t="inlineStr">
        <is>
          <t>BTS1</t>
        </is>
      </c>
      <c r="E2485" s="40" t="inlineStr">
        <is>
          <t>ALT</t>
        </is>
      </c>
      <c r="F2485" s="40" t="inlineStr">
        <is>
          <t>STA_CAND</t>
        </is>
      </c>
      <c r="G2485" s="39" t="inlineStr">
        <is>
          <t>Candidatures reçues</t>
        </is>
      </c>
      <c r="H2485" s="40" t="inlineStr">
        <is>
          <t>TECHNIQUE</t>
        </is>
      </c>
      <c r="I2485" s="41" t="inlineStr">
        <is>
          <t>2025FCST_V4</t>
        </is>
      </c>
      <c r="J2485" s="41" t="n">
        <v>2025</v>
      </c>
      <c r="K2485" s="41" t="inlineStr">
        <is>
          <t>NB</t>
        </is>
      </c>
      <c r="L2485" s="43" t="n">
        <v>78</v>
      </c>
    </row>
    <row r="2486">
      <c r="B2486" s="39" t="inlineStr">
        <is>
          <t>PIGIER_BOR</t>
        </is>
      </c>
      <c r="C2486" s="40" t="inlineStr">
        <is>
          <t>BTS_GES</t>
        </is>
      </c>
      <c r="D2486" s="40" t="inlineStr">
        <is>
          <t>BTS1</t>
        </is>
      </c>
      <c r="E2486" s="40" t="inlineStr">
        <is>
          <t>ALT</t>
        </is>
      </c>
      <c r="F2486" s="40" t="inlineStr">
        <is>
          <t>STA_ADMIS</t>
        </is>
      </c>
      <c r="G2486" s="39" t="inlineStr">
        <is>
          <t>Candidats admis</t>
        </is>
      </c>
      <c r="H2486" s="40" t="inlineStr">
        <is>
          <t>TECHNIQUE</t>
        </is>
      </c>
      <c r="I2486" s="41" t="inlineStr">
        <is>
          <t>2023ACT_VDEF</t>
        </is>
      </c>
      <c r="J2486" s="41" t="n">
        <v>2023</v>
      </c>
      <c r="K2486" s="41" t="inlineStr">
        <is>
          <t>NB</t>
        </is>
      </c>
      <c r="L2486" s="43" t="n">
        <v>43</v>
      </c>
    </row>
    <row r="2487">
      <c r="B2487" s="39" t="inlineStr">
        <is>
          <t>PIGIER_BOR</t>
        </is>
      </c>
      <c r="C2487" s="40" t="inlineStr">
        <is>
          <t>BTS_GES</t>
        </is>
      </c>
      <c r="D2487" s="40" t="inlineStr">
        <is>
          <t>BTS1</t>
        </is>
      </c>
      <c r="E2487" s="40" t="inlineStr">
        <is>
          <t>ALT</t>
        </is>
      </c>
      <c r="F2487" s="40" t="inlineStr">
        <is>
          <t>STA_ADMIS</t>
        </is>
      </c>
      <c r="G2487" s="39" t="inlineStr">
        <is>
          <t>Candidats admis</t>
        </is>
      </c>
      <c r="H2487" s="40" t="inlineStr">
        <is>
          <t>TECHNIQUE</t>
        </is>
      </c>
      <c r="I2487" s="41" t="inlineStr">
        <is>
          <t>2024ACT_VDEF</t>
        </is>
      </c>
      <c r="J2487" s="41" t="n">
        <v>2024</v>
      </c>
      <c r="K2487" s="41" t="inlineStr">
        <is>
          <t>NB</t>
        </is>
      </c>
      <c r="L2487" s="43" t="n">
        <v>46</v>
      </c>
    </row>
    <row r="2488">
      <c r="B2488" s="39" t="inlineStr">
        <is>
          <t>PIGIER_BOR</t>
        </is>
      </c>
      <c r="C2488" s="40" t="inlineStr">
        <is>
          <t>BTS_GES</t>
        </is>
      </c>
      <c r="D2488" s="40" t="inlineStr">
        <is>
          <t>BTS1</t>
        </is>
      </c>
      <c r="E2488" s="40" t="inlineStr">
        <is>
          <t>ALT</t>
        </is>
      </c>
      <c r="F2488" s="40" t="inlineStr">
        <is>
          <t>STA_ADMIS</t>
        </is>
      </c>
      <c r="G2488" s="39" t="inlineStr">
        <is>
          <t>Candidats admis</t>
        </is>
      </c>
      <c r="H2488" s="40" t="inlineStr">
        <is>
          <t>TECHNIQUE</t>
        </is>
      </c>
      <c r="I2488" s="41" t="inlineStr">
        <is>
          <t>2025FCST_V4</t>
        </is>
      </c>
      <c r="J2488" s="41" t="n">
        <v>2025</v>
      </c>
      <c r="K2488" s="41" t="inlineStr">
        <is>
          <t>NB</t>
        </is>
      </c>
      <c r="L2488" s="43" t="n">
        <v>48</v>
      </c>
    </row>
    <row r="2489">
      <c r="B2489" s="39" t="inlineStr">
        <is>
          <t>PIGIER_BOR</t>
        </is>
      </c>
      <c r="C2489" s="40" t="inlineStr">
        <is>
          <t>BTS_GES</t>
        </is>
      </c>
      <c r="D2489" s="40" t="inlineStr">
        <is>
          <t>BTS1</t>
        </is>
      </c>
      <c r="E2489" s="40" t="inlineStr">
        <is>
          <t>ALT</t>
        </is>
      </c>
      <c r="F2489" s="40" t="inlineStr">
        <is>
          <t>STA_NOUV</t>
        </is>
      </c>
      <c r="G2489" s="39" t="inlineStr">
        <is>
          <t>Nouveaux inscrits</t>
        </is>
      </c>
      <c r="H2489" s="40" t="inlineStr">
        <is>
          <t>TECHNIQUE</t>
        </is>
      </c>
      <c r="I2489" s="41" t="inlineStr">
        <is>
          <t>2023ACT_VDEF</t>
        </is>
      </c>
      <c r="J2489" s="41" t="n">
        <v>2023</v>
      </c>
      <c r="K2489" s="41" t="inlineStr">
        <is>
          <t>NB</t>
        </is>
      </c>
      <c r="L2489" s="43" t="n">
        <v>26</v>
      </c>
    </row>
    <row r="2490">
      <c r="B2490" s="39" t="inlineStr">
        <is>
          <t>PIGIER_BOR</t>
        </is>
      </c>
      <c r="C2490" s="40" t="inlineStr">
        <is>
          <t>BTS_GES</t>
        </is>
      </c>
      <c r="D2490" s="40" t="inlineStr">
        <is>
          <t>BTS1</t>
        </is>
      </c>
      <c r="E2490" s="40" t="inlineStr">
        <is>
          <t>ALT</t>
        </is>
      </c>
      <c r="F2490" s="40" t="inlineStr">
        <is>
          <t>STA_NOUV</t>
        </is>
      </c>
      <c r="G2490" s="39" t="inlineStr">
        <is>
          <t>Nouveaux inscrits</t>
        </is>
      </c>
      <c r="H2490" s="40" t="inlineStr">
        <is>
          <t>TECHNIQUE</t>
        </is>
      </c>
      <c r="I2490" s="41" t="inlineStr">
        <is>
          <t>2024ACT_VDEF</t>
        </is>
      </c>
      <c r="J2490" s="41" t="n">
        <v>2024</v>
      </c>
      <c r="K2490" s="41" t="inlineStr">
        <is>
          <t>NB</t>
        </is>
      </c>
      <c r="L2490" s="43" t="n">
        <v>28</v>
      </c>
    </row>
    <row r="2491">
      <c r="B2491" s="39" t="inlineStr">
        <is>
          <t>PIGIER_BOR</t>
        </is>
      </c>
      <c r="C2491" s="40" t="inlineStr">
        <is>
          <t>BTS_GES</t>
        </is>
      </c>
      <c r="D2491" s="40" t="inlineStr">
        <is>
          <t>BTS1</t>
        </is>
      </c>
      <c r="E2491" s="40" t="inlineStr">
        <is>
          <t>ALT</t>
        </is>
      </c>
      <c r="F2491" s="40" t="inlineStr">
        <is>
          <t>STA_NOUV</t>
        </is>
      </c>
      <c r="G2491" s="39" t="inlineStr">
        <is>
          <t>Nouveaux inscrits</t>
        </is>
      </c>
      <c r="H2491" s="40" t="inlineStr">
        <is>
          <t>TECHNIQUE</t>
        </is>
      </c>
      <c r="I2491" s="41" t="inlineStr">
        <is>
          <t>2025FCST_V4</t>
        </is>
      </c>
      <c r="J2491" s="41" t="n">
        <v>2025</v>
      </c>
      <c r="K2491" s="41" t="inlineStr">
        <is>
          <t>NB</t>
        </is>
      </c>
      <c r="L2491" s="43" t="n">
        <v>29</v>
      </c>
    </row>
    <row r="2492">
      <c r="B2492" s="39" t="inlineStr">
        <is>
          <t>PIGIER_BOR</t>
        </is>
      </c>
      <c r="C2492" s="40" t="inlineStr">
        <is>
          <t>BTS_GES</t>
        </is>
      </c>
      <c r="D2492" s="40" t="inlineStr">
        <is>
          <t>BTS1</t>
        </is>
      </c>
      <c r="E2492" s="40" t="inlineStr">
        <is>
          <t>ALT</t>
        </is>
      </c>
      <c r="F2492" s="40" t="inlineStr">
        <is>
          <t>STA_CLASS</t>
        </is>
      </c>
      <c r="G2492" s="39" t="inlineStr">
        <is>
          <t>Nombre de classes</t>
        </is>
      </c>
      <c r="H2492" s="40" t="inlineStr">
        <is>
          <t>TECHNIQUE</t>
        </is>
      </c>
      <c r="I2492" s="41" t="inlineStr">
        <is>
          <t>2023ACT_VDEF</t>
        </is>
      </c>
      <c r="J2492" s="41" t="n">
        <v>2023</v>
      </c>
      <c r="K2492" s="41" t="inlineStr">
        <is>
          <t>NB</t>
        </is>
      </c>
      <c r="L2492" s="43" t="n">
        <v>1</v>
      </c>
    </row>
    <row r="2493">
      <c r="B2493" s="39" t="inlineStr">
        <is>
          <t>PIGIER_BOR</t>
        </is>
      </c>
      <c r="C2493" s="40" t="inlineStr">
        <is>
          <t>BTS_GES</t>
        </is>
      </c>
      <c r="D2493" s="40" t="inlineStr">
        <is>
          <t>BTS1</t>
        </is>
      </c>
      <c r="E2493" s="40" t="inlineStr">
        <is>
          <t>ALT</t>
        </is>
      </c>
      <c r="F2493" s="40" t="inlineStr">
        <is>
          <t>STA_CLASS</t>
        </is>
      </c>
      <c r="G2493" s="39" t="inlineStr">
        <is>
          <t>Nombre de classes</t>
        </is>
      </c>
      <c r="H2493" s="40" t="inlineStr">
        <is>
          <t>TECHNIQUE</t>
        </is>
      </c>
      <c r="I2493" s="41" t="inlineStr">
        <is>
          <t>2024ACT_VDEF</t>
        </is>
      </c>
      <c r="J2493" s="41" t="n">
        <v>2024</v>
      </c>
      <c r="K2493" s="41" t="inlineStr">
        <is>
          <t>NB</t>
        </is>
      </c>
      <c r="L2493" s="43" t="n">
        <v>1</v>
      </c>
    </row>
    <row r="2494">
      <c r="B2494" s="39" t="inlineStr">
        <is>
          <t>PIGIER_BOR</t>
        </is>
      </c>
      <c r="C2494" s="40" t="inlineStr">
        <is>
          <t>BTS_GES</t>
        </is>
      </c>
      <c r="D2494" s="40" t="inlineStr">
        <is>
          <t>BTS1</t>
        </is>
      </c>
      <c r="E2494" s="40" t="inlineStr">
        <is>
          <t>ALT</t>
        </is>
      </c>
      <c r="F2494" s="40" t="inlineStr">
        <is>
          <t>STA_CLASS</t>
        </is>
      </c>
      <c r="G2494" s="39" t="inlineStr">
        <is>
          <t>Nombre de classes</t>
        </is>
      </c>
      <c r="H2494" s="40" t="inlineStr">
        <is>
          <t>TECHNIQUE</t>
        </is>
      </c>
      <c r="I2494" s="41" t="inlineStr">
        <is>
          <t>2025FCST_V4</t>
        </is>
      </c>
      <c r="J2494" s="41" t="n">
        <v>2025</v>
      </c>
      <c r="K2494" s="41" t="inlineStr">
        <is>
          <t>NB</t>
        </is>
      </c>
      <c r="L2494" s="43" t="n">
        <v>1</v>
      </c>
    </row>
    <row r="2495">
      <c r="B2495" s="39" t="inlineStr">
        <is>
          <t>PIGIER_BOR</t>
        </is>
      </c>
      <c r="C2495" s="40" t="inlineStr">
        <is>
          <t>BTS_GES</t>
        </is>
      </c>
      <c r="D2495" s="40" t="inlineStr">
        <is>
          <t>BTS1</t>
        </is>
      </c>
      <c r="E2495" s="40" t="inlineStr">
        <is>
          <t>ALT</t>
        </is>
      </c>
      <c r="F2495" s="40" t="inlineStr">
        <is>
          <t>STA_HEURE</t>
        </is>
      </c>
      <c r="G2495" s="39" t="inlineStr">
        <is>
          <t>Heures d'enseignement</t>
        </is>
      </c>
      <c r="H2495" s="40" t="inlineStr">
        <is>
          <t>TECHNIQUE</t>
        </is>
      </c>
      <c r="I2495" s="41" t="inlineStr">
        <is>
          <t>2023ACT_VDEF</t>
        </is>
      </c>
      <c r="J2495" s="41" t="n">
        <v>2023</v>
      </c>
      <c r="K2495" s="41" t="inlineStr">
        <is>
          <t>NB</t>
        </is>
      </c>
      <c r="L2495" s="43" t="n">
        <v>648</v>
      </c>
    </row>
    <row r="2496">
      <c r="B2496" s="39" t="inlineStr">
        <is>
          <t>PIGIER_BOR</t>
        </is>
      </c>
      <c r="C2496" s="40" t="inlineStr">
        <is>
          <t>BTS_GES</t>
        </is>
      </c>
      <c r="D2496" s="40" t="inlineStr">
        <is>
          <t>BTS1</t>
        </is>
      </c>
      <c r="E2496" s="40" t="inlineStr">
        <is>
          <t>ALT</t>
        </is>
      </c>
      <c r="F2496" s="40" t="inlineStr">
        <is>
          <t>STA_HEURE</t>
        </is>
      </c>
      <c r="G2496" s="39" t="inlineStr">
        <is>
          <t>Heures d'enseignement</t>
        </is>
      </c>
      <c r="H2496" s="40" t="inlineStr">
        <is>
          <t>TECHNIQUE</t>
        </is>
      </c>
      <c r="I2496" s="41" t="inlineStr">
        <is>
          <t>2024ACT_VDEF</t>
        </is>
      </c>
      <c r="J2496" s="41" t="n">
        <v>2024</v>
      </c>
      <c r="K2496" s="41" t="inlineStr">
        <is>
          <t>NB</t>
        </is>
      </c>
      <c r="L2496" s="43" t="n">
        <v>684</v>
      </c>
    </row>
    <row r="2497">
      <c r="B2497" s="39" t="inlineStr">
        <is>
          <t>PIGIER_BOR</t>
        </is>
      </c>
      <c r="C2497" s="40" t="inlineStr">
        <is>
          <t>BTS_GES</t>
        </is>
      </c>
      <c r="D2497" s="40" t="inlineStr">
        <is>
          <t>BTS1</t>
        </is>
      </c>
      <c r="E2497" s="40" t="inlineStr">
        <is>
          <t>ALT</t>
        </is>
      </c>
      <c r="F2497" s="40" t="inlineStr">
        <is>
          <t>STA_HEURE</t>
        </is>
      </c>
      <c r="G2497" s="39" t="inlineStr">
        <is>
          <t>Heures d'enseignement</t>
        </is>
      </c>
      <c r="H2497" s="40" t="inlineStr">
        <is>
          <t>TECHNIQUE</t>
        </is>
      </c>
      <c r="I2497" s="41" t="inlineStr">
        <is>
          <t>2025FCST_V4</t>
        </is>
      </c>
      <c r="J2497" s="41" t="n">
        <v>2025</v>
      </c>
      <c r="K2497" s="41" t="inlineStr">
        <is>
          <t>NB</t>
        </is>
      </c>
      <c r="L2497" s="43" t="n">
        <v>720</v>
      </c>
    </row>
    <row r="2498">
      <c r="B2498" s="39" t="inlineStr">
        <is>
          <t>PIGIER_BOR</t>
        </is>
      </c>
      <c r="C2498" s="40" t="inlineStr">
        <is>
          <t>BTS_GES</t>
        </is>
      </c>
      <c r="D2498" s="40" t="inlineStr">
        <is>
          <t>BTS1</t>
        </is>
      </c>
      <c r="E2498" s="40" t="inlineStr">
        <is>
          <t>ALT</t>
        </is>
      </c>
      <c r="F2498" s="40" t="inlineStr">
        <is>
          <t>STA_CAPA</t>
        </is>
      </c>
      <c r="G2498" s="39" t="inlineStr">
        <is>
          <t>Capacité par classe</t>
        </is>
      </c>
      <c r="H2498" s="40" t="inlineStr">
        <is>
          <t>TECHNIQUE</t>
        </is>
      </c>
      <c r="I2498" s="41" t="inlineStr">
        <is>
          <t>2023ACT_VDEF</t>
        </is>
      </c>
      <c r="J2498" s="41" t="n">
        <v>2023</v>
      </c>
      <c r="K2498" s="41" t="inlineStr">
        <is>
          <t>NB</t>
        </is>
      </c>
      <c r="L2498" s="43" t="n">
        <v>30</v>
      </c>
    </row>
    <row r="2499">
      <c r="B2499" s="39" t="inlineStr">
        <is>
          <t>PIGIER_BOR</t>
        </is>
      </c>
      <c r="C2499" s="40" t="inlineStr">
        <is>
          <t>BTS_GES</t>
        </is>
      </c>
      <c r="D2499" s="40" t="inlineStr">
        <is>
          <t>BTS1</t>
        </is>
      </c>
      <c r="E2499" s="40" t="inlineStr">
        <is>
          <t>ALT</t>
        </is>
      </c>
      <c r="F2499" s="40" t="inlineStr">
        <is>
          <t>STA_CAPA</t>
        </is>
      </c>
      <c r="G2499" s="39" t="inlineStr">
        <is>
          <t>Capacité par classe</t>
        </is>
      </c>
      <c r="H2499" s="40" t="inlineStr">
        <is>
          <t>TECHNIQUE</t>
        </is>
      </c>
      <c r="I2499" s="41" t="inlineStr">
        <is>
          <t>2024ACT_VDEF</t>
        </is>
      </c>
      <c r="J2499" s="41" t="n">
        <v>2024</v>
      </c>
      <c r="K2499" s="41" t="inlineStr">
        <is>
          <t>NB</t>
        </is>
      </c>
      <c r="L2499" s="43" t="n">
        <v>30</v>
      </c>
    </row>
    <row r="2500">
      <c r="B2500" s="39" t="inlineStr">
        <is>
          <t>PIGIER_BOR</t>
        </is>
      </c>
      <c r="C2500" s="40" t="inlineStr">
        <is>
          <t>BTS_GES</t>
        </is>
      </c>
      <c r="D2500" s="40" t="inlineStr">
        <is>
          <t>BTS1</t>
        </is>
      </c>
      <c r="E2500" s="40" t="inlineStr">
        <is>
          <t>ALT</t>
        </is>
      </c>
      <c r="F2500" s="40" t="inlineStr">
        <is>
          <t>STA_CAPA</t>
        </is>
      </c>
      <c r="G2500" s="39" t="inlineStr">
        <is>
          <t>Capacité par classe</t>
        </is>
      </c>
      <c r="H2500" s="40" t="inlineStr">
        <is>
          <t>TECHNIQUE</t>
        </is>
      </c>
      <c r="I2500" s="41" t="inlineStr">
        <is>
          <t>2025FCST_V4</t>
        </is>
      </c>
      <c r="J2500" s="41" t="n">
        <v>2025</v>
      </c>
      <c r="K2500" s="41" t="inlineStr">
        <is>
          <t>NB</t>
        </is>
      </c>
      <c r="L2500" s="43" t="n">
        <v>30</v>
      </c>
    </row>
    <row r="2501">
      <c r="B2501" s="39" t="inlineStr">
        <is>
          <t>PIGIER_BOR</t>
        </is>
      </c>
      <c r="C2501" s="40" t="inlineStr">
        <is>
          <t>BTS_GES</t>
        </is>
      </c>
      <c r="D2501" s="40" t="inlineStr">
        <is>
          <t>BTS1</t>
        </is>
      </c>
      <c r="E2501" s="40" t="inlineStr">
        <is>
          <t>ALT</t>
        </is>
      </c>
      <c r="F2501" s="40" t="inlineStr">
        <is>
          <t>DRV_CONV</t>
        </is>
      </c>
      <c r="G2501" s="39" t="inlineStr">
        <is>
          <t>Taux de conversion candidat→inscrit</t>
        </is>
      </c>
      <c r="H2501" s="40" t="inlineStr">
        <is>
          <t>TECHNIQUE</t>
        </is>
      </c>
      <c r="I2501" s="41" t="inlineStr">
        <is>
          <t>2023ACT_VDEF</t>
        </is>
      </c>
      <c r="J2501" s="41" t="n">
        <v>2023</v>
      </c>
      <c r="K2501" s="41" t="inlineStr">
        <is>
          <t>PCT</t>
        </is>
      </c>
      <c r="L2501" s="44" t="n">
        <v>0.3718</v>
      </c>
    </row>
    <row r="2502">
      <c r="B2502" s="39" t="inlineStr">
        <is>
          <t>PIGIER_BOR</t>
        </is>
      </c>
      <c r="C2502" s="40" t="inlineStr">
        <is>
          <t>BTS_GES</t>
        </is>
      </c>
      <c r="D2502" s="40" t="inlineStr">
        <is>
          <t>BTS1</t>
        </is>
      </c>
      <c r="E2502" s="40" t="inlineStr">
        <is>
          <t>ALT</t>
        </is>
      </c>
      <c r="F2502" s="40" t="inlineStr">
        <is>
          <t>DRV_CONV</t>
        </is>
      </c>
      <c r="G2502" s="39" t="inlineStr">
        <is>
          <t>Taux de conversion candidat→inscrit</t>
        </is>
      </c>
      <c r="H2502" s="40" t="inlineStr">
        <is>
          <t>TECHNIQUE</t>
        </is>
      </c>
      <c r="I2502" s="41" t="inlineStr">
        <is>
          <t>2024ACT_VDEF</t>
        </is>
      </c>
      <c r="J2502" s="41" t="n">
        <v>2024</v>
      </c>
      <c r="K2502" s="41" t="inlineStr">
        <is>
          <t>PCT</t>
        </is>
      </c>
      <c r="L2502" s="44" t="n">
        <v>0.3718</v>
      </c>
    </row>
    <row r="2503">
      <c r="B2503" s="39" t="inlineStr">
        <is>
          <t>PIGIER_BOR</t>
        </is>
      </c>
      <c r="C2503" s="40" t="inlineStr">
        <is>
          <t>BTS_GES</t>
        </is>
      </c>
      <c r="D2503" s="40" t="inlineStr">
        <is>
          <t>BTS1</t>
        </is>
      </c>
      <c r="E2503" s="40" t="inlineStr">
        <is>
          <t>ALT</t>
        </is>
      </c>
      <c r="F2503" s="40" t="inlineStr">
        <is>
          <t>DRV_CONV</t>
        </is>
      </c>
      <c r="G2503" s="39" t="inlineStr">
        <is>
          <t>Taux de conversion candidat→inscrit</t>
        </is>
      </c>
      <c r="H2503" s="40" t="inlineStr">
        <is>
          <t>TECHNIQUE</t>
        </is>
      </c>
      <c r="I2503" s="41" t="inlineStr">
        <is>
          <t>2025FCST_V4</t>
        </is>
      </c>
      <c r="J2503" s="41" t="n">
        <v>2025</v>
      </c>
      <c r="K2503" s="41" t="inlineStr">
        <is>
          <t>PCT</t>
        </is>
      </c>
      <c r="L2503" s="44" t="n">
        <v>0.3718</v>
      </c>
    </row>
    <row r="2504">
      <c r="B2504" s="39" t="inlineStr">
        <is>
          <t>PIGIER_BOR</t>
        </is>
      </c>
      <c r="C2504" s="40" t="inlineStr">
        <is>
          <t>BTS_GES</t>
        </is>
      </c>
      <c r="D2504" s="40" t="inlineStr">
        <is>
          <t>BTS1</t>
        </is>
      </c>
      <c r="E2504" s="40" t="inlineStr">
        <is>
          <t>ALT</t>
        </is>
      </c>
      <c r="F2504" s="40" t="inlineStr">
        <is>
          <t>PRX_TARIF</t>
        </is>
      </c>
      <c r="G2504" s="39" t="inlineStr">
        <is>
          <t>Tarif moyen scolarité</t>
        </is>
      </c>
      <c r="H2504" s="40" t="inlineStr">
        <is>
          <t>TECHNIQUE</t>
        </is>
      </c>
      <c r="I2504" s="41" t="inlineStr">
        <is>
          <t>2023ACT_VDEF</t>
        </is>
      </c>
      <c r="J2504" s="41" t="n">
        <v>2023</v>
      </c>
      <c r="K2504" s="41" t="inlineStr">
        <is>
          <t>EUR</t>
        </is>
      </c>
      <c r="L2504" s="42" t="n">
        <v>7000</v>
      </c>
    </row>
    <row r="2505">
      <c r="B2505" s="39" t="inlineStr">
        <is>
          <t>PIGIER_BOR</t>
        </is>
      </c>
      <c r="C2505" s="40" t="inlineStr">
        <is>
          <t>BTS_GES</t>
        </is>
      </c>
      <c r="D2505" s="40" t="inlineStr">
        <is>
          <t>BTS1</t>
        </is>
      </c>
      <c r="E2505" s="40" t="inlineStr">
        <is>
          <t>ALT</t>
        </is>
      </c>
      <c r="F2505" s="40" t="inlineStr">
        <is>
          <t>PRX_TARIF</t>
        </is>
      </c>
      <c r="G2505" s="39" t="inlineStr">
        <is>
          <t>Tarif moyen scolarité</t>
        </is>
      </c>
      <c r="H2505" s="40" t="inlineStr">
        <is>
          <t>TECHNIQUE</t>
        </is>
      </c>
      <c r="I2505" s="41" t="inlineStr">
        <is>
          <t>2024ACT_VDEF</t>
        </is>
      </c>
      <c r="J2505" s="41" t="n">
        <v>2024</v>
      </c>
      <c r="K2505" s="41" t="inlineStr">
        <is>
          <t>EUR</t>
        </is>
      </c>
      <c r="L2505" s="42" t="n">
        <v>7000</v>
      </c>
    </row>
    <row r="2506">
      <c r="B2506" s="39" t="inlineStr">
        <is>
          <t>PIGIER_BOR</t>
        </is>
      </c>
      <c r="C2506" s="40" t="inlineStr">
        <is>
          <t>BTS_GES</t>
        </is>
      </c>
      <c r="D2506" s="40" t="inlineStr">
        <is>
          <t>BTS1</t>
        </is>
      </c>
      <c r="E2506" s="40" t="inlineStr">
        <is>
          <t>ALT</t>
        </is>
      </c>
      <c r="F2506" s="40" t="inlineStr">
        <is>
          <t>PRX_TARIF</t>
        </is>
      </c>
      <c r="G2506" s="39" t="inlineStr">
        <is>
          <t>Tarif moyen scolarité</t>
        </is>
      </c>
      <c r="H2506" s="40" t="inlineStr">
        <is>
          <t>TECHNIQUE</t>
        </is>
      </c>
      <c r="I2506" s="41" t="inlineStr">
        <is>
          <t>2025FCST_V4</t>
        </is>
      </c>
      <c r="J2506" s="41" t="n">
        <v>2025</v>
      </c>
      <c r="K2506" s="41" t="inlineStr">
        <is>
          <t>EUR</t>
        </is>
      </c>
      <c r="L2506" s="42" t="n">
        <v>7000</v>
      </c>
    </row>
    <row r="2507">
      <c r="B2507" s="39" t="inlineStr">
        <is>
          <t>PIGIER_BOR</t>
        </is>
      </c>
      <c r="C2507" s="40" t="inlineStr">
        <is>
          <t>BTS_GES</t>
        </is>
      </c>
      <c r="D2507" s="40" t="inlineStr">
        <is>
          <t>BTS1</t>
        </is>
      </c>
      <c r="E2507" s="40" t="inlineStr">
        <is>
          <t>ALT</t>
        </is>
      </c>
      <c r="F2507" s="40" t="inlineStr">
        <is>
          <t>CAC_LEAD</t>
        </is>
      </c>
      <c r="G2507" s="39" t="inlineStr">
        <is>
          <t>Coût d'acquisition par lead</t>
        </is>
      </c>
      <c r="H2507" s="40" t="inlineStr">
        <is>
          <t>TECHNIQUE</t>
        </is>
      </c>
      <c r="I2507" s="41" t="inlineStr">
        <is>
          <t>2023ACT_VDEF</t>
        </is>
      </c>
      <c r="J2507" s="41" t="n">
        <v>2023</v>
      </c>
      <c r="K2507" s="41" t="inlineStr">
        <is>
          <t>EUR</t>
        </is>
      </c>
      <c r="L2507" s="42" t="n">
        <v>250</v>
      </c>
    </row>
    <row r="2508">
      <c r="B2508" s="39" t="inlineStr">
        <is>
          <t>PIGIER_BOR</t>
        </is>
      </c>
      <c r="C2508" s="40" t="inlineStr">
        <is>
          <t>BTS_GES</t>
        </is>
      </c>
      <c r="D2508" s="40" t="inlineStr">
        <is>
          <t>BTS1</t>
        </is>
      </c>
      <c r="E2508" s="40" t="inlineStr">
        <is>
          <t>ALT</t>
        </is>
      </c>
      <c r="F2508" s="40" t="inlineStr">
        <is>
          <t>CAC_LEAD</t>
        </is>
      </c>
      <c r="G2508" s="39" t="inlineStr">
        <is>
          <t>Coût d'acquisition par lead</t>
        </is>
      </c>
      <c r="H2508" s="40" t="inlineStr">
        <is>
          <t>TECHNIQUE</t>
        </is>
      </c>
      <c r="I2508" s="41" t="inlineStr">
        <is>
          <t>2024ACT_VDEF</t>
        </is>
      </c>
      <c r="J2508" s="41" t="n">
        <v>2024</v>
      </c>
      <c r="K2508" s="41" t="inlineStr">
        <is>
          <t>EUR</t>
        </is>
      </c>
      <c r="L2508" s="42" t="n">
        <v>250</v>
      </c>
    </row>
    <row r="2509">
      <c r="B2509" s="39" t="inlineStr">
        <is>
          <t>PIGIER_BOR</t>
        </is>
      </c>
      <c r="C2509" s="40" t="inlineStr">
        <is>
          <t>BTS_GES</t>
        </is>
      </c>
      <c r="D2509" s="40" t="inlineStr">
        <is>
          <t>BTS1</t>
        </is>
      </c>
      <c r="E2509" s="40" t="inlineStr">
        <is>
          <t>ALT</t>
        </is>
      </c>
      <c r="F2509" s="40" t="inlineStr">
        <is>
          <t>CAC_LEAD</t>
        </is>
      </c>
      <c r="G2509" s="39" t="inlineStr">
        <is>
          <t>Coût d'acquisition par lead</t>
        </is>
      </c>
      <c r="H2509" s="40" t="inlineStr">
        <is>
          <t>TECHNIQUE</t>
        </is>
      </c>
      <c r="I2509" s="41" t="inlineStr">
        <is>
          <t>2025FCST_V4</t>
        </is>
      </c>
      <c r="J2509" s="41" t="n">
        <v>2025</v>
      </c>
      <c r="K2509" s="41" t="inlineStr">
        <is>
          <t>EUR</t>
        </is>
      </c>
      <c r="L2509" s="42" t="n">
        <v>250</v>
      </c>
    </row>
    <row r="2510">
      <c r="B2510" s="39" t="inlineStr">
        <is>
          <t>PIGIER_BOR</t>
        </is>
      </c>
      <c r="C2510" s="40" t="inlineStr">
        <is>
          <t>BTS_GES</t>
        </is>
      </c>
      <c r="D2510" s="40" t="inlineStr">
        <is>
          <t>BTS2</t>
        </is>
      </c>
      <c r="E2510" s="40" t="inlineStr">
        <is>
          <t>ALT</t>
        </is>
      </c>
      <c r="F2510" s="40" t="inlineStr">
        <is>
          <t>706100</t>
        </is>
      </c>
      <c r="G2510" s="39" t="inlineStr">
        <is>
          <t>Droits de scolarité</t>
        </is>
      </c>
      <c r="H2510" s="40" t="inlineStr">
        <is>
          <t>COMPTABLE</t>
        </is>
      </c>
      <c r="I2510" s="41" t="inlineStr">
        <is>
          <t>2023ACT_VDEF</t>
        </is>
      </c>
      <c r="J2510" s="41" t="n">
        <v>2023</v>
      </c>
      <c r="K2510" s="41" t="inlineStr">
        <is>
          <t>EUR</t>
        </is>
      </c>
      <c r="L2510" s="42" t="n">
        <v>157500</v>
      </c>
    </row>
    <row r="2511">
      <c r="B2511" s="39" t="inlineStr">
        <is>
          <t>PIGIER_BOR</t>
        </is>
      </c>
      <c r="C2511" s="40" t="inlineStr">
        <is>
          <t>BTS_GES</t>
        </is>
      </c>
      <c r="D2511" s="40" t="inlineStr">
        <is>
          <t>BTS2</t>
        </is>
      </c>
      <c r="E2511" s="40" t="inlineStr">
        <is>
          <t>ALT</t>
        </is>
      </c>
      <c r="F2511" s="40" t="inlineStr">
        <is>
          <t>706100</t>
        </is>
      </c>
      <c r="G2511" s="39" t="inlineStr">
        <is>
          <t>Droits de scolarité</t>
        </is>
      </c>
      <c r="H2511" s="40" t="inlineStr">
        <is>
          <t>COMPTABLE</t>
        </is>
      </c>
      <c r="I2511" s="41" t="inlineStr">
        <is>
          <t>2024ACT_VDEF</t>
        </is>
      </c>
      <c r="J2511" s="41" t="n">
        <v>2024</v>
      </c>
      <c r="K2511" s="41" t="inlineStr">
        <is>
          <t>EUR</t>
        </is>
      </c>
      <c r="L2511" s="42" t="n">
        <v>166250</v>
      </c>
    </row>
    <row r="2512">
      <c r="B2512" s="39" t="inlineStr">
        <is>
          <t>PIGIER_BOR</t>
        </is>
      </c>
      <c r="C2512" s="40" t="inlineStr">
        <is>
          <t>BTS_GES</t>
        </is>
      </c>
      <c r="D2512" s="40" t="inlineStr">
        <is>
          <t>BTS2</t>
        </is>
      </c>
      <c r="E2512" s="40" t="inlineStr">
        <is>
          <t>ALT</t>
        </is>
      </c>
      <c r="F2512" s="40" t="inlineStr">
        <is>
          <t>706100</t>
        </is>
      </c>
      <c r="G2512" s="39" t="inlineStr">
        <is>
          <t>Droits de scolarité</t>
        </is>
      </c>
      <c r="H2512" s="40" t="inlineStr">
        <is>
          <t>COMPTABLE</t>
        </is>
      </c>
      <c r="I2512" s="41" t="inlineStr">
        <is>
          <t>2025FCST_V4</t>
        </is>
      </c>
      <c r="J2512" s="41" t="n">
        <v>2025</v>
      </c>
      <c r="K2512" s="41" t="inlineStr">
        <is>
          <t>EUR</t>
        </is>
      </c>
      <c r="L2512" s="42" t="n">
        <v>175000</v>
      </c>
    </row>
    <row r="2513">
      <c r="B2513" s="39" t="inlineStr">
        <is>
          <t>PIGIER_BOR</t>
        </is>
      </c>
      <c r="C2513" s="40" t="inlineStr">
        <is>
          <t>BTS_GES</t>
        </is>
      </c>
      <c r="D2513" s="40" t="inlineStr">
        <is>
          <t>BTS2</t>
        </is>
      </c>
      <c r="E2513" s="40" t="inlineStr">
        <is>
          <t>ALT</t>
        </is>
      </c>
      <c r="F2513" s="40" t="inlineStr">
        <is>
          <t>604100</t>
        </is>
      </c>
      <c r="G2513" s="39" t="inlineStr">
        <is>
          <t>Vacations &amp; sous-traitance pédagogique</t>
        </is>
      </c>
      <c r="H2513" s="40" t="inlineStr">
        <is>
          <t>COMPTABLE</t>
        </is>
      </c>
      <c r="I2513" s="41" t="inlineStr">
        <is>
          <t>2023ACT_VDEF</t>
        </is>
      </c>
      <c r="J2513" s="41" t="n">
        <v>2023</v>
      </c>
      <c r="K2513" s="41" t="inlineStr">
        <is>
          <t>EUR</t>
        </is>
      </c>
      <c r="L2513" s="42" t="n">
        <v>33660</v>
      </c>
    </row>
    <row r="2514">
      <c r="B2514" s="39" t="inlineStr">
        <is>
          <t>PIGIER_BOR</t>
        </is>
      </c>
      <c r="C2514" s="40" t="inlineStr">
        <is>
          <t>BTS_GES</t>
        </is>
      </c>
      <c r="D2514" s="40" t="inlineStr">
        <is>
          <t>BTS2</t>
        </is>
      </c>
      <c r="E2514" s="40" t="inlineStr">
        <is>
          <t>ALT</t>
        </is>
      </c>
      <c r="F2514" s="40" t="inlineStr">
        <is>
          <t>604100</t>
        </is>
      </c>
      <c r="G2514" s="39" t="inlineStr">
        <is>
          <t>Vacations &amp; sous-traitance pédagogique</t>
        </is>
      </c>
      <c r="H2514" s="40" t="inlineStr">
        <is>
          <t>COMPTABLE</t>
        </is>
      </c>
      <c r="I2514" s="41" t="inlineStr">
        <is>
          <t>2024ACT_VDEF</t>
        </is>
      </c>
      <c r="J2514" s="41" t="n">
        <v>2024</v>
      </c>
      <c r="K2514" s="41" t="inlineStr">
        <is>
          <t>EUR</t>
        </is>
      </c>
      <c r="L2514" s="42" t="n">
        <v>35530</v>
      </c>
    </row>
    <row r="2515">
      <c r="B2515" s="39" t="inlineStr">
        <is>
          <t>PIGIER_BOR</t>
        </is>
      </c>
      <c r="C2515" s="40" t="inlineStr">
        <is>
          <t>BTS_GES</t>
        </is>
      </c>
      <c r="D2515" s="40" t="inlineStr">
        <is>
          <t>BTS2</t>
        </is>
      </c>
      <c r="E2515" s="40" t="inlineStr">
        <is>
          <t>ALT</t>
        </is>
      </c>
      <c r="F2515" s="40" t="inlineStr">
        <is>
          <t>604100</t>
        </is>
      </c>
      <c r="G2515" s="39" t="inlineStr">
        <is>
          <t>Vacations &amp; sous-traitance pédagogique</t>
        </is>
      </c>
      <c r="H2515" s="40" t="inlineStr">
        <is>
          <t>COMPTABLE</t>
        </is>
      </c>
      <c r="I2515" s="41" t="inlineStr">
        <is>
          <t>2025FCST_V4</t>
        </is>
      </c>
      <c r="J2515" s="41" t="n">
        <v>2025</v>
      </c>
      <c r="K2515" s="41" t="inlineStr">
        <is>
          <t>EUR</t>
        </is>
      </c>
      <c r="L2515" s="42" t="n">
        <v>37400</v>
      </c>
    </row>
    <row r="2516">
      <c r="B2516" s="39" t="inlineStr">
        <is>
          <t>PIGIER_BOR</t>
        </is>
      </c>
      <c r="C2516" s="40" t="inlineStr">
        <is>
          <t>BTS_GES</t>
        </is>
      </c>
      <c r="D2516" s="40" t="inlineStr">
        <is>
          <t>BTS2</t>
        </is>
      </c>
      <c r="E2516" s="40" t="inlineStr">
        <is>
          <t>ALT</t>
        </is>
      </c>
      <c r="F2516" s="40" t="inlineStr">
        <is>
          <t>606300</t>
        </is>
      </c>
      <c r="G2516" s="39" t="inlineStr">
        <is>
          <t>Fournitures &amp; ressources pédagogiques</t>
        </is>
      </c>
      <c r="H2516" s="40" t="inlineStr">
        <is>
          <t>COMPTABLE</t>
        </is>
      </c>
      <c r="I2516" s="41" t="inlineStr">
        <is>
          <t>2023ACT_VDEF</t>
        </is>
      </c>
      <c r="J2516" s="41" t="n">
        <v>2023</v>
      </c>
      <c r="K2516" s="41" t="inlineStr">
        <is>
          <t>EUR</t>
        </is>
      </c>
      <c r="L2516" s="42" t="n">
        <v>7875</v>
      </c>
    </row>
    <row r="2517">
      <c r="B2517" s="39" t="inlineStr">
        <is>
          <t>PIGIER_BOR</t>
        </is>
      </c>
      <c r="C2517" s="40" t="inlineStr">
        <is>
          <t>BTS_GES</t>
        </is>
      </c>
      <c r="D2517" s="40" t="inlineStr">
        <is>
          <t>BTS2</t>
        </is>
      </c>
      <c r="E2517" s="40" t="inlineStr">
        <is>
          <t>ALT</t>
        </is>
      </c>
      <c r="F2517" s="40" t="inlineStr">
        <is>
          <t>606300</t>
        </is>
      </c>
      <c r="G2517" s="39" t="inlineStr">
        <is>
          <t>Fournitures &amp; ressources pédagogiques</t>
        </is>
      </c>
      <c r="H2517" s="40" t="inlineStr">
        <is>
          <t>COMPTABLE</t>
        </is>
      </c>
      <c r="I2517" s="41" t="inlineStr">
        <is>
          <t>2024ACT_VDEF</t>
        </is>
      </c>
      <c r="J2517" s="41" t="n">
        <v>2024</v>
      </c>
      <c r="K2517" s="41" t="inlineStr">
        <is>
          <t>EUR</t>
        </is>
      </c>
      <c r="L2517" s="42" t="n">
        <v>8312</v>
      </c>
    </row>
    <row r="2518">
      <c r="B2518" s="39" t="inlineStr">
        <is>
          <t>PIGIER_BOR</t>
        </is>
      </c>
      <c r="C2518" s="40" t="inlineStr">
        <is>
          <t>BTS_GES</t>
        </is>
      </c>
      <c r="D2518" s="40" t="inlineStr">
        <is>
          <t>BTS2</t>
        </is>
      </c>
      <c r="E2518" s="40" t="inlineStr">
        <is>
          <t>ALT</t>
        </is>
      </c>
      <c r="F2518" s="40" t="inlineStr">
        <is>
          <t>606300</t>
        </is>
      </c>
      <c r="G2518" s="39" t="inlineStr">
        <is>
          <t>Fournitures &amp; ressources pédagogiques</t>
        </is>
      </c>
      <c r="H2518" s="40" t="inlineStr">
        <is>
          <t>COMPTABLE</t>
        </is>
      </c>
      <c r="I2518" s="41" t="inlineStr">
        <is>
          <t>2025FCST_V4</t>
        </is>
      </c>
      <c r="J2518" s="41" t="n">
        <v>2025</v>
      </c>
      <c r="K2518" s="41" t="inlineStr">
        <is>
          <t>EUR</t>
        </is>
      </c>
      <c r="L2518" s="42" t="n">
        <v>8750</v>
      </c>
    </row>
    <row r="2519">
      <c r="B2519" s="39" t="inlineStr">
        <is>
          <t>PIGIER_BOR</t>
        </is>
      </c>
      <c r="C2519" s="40" t="inlineStr">
        <is>
          <t>BTS_GES</t>
        </is>
      </c>
      <c r="D2519" s="40" t="inlineStr">
        <is>
          <t>BTS2</t>
        </is>
      </c>
      <c r="E2519" s="40" t="inlineStr">
        <is>
          <t>ALT</t>
        </is>
      </c>
      <c r="F2519" s="40" t="inlineStr">
        <is>
          <t>613200</t>
        </is>
      </c>
      <c r="G2519" s="39" t="inlineStr">
        <is>
          <t>Locations immobilières (loyers)</t>
        </is>
      </c>
      <c r="H2519" s="40" t="inlineStr">
        <is>
          <t>COMPTABLE</t>
        </is>
      </c>
      <c r="I2519" s="41" t="inlineStr">
        <is>
          <t>2023ACT_VDEF</t>
        </is>
      </c>
      <c r="J2519" s="41" t="n">
        <v>2023</v>
      </c>
      <c r="K2519" s="41" t="inlineStr">
        <is>
          <t>EUR</t>
        </is>
      </c>
      <c r="L2519" s="42" t="n">
        <v>17640</v>
      </c>
    </row>
    <row r="2520">
      <c r="B2520" s="39" t="inlineStr">
        <is>
          <t>PIGIER_BOR</t>
        </is>
      </c>
      <c r="C2520" s="40" t="inlineStr">
        <is>
          <t>BTS_GES</t>
        </is>
      </c>
      <c r="D2520" s="40" t="inlineStr">
        <is>
          <t>BTS2</t>
        </is>
      </c>
      <c r="E2520" s="40" t="inlineStr">
        <is>
          <t>ALT</t>
        </is>
      </c>
      <c r="F2520" s="40" t="inlineStr">
        <is>
          <t>613200</t>
        </is>
      </c>
      <c r="G2520" s="39" t="inlineStr">
        <is>
          <t>Locations immobilières (loyers)</t>
        </is>
      </c>
      <c r="H2520" s="40" t="inlineStr">
        <is>
          <t>COMPTABLE</t>
        </is>
      </c>
      <c r="I2520" s="41" t="inlineStr">
        <is>
          <t>2024ACT_VDEF</t>
        </is>
      </c>
      <c r="J2520" s="41" t="n">
        <v>2024</v>
      </c>
      <c r="K2520" s="41" t="inlineStr">
        <is>
          <t>EUR</t>
        </is>
      </c>
      <c r="L2520" s="42" t="n">
        <v>18620</v>
      </c>
    </row>
    <row r="2521">
      <c r="B2521" s="39" t="inlineStr">
        <is>
          <t>PIGIER_BOR</t>
        </is>
      </c>
      <c r="C2521" s="40" t="inlineStr">
        <is>
          <t>BTS_GES</t>
        </is>
      </c>
      <c r="D2521" s="40" t="inlineStr">
        <is>
          <t>BTS2</t>
        </is>
      </c>
      <c r="E2521" s="40" t="inlineStr">
        <is>
          <t>ALT</t>
        </is>
      </c>
      <c r="F2521" s="40" t="inlineStr">
        <is>
          <t>613200</t>
        </is>
      </c>
      <c r="G2521" s="39" t="inlineStr">
        <is>
          <t>Locations immobilières (loyers)</t>
        </is>
      </c>
      <c r="H2521" s="40" t="inlineStr">
        <is>
          <t>COMPTABLE</t>
        </is>
      </c>
      <c r="I2521" s="41" t="inlineStr">
        <is>
          <t>2025FCST_V4</t>
        </is>
      </c>
      <c r="J2521" s="41" t="n">
        <v>2025</v>
      </c>
      <c r="K2521" s="41" t="inlineStr">
        <is>
          <t>EUR</t>
        </is>
      </c>
      <c r="L2521" s="42" t="n">
        <v>19600</v>
      </c>
    </row>
    <row r="2522">
      <c r="B2522" s="39" t="inlineStr">
        <is>
          <t>PIGIER_BOR</t>
        </is>
      </c>
      <c r="C2522" s="40" t="inlineStr">
        <is>
          <t>BTS_GES</t>
        </is>
      </c>
      <c r="D2522" s="40" t="inlineStr">
        <is>
          <t>BTS2</t>
        </is>
      </c>
      <c r="E2522" s="40" t="inlineStr">
        <is>
          <t>ALT</t>
        </is>
      </c>
      <c r="F2522" s="40" t="inlineStr">
        <is>
          <t>641100</t>
        </is>
      </c>
      <c r="G2522" s="39" t="inlineStr">
        <is>
          <t>Rémunérations du personnel permanent</t>
        </is>
      </c>
      <c r="H2522" s="40" t="inlineStr">
        <is>
          <t>COMPTABLE</t>
        </is>
      </c>
      <c r="I2522" s="41" t="inlineStr">
        <is>
          <t>2023ACT_VDEF</t>
        </is>
      </c>
      <c r="J2522" s="41" t="n">
        <v>2023</v>
      </c>
      <c r="K2522" s="41" t="inlineStr">
        <is>
          <t>EUR</t>
        </is>
      </c>
      <c r="L2522" s="42" t="n">
        <v>52200</v>
      </c>
    </row>
    <row r="2523">
      <c r="B2523" s="39" t="inlineStr">
        <is>
          <t>PIGIER_BOR</t>
        </is>
      </c>
      <c r="C2523" s="40" t="inlineStr">
        <is>
          <t>BTS_GES</t>
        </is>
      </c>
      <c r="D2523" s="40" t="inlineStr">
        <is>
          <t>BTS2</t>
        </is>
      </c>
      <c r="E2523" s="40" t="inlineStr">
        <is>
          <t>ALT</t>
        </is>
      </c>
      <c r="F2523" s="40" t="inlineStr">
        <is>
          <t>641100</t>
        </is>
      </c>
      <c r="G2523" s="39" t="inlineStr">
        <is>
          <t>Rémunérations du personnel permanent</t>
        </is>
      </c>
      <c r="H2523" s="40" t="inlineStr">
        <is>
          <t>COMPTABLE</t>
        </is>
      </c>
      <c r="I2523" s="41" t="inlineStr">
        <is>
          <t>2024ACT_VDEF</t>
        </is>
      </c>
      <c r="J2523" s="41" t="n">
        <v>2024</v>
      </c>
      <c r="K2523" s="41" t="inlineStr">
        <is>
          <t>EUR</t>
        </is>
      </c>
      <c r="L2523" s="42" t="n">
        <v>55100</v>
      </c>
    </row>
    <row r="2524">
      <c r="B2524" s="39" t="inlineStr">
        <is>
          <t>PIGIER_BOR</t>
        </is>
      </c>
      <c r="C2524" s="40" t="inlineStr">
        <is>
          <t>BTS_GES</t>
        </is>
      </c>
      <c r="D2524" s="40" t="inlineStr">
        <is>
          <t>BTS2</t>
        </is>
      </c>
      <c r="E2524" s="40" t="inlineStr">
        <is>
          <t>ALT</t>
        </is>
      </c>
      <c r="F2524" s="40" t="inlineStr">
        <is>
          <t>641100</t>
        </is>
      </c>
      <c r="G2524" s="39" t="inlineStr">
        <is>
          <t>Rémunérations du personnel permanent</t>
        </is>
      </c>
      <c r="H2524" s="40" t="inlineStr">
        <is>
          <t>COMPTABLE</t>
        </is>
      </c>
      <c r="I2524" s="41" t="inlineStr">
        <is>
          <t>2025FCST_V4</t>
        </is>
      </c>
      <c r="J2524" s="41" t="n">
        <v>2025</v>
      </c>
      <c r="K2524" s="41" t="inlineStr">
        <is>
          <t>EUR</t>
        </is>
      </c>
      <c r="L2524" s="42" t="n">
        <v>58000</v>
      </c>
    </row>
    <row r="2525">
      <c r="B2525" s="39" t="inlineStr">
        <is>
          <t>PIGIER_BOR</t>
        </is>
      </c>
      <c r="C2525" s="40" t="inlineStr">
        <is>
          <t>BTS_GES</t>
        </is>
      </c>
      <c r="D2525" s="40" t="inlineStr">
        <is>
          <t>BTS2</t>
        </is>
      </c>
      <c r="E2525" s="40" t="inlineStr">
        <is>
          <t>ALT</t>
        </is>
      </c>
      <c r="F2525" s="40" t="inlineStr">
        <is>
          <t>622600</t>
        </is>
      </c>
      <c r="G2525" s="39" t="inlineStr">
        <is>
          <t>Honoraires &amp; frais de siège (structure groupe)</t>
        </is>
      </c>
      <c r="H2525" s="40" t="inlineStr">
        <is>
          <t>COMPTABLE</t>
        </is>
      </c>
      <c r="I2525" s="41" t="inlineStr">
        <is>
          <t>2023ACT_VDEF</t>
        </is>
      </c>
      <c r="J2525" s="41" t="n">
        <v>2023</v>
      </c>
      <c r="K2525" s="41" t="inlineStr">
        <is>
          <t>EUR</t>
        </is>
      </c>
      <c r="L2525" s="42" t="n">
        <v>15990</v>
      </c>
    </row>
    <row r="2526">
      <c r="B2526" s="39" t="inlineStr">
        <is>
          <t>PIGIER_BOR</t>
        </is>
      </c>
      <c r="C2526" s="40" t="inlineStr">
        <is>
          <t>BTS_GES</t>
        </is>
      </c>
      <c r="D2526" s="40" t="inlineStr">
        <is>
          <t>BTS2</t>
        </is>
      </c>
      <c r="E2526" s="40" t="inlineStr">
        <is>
          <t>ALT</t>
        </is>
      </c>
      <c r="F2526" s="40" t="inlineStr">
        <is>
          <t>622600</t>
        </is>
      </c>
      <c r="G2526" s="39" t="inlineStr">
        <is>
          <t>Honoraires &amp; frais de siège (structure groupe)</t>
        </is>
      </c>
      <c r="H2526" s="40" t="inlineStr">
        <is>
          <t>COMPTABLE</t>
        </is>
      </c>
      <c r="I2526" s="41" t="inlineStr">
        <is>
          <t>2024ACT_VDEF</t>
        </is>
      </c>
      <c r="J2526" s="41" t="n">
        <v>2024</v>
      </c>
      <c r="K2526" s="41" t="inlineStr">
        <is>
          <t>EUR</t>
        </is>
      </c>
      <c r="L2526" s="42" t="n">
        <v>16879</v>
      </c>
    </row>
    <row r="2527">
      <c r="B2527" s="39" t="inlineStr">
        <is>
          <t>PIGIER_BOR</t>
        </is>
      </c>
      <c r="C2527" s="40" t="inlineStr">
        <is>
          <t>BTS_GES</t>
        </is>
      </c>
      <c r="D2527" s="40" t="inlineStr">
        <is>
          <t>BTS2</t>
        </is>
      </c>
      <c r="E2527" s="40" t="inlineStr">
        <is>
          <t>ALT</t>
        </is>
      </c>
      <c r="F2527" s="40" t="inlineStr">
        <is>
          <t>622600</t>
        </is>
      </c>
      <c r="G2527" s="39" t="inlineStr">
        <is>
          <t>Honoraires &amp; frais de siège (structure groupe)</t>
        </is>
      </c>
      <c r="H2527" s="40" t="inlineStr">
        <is>
          <t>COMPTABLE</t>
        </is>
      </c>
      <c r="I2527" s="41" t="inlineStr">
        <is>
          <t>2025FCST_V4</t>
        </is>
      </c>
      <c r="J2527" s="41" t="n">
        <v>2025</v>
      </c>
      <c r="K2527" s="41" t="inlineStr">
        <is>
          <t>EUR</t>
        </is>
      </c>
      <c r="L2527" s="42" t="n">
        <v>17767</v>
      </c>
    </row>
    <row r="2528">
      <c r="B2528" s="39" t="inlineStr">
        <is>
          <t>PIGIER_BOR</t>
        </is>
      </c>
      <c r="C2528" s="40" t="inlineStr">
        <is>
          <t>BTS_GES</t>
        </is>
      </c>
      <c r="D2528" s="40" t="inlineStr">
        <is>
          <t>BTS2</t>
        </is>
      </c>
      <c r="E2528" s="40" t="inlineStr">
        <is>
          <t>ALT</t>
        </is>
      </c>
      <c r="F2528" s="40" t="inlineStr">
        <is>
          <t>606800</t>
        </is>
      </c>
      <c r="G2528" s="39" t="inlineStr">
        <is>
          <t>Autres achats &amp; charges externes</t>
        </is>
      </c>
      <c r="H2528" s="40" t="inlineStr">
        <is>
          <t>COMPTABLE</t>
        </is>
      </c>
      <c r="I2528" s="41" t="inlineStr">
        <is>
          <t>2023ACT_VDEF</t>
        </is>
      </c>
      <c r="J2528" s="41" t="n">
        <v>2023</v>
      </c>
      <c r="K2528" s="41" t="inlineStr">
        <is>
          <t>EUR</t>
        </is>
      </c>
      <c r="L2528" s="42" t="n">
        <v>21015</v>
      </c>
    </row>
    <row r="2529">
      <c r="B2529" s="39" t="inlineStr">
        <is>
          <t>PIGIER_BOR</t>
        </is>
      </c>
      <c r="C2529" s="40" t="inlineStr">
        <is>
          <t>BTS_GES</t>
        </is>
      </c>
      <c r="D2529" s="40" t="inlineStr">
        <is>
          <t>BTS2</t>
        </is>
      </c>
      <c r="E2529" s="40" t="inlineStr">
        <is>
          <t>ALT</t>
        </is>
      </c>
      <c r="F2529" s="40" t="inlineStr">
        <is>
          <t>606800</t>
        </is>
      </c>
      <c r="G2529" s="39" t="inlineStr">
        <is>
          <t>Autres achats &amp; charges externes</t>
        </is>
      </c>
      <c r="H2529" s="40" t="inlineStr">
        <is>
          <t>COMPTABLE</t>
        </is>
      </c>
      <c r="I2529" s="41" t="inlineStr">
        <is>
          <t>2024ACT_VDEF</t>
        </is>
      </c>
      <c r="J2529" s="41" t="n">
        <v>2024</v>
      </c>
      <c r="K2529" s="41" t="inlineStr">
        <is>
          <t>EUR</t>
        </is>
      </c>
      <c r="L2529" s="42" t="n">
        <v>22182</v>
      </c>
    </row>
    <row r="2530">
      <c r="B2530" s="39" t="inlineStr">
        <is>
          <t>PIGIER_BOR</t>
        </is>
      </c>
      <c r="C2530" s="40" t="inlineStr">
        <is>
          <t>BTS_GES</t>
        </is>
      </c>
      <c r="D2530" s="40" t="inlineStr">
        <is>
          <t>BTS2</t>
        </is>
      </c>
      <c r="E2530" s="40" t="inlineStr">
        <is>
          <t>ALT</t>
        </is>
      </c>
      <c r="F2530" s="40" t="inlineStr">
        <is>
          <t>606800</t>
        </is>
      </c>
      <c r="G2530" s="39" t="inlineStr">
        <is>
          <t>Autres achats &amp; charges externes</t>
        </is>
      </c>
      <c r="H2530" s="40" t="inlineStr">
        <is>
          <t>COMPTABLE</t>
        </is>
      </c>
      <c r="I2530" s="41" t="inlineStr">
        <is>
          <t>2025FCST_V4</t>
        </is>
      </c>
      <c r="J2530" s="41" t="n">
        <v>2025</v>
      </c>
      <c r="K2530" s="41" t="inlineStr">
        <is>
          <t>EUR</t>
        </is>
      </c>
      <c r="L2530" s="42" t="n">
        <v>23350</v>
      </c>
    </row>
    <row r="2531">
      <c r="B2531" s="39" t="inlineStr">
        <is>
          <t>PIGIER_BOR</t>
        </is>
      </c>
      <c r="C2531" s="40" t="inlineStr">
        <is>
          <t>BTS_GES</t>
        </is>
      </c>
      <c r="D2531" s="40" t="inlineStr">
        <is>
          <t>BTS2</t>
        </is>
      </c>
      <c r="E2531" s="40" t="inlineStr">
        <is>
          <t>ALT</t>
        </is>
      </c>
      <c r="F2531" s="40" t="inlineStr">
        <is>
          <t>681100</t>
        </is>
      </c>
      <c r="G2531" s="39" t="inlineStr">
        <is>
          <t>Dotations aux amortissements</t>
        </is>
      </c>
      <c r="H2531" s="40" t="inlineStr">
        <is>
          <t>COMPTABLE</t>
        </is>
      </c>
      <c r="I2531" s="41" t="inlineStr">
        <is>
          <t>2023ACT_VDEF</t>
        </is>
      </c>
      <c r="J2531" s="41" t="n">
        <v>2023</v>
      </c>
      <c r="K2531" s="41" t="inlineStr">
        <is>
          <t>EUR</t>
        </is>
      </c>
      <c r="L2531" s="42" t="n">
        <v>9540</v>
      </c>
    </row>
    <row r="2532">
      <c r="B2532" s="39" t="inlineStr">
        <is>
          <t>PIGIER_BOR</t>
        </is>
      </c>
      <c r="C2532" s="40" t="inlineStr">
        <is>
          <t>BTS_GES</t>
        </is>
      </c>
      <c r="D2532" s="40" t="inlineStr">
        <is>
          <t>BTS2</t>
        </is>
      </c>
      <c r="E2532" s="40" t="inlineStr">
        <is>
          <t>ALT</t>
        </is>
      </c>
      <c r="F2532" s="40" t="inlineStr">
        <is>
          <t>681100</t>
        </is>
      </c>
      <c r="G2532" s="39" t="inlineStr">
        <is>
          <t>Dotations aux amortissements</t>
        </is>
      </c>
      <c r="H2532" s="40" t="inlineStr">
        <is>
          <t>COMPTABLE</t>
        </is>
      </c>
      <c r="I2532" s="41" t="inlineStr">
        <is>
          <t>2024ACT_VDEF</t>
        </is>
      </c>
      <c r="J2532" s="41" t="n">
        <v>2024</v>
      </c>
      <c r="K2532" s="41" t="inlineStr">
        <is>
          <t>EUR</t>
        </is>
      </c>
      <c r="L2532" s="42" t="n">
        <v>10070</v>
      </c>
    </row>
    <row r="2533">
      <c r="B2533" s="39" t="inlineStr">
        <is>
          <t>PIGIER_BOR</t>
        </is>
      </c>
      <c r="C2533" s="40" t="inlineStr">
        <is>
          <t>BTS_GES</t>
        </is>
      </c>
      <c r="D2533" s="40" t="inlineStr">
        <is>
          <t>BTS2</t>
        </is>
      </c>
      <c r="E2533" s="40" t="inlineStr">
        <is>
          <t>ALT</t>
        </is>
      </c>
      <c r="F2533" s="40" t="inlineStr">
        <is>
          <t>681100</t>
        </is>
      </c>
      <c r="G2533" s="39" t="inlineStr">
        <is>
          <t>Dotations aux amortissements</t>
        </is>
      </c>
      <c r="H2533" s="40" t="inlineStr">
        <is>
          <t>COMPTABLE</t>
        </is>
      </c>
      <c r="I2533" s="41" t="inlineStr">
        <is>
          <t>2025FCST_V4</t>
        </is>
      </c>
      <c r="J2533" s="41" t="n">
        <v>2025</v>
      </c>
      <c r="K2533" s="41" t="inlineStr">
        <is>
          <t>EUR</t>
        </is>
      </c>
      <c r="L2533" s="42" t="n">
        <v>10600</v>
      </c>
    </row>
    <row r="2534">
      <c r="B2534" s="39" t="inlineStr">
        <is>
          <t>PIGIER_BOR</t>
        </is>
      </c>
      <c r="C2534" s="40" t="inlineStr">
        <is>
          <t>BTS_GES</t>
        </is>
      </c>
      <c r="D2534" s="40" t="inlineStr">
        <is>
          <t>BTS2</t>
        </is>
      </c>
      <c r="E2534" s="40" t="inlineStr">
        <is>
          <t>ALT</t>
        </is>
      </c>
      <c r="F2534" s="40" t="inlineStr">
        <is>
          <t>STA_EFF</t>
        </is>
      </c>
      <c r="G2534" s="39" t="inlineStr">
        <is>
          <t>Effectif inscrit</t>
        </is>
      </c>
      <c r="H2534" s="40" t="inlineStr">
        <is>
          <t>TECHNIQUE</t>
        </is>
      </c>
      <c r="I2534" s="41" t="inlineStr">
        <is>
          <t>2023ACT_VDEF</t>
        </is>
      </c>
      <c r="J2534" s="41" t="n">
        <v>2023</v>
      </c>
      <c r="K2534" s="41" t="inlineStr">
        <is>
          <t>NB</t>
        </is>
      </c>
      <c r="L2534" s="43" t="n">
        <v>22</v>
      </c>
    </row>
    <row r="2535">
      <c r="B2535" s="39" t="inlineStr">
        <is>
          <t>PIGIER_BOR</t>
        </is>
      </c>
      <c r="C2535" s="40" t="inlineStr">
        <is>
          <t>BTS_GES</t>
        </is>
      </c>
      <c r="D2535" s="40" t="inlineStr">
        <is>
          <t>BTS2</t>
        </is>
      </c>
      <c r="E2535" s="40" t="inlineStr">
        <is>
          <t>ALT</t>
        </is>
      </c>
      <c r="F2535" s="40" t="inlineStr">
        <is>
          <t>STA_EFF</t>
        </is>
      </c>
      <c r="G2535" s="39" t="inlineStr">
        <is>
          <t>Effectif inscrit</t>
        </is>
      </c>
      <c r="H2535" s="40" t="inlineStr">
        <is>
          <t>TECHNIQUE</t>
        </is>
      </c>
      <c r="I2535" s="41" t="inlineStr">
        <is>
          <t>2024ACT_VDEF</t>
        </is>
      </c>
      <c r="J2535" s="41" t="n">
        <v>2024</v>
      </c>
      <c r="K2535" s="41" t="inlineStr">
        <is>
          <t>NB</t>
        </is>
      </c>
      <c r="L2535" s="43" t="n">
        <v>24</v>
      </c>
    </row>
    <row r="2536">
      <c r="B2536" s="39" t="inlineStr">
        <is>
          <t>PIGIER_BOR</t>
        </is>
      </c>
      <c r="C2536" s="40" t="inlineStr">
        <is>
          <t>BTS_GES</t>
        </is>
      </c>
      <c r="D2536" s="40" t="inlineStr">
        <is>
          <t>BTS2</t>
        </is>
      </c>
      <c r="E2536" s="40" t="inlineStr">
        <is>
          <t>ALT</t>
        </is>
      </c>
      <c r="F2536" s="40" t="inlineStr">
        <is>
          <t>STA_EFF</t>
        </is>
      </c>
      <c r="G2536" s="39" t="inlineStr">
        <is>
          <t>Effectif inscrit</t>
        </is>
      </c>
      <c r="H2536" s="40" t="inlineStr">
        <is>
          <t>TECHNIQUE</t>
        </is>
      </c>
      <c r="I2536" s="41" t="inlineStr">
        <is>
          <t>2025FCST_V4</t>
        </is>
      </c>
      <c r="J2536" s="41" t="n">
        <v>2025</v>
      </c>
      <c r="K2536" s="41" t="inlineStr">
        <is>
          <t>NB</t>
        </is>
      </c>
      <c r="L2536" s="43" t="n">
        <v>25</v>
      </c>
    </row>
    <row r="2537">
      <c r="B2537" s="39" t="inlineStr">
        <is>
          <t>PIGIER_BOR</t>
        </is>
      </c>
      <c r="C2537" s="40" t="inlineStr">
        <is>
          <t>BTS_GES</t>
        </is>
      </c>
      <c r="D2537" s="40" t="inlineStr">
        <is>
          <t>BTS2</t>
        </is>
      </c>
      <c r="E2537" s="40" t="inlineStr">
        <is>
          <t>ALT</t>
        </is>
      </c>
      <c r="F2537" s="40" t="inlineStr">
        <is>
          <t>STA_REINS</t>
        </is>
      </c>
      <c r="G2537" s="39" t="inlineStr">
        <is>
          <t>Réinscrits</t>
        </is>
      </c>
      <c r="H2537" s="40" t="inlineStr">
        <is>
          <t>TECHNIQUE</t>
        </is>
      </c>
      <c r="I2537" s="41" t="inlineStr">
        <is>
          <t>2023ACT_VDEF</t>
        </is>
      </c>
      <c r="J2537" s="41" t="n">
        <v>2023</v>
      </c>
      <c r="K2537" s="41" t="inlineStr">
        <is>
          <t>NB</t>
        </is>
      </c>
      <c r="L2537" s="43" t="n">
        <v>22</v>
      </c>
    </row>
    <row r="2538">
      <c r="B2538" s="39" t="inlineStr">
        <is>
          <t>PIGIER_BOR</t>
        </is>
      </c>
      <c r="C2538" s="40" t="inlineStr">
        <is>
          <t>BTS_GES</t>
        </is>
      </c>
      <c r="D2538" s="40" t="inlineStr">
        <is>
          <t>BTS2</t>
        </is>
      </c>
      <c r="E2538" s="40" t="inlineStr">
        <is>
          <t>ALT</t>
        </is>
      </c>
      <c r="F2538" s="40" t="inlineStr">
        <is>
          <t>STA_REINS</t>
        </is>
      </c>
      <c r="G2538" s="39" t="inlineStr">
        <is>
          <t>Réinscrits</t>
        </is>
      </c>
      <c r="H2538" s="40" t="inlineStr">
        <is>
          <t>TECHNIQUE</t>
        </is>
      </c>
      <c r="I2538" s="41" t="inlineStr">
        <is>
          <t>2024ACT_VDEF</t>
        </is>
      </c>
      <c r="J2538" s="41" t="n">
        <v>2024</v>
      </c>
      <c r="K2538" s="41" t="inlineStr">
        <is>
          <t>NB</t>
        </is>
      </c>
      <c r="L2538" s="43" t="n">
        <v>24</v>
      </c>
    </row>
    <row r="2539">
      <c r="B2539" s="39" t="inlineStr">
        <is>
          <t>PIGIER_BOR</t>
        </is>
      </c>
      <c r="C2539" s="40" t="inlineStr">
        <is>
          <t>BTS_GES</t>
        </is>
      </c>
      <c r="D2539" s="40" t="inlineStr">
        <is>
          <t>BTS2</t>
        </is>
      </c>
      <c r="E2539" s="40" t="inlineStr">
        <is>
          <t>ALT</t>
        </is>
      </c>
      <c r="F2539" s="40" t="inlineStr">
        <is>
          <t>STA_REINS</t>
        </is>
      </c>
      <c r="G2539" s="39" t="inlineStr">
        <is>
          <t>Réinscrits</t>
        </is>
      </c>
      <c r="H2539" s="40" t="inlineStr">
        <is>
          <t>TECHNIQUE</t>
        </is>
      </c>
      <c r="I2539" s="41" t="inlineStr">
        <is>
          <t>2025FCST_V4</t>
        </is>
      </c>
      <c r="J2539" s="41" t="n">
        <v>2025</v>
      </c>
      <c r="K2539" s="41" t="inlineStr">
        <is>
          <t>NB</t>
        </is>
      </c>
      <c r="L2539" s="43" t="n">
        <v>25</v>
      </c>
    </row>
    <row r="2540">
      <c r="B2540" s="39" t="inlineStr">
        <is>
          <t>PIGIER_BOR</t>
        </is>
      </c>
      <c r="C2540" s="40" t="inlineStr">
        <is>
          <t>BTS_GES</t>
        </is>
      </c>
      <c r="D2540" s="40" t="inlineStr">
        <is>
          <t>BTS2</t>
        </is>
      </c>
      <c r="E2540" s="40" t="inlineStr">
        <is>
          <t>ALT</t>
        </is>
      </c>
      <c r="F2540" s="40" t="inlineStr">
        <is>
          <t>STA_CLASS</t>
        </is>
      </c>
      <c r="G2540" s="39" t="inlineStr">
        <is>
          <t>Nombre de classes</t>
        </is>
      </c>
      <c r="H2540" s="40" t="inlineStr">
        <is>
          <t>TECHNIQUE</t>
        </is>
      </c>
      <c r="I2540" s="41" t="inlineStr">
        <is>
          <t>2023ACT_VDEF</t>
        </is>
      </c>
      <c r="J2540" s="41" t="n">
        <v>2023</v>
      </c>
      <c r="K2540" s="41" t="inlineStr">
        <is>
          <t>NB</t>
        </is>
      </c>
      <c r="L2540" s="43" t="n">
        <v>1</v>
      </c>
    </row>
    <row r="2541">
      <c r="B2541" s="39" t="inlineStr">
        <is>
          <t>PIGIER_BOR</t>
        </is>
      </c>
      <c r="C2541" s="40" t="inlineStr">
        <is>
          <t>BTS_GES</t>
        </is>
      </c>
      <c r="D2541" s="40" t="inlineStr">
        <is>
          <t>BTS2</t>
        </is>
      </c>
      <c r="E2541" s="40" t="inlineStr">
        <is>
          <t>ALT</t>
        </is>
      </c>
      <c r="F2541" s="40" t="inlineStr">
        <is>
          <t>STA_CLASS</t>
        </is>
      </c>
      <c r="G2541" s="39" t="inlineStr">
        <is>
          <t>Nombre de classes</t>
        </is>
      </c>
      <c r="H2541" s="40" t="inlineStr">
        <is>
          <t>TECHNIQUE</t>
        </is>
      </c>
      <c r="I2541" s="41" t="inlineStr">
        <is>
          <t>2024ACT_VDEF</t>
        </is>
      </c>
      <c r="J2541" s="41" t="n">
        <v>2024</v>
      </c>
      <c r="K2541" s="41" t="inlineStr">
        <is>
          <t>NB</t>
        </is>
      </c>
      <c r="L2541" s="43" t="n">
        <v>1</v>
      </c>
    </row>
    <row r="2542">
      <c r="B2542" s="39" t="inlineStr">
        <is>
          <t>PIGIER_BOR</t>
        </is>
      </c>
      <c r="C2542" s="40" t="inlineStr">
        <is>
          <t>BTS_GES</t>
        </is>
      </c>
      <c r="D2542" s="40" t="inlineStr">
        <is>
          <t>BTS2</t>
        </is>
      </c>
      <c r="E2542" s="40" t="inlineStr">
        <is>
          <t>ALT</t>
        </is>
      </c>
      <c r="F2542" s="40" t="inlineStr">
        <is>
          <t>STA_CLASS</t>
        </is>
      </c>
      <c r="G2542" s="39" t="inlineStr">
        <is>
          <t>Nombre de classes</t>
        </is>
      </c>
      <c r="H2542" s="40" t="inlineStr">
        <is>
          <t>TECHNIQUE</t>
        </is>
      </c>
      <c r="I2542" s="41" t="inlineStr">
        <is>
          <t>2025FCST_V4</t>
        </is>
      </c>
      <c r="J2542" s="41" t="n">
        <v>2025</v>
      </c>
      <c r="K2542" s="41" t="inlineStr">
        <is>
          <t>NB</t>
        </is>
      </c>
      <c r="L2542" s="43" t="n">
        <v>1</v>
      </c>
    </row>
    <row r="2543">
      <c r="B2543" s="39" t="inlineStr">
        <is>
          <t>PIGIER_BOR</t>
        </is>
      </c>
      <c r="C2543" s="40" t="inlineStr">
        <is>
          <t>BTS_GES</t>
        </is>
      </c>
      <c r="D2543" s="40" t="inlineStr">
        <is>
          <t>BTS2</t>
        </is>
      </c>
      <c r="E2543" s="40" t="inlineStr">
        <is>
          <t>ALT</t>
        </is>
      </c>
      <c r="F2543" s="40" t="inlineStr">
        <is>
          <t>STA_HEURE</t>
        </is>
      </c>
      <c r="G2543" s="39" t="inlineStr">
        <is>
          <t>Heures d'enseignement</t>
        </is>
      </c>
      <c r="H2543" s="40" t="inlineStr">
        <is>
          <t>TECHNIQUE</t>
        </is>
      </c>
      <c r="I2543" s="41" t="inlineStr">
        <is>
          <t>2023ACT_VDEF</t>
        </is>
      </c>
      <c r="J2543" s="41" t="n">
        <v>2023</v>
      </c>
      <c r="K2543" s="41" t="inlineStr">
        <is>
          <t>NB</t>
        </is>
      </c>
      <c r="L2543" s="43" t="n">
        <v>612</v>
      </c>
    </row>
    <row r="2544">
      <c r="B2544" s="39" t="inlineStr">
        <is>
          <t>PIGIER_BOR</t>
        </is>
      </c>
      <c r="C2544" s="40" t="inlineStr">
        <is>
          <t>BTS_GES</t>
        </is>
      </c>
      <c r="D2544" s="40" t="inlineStr">
        <is>
          <t>BTS2</t>
        </is>
      </c>
      <c r="E2544" s="40" t="inlineStr">
        <is>
          <t>ALT</t>
        </is>
      </c>
      <c r="F2544" s="40" t="inlineStr">
        <is>
          <t>STA_HEURE</t>
        </is>
      </c>
      <c r="G2544" s="39" t="inlineStr">
        <is>
          <t>Heures d'enseignement</t>
        </is>
      </c>
      <c r="H2544" s="40" t="inlineStr">
        <is>
          <t>TECHNIQUE</t>
        </is>
      </c>
      <c r="I2544" s="41" t="inlineStr">
        <is>
          <t>2024ACT_VDEF</t>
        </is>
      </c>
      <c r="J2544" s="41" t="n">
        <v>2024</v>
      </c>
      <c r="K2544" s="41" t="inlineStr">
        <is>
          <t>NB</t>
        </is>
      </c>
      <c r="L2544" s="43" t="n">
        <v>646</v>
      </c>
    </row>
    <row r="2545">
      <c r="B2545" s="39" t="inlineStr">
        <is>
          <t>PIGIER_BOR</t>
        </is>
      </c>
      <c r="C2545" s="40" t="inlineStr">
        <is>
          <t>BTS_GES</t>
        </is>
      </c>
      <c r="D2545" s="40" t="inlineStr">
        <is>
          <t>BTS2</t>
        </is>
      </c>
      <c r="E2545" s="40" t="inlineStr">
        <is>
          <t>ALT</t>
        </is>
      </c>
      <c r="F2545" s="40" t="inlineStr">
        <is>
          <t>STA_HEURE</t>
        </is>
      </c>
      <c r="G2545" s="39" t="inlineStr">
        <is>
          <t>Heures d'enseignement</t>
        </is>
      </c>
      <c r="H2545" s="40" t="inlineStr">
        <is>
          <t>TECHNIQUE</t>
        </is>
      </c>
      <c r="I2545" s="41" t="inlineStr">
        <is>
          <t>2025FCST_V4</t>
        </is>
      </c>
      <c r="J2545" s="41" t="n">
        <v>2025</v>
      </c>
      <c r="K2545" s="41" t="inlineStr">
        <is>
          <t>NB</t>
        </is>
      </c>
      <c r="L2545" s="43" t="n">
        <v>680</v>
      </c>
    </row>
    <row r="2546">
      <c r="B2546" s="39" t="inlineStr">
        <is>
          <t>PIGIER_BOR</t>
        </is>
      </c>
      <c r="C2546" s="40" t="inlineStr">
        <is>
          <t>BTS_GES</t>
        </is>
      </c>
      <c r="D2546" s="40" t="inlineStr">
        <is>
          <t>BTS2</t>
        </is>
      </c>
      <c r="E2546" s="40" t="inlineStr">
        <is>
          <t>ALT</t>
        </is>
      </c>
      <c r="F2546" s="40" t="inlineStr">
        <is>
          <t>STA_CAPA</t>
        </is>
      </c>
      <c r="G2546" s="39" t="inlineStr">
        <is>
          <t>Capacité par classe</t>
        </is>
      </c>
      <c r="H2546" s="40" t="inlineStr">
        <is>
          <t>TECHNIQUE</t>
        </is>
      </c>
      <c r="I2546" s="41" t="inlineStr">
        <is>
          <t>2023ACT_VDEF</t>
        </is>
      </c>
      <c r="J2546" s="41" t="n">
        <v>2023</v>
      </c>
      <c r="K2546" s="41" t="inlineStr">
        <is>
          <t>NB</t>
        </is>
      </c>
      <c r="L2546" s="43" t="n">
        <v>30</v>
      </c>
    </row>
    <row r="2547">
      <c r="B2547" s="39" t="inlineStr">
        <is>
          <t>PIGIER_BOR</t>
        </is>
      </c>
      <c r="C2547" s="40" t="inlineStr">
        <is>
          <t>BTS_GES</t>
        </is>
      </c>
      <c r="D2547" s="40" t="inlineStr">
        <is>
          <t>BTS2</t>
        </is>
      </c>
      <c r="E2547" s="40" t="inlineStr">
        <is>
          <t>ALT</t>
        </is>
      </c>
      <c r="F2547" s="40" t="inlineStr">
        <is>
          <t>STA_CAPA</t>
        </is>
      </c>
      <c r="G2547" s="39" t="inlineStr">
        <is>
          <t>Capacité par classe</t>
        </is>
      </c>
      <c r="H2547" s="40" t="inlineStr">
        <is>
          <t>TECHNIQUE</t>
        </is>
      </c>
      <c r="I2547" s="41" t="inlineStr">
        <is>
          <t>2024ACT_VDEF</t>
        </is>
      </c>
      <c r="J2547" s="41" t="n">
        <v>2024</v>
      </c>
      <c r="K2547" s="41" t="inlineStr">
        <is>
          <t>NB</t>
        </is>
      </c>
      <c r="L2547" s="43" t="n">
        <v>30</v>
      </c>
    </row>
    <row r="2548">
      <c r="B2548" s="39" t="inlineStr">
        <is>
          <t>PIGIER_BOR</t>
        </is>
      </c>
      <c r="C2548" s="40" t="inlineStr">
        <is>
          <t>BTS_GES</t>
        </is>
      </c>
      <c r="D2548" s="40" t="inlineStr">
        <is>
          <t>BTS2</t>
        </is>
      </c>
      <c r="E2548" s="40" t="inlineStr">
        <is>
          <t>ALT</t>
        </is>
      </c>
      <c r="F2548" s="40" t="inlineStr">
        <is>
          <t>STA_CAPA</t>
        </is>
      </c>
      <c r="G2548" s="39" t="inlineStr">
        <is>
          <t>Capacité par classe</t>
        </is>
      </c>
      <c r="H2548" s="40" t="inlineStr">
        <is>
          <t>TECHNIQUE</t>
        </is>
      </c>
      <c r="I2548" s="41" t="inlineStr">
        <is>
          <t>2025FCST_V4</t>
        </is>
      </c>
      <c r="J2548" s="41" t="n">
        <v>2025</v>
      </c>
      <c r="K2548" s="41" t="inlineStr">
        <is>
          <t>NB</t>
        </is>
      </c>
      <c r="L2548" s="43" t="n">
        <v>30</v>
      </c>
    </row>
    <row r="2549">
      <c r="B2549" s="39" t="inlineStr">
        <is>
          <t>PIGIER_BOR</t>
        </is>
      </c>
      <c r="C2549" s="40" t="inlineStr">
        <is>
          <t>BTS_GES</t>
        </is>
      </c>
      <c r="D2549" s="40" t="inlineStr">
        <is>
          <t>BTS2</t>
        </is>
      </c>
      <c r="E2549" s="40" t="inlineStr">
        <is>
          <t>ALT</t>
        </is>
      </c>
      <c r="F2549" s="40" t="inlineStr">
        <is>
          <t>DRV_PASS</t>
        </is>
      </c>
      <c r="G2549" s="39" t="inlineStr">
        <is>
          <t>Taux de passage (réinscription)</t>
        </is>
      </c>
      <c r="H2549" s="40" t="inlineStr">
        <is>
          <t>TECHNIQUE</t>
        </is>
      </c>
      <c r="I2549" s="41" t="inlineStr">
        <is>
          <t>2023ACT_VDEF</t>
        </is>
      </c>
      <c r="J2549" s="41" t="n">
        <v>2023</v>
      </c>
      <c r="K2549" s="41" t="inlineStr">
        <is>
          <t>PCT</t>
        </is>
      </c>
      <c r="L2549" s="44" t="n">
        <v>0.9399999999999999</v>
      </c>
    </row>
    <row r="2550">
      <c r="B2550" s="39" t="inlineStr">
        <is>
          <t>PIGIER_BOR</t>
        </is>
      </c>
      <c r="C2550" s="40" t="inlineStr">
        <is>
          <t>BTS_GES</t>
        </is>
      </c>
      <c r="D2550" s="40" t="inlineStr">
        <is>
          <t>BTS2</t>
        </is>
      </c>
      <c r="E2550" s="40" t="inlineStr">
        <is>
          <t>ALT</t>
        </is>
      </c>
      <c r="F2550" s="40" t="inlineStr">
        <is>
          <t>DRV_PASS</t>
        </is>
      </c>
      <c r="G2550" s="39" t="inlineStr">
        <is>
          <t>Taux de passage (réinscription)</t>
        </is>
      </c>
      <c r="H2550" s="40" t="inlineStr">
        <is>
          <t>TECHNIQUE</t>
        </is>
      </c>
      <c r="I2550" s="41" t="inlineStr">
        <is>
          <t>2024ACT_VDEF</t>
        </is>
      </c>
      <c r="J2550" s="41" t="n">
        <v>2024</v>
      </c>
      <c r="K2550" s="41" t="inlineStr">
        <is>
          <t>PCT</t>
        </is>
      </c>
      <c r="L2550" s="44" t="n">
        <v>0.9399999999999999</v>
      </c>
    </row>
    <row r="2551">
      <c r="B2551" s="39" t="inlineStr">
        <is>
          <t>PIGIER_BOR</t>
        </is>
      </c>
      <c r="C2551" s="40" t="inlineStr">
        <is>
          <t>BTS_GES</t>
        </is>
      </c>
      <c r="D2551" s="40" t="inlineStr">
        <is>
          <t>BTS2</t>
        </is>
      </c>
      <c r="E2551" s="40" t="inlineStr">
        <is>
          <t>ALT</t>
        </is>
      </c>
      <c r="F2551" s="40" t="inlineStr">
        <is>
          <t>DRV_PASS</t>
        </is>
      </c>
      <c r="G2551" s="39" t="inlineStr">
        <is>
          <t>Taux de passage (réinscription)</t>
        </is>
      </c>
      <c r="H2551" s="40" t="inlineStr">
        <is>
          <t>TECHNIQUE</t>
        </is>
      </c>
      <c r="I2551" s="41" t="inlineStr">
        <is>
          <t>2025FCST_V4</t>
        </is>
      </c>
      <c r="J2551" s="41" t="n">
        <v>2025</v>
      </c>
      <c r="K2551" s="41" t="inlineStr">
        <is>
          <t>PCT</t>
        </is>
      </c>
      <c r="L2551" s="44" t="n">
        <v>0.9399999999999999</v>
      </c>
    </row>
    <row r="2552">
      <c r="B2552" s="39" t="inlineStr">
        <is>
          <t>PIGIER_BOR</t>
        </is>
      </c>
      <c r="C2552" s="40" t="inlineStr">
        <is>
          <t>BTS_GES</t>
        </is>
      </c>
      <c r="D2552" s="40" t="inlineStr">
        <is>
          <t>BTS2</t>
        </is>
      </c>
      <c r="E2552" s="40" t="inlineStr">
        <is>
          <t>ALT</t>
        </is>
      </c>
      <c r="F2552" s="40" t="inlineStr">
        <is>
          <t>PRX_TARIF</t>
        </is>
      </c>
      <c r="G2552" s="39" t="inlineStr">
        <is>
          <t>Tarif moyen scolarité</t>
        </is>
      </c>
      <c r="H2552" s="40" t="inlineStr">
        <is>
          <t>TECHNIQUE</t>
        </is>
      </c>
      <c r="I2552" s="41" t="inlineStr">
        <is>
          <t>2023ACT_VDEF</t>
        </is>
      </c>
      <c r="J2552" s="41" t="n">
        <v>2023</v>
      </c>
      <c r="K2552" s="41" t="inlineStr">
        <is>
          <t>EUR</t>
        </is>
      </c>
      <c r="L2552" s="42" t="n">
        <v>7000</v>
      </c>
    </row>
    <row r="2553">
      <c r="B2553" s="39" t="inlineStr">
        <is>
          <t>PIGIER_BOR</t>
        </is>
      </c>
      <c r="C2553" s="40" t="inlineStr">
        <is>
          <t>BTS_GES</t>
        </is>
      </c>
      <c r="D2553" s="40" t="inlineStr">
        <is>
          <t>BTS2</t>
        </is>
      </c>
      <c r="E2553" s="40" t="inlineStr">
        <is>
          <t>ALT</t>
        </is>
      </c>
      <c r="F2553" s="40" t="inlineStr">
        <is>
          <t>PRX_TARIF</t>
        </is>
      </c>
      <c r="G2553" s="39" t="inlineStr">
        <is>
          <t>Tarif moyen scolarité</t>
        </is>
      </c>
      <c r="H2553" s="40" t="inlineStr">
        <is>
          <t>TECHNIQUE</t>
        </is>
      </c>
      <c r="I2553" s="41" t="inlineStr">
        <is>
          <t>2024ACT_VDEF</t>
        </is>
      </c>
      <c r="J2553" s="41" t="n">
        <v>2024</v>
      </c>
      <c r="K2553" s="41" t="inlineStr">
        <is>
          <t>EUR</t>
        </is>
      </c>
      <c r="L2553" s="42" t="n">
        <v>7000</v>
      </c>
    </row>
    <row r="2554">
      <c r="B2554" s="39" t="inlineStr">
        <is>
          <t>PIGIER_BOR</t>
        </is>
      </c>
      <c r="C2554" s="40" t="inlineStr">
        <is>
          <t>BTS_GES</t>
        </is>
      </c>
      <c r="D2554" s="40" t="inlineStr">
        <is>
          <t>BTS2</t>
        </is>
      </c>
      <c r="E2554" s="40" t="inlineStr">
        <is>
          <t>ALT</t>
        </is>
      </c>
      <c r="F2554" s="40" t="inlineStr">
        <is>
          <t>PRX_TARIF</t>
        </is>
      </c>
      <c r="G2554" s="39" t="inlineStr">
        <is>
          <t>Tarif moyen scolarité</t>
        </is>
      </c>
      <c r="H2554" s="40" t="inlineStr">
        <is>
          <t>TECHNIQUE</t>
        </is>
      </c>
      <c r="I2554" s="41" t="inlineStr">
        <is>
          <t>2025FCST_V4</t>
        </is>
      </c>
      <c r="J2554" s="41" t="n">
        <v>2025</v>
      </c>
      <c r="K2554" s="41" t="inlineStr">
        <is>
          <t>EUR</t>
        </is>
      </c>
      <c r="L2554" s="42" t="n">
        <v>7000</v>
      </c>
    </row>
    <row r="2555">
      <c r="B2555" s="39" t="inlineStr">
        <is>
          <t>PIGIER_BOR</t>
        </is>
      </c>
      <c r="C2555" s="40" t="inlineStr">
        <is>
          <t>BAC_RH</t>
        </is>
      </c>
      <c r="D2555" s="40" t="inlineStr">
        <is>
          <t>B1</t>
        </is>
      </c>
      <c r="E2555" s="40" t="inlineStr">
        <is>
          <t>ALT</t>
        </is>
      </c>
      <c r="F2555" s="40" t="inlineStr">
        <is>
          <t>706100</t>
        </is>
      </c>
      <c r="G2555" s="39" t="inlineStr">
        <is>
          <t>Droits de scolarité</t>
        </is>
      </c>
      <c r="H2555" s="40" t="inlineStr">
        <is>
          <t>COMPTABLE</t>
        </is>
      </c>
      <c r="I2555" s="41" t="inlineStr">
        <is>
          <t>2023ACT_VDEF</t>
        </is>
      </c>
      <c r="J2555" s="41" t="n">
        <v>2023</v>
      </c>
      <c r="K2555" s="41" t="inlineStr">
        <is>
          <t>EUR</t>
        </is>
      </c>
      <c r="L2555" s="42" t="n">
        <v>259200</v>
      </c>
    </row>
    <row r="2556">
      <c r="B2556" s="39" t="inlineStr">
        <is>
          <t>PIGIER_BOR</t>
        </is>
      </c>
      <c r="C2556" s="40" t="inlineStr">
        <is>
          <t>BAC_RH</t>
        </is>
      </c>
      <c r="D2556" s="40" t="inlineStr">
        <is>
          <t>B1</t>
        </is>
      </c>
      <c r="E2556" s="40" t="inlineStr">
        <is>
          <t>ALT</t>
        </is>
      </c>
      <c r="F2556" s="40" t="inlineStr">
        <is>
          <t>706100</t>
        </is>
      </c>
      <c r="G2556" s="39" t="inlineStr">
        <is>
          <t>Droits de scolarité</t>
        </is>
      </c>
      <c r="H2556" s="40" t="inlineStr">
        <is>
          <t>COMPTABLE</t>
        </is>
      </c>
      <c r="I2556" s="41" t="inlineStr">
        <is>
          <t>2024ACT_VDEF</t>
        </is>
      </c>
      <c r="J2556" s="41" t="n">
        <v>2024</v>
      </c>
      <c r="K2556" s="41" t="inlineStr">
        <is>
          <t>EUR</t>
        </is>
      </c>
      <c r="L2556" s="42" t="n">
        <v>273600</v>
      </c>
    </row>
    <row r="2557">
      <c r="B2557" s="39" t="inlineStr">
        <is>
          <t>PIGIER_BOR</t>
        </is>
      </c>
      <c r="C2557" s="40" t="inlineStr">
        <is>
          <t>BAC_RH</t>
        </is>
      </c>
      <c r="D2557" s="40" t="inlineStr">
        <is>
          <t>B1</t>
        </is>
      </c>
      <c r="E2557" s="40" t="inlineStr">
        <is>
          <t>ALT</t>
        </is>
      </c>
      <c r="F2557" s="40" t="inlineStr">
        <is>
          <t>706100</t>
        </is>
      </c>
      <c r="G2557" s="39" t="inlineStr">
        <is>
          <t>Droits de scolarité</t>
        </is>
      </c>
      <c r="H2557" s="40" t="inlineStr">
        <is>
          <t>COMPTABLE</t>
        </is>
      </c>
      <c r="I2557" s="41" t="inlineStr">
        <is>
          <t>2025FCST_V4</t>
        </is>
      </c>
      <c r="J2557" s="41" t="n">
        <v>2025</v>
      </c>
      <c r="K2557" s="41" t="inlineStr">
        <is>
          <t>EUR</t>
        </is>
      </c>
      <c r="L2557" s="42" t="n">
        <v>288000</v>
      </c>
    </row>
    <row r="2558">
      <c r="B2558" s="39" t="inlineStr">
        <is>
          <t>PIGIER_BOR</t>
        </is>
      </c>
      <c r="C2558" s="40" t="inlineStr">
        <is>
          <t>BAC_RH</t>
        </is>
      </c>
      <c r="D2558" s="40" t="inlineStr">
        <is>
          <t>B1</t>
        </is>
      </c>
      <c r="E2558" s="40" t="inlineStr">
        <is>
          <t>ALT</t>
        </is>
      </c>
      <c r="F2558" s="40" t="inlineStr">
        <is>
          <t>708500</t>
        </is>
      </c>
      <c r="G2558" s="39" t="inlineStr">
        <is>
          <t>Frais de dossier / inscription</t>
        </is>
      </c>
      <c r="H2558" s="40" t="inlineStr">
        <is>
          <t>COMPTABLE</t>
        </is>
      </c>
      <c r="I2558" s="41" t="inlineStr">
        <is>
          <t>2023ACT_VDEF</t>
        </is>
      </c>
      <c r="J2558" s="41" t="n">
        <v>2023</v>
      </c>
      <c r="K2558" s="41" t="inlineStr">
        <is>
          <t>EUR</t>
        </is>
      </c>
      <c r="L2558" s="42" t="n">
        <v>2916</v>
      </c>
    </row>
    <row r="2559">
      <c r="B2559" s="39" t="inlineStr">
        <is>
          <t>PIGIER_BOR</t>
        </is>
      </c>
      <c r="C2559" s="40" t="inlineStr">
        <is>
          <t>BAC_RH</t>
        </is>
      </c>
      <c r="D2559" s="40" t="inlineStr">
        <is>
          <t>B1</t>
        </is>
      </c>
      <c r="E2559" s="40" t="inlineStr">
        <is>
          <t>ALT</t>
        </is>
      </c>
      <c r="F2559" s="40" t="inlineStr">
        <is>
          <t>708500</t>
        </is>
      </c>
      <c r="G2559" s="39" t="inlineStr">
        <is>
          <t>Frais de dossier / inscription</t>
        </is>
      </c>
      <c r="H2559" s="40" t="inlineStr">
        <is>
          <t>COMPTABLE</t>
        </is>
      </c>
      <c r="I2559" s="41" t="inlineStr">
        <is>
          <t>2024ACT_VDEF</t>
        </is>
      </c>
      <c r="J2559" s="41" t="n">
        <v>2024</v>
      </c>
      <c r="K2559" s="41" t="inlineStr">
        <is>
          <t>EUR</t>
        </is>
      </c>
      <c r="L2559" s="42" t="n">
        <v>3078</v>
      </c>
    </row>
    <row r="2560">
      <c r="B2560" s="39" t="inlineStr">
        <is>
          <t>PIGIER_BOR</t>
        </is>
      </c>
      <c r="C2560" s="40" t="inlineStr">
        <is>
          <t>BAC_RH</t>
        </is>
      </c>
      <c r="D2560" s="40" t="inlineStr">
        <is>
          <t>B1</t>
        </is>
      </c>
      <c r="E2560" s="40" t="inlineStr">
        <is>
          <t>ALT</t>
        </is>
      </c>
      <c r="F2560" s="40" t="inlineStr">
        <is>
          <t>708500</t>
        </is>
      </c>
      <c r="G2560" s="39" t="inlineStr">
        <is>
          <t>Frais de dossier / inscription</t>
        </is>
      </c>
      <c r="H2560" s="40" t="inlineStr">
        <is>
          <t>COMPTABLE</t>
        </is>
      </c>
      <c r="I2560" s="41" t="inlineStr">
        <is>
          <t>2025FCST_V4</t>
        </is>
      </c>
      <c r="J2560" s="41" t="n">
        <v>2025</v>
      </c>
      <c r="K2560" s="41" t="inlineStr">
        <is>
          <t>EUR</t>
        </is>
      </c>
      <c r="L2560" s="42" t="n">
        <v>3240</v>
      </c>
    </row>
    <row r="2561">
      <c r="B2561" s="39" t="inlineStr">
        <is>
          <t>PIGIER_BOR</t>
        </is>
      </c>
      <c r="C2561" s="40" t="inlineStr">
        <is>
          <t>BAC_RH</t>
        </is>
      </c>
      <c r="D2561" s="40" t="inlineStr">
        <is>
          <t>B1</t>
        </is>
      </c>
      <c r="E2561" s="40" t="inlineStr">
        <is>
          <t>ALT</t>
        </is>
      </c>
      <c r="F2561" s="40" t="inlineStr">
        <is>
          <t>604100</t>
        </is>
      </c>
      <c r="G2561" s="39" t="inlineStr">
        <is>
          <t>Vacations &amp; sous-traitance pédagogique</t>
        </is>
      </c>
      <c r="H2561" s="40" t="inlineStr">
        <is>
          <t>COMPTABLE</t>
        </is>
      </c>
      <c r="I2561" s="41" t="inlineStr">
        <is>
          <t>2023ACT_VDEF</t>
        </is>
      </c>
      <c r="J2561" s="41" t="n">
        <v>2023</v>
      </c>
      <c r="K2561" s="41" t="inlineStr">
        <is>
          <t>EUR</t>
        </is>
      </c>
      <c r="L2561" s="42" t="n">
        <v>62640</v>
      </c>
    </row>
    <row r="2562">
      <c r="B2562" s="39" t="inlineStr">
        <is>
          <t>PIGIER_BOR</t>
        </is>
      </c>
      <c r="C2562" s="40" t="inlineStr">
        <is>
          <t>BAC_RH</t>
        </is>
      </c>
      <c r="D2562" s="40" t="inlineStr">
        <is>
          <t>B1</t>
        </is>
      </c>
      <c r="E2562" s="40" t="inlineStr">
        <is>
          <t>ALT</t>
        </is>
      </c>
      <c r="F2562" s="40" t="inlineStr">
        <is>
          <t>604100</t>
        </is>
      </c>
      <c r="G2562" s="39" t="inlineStr">
        <is>
          <t>Vacations &amp; sous-traitance pédagogique</t>
        </is>
      </c>
      <c r="H2562" s="40" t="inlineStr">
        <is>
          <t>COMPTABLE</t>
        </is>
      </c>
      <c r="I2562" s="41" t="inlineStr">
        <is>
          <t>2024ACT_VDEF</t>
        </is>
      </c>
      <c r="J2562" s="41" t="n">
        <v>2024</v>
      </c>
      <c r="K2562" s="41" t="inlineStr">
        <is>
          <t>EUR</t>
        </is>
      </c>
      <c r="L2562" s="42" t="n">
        <v>66120</v>
      </c>
    </row>
    <row r="2563">
      <c r="B2563" s="39" t="inlineStr">
        <is>
          <t>PIGIER_BOR</t>
        </is>
      </c>
      <c r="C2563" s="40" t="inlineStr">
        <is>
          <t>BAC_RH</t>
        </is>
      </c>
      <c r="D2563" s="40" t="inlineStr">
        <is>
          <t>B1</t>
        </is>
      </c>
      <c r="E2563" s="40" t="inlineStr">
        <is>
          <t>ALT</t>
        </is>
      </c>
      <c r="F2563" s="40" t="inlineStr">
        <is>
          <t>604100</t>
        </is>
      </c>
      <c r="G2563" s="39" t="inlineStr">
        <is>
          <t>Vacations &amp; sous-traitance pédagogique</t>
        </is>
      </c>
      <c r="H2563" s="40" t="inlineStr">
        <is>
          <t>COMPTABLE</t>
        </is>
      </c>
      <c r="I2563" s="41" t="inlineStr">
        <is>
          <t>2025FCST_V4</t>
        </is>
      </c>
      <c r="J2563" s="41" t="n">
        <v>2025</v>
      </c>
      <c r="K2563" s="41" t="inlineStr">
        <is>
          <t>EUR</t>
        </is>
      </c>
      <c r="L2563" s="42" t="n">
        <v>69600</v>
      </c>
    </row>
    <row r="2564">
      <c r="B2564" s="39" t="inlineStr">
        <is>
          <t>PIGIER_BOR</t>
        </is>
      </c>
      <c r="C2564" s="40" t="inlineStr">
        <is>
          <t>BAC_RH</t>
        </is>
      </c>
      <c r="D2564" s="40" t="inlineStr">
        <is>
          <t>B1</t>
        </is>
      </c>
      <c r="E2564" s="40" t="inlineStr">
        <is>
          <t>ALT</t>
        </is>
      </c>
      <c r="F2564" s="40" t="inlineStr">
        <is>
          <t>606300</t>
        </is>
      </c>
      <c r="G2564" s="39" t="inlineStr">
        <is>
          <t>Fournitures &amp; ressources pédagogiques</t>
        </is>
      </c>
      <c r="H2564" s="40" t="inlineStr">
        <is>
          <t>COMPTABLE</t>
        </is>
      </c>
      <c r="I2564" s="41" t="inlineStr">
        <is>
          <t>2023ACT_VDEF</t>
        </is>
      </c>
      <c r="J2564" s="41" t="n">
        <v>2023</v>
      </c>
      <c r="K2564" s="41" t="inlineStr">
        <is>
          <t>EUR</t>
        </is>
      </c>
      <c r="L2564" s="42" t="n">
        <v>12312</v>
      </c>
    </row>
    <row r="2565">
      <c r="B2565" s="39" t="inlineStr">
        <is>
          <t>PIGIER_BOR</t>
        </is>
      </c>
      <c r="C2565" s="40" t="inlineStr">
        <is>
          <t>BAC_RH</t>
        </is>
      </c>
      <c r="D2565" s="40" t="inlineStr">
        <is>
          <t>B1</t>
        </is>
      </c>
      <c r="E2565" s="40" t="inlineStr">
        <is>
          <t>ALT</t>
        </is>
      </c>
      <c r="F2565" s="40" t="inlineStr">
        <is>
          <t>606300</t>
        </is>
      </c>
      <c r="G2565" s="39" t="inlineStr">
        <is>
          <t>Fournitures &amp; ressources pédagogiques</t>
        </is>
      </c>
      <c r="H2565" s="40" t="inlineStr">
        <is>
          <t>COMPTABLE</t>
        </is>
      </c>
      <c r="I2565" s="41" t="inlineStr">
        <is>
          <t>2024ACT_VDEF</t>
        </is>
      </c>
      <c r="J2565" s="41" t="n">
        <v>2024</v>
      </c>
      <c r="K2565" s="41" t="inlineStr">
        <is>
          <t>EUR</t>
        </is>
      </c>
      <c r="L2565" s="42" t="n">
        <v>12996</v>
      </c>
    </row>
    <row r="2566">
      <c r="B2566" s="39" t="inlineStr">
        <is>
          <t>PIGIER_BOR</t>
        </is>
      </c>
      <c r="C2566" s="40" t="inlineStr">
        <is>
          <t>BAC_RH</t>
        </is>
      </c>
      <c r="D2566" s="40" t="inlineStr">
        <is>
          <t>B1</t>
        </is>
      </c>
      <c r="E2566" s="40" t="inlineStr">
        <is>
          <t>ALT</t>
        </is>
      </c>
      <c r="F2566" s="40" t="inlineStr">
        <is>
          <t>606300</t>
        </is>
      </c>
      <c r="G2566" s="39" t="inlineStr">
        <is>
          <t>Fournitures &amp; ressources pédagogiques</t>
        </is>
      </c>
      <c r="H2566" s="40" t="inlineStr">
        <is>
          <t>COMPTABLE</t>
        </is>
      </c>
      <c r="I2566" s="41" t="inlineStr">
        <is>
          <t>2025FCST_V4</t>
        </is>
      </c>
      <c r="J2566" s="41" t="n">
        <v>2025</v>
      </c>
      <c r="K2566" s="41" t="inlineStr">
        <is>
          <t>EUR</t>
        </is>
      </c>
      <c r="L2566" s="42" t="n">
        <v>13680</v>
      </c>
    </row>
    <row r="2567">
      <c r="B2567" s="39" t="inlineStr">
        <is>
          <t>PIGIER_BOR</t>
        </is>
      </c>
      <c r="C2567" s="40" t="inlineStr">
        <is>
          <t>BAC_RH</t>
        </is>
      </c>
      <c r="D2567" s="40" t="inlineStr">
        <is>
          <t>B1</t>
        </is>
      </c>
      <c r="E2567" s="40" t="inlineStr">
        <is>
          <t>ALT</t>
        </is>
      </c>
      <c r="F2567" s="40" t="inlineStr">
        <is>
          <t>623000</t>
        </is>
      </c>
      <c r="G2567" s="39" t="inlineStr">
        <is>
          <t>Publicité &amp; marketing (acquisition)</t>
        </is>
      </c>
      <c r="H2567" s="40" t="inlineStr">
        <is>
          <t>COMPTABLE</t>
        </is>
      </c>
      <c r="I2567" s="41" t="inlineStr">
        <is>
          <t>2023ACT_VDEF</t>
        </is>
      </c>
      <c r="J2567" s="41" t="n">
        <v>2023</v>
      </c>
      <c r="K2567" s="41" t="inlineStr">
        <is>
          <t>EUR</t>
        </is>
      </c>
      <c r="L2567" s="42" t="n">
        <v>10368</v>
      </c>
    </row>
    <row r="2568">
      <c r="B2568" s="39" t="inlineStr">
        <is>
          <t>PIGIER_BOR</t>
        </is>
      </c>
      <c r="C2568" s="40" t="inlineStr">
        <is>
          <t>BAC_RH</t>
        </is>
      </c>
      <c r="D2568" s="40" t="inlineStr">
        <is>
          <t>B1</t>
        </is>
      </c>
      <c r="E2568" s="40" t="inlineStr">
        <is>
          <t>ALT</t>
        </is>
      </c>
      <c r="F2568" s="40" t="inlineStr">
        <is>
          <t>623000</t>
        </is>
      </c>
      <c r="G2568" s="39" t="inlineStr">
        <is>
          <t>Publicité &amp; marketing (acquisition)</t>
        </is>
      </c>
      <c r="H2568" s="40" t="inlineStr">
        <is>
          <t>COMPTABLE</t>
        </is>
      </c>
      <c r="I2568" s="41" t="inlineStr">
        <is>
          <t>2024ACT_VDEF</t>
        </is>
      </c>
      <c r="J2568" s="41" t="n">
        <v>2024</v>
      </c>
      <c r="K2568" s="41" t="inlineStr">
        <is>
          <t>EUR</t>
        </is>
      </c>
      <c r="L2568" s="42" t="n">
        <v>10944</v>
      </c>
    </row>
    <row r="2569">
      <c r="B2569" s="39" t="inlineStr">
        <is>
          <t>PIGIER_BOR</t>
        </is>
      </c>
      <c r="C2569" s="40" t="inlineStr">
        <is>
          <t>BAC_RH</t>
        </is>
      </c>
      <c r="D2569" s="40" t="inlineStr">
        <is>
          <t>B1</t>
        </is>
      </c>
      <c r="E2569" s="40" t="inlineStr">
        <is>
          <t>ALT</t>
        </is>
      </c>
      <c r="F2569" s="40" t="inlineStr">
        <is>
          <t>623000</t>
        </is>
      </c>
      <c r="G2569" s="39" t="inlineStr">
        <is>
          <t>Publicité &amp; marketing (acquisition)</t>
        </is>
      </c>
      <c r="H2569" s="40" t="inlineStr">
        <is>
          <t>COMPTABLE</t>
        </is>
      </c>
      <c r="I2569" s="41" t="inlineStr">
        <is>
          <t>2025FCST_V4</t>
        </is>
      </c>
      <c r="J2569" s="41" t="n">
        <v>2025</v>
      </c>
      <c r="K2569" s="41" t="inlineStr">
        <is>
          <t>EUR</t>
        </is>
      </c>
      <c r="L2569" s="42" t="n">
        <v>11520</v>
      </c>
    </row>
    <row r="2570">
      <c r="B2570" s="39" t="inlineStr">
        <is>
          <t>PIGIER_BOR</t>
        </is>
      </c>
      <c r="C2570" s="40" t="inlineStr">
        <is>
          <t>BAC_RH</t>
        </is>
      </c>
      <c r="D2570" s="40" t="inlineStr">
        <is>
          <t>B1</t>
        </is>
      </c>
      <c r="E2570" s="40" t="inlineStr">
        <is>
          <t>ALT</t>
        </is>
      </c>
      <c r="F2570" s="40" t="inlineStr">
        <is>
          <t>613200</t>
        </is>
      </c>
      <c r="G2570" s="39" t="inlineStr">
        <is>
          <t>Locations immobilières (loyers)</t>
        </is>
      </c>
      <c r="H2570" s="40" t="inlineStr">
        <is>
          <t>COMPTABLE</t>
        </is>
      </c>
      <c r="I2570" s="41" t="inlineStr">
        <is>
          <t>2023ACT_VDEF</t>
        </is>
      </c>
      <c r="J2570" s="41" t="n">
        <v>2023</v>
      </c>
      <c r="K2570" s="41" t="inlineStr">
        <is>
          <t>EUR</t>
        </is>
      </c>
      <c r="L2570" s="42" t="n">
        <v>35280</v>
      </c>
    </row>
    <row r="2571">
      <c r="B2571" s="39" t="inlineStr">
        <is>
          <t>PIGIER_BOR</t>
        </is>
      </c>
      <c r="C2571" s="40" t="inlineStr">
        <is>
          <t>BAC_RH</t>
        </is>
      </c>
      <c r="D2571" s="40" t="inlineStr">
        <is>
          <t>B1</t>
        </is>
      </c>
      <c r="E2571" s="40" t="inlineStr">
        <is>
          <t>ALT</t>
        </is>
      </c>
      <c r="F2571" s="40" t="inlineStr">
        <is>
          <t>613200</t>
        </is>
      </c>
      <c r="G2571" s="39" t="inlineStr">
        <is>
          <t>Locations immobilières (loyers)</t>
        </is>
      </c>
      <c r="H2571" s="40" t="inlineStr">
        <is>
          <t>COMPTABLE</t>
        </is>
      </c>
      <c r="I2571" s="41" t="inlineStr">
        <is>
          <t>2024ACT_VDEF</t>
        </is>
      </c>
      <c r="J2571" s="41" t="n">
        <v>2024</v>
      </c>
      <c r="K2571" s="41" t="inlineStr">
        <is>
          <t>EUR</t>
        </is>
      </c>
      <c r="L2571" s="42" t="n">
        <v>37240</v>
      </c>
    </row>
    <row r="2572">
      <c r="B2572" s="39" t="inlineStr">
        <is>
          <t>PIGIER_BOR</t>
        </is>
      </c>
      <c r="C2572" s="40" t="inlineStr">
        <is>
          <t>BAC_RH</t>
        </is>
      </c>
      <c r="D2572" s="40" t="inlineStr">
        <is>
          <t>B1</t>
        </is>
      </c>
      <c r="E2572" s="40" t="inlineStr">
        <is>
          <t>ALT</t>
        </is>
      </c>
      <c r="F2572" s="40" t="inlineStr">
        <is>
          <t>613200</t>
        </is>
      </c>
      <c r="G2572" s="39" t="inlineStr">
        <is>
          <t>Locations immobilières (loyers)</t>
        </is>
      </c>
      <c r="H2572" s="40" t="inlineStr">
        <is>
          <t>COMPTABLE</t>
        </is>
      </c>
      <c r="I2572" s="41" t="inlineStr">
        <is>
          <t>2025FCST_V4</t>
        </is>
      </c>
      <c r="J2572" s="41" t="n">
        <v>2025</v>
      </c>
      <c r="K2572" s="41" t="inlineStr">
        <is>
          <t>EUR</t>
        </is>
      </c>
      <c r="L2572" s="42" t="n">
        <v>39200</v>
      </c>
    </row>
    <row r="2573">
      <c r="B2573" s="39" t="inlineStr">
        <is>
          <t>PIGIER_BOR</t>
        </is>
      </c>
      <c r="C2573" s="40" t="inlineStr">
        <is>
          <t>BAC_RH</t>
        </is>
      </c>
      <c r="D2573" s="40" t="inlineStr">
        <is>
          <t>B1</t>
        </is>
      </c>
      <c r="E2573" s="40" t="inlineStr">
        <is>
          <t>ALT</t>
        </is>
      </c>
      <c r="F2573" s="40" t="inlineStr">
        <is>
          <t>641100</t>
        </is>
      </c>
      <c r="G2573" s="39" t="inlineStr">
        <is>
          <t>Rémunérations du personnel permanent</t>
        </is>
      </c>
      <c r="H2573" s="40" t="inlineStr">
        <is>
          <t>COMPTABLE</t>
        </is>
      </c>
      <c r="I2573" s="41" t="inlineStr">
        <is>
          <t>2023ACT_VDEF</t>
        </is>
      </c>
      <c r="J2573" s="41" t="n">
        <v>2023</v>
      </c>
      <c r="K2573" s="41" t="inlineStr">
        <is>
          <t>EUR</t>
        </is>
      </c>
      <c r="L2573" s="42" t="n">
        <v>104400</v>
      </c>
    </row>
    <row r="2574">
      <c r="B2574" s="39" t="inlineStr">
        <is>
          <t>PIGIER_BOR</t>
        </is>
      </c>
      <c r="C2574" s="40" t="inlineStr">
        <is>
          <t>BAC_RH</t>
        </is>
      </c>
      <c r="D2574" s="40" t="inlineStr">
        <is>
          <t>B1</t>
        </is>
      </c>
      <c r="E2574" s="40" t="inlineStr">
        <is>
          <t>ALT</t>
        </is>
      </c>
      <c r="F2574" s="40" t="inlineStr">
        <is>
          <t>641100</t>
        </is>
      </c>
      <c r="G2574" s="39" t="inlineStr">
        <is>
          <t>Rémunérations du personnel permanent</t>
        </is>
      </c>
      <c r="H2574" s="40" t="inlineStr">
        <is>
          <t>COMPTABLE</t>
        </is>
      </c>
      <c r="I2574" s="41" t="inlineStr">
        <is>
          <t>2024ACT_VDEF</t>
        </is>
      </c>
      <c r="J2574" s="41" t="n">
        <v>2024</v>
      </c>
      <c r="K2574" s="41" t="inlineStr">
        <is>
          <t>EUR</t>
        </is>
      </c>
      <c r="L2574" s="42" t="n">
        <v>110200</v>
      </c>
    </row>
    <row r="2575">
      <c r="B2575" s="39" t="inlineStr">
        <is>
          <t>PIGIER_BOR</t>
        </is>
      </c>
      <c r="C2575" s="40" t="inlineStr">
        <is>
          <t>BAC_RH</t>
        </is>
      </c>
      <c r="D2575" s="40" t="inlineStr">
        <is>
          <t>B1</t>
        </is>
      </c>
      <c r="E2575" s="40" t="inlineStr">
        <is>
          <t>ALT</t>
        </is>
      </c>
      <c r="F2575" s="40" t="inlineStr">
        <is>
          <t>641100</t>
        </is>
      </c>
      <c r="G2575" s="39" t="inlineStr">
        <is>
          <t>Rémunérations du personnel permanent</t>
        </is>
      </c>
      <c r="H2575" s="40" t="inlineStr">
        <is>
          <t>COMPTABLE</t>
        </is>
      </c>
      <c r="I2575" s="41" t="inlineStr">
        <is>
          <t>2025FCST_V4</t>
        </is>
      </c>
      <c r="J2575" s="41" t="n">
        <v>2025</v>
      </c>
      <c r="K2575" s="41" t="inlineStr">
        <is>
          <t>EUR</t>
        </is>
      </c>
      <c r="L2575" s="42" t="n">
        <v>116000</v>
      </c>
    </row>
    <row r="2576">
      <c r="B2576" s="39" t="inlineStr">
        <is>
          <t>PIGIER_BOR</t>
        </is>
      </c>
      <c r="C2576" s="40" t="inlineStr">
        <is>
          <t>BAC_RH</t>
        </is>
      </c>
      <c r="D2576" s="40" t="inlineStr">
        <is>
          <t>B1</t>
        </is>
      </c>
      <c r="E2576" s="40" t="inlineStr">
        <is>
          <t>ALT</t>
        </is>
      </c>
      <c r="F2576" s="40" t="inlineStr">
        <is>
          <t>622600</t>
        </is>
      </c>
      <c r="G2576" s="39" t="inlineStr">
        <is>
          <t>Honoraires &amp; frais de siège (structure groupe)</t>
        </is>
      </c>
      <c r="H2576" s="40" t="inlineStr">
        <is>
          <t>COMPTABLE</t>
        </is>
      </c>
      <c r="I2576" s="41" t="inlineStr">
        <is>
          <t>2023ACT_VDEF</t>
        </is>
      </c>
      <c r="J2576" s="41" t="n">
        <v>2023</v>
      </c>
      <c r="K2576" s="41" t="inlineStr">
        <is>
          <t>EUR</t>
        </is>
      </c>
      <c r="L2576" s="42" t="n">
        <v>31980</v>
      </c>
    </row>
    <row r="2577">
      <c r="B2577" s="39" t="inlineStr">
        <is>
          <t>PIGIER_BOR</t>
        </is>
      </c>
      <c r="C2577" s="40" t="inlineStr">
        <is>
          <t>BAC_RH</t>
        </is>
      </c>
      <c r="D2577" s="40" t="inlineStr">
        <is>
          <t>B1</t>
        </is>
      </c>
      <c r="E2577" s="40" t="inlineStr">
        <is>
          <t>ALT</t>
        </is>
      </c>
      <c r="F2577" s="40" t="inlineStr">
        <is>
          <t>622600</t>
        </is>
      </c>
      <c r="G2577" s="39" t="inlineStr">
        <is>
          <t>Honoraires &amp; frais de siège (structure groupe)</t>
        </is>
      </c>
      <c r="H2577" s="40" t="inlineStr">
        <is>
          <t>COMPTABLE</t>
        </is>
      </c>
      <c r="I2577" s="41" t="inlineStr">
        <is>
          <t>2024ACT_VDEF</t>
        </is>
      </c>
      <c r="J2577" s="41" t="n">
        <v>2024</v>
      </c>
      <c r="K2577" s="41" t="inlineStr">
        <is>
          <t>EUR</t>
        </is>
      </c>
      <c r="L2577" s="42" t="n">
        <v>33756</v>
      </c>
    </row>
    <row r="2578">
      <c r="B2578" s="39" t="inlineStr">
        <is>
          <t>PIGIER_BOR</t>
        </is>
      </c>
      <c r="C2578" s="40" t="inlineStr">
        <is>
          <t>BAC_RH</t>
        </is>
      </c>
      <c r="D2578" s="40" t="inlineStr">
        <is>
          <t>B1</t>
        </is>
      </c>
      <c r="E2578" s="40" t="inlineStr">
        <is>
          <t>ALT</t>
        </is>
      </c>
      <c r="F2578" s="40" t="inlineStr">
        <is>
          <t>622600</t>
        </is>
      </c>
      <c r="G2578" s="39" t="inlineStr">
        <is>
          <t>Honoraires &amp; frais de siège (structure groupe)</t>
        </is>
      </c>
      <c r="H2578" s="40" t="inlineStr">
        <is>
          <t>COMPTABLE</t>
        </is>
      </c>
      <c r="I2578" s="41" t="inlineStr">
        <is>
          <t>2025FCST_V4</t>
        </is>
      </c>
      <c r="J2578" s="41" t="n">
        <v>2025</v>
      </c>
      <c r="K2578" s="41" t="inlineStr">
        <is>
          <t>EUR</t>
        </is>
      </c>
      <c r="L2578" s="42" t="n">
        <v>35533</v>
      </c>
    </row>
    <row r="2579">
      <c r="B2579" s="39" t="inlineStr">
        <is>
          <t>PIGIER_BOR</t>
        </is>
      </c>
      <c r="C2579" s="40" t="inlineStr">
        <is>
          <t>BAC_RH</t>
        </is>
      </c>
      <c r="D2579" s="40" t="inlineStr">
        <is>
          <t>B1</t>
        </is>
      </c>
      <c r="E2579" s="40" t="inlineStr">
        <is>
          <t>ALT</t>
        </is>
      </c>
      <c r="F2579" s="40" t="inlineStr">
        <is>
          <t>606800</t>
        </is>
      </c>
      <c r="G2579" s="39" t="inlineStr">
        <is>
          <t>Autres achats &amp; charges externes</t>
        </is>
      </c>
      <c r="H2579" s="40" t="inlineStr">
        <is>
          <t>COMPTABLE</t>
        </is>
      </c>
      <c r="I2579" s="41" t="inlineStr">
        <is>
          <t>2023ACT_VDEF</t>
        </is>
      </c>
      <c r="J2579" s="41" t="n">
        <v>2023</v>
      </c>
      <c r="K2579" s="41" t="inlineStr">
        <is>
          <t>EUR</t>
        </is>
      </c>
      <c r="L2579" s="42" t="n">
        <v>30262</v>
      </c>
    </row>
    <row r="2580">
      <c r="B2580" s="39" t="inlineStr">
        <is>
          <t>PIGIER_BOR</t>
        </is>
      </c>
      <c r="C2580" s="40" t="inlineStr">
        <is>
          <t>BAC_RH</t>
        </is>
      </c>
      <c r="D2580" s="40" t="inlineStr">
        <is>
          <t>B1</t>
        </is>
      </c>
      <c r="E2580" s="40" t="inlineStr">
        <is>
          <t>ALT</t>
        </is>
      </c>
      <c r="F2580" s="40" t="inlineStr">
        <is>
          <t>606800</t>
        </is>
      </c>
      <c r="G2580" s="39" t="inlineStr">
        <is>
          <t>Autres achats &amp; charges externes</t>
        </is>
      </c>
      <c r="H2580" s="40" t="inlineStr">
        <is>
          <t>COMPTABLE</t>
        </is>
      </c>
      <c r="I2580" s="41" t="inlineStr">
        <is>
          <t>2024ACT_VDEF</t>
        </is>
      </c>
      <c r="J2580" s="41" t="n">
        <v>2024</v>
      </c>
      <c r="K2580" s="41" t="inlineStr">
        <is>
          <t>EUR</t>
        </is>
      </c>
      <c r="L2580" s="42" t="n">
        <v>31943</v>
      </c>
    </row>
    <row r="2581">
      <c r="B2581" s="39" t="inlineStr">
        <is>
          <t>PIGIER_BOR</t>
        </is>
      </c>
      <c r="C2581" s="40" t="inlineStr">
        <is>
          <t>BAC_RH</t>
        </is>
      </c>
      <c r="D2581" s="40" t="inlineStr">
        <is>
          <t>B1</t>
        </is>
      </c>
      <c r="E2581" s="40" t="inlineStr">
        <is>
          <t>ALT</t>
        </is>
      </c>
      <c r="F2581" s="40" t="inlineStr">
        <is>
          <t>606800</t>
        </is>
      </c>
      <c r="G2581" s="39" t="inlineStr">
        <is>
          <t>Autres achats &amp; charges externes</t>
        </is>
      </c>
      <c r="H2581" s="40" t="inlineStr">
        <is>
          <t>COMPTABLE</t>
        </is>
      </c>
      <c r="I2581" s="41" t="inlineStr">
        <is>
          <t>2025FCST_V4</t>
        </is>
      </c>
      <c r="J2581" s="41" t="n">
        <v>2025</v>
      </c>
      <c r="K2581" s="41" t="inlineStr">
        <is>
          <t>EUR</t>
        </is>
      </c>
      <c r="L2581" s="42" t="n">
        <v>33624</v>
      </c>
    </row>
    <row r="2582">
      <c r="B2582" s="39" t="inlineStr">
        <is>
          <t>PIGIER_BOR</t>
        </is>
      </c>
      <c r="C2582" s="40" t="inlineStr">
        <is>
          <t>BAC_RH</t>
        </is>
      </c>
      <c r="D2582" s="40" t="inlineStr">
        <is>
          <t>B1</t>
        </is>
      </c>
      <c r="E2582" s="40" t="inlineStr">
        <is>
          <t>ALT</t>
        </is>
      </c>
      <c r="F2582" s="40" t="inlineStr">
        <is>
          <t>681100</t>
        </is>
      </c>
      <c r="G2582" s="39" t="inlineStr">
        <is>
          <t>Dotations aux amortissements</t>
        </is>
      </c>
      <c r="H2582" s="40" t="inlineStr">
        <is>
          <t>COMPTABLE</t>
        </is>
      </c>
      <c r="I2582" s="41" t="inlineStr">
        <is>
          <t>2023ACT_VDEF</t>
        </is>
      </c>
      <c r="J2582" s="41" t="n">
        <v>2023</v>
      </c>
      <c r="K2582" s="41" t="inlineStr">
        <is>
          <t>EUR</t>
        </is>
      </c>
      <c r="L2582" s="42" t="n">
        <v>19080</v>
      </c>
    </row>
    <row r="2583">
      <c r="B2583" s="39" t="inlineStr">
        <is>
          <t>PIGIER_BOR</t>
        </is>
      </c>
      <c r="C2583" s="40" t="inlineStr">
        <is>
          <t>BAC_RH</t>
        </is>
      </c>
      <c r="D2583" s="40" t="inlineStr">
        <is>
          <t>B1</t>
        </is>
      </c>
      <c r="E2583" s="40" t="inlineStr">
        <is>
          <t>ALT</t>
        </is>
      </c>
      <c r="F2583" s="40" t="inlineStr">
        <is>
          <t>681100</t>
        </is>
      </c>
      <c r="G2583" s="39" t="inlineStr">
        <is>
          <t>Dotations aux amortissements</t>
        </is>
      </c>
      <c r="H2583" s="40" t="inlineStr">
        <is>
          <t>COMPTABLE</t>
        </is>
      </c>
      <c r="I2583" s="41" t="inlineStr">
        <is>
          <t>2024ACT_VDEF</t>
        </is>
      </c>
      <c r="J2583" s="41" t="n">
        <v>2024</v>
      </c>
      <c r="K2583" s="41" t="inlineStr">
        <is>
          <t>EUR</t>
        </is>
      </c>
      <c r="L2583" s="42" t="n">
        <v>20140</v>
      </c>
    </row>
    <row r="2584">
      <c r="B2584" s="39" t="inlineStr">
        <is>
          <t>PIGIER_BOR</t>
        </is>
      </c>
      <c r="C2584" s="40" t="inlineStr">
        <is>
          <t>BAC_RH</t>
        </is>
      </c>
      <c r="D2584" s="40" t="inlineStr">
        <is>
          <t>B1</t>
        </is>
      </c>
      <c r="E2584" s="40" t="inlineStr">
        <is>
          <t>ALT</t>
        </is>
      </c>
      <c r="F2584" s="40" t="inlineStr">
        <is>
          <t>681100</t>
        </is>
      </c>
      <c r="G2584" s="39" t="inlineStr">
        <is>
          <t>Dotations aux amortissements</t>
        </is>
      </c>
      <c r="H2584" s="40" t="inlineStr">
        <is>
          <t>COMPTABLE</t>
        </is>
      </c>
      <c r="I2584" s="41" t="inlineStr">
        <is>
          <t>2025FCST_V4</t>
        </is>
      </c>
      <c r="J2584" s="41" t="n">
        <v>2025</v>
      </c>
      <c r="K2584" s="41" t="inlineStr">
        <is>
          <t>EUR</t>
        </is>
      </c>
      <c r="L2584" s="42" t="n">
        <v>21200</v>
      </c>
    </row>
    <row r="2585">
      <c r="B2585" s="39" t="inlineStr">
        <is>
          <t>PIGIER_BOR</t>
        </is>
      </c>
      <c r="C2585" s="40" t="inlineStr">
        <is>
          <t>BAC_RH</t>
        </is>
      </c>
      <c r="D2585" s="40" t="inlineStr">
        <is>
          <t>B1</t>
        </is>
      </c>
      <c r="E2585" s="40" t="inlineStr">
        <is>
          <t>ALT</t>
        </is>
      </c>
      <c r="F2585" s="40" t="inlineStr">
        <is>
          <t>STA_EFF</t>
        </is>
      </c>
      <c r="G2585" s="39" t="inlineStr">
        <is>
          <t>Effectif inscrit</t>
        </is>
      </c>
      <c r="H2585" s="40" t="inlineStr">
        <is>
          <t>TECHNIQUE</t>
        </is>
      </c>
      <c r="I2585" s="41" t="inlineStr">
        <is>
          <t>2023ACT_VDEF</t>
        </is>
      </c>
      <c r="J2585" s="41" t="n">
        <v>2023</v>
      </c>
      <c r="K2585" s="41" t="inlineStr">
        <is>
          <t>NB</t>
        </is>
      </c>
      <c r="L2585" s="43" t="n">
        <v>32</v>
      </c>
    </row>
    <row r="2586">
      <c r="B2586" s="39" t="inlineStr">
        <is>
          <t>PIGIER_BOR</t>
        </is>
      </c>
      <c r="C2586" s="40" t="inlineStr">
        <is>
          <t>BAC_RH</t>
        </is>
      </c>
      <c r="D2586" s="40" t="inlineStr">
        <is>
          <t>B1</t>
        </is>
      </c>
      <c r="E2586" s="40" t="inlineStr">
        <is>
          <t>ALT</t>
        </is>
      </c>
      <c r="F2586" s="40" t="inlineStr">
        <is>
          <t>STA_EFF</t>
        </is>
      </c>
      <c r="G2586" s="39" t="inlineStr">
        <is>
          <t>Effectif inscrit</t>
        </is>
      </c>
      <c r="H2586" s="40" t="inlineStr">
        <is>
          <t>TECHNIQUE</t>
        </is>
      </c>
      <c r="I2586" s="41" t="inlineStr">
        <is>
          <t>2024ACT_VDEF</t>
        </is>
      </c>
      <c r="J2586" s="41" t="n">
        <v>2024</v>
      </c>
      <c r="K2586" s="41" t="inlineStr">
        <is>
          <t>NB</t>
        </is>
      </c>
      <c r="L2586" s="43" t="n">
        <v>34</v>
      </c>
    </row>
    <row r="2587">
      <c r="B2587" s="39" t="inlineStr">
        <is>
          <t>PIGIER_BOR</t>
        </is>
      </c>
      <c r="C2587" s="40" t="inlineStr">
        <is>
          <t>BAC_RH</t>
        </is>
      </c>
      <c r="D2587" s="40" t="inlineStr">
        <is>
          <t>B1</t>
        </is>
      </c>
      <c r="E2587" s="40" t="inlineStr">
        <is>
          <t>ALT</t>
        </is>
      </c>
      <c r="F2587" s="40" t="inlineStr">
        <is>
          <t>STA_EFF</t>
        </is>
      </c>
      <c r="G2587" s="39" t="inlineStr">
        <is>
          <t>Effectif inscrit</t>
        </is>
      </c>
      <c r="H2587" s="40" t="inlineStr">
        <is>
          <t>TECHNIQUE</t>
        </is>
      </c>
      <c r="I2587" s="41" t="inlineStr">
        <is>
          <t>2025FCST_V4</t>
        </is>
      </c>
      <c r="J2587" s="41" t="n">
        <v>2025</v>
      </c>
      <c r="K2587" s="41" t="inlineStr">
        <is>
          <t>NB</t>
        </is>
      </c>
      <c r="L2587" s="43" t="n">
        <v>36</v>
      </c>
    </row>
    <row r="2588">
      <c r="B2588" s="39" t="inlineStr">
        <is>
          <t>PIGIER_BOR</t>
        </is>
      </c>
      <c r="C2588" s="40" t="inlineStr">
        <is>
          <t>BAC_RH</t>
        </is>
      </c>
      <c r="D2588" s="40" t="inlineStr">
        <is>
          <t>B1</t>
        </is>
      </c>
      <c r="E2588" s="40" t="inlineStr">
        <is>
          <t>ALT</t>
        </is>
      </c>
      <c r="F2588" s="40" t="inlineStr">
        <is>
          <t>STA_CAND</t>
        </is>
      </c>
      <c r="G2588" s="39" t="inlineStr">
        <is>
          <t>Candidatures reçues</t>
        </is>
      </c>
      <c r="H2588" s="40" t="inlineStr">
        <is>
          <t>TECHNIQUE</t>
        </is>
      </c>
      <c r="I2588" s="41" t="inlineStr">
        <is>
          <t>2023ACT_VDEF</t>
        </is>
      </c>
      <c r="J2588" s="41" t="n">
        <v>2023</v>
      </c>
      <c r="K2588" s="41" t="inlineStr">
        <is>
          <t>NB</t>
        </is>
      </c>
      <c r="L2588" s="43" t="n">
        <v>87</v>
      </c>
    </row>
    <row r="2589">
      <c r="B2589" s="39" t="inlineStr">
        <is>
          <t>PIGIER_BOR</t>
        </is>
      </c>
      <c r="C2589" s="40" t="inlineStr">
        <is>
          <t>BAC_RH</t>
        </is>
      </c>
      <c r="D2589" s="40" t="inlineStr">
        <is>
          <t>B1</t>
        </is>
      </c>
      <c r="E2589" s="40" t="inlineStr">
        <is>
          <t>ALT</t>
        </is>
      </c>
      <c r="F2589" s="40" t="inlineStr">
        <is>
          <t>STA_CAND</t>
        </is>
      </c>
      <c r="G2589" s="39" t="inlineStr">
        <is>
          <t>Candidatures reçues</t>
        </is>
      </c>
      <c r="H2589" s="40" t="inlineStr">
        <is>
          <t>TECHNIQUE</t>
        </is>
      </c>
      <c r="I2589" s="41" t="inlineStr">
        <is>
          <t>2024ACT_VDEF</t>
        </is>
      </c>
      <c r="J2589" s="41" t="n">
        <v>2024</v>
      </c>
      <c r="K2589" s="41" t="inlineStr">
        <is>
          <t>NB</t>
        </is>
      </c>
      <c r="L2589" s="43" t="n">
        <v>92</v>
      </c>
    </row>
    <row r="2590">
      <c r="B2590" s="39" t="inlineStr">
        <is>
          <t>PIGIER_BOR</t>
        </is>
      </c>
      <c r="C2590" s="40" t="inlineStr">
        <is>
          <t>BAC_RH</t>
        </is>
      </c>
      <c r="D2590" s="40" t="inlineStr">
        <is>
          <t>B1</t>
        </is>
      </c>
      <c r="E2590" s="40" t="inlineStr">
        <is>
          <t>ALT</t>
        </is>
      </c>
      <c r="F2590" s="40" t="inlineStr">
        <is>
          <t>STA_CAND</t>
        </is>
      </c>
      <c r="G2590" s="39" t="inlineStr">
        <is>
          <t>Candidatures reçues</t>
        </is>
      </c>
      <c r="H2590" s="40" t="inlineStr">
        <is>
          <t>TECHNIQUE</t>
        </is>
      </c>
      <c r="I2590" s="41" t="inlineStr">
        <is>
          <t>2025FCST_V4</t>
        </is>
      </c>
      <c r="J2590" s="41" t="n">
        <v>2025</v>
      </c>
      <c r="K2590" s="41" t="inlineStr">
        <is>
          <t>NB</t>
        </is>
      </c>
      <c r="L2590" s="43" t="n">
        <v>97</v>
      </c>
    </row>
    <row r="2591">
      <c r="B2591" s="39" t="inlineStr">
        <is>
          <t>PIGIER_BOR</t>
        </is>
      </c>
      <c r="C2591" s="40" t="inlineStr">
        <is>
          <t>BAC_RH</t>
        </is>
      </c>
      <c r="D2591" s="40" t="inlineStr">
        <is>
          <t>B1</t>
        </is>
      </c>
      <c r="E2591" s="40" t="inlineStr">
        <is>
          <t>ALT</t>
        </is>
      </c>
      <c r="F2591" s="40" t="inlineStr">
        <is>
          <t>STA_ADMIS</t>
        </is>
      </c>
      <c r="G2591" s="39" t="inlineStr">
        <is>
          <t>Candidats admis</t>
        </is>
      </c>
      <c r="H2591" s="40" t="inlineStr">
        <is>
          <t>TECHNIQUE</t>
        </is>
      </c>
      <c r="I2591" s="41" t="inlineStr">
        <is>
          <t>2023ACT_VDEF</t>
        </is>
      </c>
      <c r="J2591" s="41" t="n">
        <v>2023</v>
      </c>
      <c r="K2591" s="41" t="inlineStr">
        <is>
          <t>NB</t>
        </is>
      </c>
      <c r="L2591" s="43" t="n">
        <v>54</v>
      </c>
    </row>
    <row r="2592">
      <c r="B2592" s="39" t="inlineStr">
        <is>
          <t>PIGIER_BOR</t>
        </is>
      </c>
      <c r="C2592" s="40" t="inlineStr">
        <is>
          <t>BAC_RH</t>
        </is>
      </c>
      <c r="D2592" s="40" t="inlineStr">
        <is>
          <t>B1</t>
        </is>
      </c>
      <c r="E2592" s="40" t="inlineStr">
        <is>
          <t>ALT</t>
        </is>
      </c>
      <c r="F2592" s="40" t="inlineStr">
        <is>
          <t>STA_ADMIS</t>
        </is>
      </c>
      <c r="G2592" s="39" t="inlineStr">
        <is>
          <t>Candidats admis</t>
        </is>
      </c>
      <c r="H2592" s="40" t="inlineStr">
        <is>
          <t>TECHNIQUE</t>
        </is>
      </c>
      <c r="I2592" s="41" t="inlineStr">
        <is>
          <t>2024ACT_VDEF</t>
        </is>
      </c>
      <c r="J2592" s="41" t="n">
        <v>2024</v>
      </c>
      <c r="K2592" s="41" t="inlineStr">
        <is>
          <t>NB</t>
        </is>
      </c>
      <c r="L2592" s="43" t="n">
        <v>57</v>
      </c>
    </row>
    <row r="2593">
      <c r="B2593" s="39" t="inlineStr">
        <is>
          <t>PIGIER_BOR</t>
        </is>
      </c>
      <c r="C2593" s="40" t="inlineStr">
        <is>
          <t>BAC_RH</t>
        </is>
      </c>
      <c r="D2593" s="40" t="inlineStr">
        <is>
          <t>B1</t>
        </is>
      </c>
      <c r="E2593" s="40" t="inlineStr">
        <is>
          <t>ALT</t>
        </is>
      </c>
      <c r="F2593" s="40" t="inlineStr">
        <is>
          <t>STA_ADMIS</t>
        </is>
      </c>
      <c r="G2593" s="39" t="inlineStr">
        <is>
          <t>Candidats admis</t>
        </is>
      </c>
      <c r="H2593" s="40" t="inlineStr">
        <is>
          <t>TECHNIQUE</t>
        </is>
      </c>
      <c r="I2593" s="41" t="inlineStr">
        <is>
          <t>2025FCST_V4</t>
        </is>
      </c>
      <c r="J2593" s="41" t="n">
        <v>2025</v>
      </c>
      <c r="K2593" s="41" t="inlineStr">
        <is>
          <t>NB</t>
        </is>
      </c>
      <c r="L2593" s="43" t="n">
        <v>60</v>
      </c>
    </row>
    <row r="2594">
      <c r="B2594" s="39" t="inlineStr">
        <is>
          <t>PIGIER_BOR</t>
        </is>
      </c>
      <c r="C2594" s="40" t="inlineStr">
        <is>
          <t>BAC_RH</t>
        </is>
      </c>
      <c r="D2594" s="40" t="inlineStr">
        <is>
          <t>B1</t>
        </is>
      </c>
      <c r="E2594" s="40" t="inlineStr">
        <is>
          <t>ALT</t>
        </is>
      </c>
      <c r="F2594" s="40" t="inlineStr">
        <is>
          <t>STA_NOUV</t>
        </is>
      </c>
      <c r="G2594" s="39" t="inlineStr">
        <is>
          <t>Nouveaux inscrits</t>
        </is>
      </c>
      <c r="H2594" s="40" t="inlineStr">
        <is>
          <t>TECHNIQUE</t>
        </is>
      </c>
      <c r="I2594" s="41" t="inlineStr">
        <is>
          <t>2023ACT_VDEF</t>
        </is>
      </c>
      <c r="J2594" s="41" t="n">
        <v>2023</v>
      </c>
      <c r="K2594" s="41" t="inlineStr">
        <is>
          <t>NB</t>
        </is>
      </c>
      <c r="L2594" s="43" t="n">
        <v>32</v>
      </c>
    </row>
    <row r="2595">
      <c r="B2595" s="39" t="inlineStr">
        <is>
          <t>PIGIER_BOR</t>
        </is>
      </c>
      <c r="C2595" s="40" t="inlineStr">
        <is>
          <t>BAC_RH</t>
        </is>
      </c>
      <c r="D2595" s="40" t="inlineStr">
        <is>
          <t>B1</t>
        </is>
      </c>
      <c r="E2595" s="40" t="inlineStr">
        <is>
          <t>ALT</t>
        </is>
      </c>
      <c r="F2595" s="40" t="inlineStr">
        <is>
          <t>STA_NOUV</t>
        </is>
      </c>
      <c r="G2595" s="39" t="inlineStr">
        <is>
          <t>Nouveaux inscrits</t>
        </is>
      </c>
      <c r="H2595" s="40" t="inlineStr">
        <is>
          <t>TECHNIQUE</t>
        </is>
      </c>
      <c r="I2595" s="41" t="inlineStr">
        <is>
          <t>2024ACT_VDEF</t>
        </is>
      </c>
      <c r="J2595" s="41" t="n">
        <v>2024</v>
      </c>
      <c r="K2595" s="41" t="inlineStr">
        <is>
          <t>NB</t>
        </is>
      </c>
      <c r="L2595" s="43" t="n">
        <v>34</v>
      </c>
    </row>
    <row r="2596">
      <c r="B2596" s="39" t="inlineStr">
        <is>
          <t>PIGIER_BOR</t>
        </is>
      </c>
      <c r="C2596" s="40" t="inlineStr">
        <is>
          <t>BAC_RH</t>
        </is>
      </c>
      <c r="D2596" s="40" t="inlineStr">
        <is>
          <t>B1</t>
        </is>
      </c>
      <c r="E2596" s="40" t="inlineStr">
        <is>
          <t>ALT</t>
        </is>
      </c>
      <c r="F2596" s="40" t="inlineStr">
        <is>
          <t>STA_NOUV</t>
        </is>
      </c>
      <c r="G2596" s="39" t="inlineStr">
        <is>
          <t>Nouveaux inscrits</t>
        </is>
      </c>
      <c r="H2596" s="40" t="inlineStr">
        <is>
          <t>TECHNIQUE</t>
        </is>
      </c>
      <c r="I2596" s="41" t="inlineStr">
        <is>
          <t>2025FCST_V4</t>
        </is>
      </c>
      <c r="J2596" s="41" t="n">
        <v>2025</v>
      </c>
      <c r="K2596" s="41" t="inlineStr">
        <is>
          <t>NB</t>
        </is>
      </c>
      <c r="L2596" s="43" t="n">
        <v>36</v>
      </c>
    </row>
    <row r="2597">
      <c r="B2597" s="39" t="inlineStr">
        <is>
          <t>PIGIER_BOR</t>
        </is>
      </c>
      <c r="C2597" s="40" t="inlineStr">
        <is>
          <t>BAC_RH</t>
        </is>
      </c>
      <c r="D2597" s="40" t="inlineStr">
        <is>
          <t>B1</t>
        </is>
      </c>
      <c r="E2597" s="40" t="inlineStr">
        <is>
          <t>ALT</t>
        </is>
      </c>
      <c r="F2597" s="40" t="inlineStr">
        <is>
          <t>STA_CLASS</t>
        </is>
      </c>
      <c r="G2597" s="39" t="inlineStr">
        <is>
          <t>Nombre de classes</t>
        </is>
      </c>
      <c r="H2597" s="40" t="inlineStr">
        <is>
          <t>TECHNIQUE</t>
        </is>
      </c>
      <c r="I2597" s="41" t="inlineStr">
        <is>
          <t>2023ACT_VDEF</t>
        </is>
      </c>
      <c r="J2597" s="41" t="n">
        <v>2023</v>
      </c>
      <c r="K2597" s="41" t="inlineStr">
        <is>
          <t>NB</t>
        </is>
      </c>
      <c r="L2597" s="43" t="n">
        <v>2</v>
      </c>
    </row>
    <row r="2598">
      <c r="B2598" s="39" t="inlineStr">
        <is>
          <t>PIGIER_BOR</t>
        </is>
      </c>
      <c r="C2598" s="40" t="inlineStr">
        <is>
          <t>BAC_RH</t>
        </is>
      </c>
      <c r="D2598" s="40" t="inlineStr">
        <is>
          <t>B1</t>
        </is>
      </c>
      <c r="E2598" s="40" t="inlineStr">
        <is>
          <t>ALT</t>
        </is>
      </c>
      <c r="F2598" s="40" t="inlineStr">
        <is>
          <t>STA_CLASS</t>
        </is>
      </c>
      <c r="G2598" s="39" t="inlineStr">
        <is>
          <t>Nombre de classes</t>
        </is>
      </c>
      <c r="H2598" s="40" t="inlineStr">
        <is>
          <t>TECHNIQUE</t>
        </is>
      </c>
      <c r="I2598" s="41" t="inlineStr">
        <is>
          <t>2024ACT_VDEF</t>
        </is>
      </c>
      <c r="J2598" s="41" t="n">
        <v>2024</v>
      </c>
      <c r="K2598" s="41" t="inlineStr">
        <is>
          <t>NB</t>
        </is>
      </c>
      <c r="L2598" s="43" t="n">
        <v>2</v>
      </c>
    </row>
    <row r="2599">
      <c r="B2599" s="39" t="inlineStr">
        <is>
          <t>PIGIER_BOR</t>
        </is>
      </c>
      <c r="C2599" s="40" t="inlineStr">
        <is>
          <t>BAC_RH</t>
        </is>
      </c>
      <c r="D2599" s="40" t="inlineStr">
        <is>
          <t>B1</t>
        </is>
      </c>
      <c r="E2599" s="40" t="inlineStr">
        <is>
          <t>ALT</t>
        </is>
      </c>
      <c r="F2599" s="40" t="inlineStr">
        <is>
          <t>STA_CLASS</t>
        </is>
      </c>
      <c r="G2599" s="39" t="inlineStr">
        <is>
          <t>Nombre de classes</t>
        </is>
      </c>
      <c r="H2599" s="40" t="inlineStr">
        <is>
          <t>TECHNIQUE</t>
        </is>
      </c>
      <c r="I2599" s="41" t="inlineStr">
        <is>
          <t>2025FCST_V4</t>
        </is>
      </c>
      <c r="J2599" s="41" t="n">
        <v>2025</v>
      </c>
      <c r="K2599" s="41" t="inlineStr">
        <is>
          <t>NB</t>
        </is>
      </c>
      <c r="L2599" s="43" t="n">
        <v>2</v>
      </c>
    </row>
    <row r="2600">
      <c r="B2600" s="39" t="inlineStr">
        <is>
          <t>PIGIER_BOR</t>
        </is>
      </c>
      <c r="C2600" s="40" t="inlineStr">
        <is>
          <t>BAC_RH</t>
        </is>
      </c>
      <c r="D2600" s="40" t="inlineStr">
        <is>
          <t>B1</t>
        </is>
      </c>
      <c r="E2600" s="40" t="inlineStr">
        <is>
          <t>ALT</t>
        </is>
      </c>
      <c r="F2600" s="40" t="inlineStr">
        <is>
          <t>STA_HEURE</t>
        </is>
      </c>
      <c r="G2600" s="39" t="inlineStr">
        <is>
          <t>Heures d'enseignement</t>
        </is>
      </c>
      <c r="H2600" s="40" t="inlineStr">
        <is>
          <t>TECHNIQUE</t>
        </is>
      </c>
      <c r="I2600" s="41" t="inlineStr">
        <is>
          <t>2023ACT_VDEF</t>
        </is>
      </c>
      <c r="J2600" s="41" t="n">
        <v>2023</v>
      </c>
      <c r="K2600" s="41" t="inlineStr">
        <is>
          <t>NB</t>
        </is>
      </c>
      <c r="L2600" s="43" t="n">
        <v>1080</v>
      </c>
    </row>
    <row r="2601">
      <c r="B2601" s="39" t="inlineStr">
        <is>
          <t>PIGIER_BOR</t>
        </is>
      </c>
      <c r="C2601" s="40" t="inlineStr">
        <is>
          <t>BAC_RH</t>
        </is>
      </c>
      <c r="D2601" s="40" t="inlineStr">
        <is>
          <t>B1</t>
        </is>
      </c>
      <c r="E2601" s="40" t="inlineStr">
        <is>
          <t>ALT</t>
        </is>
      </c>
      <c r="F2601" s="40" t="inlineStr">
        <is>
          <t>STA_HEURE</t>
        </is>
      </c>
      <c r="G2601" s="39" t="inlineStr">
        <is>
          <t>Heures d'enseignement</t>
        </is>
      </c>
      <c r="H2601" s="40" t="inlineStr">
        <is>
          <t>TECHNIQUE</t>
        </is>
      </c>
      <c r="I2601" s="41" t="inlineStr">
        <is>
          <t>2024ACT_VDEF</t>
        </is>
      </c>
      <c r="J2601" s="41" t="n">
        <v>2024</v>
      </c>
      <c r="K2601" s="41" t="inlineStr">
        <is>
          <t>NB</t>
        </is>
      </c>
      <c r="L2601" s="43" t="n">
        <v>1140</v>
      </c>
    </row>
    <row r="2602">
      <c r="B2602" s="39" t="inlineStr">
        <is>
          <t>PIGIER_BOR</t>
        </is>
      </c>
      <c r="C2602" s="40" t="inlineStr">
        <is>
          <t>BAC_RH</t>
        </is>
      </c>
      <c r="D2602" s="40" t="inlineStr">
        <is>
          <t>B1</t>
        </is>
      </c>
      <c r="E2602" s="40" t="inlineStr">
        <is>
          <t>ALT</t>
        </is>
      </c>
      <c r="F2602" s="40" t="inlineStr">
        <is>
          <t>STA_HEURE</t>
        </is>
      </c>
      <c r="G2602" s="39" t="inlineStr">
        <is>
          <t>Heures d'enseignement</t>
        </is>
      </c>
      <c r="H2602" s="40" t="inlineStr">
        <is>
          <t>TECHNIQUE</t>
        </is>
      </c>
      <c r="I2602" s="41" t="inlineStr">
        <is>
          <t>2025FCST_V4</t>
        </is>
      </c>
      <c r="J2602" s="41" t="n">
        <v>2025</v>
      </c>
      <c r="K2602" s="41" t="inlineStr">
        <is>
          <t>NB</t>
        </is>
      </c>
      <c r="L2602" s="43" t="n">
        <v>1200</v>
      </c>
    </row>
    <row r="2603">
      <c r="B2603" s="39" t="inlineStr">
        <is>
          <t>PIGIER_BOR</t>
        </is>
      </c>
      <c r="C2603" s="40" t="inlineStr">
        <is>
          <t>BAC_RH</t>
        </is>
      </c>
      <c r="D2603" s="40" t="inlineStr">
        <is>
          <t>B1</t>
        </is>
      </c>
      <c r="E2603" s="40" t="inlineStr">
        <is>
          <t>ALT</t>
        </is>
      </c>
      <c r="F2603" s="40" t="inlineStr">
        <is>
          <t>STA_CAPA</t>
        </is>
      </c>
      <c r="G2603" s="39" t="inlineStr">
        <is>
          <t>Capacité par classe</t>
        </is>
      </c>
      <c r="H2603" s="40" t="inlineStr">
        <is>
          <t>TECHNIQUE</t>
        </is>
      </c>
      <c r="I2603" s="41" t="inlineStr">
        <is>
          <t>2023ACT_VDEF</t>
        </is>
      </c>
      <c r="J2603" s="41" t="n">
        <v>2023</v>
      </c>
      <c r="K2603" s="41" t="inlineStr">
        <is>
          <t>NB</t>
        </is>
      </c>
      <c r="L2603" s="43" t="n">
        <v>32</v>
      </c>
    </row>
    <row r="2604">
      <c r="B2604" s="39" t="inlineStr">
        <is>
          <t>PIGIER_BOR</t>
        </is>
      </c>
      <c r="C2604" s="40" t="inlineStr">
        <is>
          <t>BAC_RH</t>
        </is>
      </c>
      <c r="D2604" s="40" t="inlineStr">
        <is>
          <t>B1</t>
        </is>
      </c>
      <c r="E2604" s="40" t="inlineStr">
        <is>
          <t>ALT</t>
        </is>
      </c>
      <c r="F2604" s="40" t="inlineStr">
        <is>
          <t>STA_CAPA</t>
        </is>
      </c>
      <c r="G2604" s="39" t="inlineStr">
        <is>
          <t>Capacité par classe</t>
        </is>
      </c>
      <c r="H2604" s="40" t="inlineStr">
        <is>
          <t>TECHNIQUE</t>
        </is>
      </c>
      <c r="I2604" s="41" t="inlineStr">
        <is>
          <t>2024ACT_VDEF</t>
        </is>
      </c>
      <c r="J2604" s="41" t="n">
        <v>2024</v>
      </c>
      <c r="K2604" s="41" t="inlineStr">
        <is>
          <t>NB</t>
        </is>
      </c>
      <c r="L2604" s="43" t="n">
        <v>32</v>
      </c>
    </row>
    <row r="2605">
      <c r="B2605" s="39" t="inlineStr">
        <is>
          <t>PIGIER_BOR</t>
        </is>
      </c>
      <c r="C2605" s="40" t="inlineStr">
        <is>
          <t>BAC_RH</t>
        </is>
      </c>
      <c r="D2605" s="40" t="inlineStr">
        <is>
          <t>B1</t>
        </is>
      </c>
      <c r="E2605" s="40" t="inlineStr">
        <is>
          <t>ALT</t>
        </is>
      </c>
      <c r="F2605" s="40" t="inlineStr">
        <is>
          <t>STA_CAPA</t>
        </is>
      </c>
      <c r="G2605" s="39" t="inlineStr">
        <is>
          <t>Capacité par classe</t>
        </is>
      </c>
      <c r="H2605" s="40" t="inlineStr">
        <is>
          <t>TECHNIQUE</t>
        </is>
      </c>
      <c r="I2605" s="41" t="inlineStr">
        <is>
          <t>2025FCST_V4</t>
        </is>
      </c>
      <c r="J2605" s="41" t="n">
        <v>2025</v>
      </c>
      <c r="K2605" s="41" t="inlineStr">
        <is>
          <t>NB</t>
        </is>
      </c>
      <c r="L2605" s="43" t="n">
        <v>32</v>
      </c>
    </row>
    <row r="2606">
      <c r="B2606" s="39" t="inlineStr">
        <is>
          <t>PIGIER_BOR</t>
        </is>
      </c>
      <c r="C2606" s="40" t="inlineStr">
        <is>
          <t>BAC_RH</t>
        </is>
      </c>
      <c r="D2606" s="40" t="inlineStr">
        <is>
          <t>B1</t>
        </is>
      </c>
      <c r="E2606" s="40" t="inlineStr">
        <is>
          <t>ALT</t>
        </is>
      </c>
      <c r="F2606" s="40" t="inlineStr">
        <is>
          <t>DRV_CONV</t>
        </is>
      </c>
      <c r="G2606" s="39" t="inlineStr">
        <is>
          <t>Taux de conversion candidat→inscrit</t>
        </is>
      </c>
      <c r="H2606" s="40" t="inlineStr">
        <is>
          <t>TECHNIQUE</t>
        </is>
      </c>
      <c r="I2606" s="41" t="inlineStr">
        <is>
          <t>2023ACT_VDEF</t>
        </is>
      </c>
      <c r="J2606" s="41" t="n">
        <v>2023</v>
      </c>
      <c r="K2606" s="41" t="inlineStr">
        <is>
          <t>PCT</t>
        </is>
      </c>
      <c r="L2606" s="44" t="n">
        <v>0.3711</v>
      </c>
    </row>
    <row r="2607">
      <c r="B2607" s="39" t="inlineStr">
        <is>
          <t>PIGIER_BOR</t>
        </is>
      </c>
      <c r="C2607" s="40" t="inlineStr">
        <is>
          <t>BAC_RH</t>
        </is>
      </c>
      <c r="D2607" s="40" t="inlineStr">
        <is>
          <t>B1</t>
        </is>
      </c>
      <c r="E2607" s="40" t="inlineStr">
        <is>
          <t>ALT</t>
        </is>
      </c>
      <c r="F2607" s="40" t="inlineStr">
        <is>
          <t>DRV_CONV</t>
        </is>
      </c>
      <c r="G2607" s="39" t="inlineStr">
        <is>
          <t>Taux de conversion candidat→inscrit</t>
        </is>
      </c>
      <c r="H2607" s="40" t="inlineStr">
        <is>
          <t>TECHNIQUE</t>
        </is>
      </c>
      <c r="I2607" s="41" t="inlineStr">
        <is>
          <t>2024ACT_VDEF</t>
        </is>
      </c>
      <c r="J2607" s="41" t="n">
        <v>2024</v>
      </c>
      <c r="K2607" s="41" t="inlineStr">
        <is>
          <t>PCT</t>
        </is>
      </c>
      <c r="L2607" s="44" t="n">
        <v>0.3711</v>
      </c>
    </row>
    <row r="2608">
      <c r="B2608" s="39" t="inlineStr">
        <is>
          <t>PIGIER_BOR</t>
        </is>
      </c>
      <c r="C2608" s="40" t="inlineStr">
        <is>
          <t>BAC_RH</t>
        </is>
      </c>
      <c r="D2608" s="40" t="inlineStr">
        <is>
          <t>B1</t>
        </is>
      </c>
      <c r="E2608" s="40" t="inlineStr">
        <is>
          <t>ALT</t>
        </is>
      </c>
      <c r="F2608" s="40" t="inlineStr">
        <is>
          <t>DRV_CONV</t>
        </is>
      </c>
      <c r="G2608" s="39" t="inlineStr">
        <is>
          <t>Taux de conversion candidat→inscrit</t>
        </is>
      </c>
      <c r="H2608" s="40" t="inlineStr">
        <is>
          <t>TECHNIQUE</t>
        </is>
      </c>
      <c r="I2608" s="41" t="inlineStr">
        <is>
          <t>2025FCST_V4</t>
        </is>
      </c>
      <c r="J2608" s="41" t="n">
        <v>2025</v>
      </c>
      <c r="K2608" s="41" t="inlineStr">
        <is>
          <t>PCT</t>
        </is>
      </c>
      <c r="L2608" s="44" t="n">
        <v>0.3711</v>
      </c>
    </row>
    <row r="2609">
      <c r="B2609" s="39" t="inlineStr">
        <is>
          <t>PIGIER_BOR</t>
        </is>
      </c>
      <c r="C2609" s="40" t="inlineStr">
        <is>
          <t>BAC_RH</t>
        </is>
      </c>
      <c r="D2609" s="40" t="inlineStr">
        <is>
          <t>B1</t>
        </is>
      </c>
      <c r="E2609" s="40" t="inlineStr">
        <is>
          <t>ALT</t>
        </is>
      </c>
      <c r="F2609" s="40" t="inlineStr">
        <is>
          <t>PRX_TARIF</t>
        </is>
      </c>
      <c r="G2609" s="39" t="inlineStr">
        <is>
          <t>Tarif moyen scolarité</t>
        </is>
      </c>
      <c r="H2609" s="40" t="inlineStr">
        <is>
          <t>TECHNIQUE</t>
        </is>
      </c>
      <c r="I2609" s="41" t="inlineStr">
        <is>
          <t>2023ACT_VDEF</t>
        </is>
      </c>
      <c r="J2609" s="41" t="n">
        <v>2023</v>
      </c>
      <c r="K2609" s="41" t="inlineStr">
        <is>
          <t>EUR</t>
        </is>
      </c>
      <c r="L2609" s="42" t="n">
        <v>8000</v>
      </c>
    </row>
    <row r="2610">
      <c r="B2610" s="39" t="inlineStr">
        <is>
          <t>PIGIER_BOR</t>
        </is>
      </c>
      <c r="C2610" s="40" t="inlineStr">
        <is>
          <t>BAC_RH</t>
        </is>
      </c>
      <c r="D2610" s="40" t="inlineStr">
        <is>
          <t>B1</t>
        </is>
      </c>
      <c r="E2610" s="40" t="inlineStr">
        <is>
          <t>ALT</t>
        </is>
      </c>
      <c r="F2610" s="40" t="inlineStr">
        <is>
          <t>PRX_TARIF</t>
        </is>
      </c>
      <c r="G2610" s="39" t="inlineStr">
        <is>
          <t>Tarif moyen scolarité</t>
        </is>
      </c>
      <c r="H2610" s="40" t="inlineStr">
        <is>
          <t>TECHNIQUE</t>
        </is>
      </c>
      <c r="I2610" s="41" t="inlineStr">
        <is>
          <t>2024ACT_VDEF</t>
        </is>
      </c>
      <c r="J2610" s="41" t="n">
        <v>2024</v>
      </c>
      <c r="K2610" s="41" t="inlineStr">
        <is>
          <t>EUR</t>
        </is>
      </c>
      <c r="L2610" s="42" t="n">
        <v>8000</v>
      </c>
    </row>
    <row r="2611">
      <c r="B2611" s="39" t="inlineStr">
        <is>
          <t>PIGIER_BOR</t>
        </is>
      </c>
      <c r="C2611" s="40" t="inlineStr">
        <is>
          <t>BAC_RH</t>
        </is>
      </c>
      <c r="D2611" s="40" t="inlineStr">
        <is>
          <t>B1</t>
        </is>
      </c>
      <c r="E2611" s="40" t="inlineStr">
        <is>
          <t>ALT</t>
        </is>
      </c>
      <c r="F2611" s="40" t="inlineStr">
        <is>
          <t>PRX_TARIF</t>
        </is>
      </c>
      <c r="G2611" s="39" t="inlineStr">
        <is>
          <t>Tarif moyen scolarité</t>
        </is>
      </c>
      <c r="H2611" s="40" t="inlineStr">
        <is>
          <t>TECHNIQUE</t>
        </is>
      </c>
      <c r="I2611" s="41" t="inlineStr">
        <is>
          <t>2025FCST_V4</t>
        </is>
      </c>
      <c r="J2611" s="41" t="n">
        <v>2025</v>
      </c>
      <c r="K2611" s="41" t="inlineStr">
        <is>
          <t>EUR</t>
        </is>
      </c>
      <c r="L2611" s="42" t="n">
        <v>8000</v>
      </c>
    </row>
    <row r="2612">
      <c r="B2612" s="39" t="inlineStr">
        <is>
          <t>PIGIER_BOR</t>
        </is>
      </c>
      <c r="C2612" s="40" t="inlineStr">
        <is>
          <t>BAC_RH</t>
        </is>
      </c>
      <c r="D2612" s="40" t="inlineStr">
        <is>
          <t>B1</t>
        </is>
      </c>
      <c r="E2612" s="40" t="inlineStr">
        <is>
          <t>ALT</t>
        </is>
      </c>
      <c r="F2612" s="40" t="inlineStr">
        <is>
          <t>CAC_LEAD</t>
        </is>
      </c>
      <c r="G2612" s="39" t="inlineStr">
        <is>
          <t>Coût d'acquisition par lead</t>
        </is>
      </c>
      <c r="H2612" s="40" t="inlineStr">
        <is>
          <t>TECHNIQUE</t>
        </is>
      </c>
      <c r="I2612" s="41" t="inlineStr">
        <is>
          <t>2023ACT_VDEF</t>
        </is>
      </c>
      <c r="J2612" s="41" t="n">
        <v>2023</v>
      </c>
      <c r="K2612" s="41" t="inlineStr">
        <is>
          <t>EUR</t>
        </is>
      </c>
      <c r="L2612" s="42" t="n">
        <v>320</v>
      </c>
    </row>
    <row r="2613">
      <c r="B2613" s="39" t="inlineStr">
        <is>
          <t>PIGIER_BOR</t>
        </is>
      </c>
      <c r="C2613" s="40" t="inlineStr">
        <is>
          <t>BAC_RH</t>
        </is>
      </c>
      <c r="D2613" s="40" t="inlineStr">
        <is>
          <t>B1</t>
        </is>
      </c>
      <c r="E2613" s="40" t="inlineStr">
        <is>
          <t>ALT</t>
        </is>
      </c>
      <c r="F2613" s="40" t="inlineStr">
        <is>
          <t>CAC_LEAD</t>
        </is>
      </c>
      <c r="G2613" s="39" t="inlineStr">
        <is>
          <t>Coût d'acquisition par lead</t>
        </is>
      </c>
      <c r="H2613" s="40" t="inlineStr">
        <is>
          <t>TECHNIQUE</t>
        </is>
      </c>
      <c r="I2613" s="41" t="inlineStr">
        <is>
          <t>2024ACT_VDEF</t>
        </is>
      </c>
      <c r="J2613" s="41" t="n">
        <v>2024</v>
      </c>
      <c r="K2613" s="41" t="inlineStr">
        <is>
          <t>EUR</t>
        </is>
      </c>
      <c r="L2613" s="42" t="n">
        <v>320</v>
      </c>
    </row>
    <row r="2614">
      <c r="B2614" s="39" t="inlineStr">
        <is>
          <t>PIGIER_BOR</t>
        </is>
      </c>
      <c r="C2614" s="40" t="inlineStr">
        <is>
          <t>BAC_RH</t>
        </is>
      </c>
      <c r="D2614" s="40" t="inlineStr">
        <is>
          <t>B1</t>
        </is>
      </c>
      <c r="E2614" s="40" t="inlineStr">
        <is>
          <t>ALT</t>
        </is>
      </c>
      <c r="F2614" s="40" t="inlineStr">
        <is>
          <t>CAC_LEAD</t>
        </is>
      </c>
      <c r="G2614" s="39" t="inlineStr">
        <is>
          <t>Coût d'acquisition par lead</t>
        </is>
      </c>
      <c r="H2614" s="40" t="inlineStr">
        <is>
          <t>TECHNIQUE</t>
        </is>
      </c>
      <c r="I2614" s="41" t="inlineStr">
        <is>
          <t>2025FCST_V4</t>
        </is>
      </c>
      <c r="J2614" s="41" t="n">
        <v>2025</v>
      </c>
      <c r="K2614" s="41" t="inlineStr">
        <is>
          <t>EUR</t>
        </is>
      </c>
      <c r="L2614" s="42" t="n">
        <v>320</v>
      </c>
    </row>
    <row r="2615">
      <c r="B2615" s="39" t="inlineStr">
        <is>
          <t>PIGIER_BOR</t>
        </is>
      </c>
      <c r="C2615" s="40" t="inlineStr">
        <is>
          <t>BAC_RH</t>
        </is>
      </c>
      <c r="D2615" s="40" t="inlineStr">
        <is>
          <t>B3</t>
        </is>
      </c>
      <c r="E2615" s="40" t="inlineStr">
        <is>
          <t>ALT</t>
        </is>
      </c>
      <c r="F2615" s="40" t="inlineStr">
        <is>
          <t>706100</t>
        </is>
      </c>
      <c r="G2615" s="39" t="inlineStr">
        <is>
          <t>Droits de scolarité</t>
        </is>
      </c>
      <c r="H2615" s="40" t="inlineStr">
        <is>
          <t>COMPTABLE</t>
        </is>
      </c>
      <c r="I2615" s="41" t="inlineStr">
        <is>
          <t>2023ACT_VDEF</t>
        </is>
      </c>
      <c r="J2615" s="41" t="n">
        <v>2023</v>
      </c>
      <c r="K2615" s="41" t="inlineStr">
        <is>
          <t>EUR</t>
        </is>
      </c>
      <c r="L2615" s="42" t="n">
        <v>194400</v>
      </c>
    </row>
    <row r="2616">
      <c r="B2616" s="39" t="inlineStr">
        <is>
          <t>PIGIER_BOR</t>
        </is>
      </c>
      <c r="C2616" s="40" t="inlineStr">
        <is>
          <t>BAC_RH</t>
        </is>
      </c>
      <c r="D2616" s="40" t="inlineStr">
        <is>
          <t>B3</t>
        </is>
      </c>
      <c r="E2616" s="40" t="inlineStr">
        <is>
          <t>ALT</t>
        </is>
      </c>
      <c r="F2616" s="40" t="inlineStr">
        <is>
          <t>706100</t>
        </is>
      </c>
      <c r="G2616" s="39" t="inlineStr">
        <is>
          <t>Droits de scolarité</t>
        </is>
      </c>
      <c r="H2616" s="40" t="inlineStr">
        <is>
          <t>COMPTABLE</t>
        </is>
      </c>
      <c r="I2616" s="41" t="inlineStr">
        <is>
          <t>2024ACT_VDEF</t>
        </is>
      </c>
      <c r="J2616" s="41" t="n">
        <v>2024</v>
      </c>
      <c r="K2616" s="41" t="inlineStr">
        <is>
          <t>EUR</t>
        </is>
      </c>
      <c r="L2616" s="42" t="n">
        <v>205200</v>
      </c>
    </row>
    <row r="2617">
      <c r="B2617" s="39" t="inlineStr">
        <is>
          <t>PIGIER_BOR</t>
        </is>
      </c>
      <c r="C2617" s="40" t="inlineStr">
        <is>
          <t>BAC_RH</t>
        </is>
      </c>
      <c r="D2617" s="40" t="inlineStr">
        <is>
          <t>B3</t>
        </is>
      </c>
      <c r="E2617" s="40" t="inlineStr">
        <is>
          <t>ALT</t>
        </is>
      </c>
      <c r="F2617" s="40" t="inlineStr">
        <is>
          <t>706100</t>
        </is>
      </c>
      <c r="G2617" s="39" t="inlineStr">
        <is>
          <t>Droits de scolarité</t>
        </is>
      </c>
      <c r="H2617" s="40" t="inlineStr">
        <is>
          <t>COMPTABLE</t>
        </is>
      </c>
      <c r="I2617" s="41" t="inlineStr">
        <is>
          <t>2025FCST_V4</t>
        </is>
      </c>
      <c r="J2617" s="41" t="n">
        <v>2025</v>
      </c>
      <c r="K2617" s="41" t="inlineStr">
        <is>
          <t>EUR</t>
        </is>
      </c>
      <c r="L2617" s="42" t="n">
        <v>216000</v>
      </c>
    </row>
    <row r="2618">
      <c r="B2618" s="39" t="inlineStr">
        <is>
          <t>PIGIER_BOR</t>
        </is>
      </c>
      <c r="C2618" s="40" t="inlineStr">
        <is>
          <t>BAC_RH</t>
        </is>
      </c>
      <c r="D2618" s="40" t="inlineStr">
        <is>
          <t>B3</t>
        </is>
      </c>
      <c r="E2618" s="40" t="inlineStr">
        <is>
          <t>ALT</t>
        </is>
      </c>
      <c r="F2618" s="40" t="inlineStr">
        <is>
          <t>604100</t>
        </is>
      </c>
      <c r="G2618" s="39" t="inlineStr">
        <is>
          <t>Vacations &amp; sous-traitance pédagogique</t>
        </is>
      </c>
      <c r="H2618" s="40" t="inlineStr">
        <is>
          <t>COMPTABLE</t>
        </is>
      </c>
      <c r="I2618" s="41" t="inlineStr">
        <is>
          <t>2023ACT_VDEF</t>
        </is>
      </c>
      <c r="J2618" s="41" t="n">
        <v>2023</v>
      </c>
      <c r="K2618" s="41" t="inlineStr">
        <is>
          <t>EUR</t>
        </is>
      </c>
      <c r="L2618" s="42" t="n">
        <v>27144</v>
      </c>
    </row>
    <row r="2619">
      <c r="B2619" s="39" t="inlineStr">
        <is>
          <t>PIGIER_BOR</t>
        </is>
      </c>
      <c r="C2619" s="40" t="inlineStr">
        <is>
          <t>BAC_RH</t>
        </is>
      </c>
      <c r="D2619" s="40" t="inlineStr">
        <is>
          <t>B3</t>
        </is>
      </c>
      <c r="E2619" s="40" t="inlineStr">
        <is>
          <t>ALT</t>
        </is>
      </c>
      <c r="F2619" s="40" t="inlineStr">
        <is>
          <t>604100</t>
        </is>
      </c>
      <c r="G2619" s="39" t="inlineStr">
        <is>
          <t>Vacations &amp; sous-traitance pédagogique</t>
        </is>
      </c>
      <c r="H2619" s="40" t="inlineStr">
        <is>
          <t>COMPTABLE</t>
        </is>
      </c>
      <c r="I2619" s="41" t="inlineStr">
        <is>
          <t>2024ACT_VDEF</t>
        </is>
      </c>
      <c r="J2619" s="41" t="n">
        <v>2024</v>
      </c>
      <c r="K2619" s="41" t="inlineStr">
        <is>
          <t>EUR</t>
        </is>
      </c>
      <c r="L2619" s="42" t="n">
        <v>28652</v>
      </c>
    </row>
    <row r="2620">
      <c r="B2620" s="39" t="inlineStr">
        <is>
          <t>PIGIER_BOR</t>
        </is>
      </c>
      <c r="C2620" s="40" t="inlineStr">
        <is>
          <t>BAC_RH</t>
        </is>
      </c>
      <c r="D2620" s="40" t="inlineStr">
        <is>
          <t>B3</t>
        </is>
      </c>
      <c r="E2620" s="40" t="inlineStr">
        <is>
          <t>ALT</t>
        </is>
      </c>
      <c r="F2620" s="40" t="inlineStr">
        <is>
          <t>604100</t>
        </is>
      </c>
      <c r="G2620" s="39" t="inlineStr">
        <is>
          <t>Vacations &amp; sous-traitance pédagogique</t>
        </is>
      </c>
      <c r="H2620" s="40" t="inlineStr">
        <is>
          <t>COMPTABLE</t>
        </is>
      </c>
      <c r="I2620" s="41" t="inlineStr">
        <is>
          <t>2025FCST_V4</t>
        </is>
      </c>
      <c r="J2620" s="41" t="n">
        <v>2025</v>
      </c>
      <c r="K2620" s="41" t="inlineStr">
        <is>
          <t>EUR</t>
        </is>
      </c>
      <c r="L2620" s="42" t="n">
        <v>30160</v>
      </c>
    </row>
    <row r="2621">
      <c r="B2621" s="39" t="inlineStr">
        <is>
          <t>PIGIER_BOR</t>
        </is>
      </c>
      <c r="C2621" s="40" t="inlineStr">
        <is>
          <t>BAC_RH</t>
        </is>
      </c>
      <c r="D2621" s="40" t="inlineStr">
        <is>
          <t>B3</t>
        </is>
      </c>
      <c r="E2621" s="40" t="inlineStr">
        <is>
          <t>ALT</t>
        </is>
      </c>
      <c r="F2621" s="40" t="inlineStr">
        <is>
          <t>606300</t>
        </is>
      </c>
      <c r="G2621" s="39" t="inlineStr">
        <is>
          <t>Fournitures &amp; ressources pédagogiques</t>
        </is>
      </c>
      <c r="H2621" s="40" t="inlineStr">
        <is>
          <t>COMPTABLE</t>
        </is>
      </c>
      <c r="I2621" s="41" t="inlineStr">
        <is>
          <t>2023ACT_VDEF</t>
        </is>
      </c>
      <c r="J2621" s="41" t="n">
        <v>2023</v>
      </c>
      <c r="K2621" s="41" t="inlineStr">
        <is>
          <t>EUR</t>
        </is>
      </c>
      <c r="L2621" s="42" t="n">
        <v>9234</v>
      </c>
    </row>
    <row r="2622">
      <c r="B2622" s="39" t="inlineStr">
        <is>
          <t>PIGIER_BOR</t>
        </is>
      </c>
      <c r="C2622" s="40" t="inlineStr">
        <is>
          <t>BAC_RH</t>
        </is>
      </c>
      <c r="D2622" s="40" t="inlineStr">
        <is>
          <t>B3</t>
        </is>
      </c>
      <c r="E2622" s="40" t="inlineStr">
        <is>
          <t>ALT</t>
        </is>
      </c>
      <c r="F2622" s="40" t="inlineStr">
        <is>
          <t>606300</t>
        </is>
      </c>
      <c r="G2622" s="39" t="inlineStr">
        <is>
          <t>Fournitures &amp; ressources pédagogiques</t>
        </is>
      </c>
      <c r="H2622" s="40" t="inlineStr">
        <is>
          <t>COMPTABLE</t>
        </is>
      </c>
      <c r="I2622" s="41" t="inlineStr">
        <is>
          <t>2024ACT_VDEF</t>
        </is>
      </c>
      <c r="J2622" s="41" t="n">
        <v>2024</v>
      </c>
      <c r="K2622" s="41" t="inlineStr">
        <is>
          <t>EUR</t>
        </is>
      </c>
      <c r="L2622" s="42" t="n">
        <v>9747</v>
      </c>
    </row>
    <row r="2623">
      <c r="B2623" s="39" t="inlineStr">
        <is>
          <t>PIGIER_BOR</t>
        </is>
      </c>
      <c r="C2623" s="40" t="inlineStr">
        <is>
          <t>BAC_RH</t>
        </is>
      </c>
      <c r="D2623" s="40" t="inlineStr">
        <is>
          <t>B3</t>
        </is>
      </c>
      <c r="E2623" s="40" t="inlineStr">
        <is>
          <t>ALT</t>
        </is>
      </c>
      <c r="F2623" s="40" t="inlineStr">
        <is>
          <t>606300</t>
        </is>
      </c>
      <c r="G2623" s="39" t="inlineStr">
        <is>
          <t>Fournitures &amp; ressources pédagogiques</t>
        </is>
      </c>
      <c r="H2623" s="40" t="inlineStr">
        <is>
          <t>COMPTABLE</t>
        </is>
      </c>
      <c r="I2623" s="41" t="inlineStr">
        <is>
          <t>2025FCST_V4</t>
        </is>
      </c>
      <c r="J2623" s="41" t="n">
        <v>2025</v>
      </c>
      <c r="K2623" s="41" t="inlineStr">
        <is>
          <t>EUR</t>
        </is>
      </c>
      <c r="L2623" s="42" t="n">
        <v>10260</v>
      </c>
    </row>
    <row r="2624">
      <c r="B2624" s="39" t="inlineStr">
        <is>
          <t>PIGIER_BOR</t>
        </is>
      </c>
      <c r="C2624" s="40" t="inlineStr">
        <is>
          <t>BAC_RH</t>
        </is>
      </c>
      <c r="D2624" s="40" t="inlineStr">
        <is>
          <t>B3</t>
        </is>
      </c>
      <c r="E2624" s="40" t="inlineStr">
        <is>
          <t>ALT</t>
        </is>
      </c>
      <c r="F2624" s="40" t="inlineStr">
        <is>
          <t>613200</t>
        </is>
      </c>
      <c r="G2624" s="39" t="inlineStr">
        <is>
          <t>Locations immobilières (loyers)</t>
        </is>
      </c>
      <c r="H2624" s="40" t="inlineStr">
        <is>
          <t>COMPTABLE</t>
        </is>
      </c>
      <c r="I2624" s="41" t="inlineStr">
        <is>
          <t>2023ACT_VDEF</t>
        </is>
      </c>
      <c r="J2624" s="41" t="n">
        <v>2023</v>
      </c>
      <c r="K2624" s="41" t="inlineStr">
        <is>
          <t>EUR</t>
        </is>
      </c>
      <c r="L2624" s="42" t="n">
        <v>17640</v>
      </c>
    </row>
    <row r="2625">
      <c r="B2625" s="39" t="inlineStr">
        <is>
          <t>PIGIER_BOR</t>
        </is>
      </c>
      <c r="C2625" s="40" t="inlineStr">
        <is>
          <t>BAC_RH</t>
        </is>
      </c>
      <c r="D2625" s="40" t="inlineStr">
        <is>
          <t>B3</t>
        </is>
      </c>
      <c r="E2625" s="40" t="inlineStr">
        <is>
          <t>ALT</t>
        </is>
      </c>
      <c r="F2625" s="40" t="inlineStr">
        <is>
          <t>613200</t>
        </is>
      </c>
      <c r="G2625" s="39" t="inlineStr">
        <is>
          <t>Locations immobilières (loyers)</t>
        </is>
      </c>
      <c r="H2625" s="40" t="inlineStr">
        <is>
          <t>COMPTABLE</t>
        </is>
      </c>
      <c r="I2625" s="41" t="inlineStr">
        <is>
          <t>2024ACT_VDEF</t>
        </is>
      </c>
      <c r="J2625" s="41" t="n">
        <v>2024</v>
      </c>
      <c r="K2625" s="41" t="inlineStr">
        <is>
          <t>EUR</t>
        </is>
      </c>
      <c r="L2625" s="42" t="n">
        <v>18620</v>
      </c>
    </row>
    <row r="2626">
      <c r="B2626" s="39" t="inlineStr">
        <is>
          <t>PIGIER_BOR</t>
        </is>
      </c>
      <c r="C2626" s="40" t="inlineStr">
        <is>
          <t>BAC_RH</t>
        </is>
      </c>
      <c r="D2626" s="40" t="inlineStr">
        <is>
          <t>B3</t>
        </is>
      </c>
      <c r="E2626" s="40" t="inlineStr">
        <is>
          <t>ALT</t>
        </is>
      </c>
      <c r="F2626" s="40" t="inlineStr">
        <is>
          <t>613200</t>
        </is>
      </c>
      <c r="G2626" s="39" t="inlineStr">
        <is>
          <t>Locations immobilières (loyers)</t>
        </is>
      </c>
      <c r="H2626" s="40" t="inlineStr">
        <is>
          <t>COMPTABLE</t>
        </is>
      </c>
      <c r="I2626" s="41" t="inlineStr">
        <is>
          <t>2025FCST_V4</t>
        </is>
      </c>
      <c r="J2626" s="41" t="n">
        <v>2025</v>
      </c>
      <c r="K2626" s="41" t="inlineStr">
        <is>
          <t>EUR</t>
        </is>
      </c>
      <c r="L2626" s="42" t="n">
        <v>19600</v>
      </c>
    </row>
    <row r="2627">
      <c r="B2627" s="39" t="inlineStr">
        <is>
          <t>PIGIER_BOR</t>
        </is>
      </c>
      <c r="C2627" s="40" t="inlineStr">
        <is>
          <t>BAC_RH</t>
        </is>
      </c>
      <c r="D2627" s="40" t="inlineStr">
        <is>
          <t>B3</t>
        </is>
      </c>
      <c r="E2627" s="40" t="inlineStr">
        <is>
          <t>ALT</t>
        </is>
      </c>
      <c r="F2627" s="40" t="inlineStr">
        <is>
          <t>641100</t>
        </is>
      </c>
      <c r="G2627" s="39" t="inlineStr">
        <is>
          <t>Rémunérations du personnel permanent</t>
        </is>
      </c>
      <c r="H2627" s="40" t="inlineStr">
        <is>
          <t>COMPTABLE</t>
        </is>
      </c>
      <c r="I2627" s="41" t="inlineStr">
        <is>
          <t>2023ACT_VDEF</t>
        </is>
      </c>
      <c r="J2627" s="41" t="n">
        <v>2023</v>
      </c>
      <c r="K2627" s="41" t="inlineStr">
        <is>
          <t>EUR</t>
        </is>
      </c>
      <c r="L2627" s="42" t="n">
        <v>52200</v>
      </c>
    </row>
    <row r="2628">
      <c r="B2628" s="39" t="inlineStr">
        <is>
          <t>PIGIER_BOR</t>
        </is>
      </c>
      <c r="C2628" s="40" t="inlineStr">
        <is>
          <t>BAC_RH</t>
        </is>
      </c>
      <c r="D2628" s="40" t="inlineStr">
        <is>
          <t>B3</t>
        </is>
      </c>
      <c r="E2628" s="40" t="inlineStr">
        <is>
          <t>ALT</t>
        </is>
      </c>
      <c r="F2628" s="40" t="inlineStr">
        <is>
          <t>641100</t>
        </is>
      </c>
      <c r="G2628" s="39" t="inlineStr">
        <is>
          <t>Rémunérations du personnel permanent</t>
        </is>
      </c>
      <c r="H2628" s="40" t="inlineStr">
        <is>
          <t>COMPTABLE</t>
        </is>
      </c>
      <c r="I2628" s="41" t="inlineStr">
        <is>
          <t>2024ACT_VDEF</t>
        </is>
      </c>
      <c r="J2628" s="41" t="n">
        <v>2024</v>
      </c>
      <c r="K2628" s="41" t="inlineStr">
        <is>
          <t>EUR</t>
        </is>
      </c>
      <c r="L2628" s="42" t="n">
        <v>55100</v>
      </c>
    </row>
    <row r="2629">
      <c r="B2629" s="39" t="inlineStr">
        <is>
          <t>PIGIER_BOR</t>
        </is>
      </c>
      <c r="C2629" s="40" t="inlineStr">
        <is>
          <t>BAC_RH</t>
        </is>
      </c>
      <c r="D2629" s="40" t="inlineStr">
        <is>
          <t>B3</t>
        </is>
      </c>
      <c r="E2629" s="40" t="inlineStr">
        <is>
          <t>ALT</t>
        </is>
      </c>
      <c r="F2629" s="40" t="inlineStr">
        <is>
          <t>641100</t>
        </is>
      </c>
      <c r="G2629" s="39" t="inlineStr">
        <is>
          <t>Rémunérations du personnel permanent</t>
        </is>
      </c>
      <c r="H2629" s="40" t="inlineStr">
        <is>
          <t>COMPTABLE</t>
        </is>
      </c>
      <c r="I2629" s="41" t="inlineStr">
        <is>
          <t>2025FCST_V4</t>
        </is>
      </c>
      <c r="J2629" s="41" t="n">
        <v>2025</v>
      </c>
      <c r="K2629" s="41" t="inlineStr">
        <is>
          <t>EUR</t>
        </is>
      </c>
      <c r="L2629" s="42" t="n">
        <v>58000</v>
      </c>
    </row>
    <row r="2630">
      <c r="B2630" s="39" t="inlineStr">
        <is>
          <t>PIGIER_BOR</t>
        </is>
      </c>
      <c r="C2630" s="40" t="inlineStr">
        <is>
          <t>BAC_RH</t>
        </is>
      </c>
      <c r="D2630" s="40" t="inlineStr">
        <is>
          <t>B3</t>
        </is>
      </c>
      <c r="E2630" s="40" t="inlineStr">
        <is>
          <t>ALT</t>
        </is>
      </c>
      <c r="F2630" s="40" t="inlineStr">
        <is>
          <t>622600</t>
        </is>
      </c>
      <c r="G2630" s="39" t="inlineStr">
        <is>
          <t>Honoraires &amp; frais de siège (structure groupe)</t>
        </is>
      </c>
      <c r="H2630" s="40" t="inlineStr">
        <is>
          <t>COMPTABLE</t>
        </is>
      </c>
      <c r="I2630" s="41" t="inlineStr">
        <is>
          <t>2023ACT_VDEF</t>
        </is>
      </c>
      <c r="J2630" s="41" t="n">
        <v>2023</v>
      </c>
      <c r="K2630" s="41" t="inlineStr">
        <is>
          <t>EUR</t>
        </is>
      </c>
      <c r="L2630" s="42" t="n">
        <v>15990</v>
      </c>
    </row>
    <row r="2631">
      <c r="B2631" s="39" t="inlineStr">
        <is>
          <t>PIGIER_BOR</t>
        </is>
      </c>
      <c r="C2631" s="40" t="inlineStr">
        <is>
          <t>BAC_RH</t>
        </is>
      </c>
      <c r="D2631" s="40" t="inlineStr">
        <is>
          <t>B3</t>
        </is>
      </c>
      <c r="E2631" s="40" t="inlineStr">
        <is>
          <t>ALT</t>
        </is>
      </c>
      <c r="F2631" s="40" t="inlineStr">
        <is>
          <t>622600</t>
        </is>
      </c>
      <c r="G2631" s="39" t="inlineStr">
        <is>
          <t>Honoraires &amp; frais de siège (structure groupe)</t>
        </is>
      </c>
      <c r="H2631" s="40" t="inlineStr">
        <is>
          <t>COMPTABLE</t>
        </is>
      </c>
      <c r="I2631" s="41" t="inlineStr">
        <is>
          <t>2024ACT_VDEF</t>
        </is>
      </c>
      <c r="J2631" s="41" t="n">
        <v>2024</v>
      </c>
      <c r="K2631" s="41" t="inlineStr">
        <is>
          <t>EUR</t>
        </is>
      </c>
      <c r="L2631" s="42" t="n">
        <v>16879</v>
      </c>
    </row>
    <row r="2632">
      <c r="B2632" s="39" t="inlineStr">
        <is>
          <t>PIGIER_BOR</t>
        </is>
      </c>
      <c r="C2632" s="40" t="inlineStr">
        <is>
          <t>BAC_RH</t>
        </is>
      </c>
      <c r="D2632" s="40" t="inlineStr">
        <is>
          <t>B3</t>
        </is>
      </c>
      <c r="E2632" s="40" t="inlineStr">
        <is>
          <t>ALT</t>
        </is>
      </c>
      <c r="F2632" s="40" t="inlineStr">
        <is>
          <t>622600</t>
        </is>
      </c>
      <c r="G2632" s="39" t="inlineStr">
        <is>
          <t>Honoraires &amp; frais de siège (structure groupe)</t>
        </is>
      </c>
      <c r="H2632" s="40" t="inlineStr">
        <is>
          <t>COMPTABLE</t>
        </is>
      </c>
      <c r="I2632" s="41" t="inlineStr">
        <is>
          <t>2025FCST_V4</t>
        </is>
      </c>
      <c r="J2632" s="41" t="n">
        <v>2025</v>
      </c>
      <c r="K2632" s="41" t="inlineStr">
        <is>
          <t>EUR</t>
        </is>
      </c>
      <c r="L2632" s="42" t="n">
        <v>17767</v>
      </c>
    </row>
    <row r="2633">
      <c r="B2633" s="39" t="inlineStr">
        <is>
          <t>PIGIER_BOR</t>
        </is>
      </c>
      <c r="C2633" s="40" t="inlineStr">
        <is>
          <t>BAC_RH</t>
        </is>
      </c>
      <c r="D2633" s="40" t="inlineStr">
        <is>
          <t>B3</t>
        </is>
      </c>
      <c r="E2633" s="40" t="inlineStr">
        <is>
          <t>ALT</t>
        </is>
      </c>
      <c r="F2633" s="40" t="inlineStr">
        <is>
          <t>606800</t>
        </is>
      </c>
      <c r="G2633" s="39" t="inlineStr">
        <is>
          <t>Autres achats &amp; charges externes</t>
        </is>
      </c>
      <c r="H2633" s="40" t="inlineStr">
        <is>
          <t>COMPTABLE</t>
        </is>
      </c>
      <c r="I2633" s="41" t="inlineStr">
        <is>
          <t>2023ACT_VDEF</t>
        </is>
      </c>
      <c r="J2633" s="41" t="n">
        <v>2023</v>
      </c>
      <c r="K2633" s="41" t="inlineStr">
        <is>
          <t>EUR</t>
        </is>
      </c>
      <c r="L2633" s="42" t="n">
        <v>22696</v>
      </c>
    </row>
    <row r="2634">
      <c r="B2634" s="39" t="inlineStr">
        <is>
          <t>PIGIER_BOR</t>
        </is>
      </c>
      <c r="C2634" s="40" t="inlineStr">
        <is>
          <t>BAC_RH</t>
        </is>
      </c>
      <c r="D2634" s="40" t="inlineStr">
        <is>
          <t>B3</t>
        </is>
      </c>
      <c r="E2634" s="40" t="inlineStr">
        <is>
          <t>ALT</t>
        </is>
      </c>
      <c r="F2634" s="40" t="inlineStr">
        <is>
          <t>606800</t>
        </is>
      </c>
      <c r="G2634" s="39" t="inlineStr">
        <is>
          <t>Autres achats &amp; charges externes</t>
        </is>
      </c>
      <c r="H2634" s="40" t="inlineStr">
        <is>
          <t>COMPTABLE</t>
        </is>
      </c>
      <c r="I2634" s="41" t="inlineStr">
        <is>
          <t>2024ACT_VDEF</t>
        </is>
      </c>
      <c r="J2634" s="41" t="n">
        <v>2024</v>
      </c>
      <c r="K2634" s="41" t="inlineStr">
        <is>
          <t>EUR</t>
        </is>
      </c>
      <c r="L2634" s="42" t="n">
        <v>23957</v>
      </c>
    </row>
    <row r="2635">
      <c r="B2635" s="39" t="inlineStr">
        <is>
          <t>PIGIER_BOR</t>
        </is>
      </c>
      <c r="C2635" s="40" t="inlineStr">
        <is>
          <t>BAC_RH</t>
        </is>
      </c>
      <c r="D2635" s="40" t="inlineStr">
        <is>
          <t>B3</t>
        </is>
      </c>
      <c r="E2635" s="40" t="inlineStr">
        <is>
          <t>ALT</t>
        </is>
      </c>
      <c r="F2635" s="40" t="inlineStr">
        <is>
          <t>606800</t>
        </is>
      </c>
      <c r="G2635" s="39" t="inlineStr">
        <is>
          <t>Autres achats &amp; charges externes</t>
        </is>
      </c>
      <c r="H2635" s="40" t="inlineStr">
        <is>
          <t>COMPTABLE</t>
        </is>
      </c>
      <c r="I2635" s="41" t="inlineStr">
        <is>
          <t>2025FCST_V4</t>
        </is>
      </c>
      <c r="J2635" s="41" t="n">
        <v>2025</v>
      </c>
      <c r="K2635" s="41" t="inlineStr">
        <is>
          <t>EUR</t>
        </is>
      </c>
      <c r="L2635" s="42" t="n">
        <v>25218</v>
      </c>
    </row>
    <row r="2636">
      <c r="B2636" s="39" t="inlineStr">
        <is>
          <t>PIGIER_BOR</t>
        </is>
      </c>
      <c r="C2636" s="40" t="inlineStr">
        <is>
          <t>BAC_RH</t>
        </is>
      </c>
      <c r="D2636" s="40" t="inlineStr">
        <is>
          <t>B3</t>
        </is>
      </c>
      <c r="E2636" s="40" t="inlineStr">
        <is>
          <t>ALT</t>
        </is>
      </c>
      <c r="F2636" s="40" t="inlineStr">
        <is>
          <t>681100</t>
        </is>
      </c>
      <c r="G2636" s="39" t="inlineStr">
        <is>
          <t>Dotations aux amortissements</t>
        </is>
      </c>
      <c r="H2636" s="40" t="inlineStr">
        <is>
          <t>COMPTABLE</t>
        </is>
      </c>
      <c r="I2636" s="41" t="inlineStr">
        <is>
          <t>2023ACT_VDEF</t>
        </is>
      </c>
      <c r="J2636" s="41" t="n">
        <v>2023</v>
      </c>
      <c r="K2636" s="41" t="inlineStr">
        <is>
          <t>EUR</t>
        </is>
      </c>
      <c r="L2636" s="42" t="n">
        <v>9540</v>
      </c>
    </row>
    <row r="2637">
      <c r="B2637" s="39" t="inlineStr">
        <is>
          <t>PIGIER_BOR</t>
        </is>
      </c>
      <c r="C2637" s="40" t="inlineStr">
        <is>
          <t>BAC_RH</t>
        </is>
      </c>
      <c r="D2637" s="40" t="inlineStr">
        <is>
          <t>B3</t>
        </is>
      </c>
      <c r="E2637" s="40" t="inlineStr">
        <is>
          <t>ALT</t>
        </is>
      </c>
      <c r="F2637" s="40" t="inlineStr">
        <is>
          <t>681100</t>
        </is>
      </c>
      <c r="G2637" s="39" t="inlineStr">
        <is>
          <t>Dotations aux amortissements</t>
        </is>
      </c>
      <c r="H2637" s="40" t="inlineStr">
        <is>
          <t>COMPTABLE</t>
        </is>
      </c>
      <c r="I2637" s="41" t="inlineStr">
        <is>
          <t>2024ACT_VDEF</t>
        </is>
      </c>
      <c r="J2637" s="41" t="n">
        <v>2024</v>
      </c>
      <c r="K2637" s="41" t="inlineStr">
        <is>
          <t>EUR</t>
        </is>
      </c>
      <c r="L2637" s="42" t="n">
        <v>10070</v>
      </c>
    </row>
    <row r="2638">
      <c r="B2638" s="39" t="inlineStr">
        <is>
          <t>PIGIER_BOR</t>
        </is>
      </c>
      <c r="C2638" s="40" t="inlineStr">
        <is>
          <t>BAC_RH</t>
        </is>
      </c>
      <c r="D2638" s="40" t="inlineStr">
        <is>
          <t>B3</t>
        </is>
      </c>
      <c r="E2638" s="40" t="inlineStr">
        <is>
          <t>ALT</t>
        </is>
      </c>
      <c r="F2638" s="40" t="inlineStr">
        <is>
          <t>681100</t>
        </is>
      </c>
      <c r="G2638" s="39" t="inlineStr">
        <is>
          <t>Dotations aux amortissements</t>
        </is>
      </c>
      <c r="H2638" s="40" t="inlineStr">
        <is>
          <t>COMPTABLE</t>
        </is>
      </c>
      <c r="I2638" s="41" t="inlineStr">
        <is>
          <t>2025FCST_V4</t>
        </is>
      </c>
      <c r="J2638" s="41" t="n">
        <v>2025</v>
      </c>
      <c r="K2638" s="41" t="inlineStr">
        <is>
          <t>EUR</t>
        </is>
      </c>
      <c r="L2638" s="42" t="n">
        <v>10600</v>
      </c>
    </row>
    <row r="2639">
      <c r="B2639" s="39" t="inlineStr">
        <is>
          <t>PIGIER_BOR</t>
        </is>
      </c>
      <c r="C2639" s="40" t="inlineStr">
        <is>
          <t>BAC_RH</t>
        </is>
      </c>
      <c r="D2639" s="40" t="inlineStr">
        <is>
          <t>B3</t>
        </is>
      </c>
      <c r="E2639" s="40" t="inlineStr">
        <is>
          <t>ALT</t>
        </is>
      </c>
      <c r="F2639" s="40" t="inlineStr">
        <is>
          <t>STA_EFF</t>
        </is>
      </c>
      <c r="G2639" s="39" t="inlineStr">
        <is>
          <t>Effectif inscrit</t>
        </is>
      </c>
      <c r="H2639" s="40" t="inlineStr">
        <is>
          <t>TECHNIQUE</t>
        </is>
      </c>
      <c r="I2639" s="41" t="inlineStr">
        <is>
          <t>2023ACT_VDEF</t>
        </is>
      </c>
      <c r="J2639" s="41" t="n">
        <v>2023</v>
      </c>
      <c r="K2639" s="41" t="inlineStr">
        <is>
          <t>NB</t>
        </is>
      </c>
      <c r="L2639" s="43" t="n">
        <v>24</v>
      </c>
    </row>
    <row r="2640">
      <c r="B2640" s="39" t="inlineStr">
        <is>
          <t>PIGIER_BOR</t>
        </is>
      </c>
      <c r="C2640" s="40" t="inlineStr">
        <is>
          <t>BAC_RH</t>
        </is>
      </c>
      <c r="D2640" s="40" t="inlineStr">
        <is>
          <t>B3</t>
        </is>
      </c>
      <c r="E2640" s="40" t="inlineStr">
        <is>
          <t>ALT</t>
        </is>
      </c>
      <c r="F2640" s="40" t="inlineStr">
        <is>
          <t>STA_EFF</t>
        </is>
      </c>
      <c r="G2640" s="39" t="inlineStr">
        <is>
          <t>Effectif inscrit</t>
        </is>
      </c>
      <c r="H2640" s="40" t="inlineStr">
        <is>
          <t>TECHNIQUE</t>
        </is>
      </c>
      <c r="I2640" s="41" t="inlineStr">
        <is>
          <t>2024ACT_VDEF</t>
        </is>
      </c>
      <c r="J2640" s="41" t="n">
        <v>2024</v>
      </c>
      <c r="K2640" s="41" t="inlineStr">
        <is>
          <t>NB</t>
        </is>
      </c>
      <c r="L2640" s="43" t="n">
        <v>26</v>
      </c>
    </row>
    <row r="2641">
      <c r="B2641" s="39" t="inlineStr">
        <is>
          <t>PIGIER_BOR</t>
        </is>
      </c>
      <c r="C2641" s="40" t="inlineStr">
        <is>
          <t>BAC_RH</t>
        </is>
      </c>
      <c r="D2641" s="40" t="inlineStr">
        <is>
          <t>B3</t>
        </is>
      </c>
      <c r="E2641" s="40" t="inlineStr">
        <is>
          <t>ALT</t>
        </is>
      </c>
      <c r="F2641" s="40" t="inlineStr">
        <is>
          <t>STA_EFF</t>
        </is>
      </c>
      <c r="G2641" s="39" t="inlineStr">
        <is>
          <t>Effectif inscrit</t>
        </is>
      </c>
      <c r="H2641" s="40" t="inlineStr">
        <is>
          <t>TECHNIQUE</t>
        </is>
      </c>
      <c r="I2641" s="41" t="inlineStr">
        <is>
          <t>2025FCST_V4</t>
        </is>
      </c>
      <c r="J2641" s="41" t="n">
        <v>2025</v>
      </c>
      <c r="K2641" s="41" t="inlineStr">
        <is>
          <t>NB</t>
        </is>
      </c>
      <c r="L2641" s="43" t="n">
        <v>27</v>
      </c>
    </row>
    <row r="2642">
      <c r="B2642" s="39" t="inlineStr">
        <is>
          <t>PIGIER_BOR</t>
        </is>
      </c>
      <c r="C2642" s="40" t="inlineStr">
        <is>
          <t>BAC_RH</t>
        </is>
      </c>
      <c r="D2642" s="40" t="inlineStr">
        <is>
          <t>B3</t>
        </is>
      </c>
      <c r="E2642" s="40" t="inlineStr">
        <is>
          <t>ALT</t>
        </is>
      </c>
      <c r="F2642" s="40" t="inlineStr">
        <is>
          <t>STA_REINS</t>
        </is>
      </c>
      <c r="G2642" s="39" t="inlineStr">
        <is>
          <t>Réinscrits</t>
        </is>
      </c>
      <c r="H2642" s="40" t="inlineStr">
        <is>
          <t>TECHNIQUE</t>
        </is>
      </c>
      <c r="I2642" s="41" t="inlineStr">
        <is>
          <t>2023ACT_VDEF</t>
        </is>
      </c>
      <c r="J2642" s="41" t="n">
        <v>2023</v>
      </c>
      <c r="K2642" s="41" t="inlineStr">
        <is>
          <t>NB</t>
        </is>
      </c>
      <c r="L2642" s="43" t="n">
        <v>24</v>
      </c>
    </row>
    <row r="2643">
      <c r="B2643" s="39" t="inlineStr">
        <is>
          <t>PIGIER_BOR</t>
        </is>
      </c>
      <c r="C2643" s="40" t="inlineStr">
        <is>
          <t>BAC_RH</t>
        </is>
      </c>
      <c r="D2643" s="40" t="inlineStr">
        <is>
          <t>B3</t>
        </is>
      </c>
      <c r="E2643" s="40" t="inlineStr">
        <is>
          <t>ALT</t>
        </is>
      </c>
      <c r="F2643" s="40" t="inlineStr">
        <is>
          <t>STA_REINS</t>
        </is>
      </c>
      <c r="G2643" s="39" t="inlineStr">
        <is>
          <t>Réinscrits</t>
        </is>
      </c>
      <c r="H2643" s="40" t="inlineStr">
        <is>
          <t>TECHNIQUE</t>
        </is>
      </c>
      <c r="I2643" s="41" t="inlineStr">
        <is>
          <t>2024ACT_VDEF</t>
        </is>
      </c>
      <c r="J2643" s="41" t="n">
        <v>2024</v>
      </c>
      <c r="K2643" s="41" t="inlineStr">
        <is>
          <t>NB</t>
        </is>
      </c>
      <c r="L2643" s="43" t="n">
        <v>26</v>
      </c>
    </row>
    <row r="2644">
      <c r="B2644" s="39" t="inlineStr">
        <is>
          <t>PIGIER_BOR</t>
        </is>
      </c>
      <c r="C2644" s="40" t="inlineStr">
        <is>
          <t>BAC_RH</t>
        </is>
      </c>
      <c r="D2644" s="40" t="inlineStr">
        <is>
          <t>B3</t>
        </is>
      </c>
      <c r="E2644" s="40" t="inlineStr">
        <is>
          <t>ALT</t>
        </is>
      </c>
      <c r="F2644" s="40" t="inlineStr">
        <is>
          <t>STA_REINS</t>
        </is>
      </c>
      <c r="G2644" s="39" t="inlineStr">
        <is>
          <t>Réinscrits</t>
        </is>
      </c>
      <c r="H2644" s="40" t="inlineStr">
        <is>
          <t>TECHNIQUE</t>
        </is>
      </c>
      <c r="I2644" s="41" t="inlineStr">
        <is>
          <t>2025FCST_V4</t>
        </is>
      </c>
      <c r="J2644" s="41" t="n">
        <v>2025</v>
      </c>
      <c r="K2644" s="41" t="inlineStr">
        <is>
          <t>NB</t>
        </is>
      </c>
      <c r="L2644" s="43" t="n">
        <v>27</v>
      </c>
    </row>
    <row r="2645">
      <c r="B2645" s="39" t="inlineStr">
        <is>
          <t>PIGIER_BOR</t>
        </is>
      </c>
      <c r="C2645" s="40" t="inlineStr">
        <is>
          <t>BAC_RH</t>
        </is>
      </c>
      <c r="D2645" s="40" t="inlineStr">
        <is>
          <t>B3</t>
        </is>
      </c>
      <c r="E2645" s="40" t="inlineStr">
        <is>
          <t>ALT</t>
        </is>
      </c>
      <c r="F2645" s="40" t="inlineStr">
        <is>
          <t>STA_CLASS</t>
        </is>
      </c>
      <c r="G2645" s="39" t="inlineStr">
        <is>
          <t>Nombre de classes</t>
        </is>
      </c>
      <c r="H2645" s="40" t="inlineStr">
        <is>
          <t>TECHNIQUE</t>
        </is>
      </c>
      <c r="I2645" s="41" t="inlineStr">
        <is>
          <t>2023ACT_VDEF</t>
        </is>
      </c>
      <c r="J2645" s="41" t="n">
        <v>2023</v>
      </c>
      <c r="K2645" s="41" t="inlineStr">
        <is>
          <t>NB</t>
        </is>
      </c>
      <c r="L2645" s="43" t="n">
        <v>1</v>
      </c>
    </row>
    <row r="2646">
      <c r="B2646" s="39" t="inlineStr">
        <is>
          <t>PIGIER_BOR</t>
        </is>
      </c>
      <c r="C2646" s="40" t="inlineStr">
        <is>
          <t>BAC_RH</t>
        </is>
      </c>
      <c r="D2646" s="40" t="inlineStr">
        <is>
          <t>B3</t>
        </is>
      </c>
      <c r="E2646" s="40" t="inlineStr">
        <is>
          <t>ALT</t>
        </is>
      </c>
      <c r="F2646" s="40" t="inlineStr">
        <is>
          <t>STA_CLASS</t>
        </is>
      </c>
      <c r="G2646" s="39" t="inlineStr">
        <is>
          <t>Nombre de classes</t>
        </is>
      </c>
      <c r="H2646" s="40" t="inlineStr">
        <is>
          <t>TECHNIQUE</t>
        </is>
      </c>
      <c r="I2646" s="41" t="inlineStr">
        <is>
          <t>2024ACT_VDEF</t>
        </is>
      </c>
      <c r="J2646" s="41" t="n">
        <v>2024</v>
      </c>
      <c r="K2646" s="41" t="inlineStr">
        <is>
          <t>NB</t>
        </is>
      </c>
      <c r="L2646" s="43" t="n">
        <v>1</v>
      </c>
    </row>
    <row r="2647">
      <c r="B2647" s="39" t="inlineStr">
        <is>
          <t>PIGIER_BOR</t>
        </is>
      </c>
      <c r="C2647" s="40" t="inlineStr">
        <is>
          <t>BAC_RH</t>
        </is>
      </c>
      <c r="D2647" s="40" t="inlineStr">
        <is>
          <t>B3</t>
        </is>
      </c>
      <c r="E2647" s="40" t="inlineStr">
        <is>
          <t>ALT</t>
        </is>
      </c>
      <c r="F2647" s="40" t="inlineStr">
        <is>
          <t>STA_CLASS</t>
        </is>
      </c>
      <c r="G2647" s="39" t="inlineStr">
        <is>
          <t>Nombre de classes</t>
        </is>
      </c>
      <c r="H2647" s="40" t="inlineStr">
        <is>
          <t>TECHNIQUE</t>
        </is>
      </c>
      <c r="I2647" s="41" t="inlineStr">
        <is>
          <t>2025FCST_V4</t>
        </is>
      </c>
      <c r="J2647" s="41" t="n">
        <v>2025</v>
      </c>
      <c r="K2647" s="41" t="inlineStr">
        <is>
          <t>NB</t>
        </is>
      </c>
      <c r="L2647" s="43" t="n">
        <v>1</v>
      </c>
    </row>
    <row r="2648">
      <c r="B2648" s="39" t="inlineStr">
        <is>
          <t>PIGIER_BOR</t>
        </is>
      </c>
      <c r="C2648" s="40" t="inlineStr">
        <is>
          <t>BAC_RH</t>
        </is>
      </c>
      <c r="D2648" s="40" t="inlineStr">
        <is>
          <t>B3</t>
        </is>
      </c>
      <c r="E2648" s="40" t="inlineStr">
        <is>
          <t>ALT</t>
        </is>
      </c>
      <c r="F2648" s="40" t="inlineStr">
        <is>
          <t>STA_HEURE</t>
        </is>
      </c>
      <c r="G2648" s="39" t="inlineStr">
        <is>
          <t>Heures d'enseignement</t>
        </is>
      </c>
      <c r="H2648" s="40" t="inlineStr">
        <is>
          <t>TECHNIQUE</t>
        </is>
      </c>
      <c r="I2648" s="41" t="inlineStr">
        <is>
          <t>2023ACT_VDEF</t>
        </is>
      </c>
      <c r="J2648" s="41" t="n">
        <v>2023</v>
      </c>
      <c r="K2648" s="41" t="inlineStr">
        <is>
          <t>NB</t>
        </is>
      </c>
      <c r="L2648" s="43" t="n">
        <v>468</v>
      </c>
    </row>
    <row r="2649">
      <c r="B2649" s="39" t="inlineStr">
        <is>
          <t>PIGIER_BOR</t>
        </is>
      </c>
      <c r="C2649" s="40" t="inlineStr">
        <is>
          <t>BAC_RH</t>
        </is>
      </c>
      <c r="D2649" s="40" t="inlineStr">
        <is>
          <t>B3</t>
        </is>
      </c>
      <c r="E2649" s="40" t="inlineStr">
        <is>
          <t>ALT</t>
        </is>
      </c>
      <c r="F2649" s="40" t="inlineStr">
        <is>
          <t>STA_HEURE</t>
        </is>
      </c>
      <c r="G2649" s="39" t="inlineStr">
        <is>
          <t>Heures d'enseignement</t>
        </is>
      </c>
      <c r="H2649" s="40" t="inlineStr">
        <is>
          <t>TECHNIQUE</t>
        </is>
      </c>
      <c r="I2649" s="41" t="inlineStr">
        <is>
          <t>2024ACT_VDEF</t>
        </is>
      </c>
      <c r="J2649" s="41" t="n">
        <v>2024</v>
      </c>
      <c r="K2649" s="41" t="inlineStr">
        <is>
          <t>NB</t>
        </is>
      </c>
      <c r="L2649" s="43" t="n">
        <v>494</v>
      </c>
    </row>
    <row r="2650">
      <c r="B2650" s="39" t="inlineStr">
        <is>
          <t>PIGIER_BOR</t>
        </is>
      </c>
      <c r="C2650" s="40" t="inlineStr">
        <is>
          <t>BAC_RH</t>
        </is>
      </c>
      <c r="D2650" s="40" t="inlineStr">
        <is>
          <t>B3</t>
        </is>
      </c>
      <c r="E2650" s="40" t="inlineStr">
        <is>
          <t>ALT</t>
        </is>
      </c>
      <c r="F2650" s="40" t="inlineStr">
        <is>
          <t>STA_HEURE</t>
        </is>
      </c>
      <c r="G2650" s="39" t="inlineStr">
        <is>
          <t>Heures d'enseignement</t>
        </is>
      </c>
      <c r="H2650" s="40" t="inlineStr">
        <is>
          <t>TECHNIQUE</t>
        </is>
      </c>
      <c r="I2650" s="41" t="inlineStr">
        <is>
          <t>2025FCST_V4</t>
        </is>
      </c>
      <c r="J2650" s="41" t="n">
        <v>2025</v>
      </c>
      <c r="K2650" s="41" t="inlineStr">
        <is>
          <t>NB</t>
        </is>
      </c>
      <c r="L2650" s="43" t="n">
        <v>520</v>
      </c>
    </row>
    <row r="2651">
      <c r="B2651" s="39" t="inlineStr">
        <is>
          <t>PIGIER_BOR</t>
        </is>
      </c>
      <c r="C2651" s="40" t="inlineStr">
        <is>
          <t>BAC_RH</t>
        </is>
      </c>
      <c r="D2651" s="40" t="inlineStr">
        <is>
          <t>B3</t>
        </is>
      </c>
      <c r="E2651" s="40" t="inlineStr">
        <is>
          <t>ALT</t>
        </is>
      </c>
      <c r="F2651" s="40" t="inlineStr">
        <is>
          <t>STA_CAPA</t>
        </is>
      </c>
      <c r="G2651" s="39" t="inlineStr">
        <is>
          <t>Capacité par classe</t>
        </is>
      </c>
      <c r="H2651" s="40" t="inlineStr">
        <is>
          <t>TECHNIQUE</t>
        </is>
      </c>
      <c r="I2651" s="41" t="inlineStr">
        <is>
          <t>2023ACT_VDEF</t>
        </is>
      </c>
      <c r="J2651" s="41" t="n">
        <v>2023</v>
      </c>
      <c r="K2651" s="41" t="inlineStr">
        <is>
          <t>NB</t>
        </is>
      </c>
      <c r="L2651" s="43" t="n">
        <v>32</v>
      </c>
    </row>
    <row r="2652">
      <c r="B2652" s="39" t="inlineStr">
        <is>
          <t>PIGIER_BOR</t>
        </is>
      </c>
      <c r="C2652" s="40" t="inlineStr">
        <is>
          <t>BAC_RH</t>
        </is>
      </c>
      <c r="D2652" s="40" t="inlineStr">
        <is>
          <t>B3</t>
        </is>
      </c>
      <c r="E2652" s="40" t="inlineStr">
        <is>
          <t>ALT</t>
        </is>
      </c>
      <c r="F2652" s="40" t="inlineStr">
        <is>
          <t>STA_CAPA</t>
        </is>
      </c>
      <c r="G2652" s="39" t="inlineStr">
        <is>
          <t>Capacité par classe</t>
        </is>
      </c>
      <c r="H2652" s="40" t="inlineStr">
        <is>
          <t>TECHNIQUE</t>
        </is>
      </c>
      <c r="I2652" s="41" t="inlineStr">
        <is>
          <t>2024ACT_VDEF</t>
        </is>
      </c>
      <c r="J2652" s="41" t="n">
        <v>2024</v>
      </c>
      <c r="K2652" s="41" t="inlineStr">
        <is>
          <t>NB</t>
        </is>
      </c>
      <c r="L2652" s="43" t="n">
        <v>32</v>
      </c>
    </row>
    <row r="2653">
      <c r="B2653" s="39" t="inlineStr">
        <is>
          <t>PIGIER_BOR</t>
        </is>
      </c>
      <c r="C2653" s="40" t="inlineStr">
        <is>
          <t>BAC_RH</t>
        </is>
      </c>
      <c r="D2653" s="40" t="inlineStr">
        <is>
          <t>B3</t>
        </is>
      </c>
      <c r="E2653" s="40" t="inlineStr">
        <is>
          <t>ALT</t>
        </is>
      </c>
      <c r="F2653" s="40" t="inlineStr">
        <is>
          <t>STA_CAPA</t>
        </is>
      </c>
      <c r="G2653" s="39" t="inlineStr">
        <is>
          <t>Capacité par classe</t>
        </is>
      </c>
      <c r="H2653" s="40" t="inlineStr">
        <is>
          <t>TECHNIQUE</t>
        </is>
      </c>
      <c r="I2653" s="41" t="inlineStr">
        <is>
          <t>2025FCST_V4</t>
        </is>
      </c>
      <c r="J2653" s="41" t="n">
        <v>2025</v>
      </c>
      <c r="K2653" s="41" t="inlineStr">
        <is>
          <t>NB</t>
        </is>
      </c>
      <c r="L2653" s="43" t="n">
        <v>32</v>
      </c>
    </row>
    <row r="2654">
      <c r="B2654" s="39" t="inlineStr">
        <is>
          <t>PIGIER_BOR</t>
        </is>
      </c>
      <c r="C2654" s="40" t="inlineStr">
        <is>
          <t>BAC_RH</t>
        </is>
      </c>
      <c r="D2654" s="40" t="inlineStr">
        <is>
          <t>B3</t>
        </is>
      </c>
      <c r="E2654" s="40" t="inlineStr">
        <is>
          <t>ALT</t>
        </is>
      </c>
      <c r="F2654" s="40" t="inlineStr">
        <is>
          <t>DRV_PASS</t>
        </is>
      </c>
      <c r="G2654" s="39" t="inlineStr">
        <is>
          <t>Taux de passage (réinscription)</t>
        </is>
      </c>
      <c r="H2654" s="40" t="inlineStr">
        <is>
          <t>TECHNIQUE</t>
        </is>
      </c>
      <c r="I2654" s="41" t="inlineStr">
        <is>
          <t>2023ACT_VDEF</t>
        </is>
      </c>
      <c r="J2654" s="41" t="n">
        <v>2023</v>
      </c>
      <c r="K2654" s="41" t="inlineStr">
        <is>
          <t>PCT</t>
        </is>
      </c>
      <c r="L2654" s="44" t="n">
        <v>0.95</v>
      </c>
    </row>
    <row r="2655">
      <c r="B2655" s="39" t="inlineStr">
        <is>
          <t>PIGIER_BOR</t>
        </is>
      </c>
      <c r="C2655" s="40" t="inlineStr">
        <is>
          <t>BAC_RH</t>
        </is>
      </c>
      <c r="D2655" s="40" t="inlineStr">
        <is>
          <t>B3</t>
        </is>
      </c>
      <c r="E2655" s="40" t="inlineStr">
        <is>
          <t>ALT</t>
        </is>
      </c>
      <c r="F2655" s="40" t="inlineStr">
        <is>
          <t>DRV_PASS</t>
        </is>
      </c>
      <c r="G2655" s="39" t="inlineStr">
        <is>
          <t>Taux de passage (réinscription)</t>
        </is>
      </c>
      <c r="H2655" s="40" t="inlineStr">
        <is>
          <t>TECHNIQUE</t>
        </is>
      </c>
      <c r="I2655" s="41" t="inlineStr">
        <is>
          <t>2024ACT_VDEF</t>
        </is>
      </c>
      <c r="J2655" s="41" t="n">
        <v>2024</v>
      </c>
      <c r="K2655" s="41" t="inlineStr">
        <is>
          <t>PCT</t>
        </is>
      </c>
      <c r="L2655" s="44" t="n">
        <v>0.95</v>
      </c>
    </row>
    <row r="2656">
      <c r="B2656" s="39" t="inlineStr">
        <is>
          <t>PIGIER_BOR</t>
        </is>
      </c>
      <c r="C2656" s="40" t="inlineStr">
        <is>
          <t>BAC_RH</t>
        </is>
      </c>
      <c r="D2656" s="40" t="inlineStr">
        <is>
          <t>B3</t>
        </is>
      </c>
      <c r="E2656" s="40" t="inlineStr">
        <is>
          <t>ALT</t>
        </is>
      </c>
      <c r="F2656" s="40" t="inlineStr">
        <is>
          <t>DRV_PASS</t>
        </is>
      </c>
      <c r="G2656" s="39" t="inlineStr">
        <is>
          <t>Taux de passage (réinscription)</t>
        </is>
      </c>
      <c r="H2656" s="40" t="inlineStr">
        <is>
          <t>TECHNIQUE</t>
        </is>
      </c>
      <c r="I2656" s="41" t="inlineStr">
        <is>
          <t>2025FCST_V4</t>
        </is>
      </c>
      <c r="J2656" s="41" t="n">
        <v>2025</v>
      </c>
      <c r="K2656" s="41" t="inlineStr">
        <is>
          <t>PCT</t>
        </is>
      </c>
      <c r="L2656" s="44" t="n">
        <v>0.95</v>
      </c>
    </row>
    <row r="2657">
      <c r="B2657" s="39" t="inlineStr">
        <is>
          <t>PIGIER_BOR</t>
        </is>
      </c>
      <c r="C2657" s="40" t="inlineStr">
        <is>
          <t>BAC_RH</t>
        </is>
      </c>
      <c r="D2657" s="40" t="inlineStr">
        <is>
          <t>B3</t>
        </is>
      </c>
      <c r="E2657" s="40" t="inlineStr">
        <is>
          <t>ALT</t>
        </is>
      </c>
      <c r="F2657" s="40" t="inlineStr">
        <is>
          <t>PRX_TARIF</t>
        </is>
      </c>
      <c r="G2657" s="39" t="inlineStr">
        <is>
          <t>Tarif moyen scolarité</t>
        </is>
      </c>
      <c r="H2657" s="40" t="inlineStr">
        <is>
          <t>TECHNIQUE</t>
        </is>
      </c>
      <c r="I2657" s="41" t="inlineStr">
        <is>
          <t>2023ACT_VDEF</t>
        </is>
      </c>
      <c r="J2657" s="41" t="n">
        <v>2023</v>
      </c>
      <c r="K2657" s="41" t="inlineStr">
        <is>
          <t>EUR</t>
        </is>
      </c>
      <c r="L2657" s="42" t="n">
        <v>8000</v>
      </c>
    </row>
    <row r="2658">
      <c r="B2658" s="39" t="inlineStr">
        <is>
          <t>PIGIER_BOR</t>
        </is>
      </c>
      <c r="C2658" s="40" t="inlineStr">
        <is>
          <t>BAC_RH</t>
        </is>
      </c>
      <c r="D2658" s="40" t="inlineStr">
        <is>
          <t>B3</t>
        </is>
      </c>
      <c r="E2658" s="40" t="inlineStr">
        <is>
          <t>ALT</t>
        </is>
      </c>
      <c r="F2658" s="40" t="inlineStr">
        <is>
          <t>PRX_TARIF</t>
        </is>
      </c>
      <c r="G2658" s="39" t="inlineStr">
        <is>
          <t>Tarif moyen scolarité</t>
        </is>
      </c>
      <c r="H2658" s="40" t="inlineStr">
        <is>
          <t>TECHNIQUE</t>
        </is>
      </c>
      <c r="I2658" s="41" t="inlineStr">
        <is>
          <t>2024ACT_VDEF</t>
        </is>
      </c>
      <c r="J2658" s="41" t="n">
        <v>2024</v>
      </c>
      <c r="K2658" s="41" t="inlineStr">
        <is>
          <t>EUR</t>
        </is>
      </c>
      <c r="L2658" s="42" t="n">
        <v>8000</v>
      </c>
    </row>
    <row r="2659">
      <c r="B2659" s="39" t="inlineStr">
        <is>
          <t>PIGIER_BOR</t>
        </is>
      </c>
      <c r="C2659" s="40" t="inlineStr">
        <is>
          <t>BAC_RH</t>
        </is>
      </c>
      <c r="D2659" s="40" t="inlineStr">
        <is>
          <t>B3</t>
        </is>
      </c>
      <c r="E2659" s="40" t="inlineStr">
        <is>
          <t>ALT</t>
        </is>
      </c>
      <c r="F2659" s="40" t="inlineStr">
        <is>
          <t>PRX_TARIF</t>
        </is>
      </c>
      <c r="G2659" s="39" t="inlineStr">
        <is>
          <t>Tarif moyen scolarité</t>
        </is>
      </c>
      <c r="H2659" s="40" t="inlineStr">
        <is>
          <t>TECHNIQUE</t>
        </is>
      </c>
      <c r="I2659" s="41" t="inlineStr">
        <is>
          <t>2025FCST_V4</t>
        </is>
      </c>
      <c r="J2659" s="41" t="n">
        <v>2025</v>
      </c>
      <c r="K2659" s="41" t="inlineStr">
        <is>
          <t>EUR</t>
        </is>
      </c>
      <c r="L2659" s="42" t="n">
        <v>8000</v>
      </c>
    </row>
    <row r="2660">
      <c r="B2660" s="39" t="inlineStr">
        <is>
          <t>TUNON_PAR</t>
        </is>
      </c>
      <c r="C2660" s="40" t="inlineStr">
        <is>
          <t>BAC_TOU</t>
        </is>
      </c>
      <c r="D2660" s="40" t="inlineStr">
        <is>
          <t>B1</t>
        </is>
      </c>
      <c r="E2660" s="40" t="inlineStr">
        <is>
          <t>ALT</t>
        </is>
      </c>
      <c r="F2660" s="40" t="inlineStr">
        <is>
          <t>706100</t>
        </is>
      </c>
      <c r="G2660" s="39" t="inlineStr">
        <is>
          <t>Droits de scolarité</t>
        </is>
      </c>
      <c r="H2660" s="40" t="inlineStr">
        <is>
          <t>COMPTABLE</t>
        </is>
      </c>
      <c r="I2660" s="41" t="inlineStr">
        <is>
          <t>2023ACT_VDEF</t>
        </is>
      </c>
      <c r="J2660" s="41" t="n">
        <v>2023</v>
      </c>
      <c r="K2660" s="41" t="inlineStr">
        <is>
          <t>EUR</t>
        </is>
      </c>
      <c r="L2660" s="42" t="n">
        <v>338400</v>
      </c>
    </row>
    <row r="2661">
      <c r="B2661" s="39" t="inlineStr">
        <is>
          <t>TUNON_PAR</t>
        </is>
      </c>
      <c r="C2661" s="40" t="inlineStr">
        <is>
          <t>BAC_TOU</t>
        </is>
      </c>
      <c r="D2661" s="40" t="inlineStr">
        <is>
          <t>B1</t>
        </is>
      </c>
      <c r="E2661" s="40" t="inlineStr">
        <is>
          <t>ALT</t>
        </is>
      </c>
      <c r="F2661" s="40" t="inlineStr">
        <is>
          <t>706100</t>
        </is>
      </c>
      <c r="G2661" s="39" t="inlineStr">
        <is>
          <t>Droits de scolarité</t>
        </is>
      </c>
      <c r="H2661" s="40" t="inlineStr">
        <is>
          <t>COMPTABLE</t>
        </is>
      </c>
      <c r="I2661" s="41" t="inlineStr">
        <is>
          <t>2024ACT_VDEF</t>
        </is>
      </c>
      <c r="J2661" s="41" t="n">
        <v>2024</v>
      </c>
      <c r="K2661" s="41" t="inlineStr">
        <is>
          <t>EUR</t>
        </is>
      </c>
      <c r="L2661" s="42" t="n">
        <v>357200</v>
      </c>
    </row>
    <row r="2662">
      <c r="B2662" s="39" t="inlineStr">
        <is>
          <t>TUNON_PAR</t>
        </is>
      </c>
      <c r="C2662" s="40" t="inlineStr">
        <is>
          <t>BAC_TOU</t>
        </is>
      </c>
      <c r="D2662" s="40" t="inlineStr">
        <is>
          <t>B1</t>
        </is>
      </c>
      <c r="E2662" s="40" t="inlineStr">
        <is>
          <t>ALT</t>
        </is>
      </c>
      <c r="F2662" s="40" t="inlineStr">
        <is>
          <t>706100</t>
        </is>
      </c>
      <c r="G2662" s="39" t="inlineStr">
        <is>
          <t>Droits de scolarité</t>
        </is>
      </c>
      <c r="H2662" s="40" t="inlineStr">
        <is>
          <t>COMPTABLE</t>
        </is>
      </c>
      <c r="I2662" s="41" t="inlineStr">
        <is>
          <t>2025FCST_V4</t>
        </is>
      </c>
      <c r="J2662" s="41" t="n">
        <v>2025</v>
      </c>
      <c r="K2662" s="41" t="inlineStr">
        <is>
          <t>EUR</t>
        </is>
      </c>
      <c r="L2662" s="42" t="n">
        <v>376000</v>
      </c>
    </row>
    <row r="2663">
      <c r="B2663" s="39" t="inlineStr">
        <is>
          <t>TUNON_PAR</t>
        </is>
      </c>
      <c r="C2663" s="40" t="inlineStr">
        <is>
          <t>BAC_TOU</t>
        </is>
      </c>
      <c r="D2663" s="40" t="inlineStr">
        <is>
          <t>B1</t>
        </is>
      </c>
      <c r="E2663" s="40" t="inlineStr">
        <is>
          <t>ALT</t>
        </is>
      </c>
      <c r="F2663" s="40" t="inlineStr">
        <is>
          <t>708500</t>
        </is>
      </c>
      <c r="G2663" s="39" t="inlineStr">
        <is>
          <t>Frais de dossier / inscription</t>
        </is>
      </c>
      <c r="H2663" s="40" t="inlineStr">
        <is>
          <t>COMPTABLE</t>
        </is>
      </c>
      <c r="I2663" s="41" t="inlineStr">
        <is>
          <t>2023ACT_VDEF</t>
        </is>
      </c>
      <c r="J2663" s="41" t="n">
        <v>2023</v>
      </c>
      <c r="K2663" s="41" t="inlineStr">
        <is>
          <t>EUR</t>
        </is>
      </c>
      <c r="L2663" s="42" t="n">
        <v>3807</v>
      </c>
    </row>
    <row r="2664">
      <c r="B2664" s="39" t="inlineStr">
        <is>
          <t>TUNON_PAR</t>
        </is>
      </c>
      <c r="C2664" s="40" t="inlineStr">
        <is>
          <t>BAC_TOU</t>
        </is>
      </c>
      <c r="D2664" s="40" t="inlineStr">
        <is>
          <t>B1</t>
        </is>
      </c>
      <c r="E2664" s="40" t="inlineStr">
        <is>
          <t>ALT</t>
        </is>
      </c>
      <c r="F2664" s="40" t="inlineStr">
        <is>
          <t>708500</t>
        </is>
      </c>
      <c r="G2664" s="39" t="inlineStr">
        <is>
          <t>Frais de dossier / inscription</t>
        </is>
      </c>
      <c r="H2664" s="40" t="inlineStr">
        <is>
          <t>COMPTABLE</t>
        </is>
      </c>
      <c r="I2664" s="41" t="inlineStr">
        <is>
          <t>2024ACT_VDEF</t>
        </is>
      </c>
      <c r="J2664" s="41" t="n">
        <v>2024</v>
      </c>
      <c r="K2664" s="41" t="inlineStr">
        <is>
          <t>EUR</t>
        </is>
      </c>
      <c r="L2664" s="42" t="n">
        <v>4018</v>
      </c>
    </row>
    <row r="2665">
      <c r="B2665" s="39" t="inlineStr">
        <is>
          <t>TUNON_PAR</t>
        </is>
      </c>
      <c r="C2665" s="40" t="inlineStr">
        <is>
          <t>BAC_TOU</t>
        </is>
      </c>
      <c r="D2665" s="40" t="inlineStr">
        <is>
          <t>B1</t>
        </is>
      </c>
      <c r="E2665" s="40" t="inlineStr">
        <is>
          <t>ALT</t>
        </is>
      </c>
      <c r="F2665" s="40" t="inlineStr">
        <is>
          <t>708500</t>
        </is>
      </c>
      <c r="G2665" s="39" t="inlineStr">
        <is>
          <t>Frais de dossier / inscription</t>
        </is>
      </c>
      <c r="H2665" s="40" t="inlineStr">
        <is>
          <t>COMPTABLE</t>
        </is>
      </c>
      <c r="I2665" s="41" t="inlineStr">
        <is>
          <t>2025FCST_V4</t>
        </is>
      </c>
      <c r="J2665" s="41" t="n">
        <v>2025</v>
      </c>
      <c r="K2665" s="41" t="inlineStr">
        <is>
          <t>EUR</t>
        </is>
      </c>
      <c r="L2665" s="42" t="n">
        <v>4230</v>
      </c>
    </row>
    <row r="2666">
      <c r="B2666" s="39" t="inlineStr">
        <is>
          <t>TUNON_PAR</t>
        </is>
      </c>
      <c r="C2666" s="40" t="inlineStr">
        <is>
          <t>BAC_TOU</t>
        </is>
      </c>
      <c r="D2666" s="40" t="inlineStr">
        <is>
          <t>B1</t>
        </is>
      </c>
      <c r="E2666" s="40" t="inlineStr">
        <is>
          <t>ALT</t>
        </is>
      </c>
      <c r="F2666" s="40" t="inlineStr">
        <is>
          <t>604100</t>
        </is>
      </c>
      <c r="G2666" s="39" t="inlineStr">
        <is>
          <t>Vacations &amp; sous-traitance pédagogique</t>
        </is>
      </c>
      <c r="H2666" s="40" t="inlineStr">
        <is>
          <t>COMPTABLE</t>
        </is>
      </c>
      <c r="I2666" s="41" t="inlineStr">
        <is>
          <t>2023ACT_VDEF</t>
        </is>
      </c>
      <c r="J2666" s="41" t="n">
        <v>2023</v>
      </c>
      <c r="K2666" s="41" t="inlineStr">
        <is>
          <t>EUR</t>
        </is>
      </c>
      <c r="L2666" s="42" t="n">
        <v>60480</v>
      </c>
    </row>
    <row r="2667">
      <c r="B2667" s="39" t="inlineStr">
        <is>
          <t>TUNON_PAR</t>
        </is>
      </c>
      <c r="C2667" s="40" t="inlineStr">
        <is>
          <t>BAC_TOU</t>
        </is>
      </c>
      <c r="D2667" s="40" t="inlineStr">
        <is>
          <t>B1</t>
        </is>
      </c>
      <c r="E2667" s="40" t="inlineStr">
        <is>
          <t>ALT</t>
        </is>
      </c>
      <c r="F2667" s="40" t="inlineStr">
        <is>
          <t>604100</t>
        </is>
      </c>
      <c r="G2667" s="39" t="inlineStr">
        <is>
          <t>Vacations &amp; sous-traitance pédagogique</t>
        </is>
      </c>
      <c r="H2667" s="40" t="inlineStr">
        <is>
          <t>COMPTABLE</t>
        </is>
      </c>
      <c r="I2667" s="41" t="inlineStr">
        <is>
          <t>2024ACT_VDEF</t>
        </is>
      </c>
      <c r="J2667" s="41" t="n">
        <v>2024</v>
      </c>
      <c r="K2667" s="41" t="inlineStr">
        <is>
          <t>EUR</t>
        </is>
      </c>
      <c r="L2667" s="42" t="n">
        <v>63840</v>
      </c>
    </row>
    <row r="2668">
      <c r="B2668" s="39" t="inlineStr">
        <is>
          <t>TUNON_PAR</t>
        </is>
      </c>
      <c r="C2668" s="40" t="inlineStr">
        <is>
          <t>BAC_TOU</t>
        </is>
      </c>
      <c r="D2668" s="40" t="inlineStr">
        <is>
          <t>B1</t>
        </is>
      </c>
      <c r="E2668" s="40" t="inlineStr">
        <is>
          <t>ALT</t>
        </is>
      </c>
      <c r="F2668" s="40" t="inlineStr">
        <is>
          <t>604100</t>
        </is>
      </c>
      <c r="G2668" s="39" t="inlineStr">
        <is>
          <t>Vacations &amp; sous-traitance pédagogique</t>
        </is>
      </c>
      <c r="H2668" s="40" t="inlineStr">
        <is>
          <t>COMPTABLE</t>
        </is>
      </c>
      <c r="I2668" s="41" t="inlineStr">
        <is>
          <t>2025FCST_V4</t>
        </is>
      </c>
      <c r="J2668" s="41" t="n">
        <v>2025</v>
      </c>
      <c r="K2668" s="41" t="inlineStr">
        <is>
          <t>EUR</t>
        </is>
      </c>
      <c r="L2668" s="42" t="n">
        <v>67200</v>
      </c>
    </row>
    <row r="2669">
      <c r="B2669" s="39" t="inlineStr">
        <is>
          <t>TUNON_PAR</t>
        </is>
      </c>
      <c r="C2669" s="40" t="inlineStr">
        <is>
          <t>BAC_TOU</t>
        </is>
      </c>
      <c r="D2669" s="40" t="inlineStr">
        <is>
          <t>B1</t>
        </is>
      </c>
      <c r="E2669" s="40" t="inlineStr">
        <is>
          <t>ALT</t>
        </is>
      </c>
      <c r="F2669" s="40" t="inlineStr">
        <is>
          <t>606300</t>
        </is>
      </c>
      <c r="G2669" s="39" t="inlineStr">
        <is>
          <t>Fournitures &amp; ressources pédagogiques</t>
        </is>
      </c>
      <c r="H2669" s="40" t="inlineStr">
        <is>
          <t>COMPTABLE</t>
        </is>
      </c>
      <c r="I2669" s="41" t="inlineStr">
        <is>
          <t>2023ACT_VDEF</t>
        </is>
      </c>
      <c r="J2669" s="41" t="n">
        <v>2023</v>
      </c>
      <c r="K2669" s="41" t="inlineStr">
        <is>
          <t>EUR</t>
        </is>
      </c>
      <c r="L2669" s="42" t="n">
        <v>19035</v>
      </c>
    </row>
    <row r="2670">
      <c r="B2670" s="39" t="inlineStr">
        <is>
          <t>TUNON_PAR</t>
        </is>
      </c>
      <c r="C2670" s="40" t="inlineStr">
        <is>
          <t>BAC_TOU</t>
        </is>
      </c>
      <c r="D2670" s="40" t="inlineStr">
        <is>
          <t>B1</t>
        </is>
      </c>
      <c r="E2670" s="40" t="inlineStr">
        <is>
          <t>ALT</t>
        </is>
      </c>
      <c r="F2670" s="40" t="inlineStr">
        <is>
          <t>606300</t>
        </is>
      </c>
      <c r="G2670" s="39" t="inlineStr">
        <is>
          <t>Fournitures &amp; ressources pédagogiques</t>
        </is>
      </c>
      <c r="H2670" s="40" t="inlineStr">
        <is>
          <t>COMPTABLE</t>
        </is>
      </c>
      <c r="I2670" s="41" t="inlineStr">
        <is>
          <t>2024ACT_VDEF</t>
        </is>
      </c>
      <c r="J2670" s="41" t="n">
        <v>2024</v>
      </c>
      <c r="K2670" s="41" t="inlineStr">
        <is>
          <t>EUR</t>
        </is>
      </c>
      <c r="L2670" s="42" t="n">
        <v>20092</v>
      </c>
    </row>
    <row r="2671">
      <c r="B2671" s="39" t="inlineStr">
        <is>
          <t>TUNON_PAR</t>
        </is>
      </c>
      <c r="C2671" s="40" t="inlineStr">
        <is>
          <t>BAC_TOU</t>
        </is>
      </c>
      <c r="D2671" s="40" t="inlineStr">
        <is>
          <t>B1</t>
        </is>
      </c>
      <c r="E2671" s="40" t="inlineStr">
        <is>
          <t>ALT</t>
        </is>
      </c>
      <c r="F2671" s="40" t="inlineStr">
        <is>
          <t>606300</t>
        </is>
      </c>
      <c r="G2671" s="39" t="inlineStr">
        <is>
          <t>Fournitures &amp; ressources pédagogiques</t>
        </is>
      </c>
      <c r="H2671" s="40" t="inlineStr">
        <is>
          <t>COMPTABLE</t>
        </is>
      </c>
      <c r="I2671" s="41" t="inlineStr">
        <is>
          <t>2025FCST_V4</t>
        </is>
      </c>
      <c r="J2671" s="41" t="n">
        <v>2025</v>
      </c>
      <c r="K2671" s="41" t="inlineStr">
        <is>
          <t>EUR</t>
        </is>
      </c>
      <c r="L2671" s="42" t="n">
        <v>21150</v>
      </c>
    </row>
    <row r="2672">
      <c r="B2672" s="39" t="inlineStr">
        <is>
          <t>TUNON_PAR</t>
        </is>
      </c>
      <c r="C2672" s="40" t="inlineStr">
        <is>
          <t>BAC_TOU</t>
        </is>
      </c>
      <c r="D2672" s="40" t="inlineStr">
        <is>
          <t>B1</t>
        </is>
      </c>
      <c r="E2672" s="40" t="inlineStr">
        <is>
          <t>ALT</t>
        </is>
      </c>
      <c r="F2672" s="40" t="inlineStr">
        <is>
          <t>623000</t>
        </is>
      </c>
      <c r="G2672" s="39" t="inlineStr">
        <is>
          <t>Publicité &amp; marketing (acquisition)</t>
        </is>
      </c>
      <c r="H2672" s="40" t="inlineStr">
        <is>
          <t>COMPTABLE</t>
        </is>
      </c>
      <c r="I2672" s="41" t="inlineStr">
        <is>
          <t>2023ACT_VDEF</t>
        </is>
      </c>
      <c r="J2672" s="41" t="n">
        <v>2023</v>
      </c>
      <c r="K2672" s="41" t="inlineStr">
        <is>
          <t>EUR</t>
        </is>
      </c>
      <c r="L2672" s="42" t="n">
        <v>13536</v>
      </c>
    </row>
    <row r="2673">
      <c r="B2673" s="39" t="inlineStr">
        <is>
          <t>TUNON_PAR</t>
        </is>
      </c>
      <c r="C2673" s="40" t="inlineStr">
        <is>
          <t>BAC_TOU</t>
        </is>
      </c>
      <c r="D2673" s="40" t="inlineStr">
        <is>
          <t>B1</t>
        </is>
      </c>
      <c r="E2673" s="40" t="inlineStr">
        <is>
          <t>ALT</t>
        </is>
      </c>
      <c r="F2673" s="40" t="inlineStr">
        <is>
          <t>623000</t>
        </is>
      </c>
      <c r="G2673" s="39" t="inlineStr">
        <is>
          <t>Publicité &amp; marketing (acquisition)</t>
        </is>
      </c>
      <c r="H2673" s="40" t="inlineStr">
        <is>
          <t>COMPTABLE</t>
        </is>
      </c>
      <c r="I2673" s="41" t="inlineStr">
        <is>
          <t>2024ACT_VDEF</t>
        </is>
      </c>
      <c r="J2673" s="41" t="n">
        <v>2024</v>
      </c>
      <c r="K2673" s="41" t="inlineStr">
        <is>
          <t>EUR</t>
        </is>
      </c>
      <c r="L2673" s="42" t="n">
        <v>14288</v>
      </c>
    </row>
    <row r="2674">
      <c r="B2674" s="39" t="inlineStr">
        <is>
          <t>TUNON_PAR</t>
        </is>
      </c>
      <c r="C2674" s="40" t="inlineStr">
        <is>
          <t>BAC_TOU</t>
        </is>
      </c>
      <c r="D2674" s="40" t="inlineStr">
        <is>
          <t>B1</t>
        </is>
      </c>
      <c r="E2674" s="40" t="inlineStr">
        <is>
          <t>ALT</t>
        </is>
      </c>
      <c r="F2674" s="40" t="inlineStr">
        <is>
          <t>623000</t>
        </is>
      </c>
      <c r="G2674" s="39" t="inlineStr">
        <is>
          <t>Publicité &amp; marketing (acquisition)</t>
        </is>
      </c>
      <c r="H2674" s="40" t="inlineStr">
        <is>
          <t>COMPTABLE</t>
        </is>
      </c>
      <c r="I2674" s="41" t="inlineStr">
        <is>
          <t>2025FCST_V4</t>
        </is>
      </c>
      <c r="J2674" s="41" t="n">
        <v>2025</v>
      </c>
      <c r="K2674" s="41" t="inlineStr">
        <is>
          <t>EUR</t>
        </is>
      </c>
      <c r="L2674" s="42" t="n">
        <v>15040</v>
      </c>
    </row>
    <row r="2675">
      <c r="B2675" s="39" t="inlineStr">
        <is>
          <t>TUNON_PAR</t>
        </is>
      </c>
      <c r="C2675" s="40" t="inlineStr">
        <is>
          <t>BAC_TOU</t>
        </is>
      </c>
      <c r="D2675" s="40" t="inlineStr">
        <is>
          <t>B1</t>
        </is>
      </c>
      <c r="E2675" s="40" t="inlineStr">
        <is>
          <t>ALT</t>
        </is>
      </c>
      <c r="F2675" s="40" t="inlineStr">
        <is>
          <t>613200</t>
        </is>
      </c>
      <c r="G2675" s="39" t="inlineStr">
        <is>
          <t>Locations immobilières (loyers)</t>
        </is>
      </c>
      <c r="H2675" s="40" t="inlineStr">
        <is>
          <t>COMPTABLE</t>
        </is>
      </c>
      <c r="I2675" s="41" t="inlineStr">
        <is>
          <t>2023ACT_VDEF</t>
        </is>
      </c>
      <c r="J2675" s="41" t="n">
        <v>2023</v>
      </c>
      <c r="K2675" s="41" t="inlineStr">
        <is>
          <t>EUR</t>
        </is>
      </c>
      <c r="L2675" s="42" t="n">
        <v>32400</v>
      </c>
    </row>
    <row r="2676">
      <c r="B2676" s="39" t="inlineStr">
        <is>
          <t>TUNON_PAR</t>
        </is>
      </c>
      <c r="C2676" s="40" t="inlineStr">
        <is>
          <t>BAC_TOU</t>
        </is>
      </c>
      <c r="D2676" s="40" t="inlineStr">
        <is>
          <t>B1</t>
        </is>
      </c>
      <c r="E2676" s="40" t="inlineStr">
        <is>
          <t>ALT</t>
        </is>
      </c>
      <c r="F2676" s="40" t="inlineStr">
        <is>
          <t>613200</t>
        </is>
      </c>
      <c r="G2676" s="39" t="inlineStr">
        <is>
          <t>Locations immobilières (loyers)</t>
        </is>
      </c>
      <c r="H2676" s="40" t="inlineStr">
        <is>
          <t>COMPTABLE</t>
        </is>
      </c>
      <c r="I2676" s="41" t="inlineStr">
        <is>
          <t>2024ACT_VDEF</t>
        </is>
      </c>
      <c r="J2676" s="41" t="n">
        <v>2024</v>
      </c>
      <c r="K2676" s="41" t="inlineStr">
        <is>
          <t>EUR</t>
        </is>
      </c>
      <c r="L2676" s="42" t="n">
        <v>34200</v>
      </c>
    </row>
    <row r="2677">
      <c r="B2677" s="39" t="inlineStr">
        <is>
          <t>TUNON_PAR</t>
        </is>
      </c>
      <c r="C2677" s="40" t="inlineStr">
        <is>
          <t>BAC_TOU</t>
        </is>
      </c>
      <c r="D2677" s="40" t="inlineStr">
        <is>
          <t>B1</t>
        </is>
      </c>
      <c r="E2677" s="40" t="inlineStr">
        <is>
          <t>ALT</t>
        </is>
      </c>
      <c r="F2677" s="40" t="inlineStr">
        <is>
          <t>613200</t>
        </is>
      </c>
      <c r="G2677" s="39" t="inlineStr">
        <is>
          <t>Locations immobilières (loyers)</t>
        </is>
      </c>
      <c r="H2677" s="40" t="inlineStr">
        <is>
          <t>COMPTABLE</t>
        </is>
      </c>
      <c r="I2677" s="41" t="inlineStr">
        <is>
          <t>2025FCST_V4</t>
        </is>
      </c>
      <c r="J2677" s="41" t="n">
        <v>2025</v>
      </c>
      <c r="K2677" s="41" t="inlineStr">
        <is>
          <t>EUR</t>
        </is>
      </c>
      <c r="L2677" s="42" t="n">
        <v>36000</v>
      </c>
    </row>
    <row r="2678">
      <c r="B2678" s="39" t="inlineStr">
        <is>
          <t>TUNON_PAR</t>
        </is>
      </c>
      <c r="C2678" s="40" t="inlineStr">
        <is>
          <t>BAC_TOU</t>
        </is>
      </c>
      <c r="D2678" s="40" t="inlineStr">
        <is>
          <t>B1</t>
        </is>
      </c>
      <c r="E2678" s="40" t="inlineStr">
        <is>
          <t>ALT</t>
        </is>
      </c>
      <c r="F2678" s="40" t="inlineStr">
        <is>
          <t>641100</t>
        </is>
      </c>
      <c r="G2678" s="39" t="inlineStr">
        <is>
          <t>Rémunérations du personnel permanent</t>
        </is>
      </c>
      <c r="H2678" s="40" t="inlineStr">
        <is>
          <t>COMPTABLE</t>
        </is>
      </c>
      <c r="I2678" s="41" t="inlineStr">
        <is>
          <t>2023ACT_VDEF</t>
        </is>
      </c>
      <c r="J2678" s="41" t="n">
        <v>2023</v>
      </c>
      <c r="K2678" s="41" t="inlineStr">
        <is>
          <t>EUR</t>
        </is>
      </c>
      <c r="L2678" s="42" t="n">
        <v>87000</v>
      </c>
    </row>
    <row r="2679">
      <c r="B2679" s="39" t="inlineStr">
        <is>
          <t>TUNON_PAR</t>
        </is>
      </c>
      <c r="C2679" s="40" t="inlineStr">
        <is>
          <t>BAC_TOU</t>
        </is>
      </c>
      <c r="D2679" s="40" t="inlineStr">
        <is>
          <t>B1</t>
        </is>
      </c>
      <c r="E2679" s="40" t="inlineStr">
        <is>
          <t>ALT</t>
        </is>
      </c>
      <c r="F2679" s="40" t="inlineStr">
        <is>
          <t>641100</t>
        </is>
      </c>
      <c r="G2679" s="39" t="inlineStr">
        <is>
          <t>Rémunérations du personnel permanent</t>
        </is>
      </c>
      <c r="H2679" s="40" t="inlineStr">
        <is>
          <t>COMPTABLE</t>
        </is>
      </c>
      <c r="I2679" s="41" t="inlineStr">
        <is>
          <t>2024ACT_VDEF</t>
        </is>
      </c>
      <c r="J2679" s="41" t="n">
        <v>2024</v>
      </c>
      <c r="K2679" s="41" t="inlineStr">
        <is>
          <t>EUR</t>
        </is>
      </c>
      <c r="L2679" s="42" t="n">
        <v>91834</v>
      </c>
    </row>
    <row r="2680">
      <c r="B2680" s="39" t="inlineStr">
        <is>
          <t>TUNON_PAR</t>
        </is>
      </c>
      <c r="C2680" s="40" t="inlineStr">
        <is>
          <t>BAC_TOU</t>
        </is>
      </c>
      <c r="D2680" s="40" t="inlineStr">
        <is>
          <t>B1</t>
        </is>
      </c>
      <c r="E2680" s="40" t="inlineStr">
        <is>
          <t>ALT</t>
        </is>
      </c>
      <c r="F2680" s="40" t="inlineStr">
        <is>
          <t>641100</t>
        </is>
      </c>
      <c r="G2680" s="39" t="inlineStr">
        <is>
          <t>Rémunérations du personnel permanent</t>
        </is>
      </c>
      <c r="H2680" s="40" t="inlineStr">
        <is>
          <t>COMPTABLE</t>
        </is>
      </c>
      <c r="I2680" s="41" t="inlineStr">
        <is>
          <t>2025FCST_V4</t>
        </is>
      </c>
      <c r="J2680" s="41" t="n">
        <v>2025</v>
      </c>
      <c r="K2680" s="41" t="inlineStr">
        <is>
          <t>EUR</t>
        </is>
      </c>
      <c r="L2680" s="42" t="n">
        <v>96667</v>
      </c>
    </row>
    <row r="2681">
      <c r="B2681" s="39" t="inlineStr">
        <is>
          <t>TUNON_PAR</t>
        </is>
      </c>
      <c r="C2681" s="40" t="inlineStr">
        <is>
          <t>BAC_TOU</t>
        </is>
      </c>
      <c r="D2681" s="40" t="inlineStr">
        <is>
          <t>B1</t>
        </is>
      </c>
      <c r="E2681" s="40" t="inlineStr">
        <is>
          <t>ALT</t>
        </is>
      </c>
      <c r="F2681" s="40" t="inlineStr">
        <is>
          <t>622600</t>
        </is>
      </c>
      <c r="G2681" s="39" t="inlineStr">
        <is>
          <t>Honoraires &amp; frais de siège (structure groupe)</t>
        </is>
      </c>
      <c r="H2681" s="40" t="inlineStr">
        <is>
          <t>COMPTABLE</t>
        </is>
      </c>
      <c r="I2681" s="41" t="inlineStr">
        <is>
          <t>2023ACT_VDEF</t>
        </is>
      </c>
      <c r="J2681" s="41" t="n">
        <v>2023</v>
      </c>
      <c r="K2681" s="41" t="inlineStr">
        <is>
          <t>EUR</t>
        </is>
      </c>
      <c r="L2681" s="42" t="n">
        <v>29426</v>
      </c>
    </row>
    <row r="2682">
      <c r="B2682" s="39" t="inlineStr">
        <is>
          <t>TUNON_PAR</t>
        </is>
      </c>
      <c r="C2682" s="40" t="inlineStr">
        <is>
          <t>BAC_TOU</t>
        </is>
      </c>
      <c r="D2682" s="40" t="inlineStr">
        <is>
          <t>B1</t>
        </is>
      </c>
      <c r="E2682" s="40" t="inlineStr">
        <is>
          <t>ALT</t>
        </is>
      </c>
      <c r="F2682" s="40" t="inlineStr">
        <is>
          <t>622600</t>
        </is>
      </c>
      <c r="G2682" s="39" t="inlineStr">
        <is>
          <t>Honoraires &amp; frais de siège (structure groupe)</t>
        </is>
      </c>
      <c r="H2682" s="40" t="inlineStr">
        <is>
          <t>COMPTABLE</t>
        </is>
      </c>
      <c r="I2682" s="41" t="inlineStr">
        <is>
          <t>2024ACT_VDEF</t>
        </is>
      </c>
      <c r="J2682" s="41" t="n">
        <v>2024</v>
      </c>
      <c r="K2682" s="41" t="inlineStr">
        <is>
          <t>EUR</t>
        </is>
      </c>
      <c r="L2682" s="42" t="n">
        <v>31061</v>
      </c>
    </row>
    <row r="2683">
      <c r="B2683" s="39" t="inlineStr">
        <is>
          <t>TUNON_PAR</t>
        </is>
      </c>
      <c r="C2683" s="40" t="inlineStr">
        <is>
          <t>BAC_TOU</t>
        </is>
      </c>
      <c r="D2683" s="40" t="inlineStr">
        <is>
          <t>B1</t>
        </is>
      </c>
      <c r="E2683" s="40" t="inlineStr">
        <is>
          <t>ALT</t>
        </is>
      </c>
      <c r="F2683" s="40" t="inlineStr">
        <is>
          <t>622600</t>
        </is>
      </c>
      <c r="G2683" s="39" t="inlineStr">
        <is>
          <t>Honoraires &amp; frais de siège (structure groupe)</t>
        </is>
      </c>
      <c r="H2683" s="40" t="inlineStr">
        <is>
          <t>COMPTABLE</t>
        </is>
      </c>
      <c r="I2683" s="41" t="inlineStr">
        <is>
          <t>2025FCST_V4</t>
        </is>
      </c>
      <c r="J2683" s="41" t="n">
        <v>2025</v>
      </c>
      <c r="K2683" s="41" t="inlineStr">
        <is>
          <t>EUR</t>
        </is>
      </c>
      <c r="L2683" s="42" t="n">
        <v>32696</v>
      </c>
    </row>
    <row r="2684">
      <c r="B2684" s="39" t="inlineStr">
        <is>
          <t>TUNON_PAR</t>
        </is>
      </c>
      <c r="C2684" s="40" t="inlineStr">
        <is>
          <t>BAC_TOU</t>
        </is>
      </c>
      <c r="D2684" s="40" t="inlineStr">
        <is>
          <t>B1</t>
        </is>
      </c>
      <c r="E2684" s="40" t="inlineStr">
        <is>
          <t>ALT</t>
        </is>
      </c>
      <c r="F2684" s="40" t="inlineStr">
        <is>
          <t>606800</t>
        </is>
      </c>
      <c r="G2684" s="39" t="inlineStr">
        <is>
          <t>Autres achats &amp; charges externes</t>
        </is>
      </c>
      <c r="H2684" s="40" t="inlineStr">
        <is>
          <t>COMPTABLE</t>
        </is>
      </c>
      <c r="I2684" s="41" t="inlineStr">
        <is>
          <t>2023ACT_VDEF</t>
        </is>
      </c>
      <c r="J2684" s="41" t="n">
        <v>2023</v>
      </c>
      <c r="K2684" s="41" t="inlineStr">
        <is>
          <t>EUR</t>
        </is>
      </c>
      <c r="L2684" s="42" t="n">
        <v>39508</v>
      </c>
    </row>
    <row r="2685">
      <c r="B2685" s="39" t="inlineStr">
        <is>
          <t>TUNON_PAR</t>
        </is>
      </c>
      <c r="C2685" s="40" t="inlineStr">
        <is>
          <t>BAC_TOU</t>
        </is>
      </c>
      <c r="D2685" s="40" t="inlineStr">
        <is>
          <t>B1</t>
        </is>
      </c>
      <c r="E2685" s="40" t="inlineStr">
        <is>
          <t>ALT</t>
        </is>
      </c>
      <c r="F2685" s="40" t="inlineStr">
        <is>
          <t>606800</t>
        </is>
      </c>
      <c r="G2685" s="39" t="inlineStr">
        <is>
          <t>Autres achats &amp; charges externes</t>
        </is>
      </c>
      <c r="H2685" s="40" t="inlineStr">
        <is>
          <t>COMPTABLE</t>
        </is>
      </c>
      <c r="I2685" s="41" t="inlineStr">
        <is>
          <t>2024ACT_VDEF</t>
        </is>
      </c>
      <c r="J2685" s="41" t="n">
        <v>2024</v>
      </c>
      <c r="K2685" s="41" t="inlineStr">
        <is>
          <t>EUR</t>
        </is>
      </c>
      <c r="L2685" s="42" t="n">
        <v>41703</v>
      </c>
    </row>
    <row r="2686">
      <c r="B2686" s="39" t="inlineStr">
        <is>
          <t>TUNON_PAR</t>
        </is>
      </c>
      <c r="C2686" s="40" t="inlineStr">
        <is>
          <t>BAC_TOU</t>
        </is>
      </c>
      <c r="D2686" s="40" t="inlineStr">
        <is>
          <t>B1</t>
        </is>
      </c>
      <c r="E2686" s="40" t="inlineStr">
        <is>
          <t>ALT</t>
        </is>
      </c>
      <c r="F2686" s="40" t="inlineStr">
        <is>
          <t>606800</t>
        </is>
      </c>
      <c r="G2686" s="39" t="inlineStr">
        <is>
          <t>Autres achats &amp; charges externes</t>
        </is>
      </c>
      <c r="H2686" s="40" t="inlineStr">
        <is>
          <t>COMPTABLE</t>
        </is>
      </c>
      <c r="I2686" s="41" t="inlineStr">
        <is>
          <t>2025FCST_V4</t>
        </is>
      </c>
      <c r="J2686" s="41" t="n">
        <v>2025</v>
      </c>
      <c r="K2686" s="41" t="inlineStr">
        <is>
          <t>EUR</t>
        </is>
      </c>
      <c r="L2686" s="42" t="n">
        <v>43898</v>
      </c>
    </row>
    <row r="2687">
      <c r="B2687" s="39" t="inlineStr">
        <is>
          <t>TUNON_PAR</t>
        </is>
      </c>
      <c r="C2687" s="40" t="inlineStr">
        <is>
          <t>BAC_TOU</t>
        </is>
      </c>
      <c r="D2687" s="40" t="inlineStr">
        <is>
          <t>B1</t>
        </is>
      </c>
      <c r="E2687" s="40" t="inlineStr">
        <is>
          <t>ALT</t>
        </is>
      </c>
      <c r="F2687" s="40" t="inlineStr">
        <is>
          <t>681100</t>
        </is>
      </c>
      <c r="G2687" s="39" t="inlineStr">
        <is>
          <t>Dotations aux amortissements</t>
        </is>
      </c>
      <c r="H2687" s="40" t="inlineStr">
        <is>
          <t>COMPTABLE</t>
        </is>
      </c>
      <c r="I2687" s="41" t="inlineStr">
        <is>
          <t>2023ACT_VDEF</t>
        </is>
      </c>
      <c r="J2687" s="41" t="n">
        <v>2023</v>
      </c>
      <c r="K2687" s="41" t="inlineStr">
        <is>
          <t>EUR</t>
        </is>
      </c>
      <c r="L2687" s="42" t="n">
        <v>17700</v>
      </c>
    </row>
    <row r="2688">
      <c r="B2688" s="39" t="inlineStr">
        <is>
          <t>TUNON_PAR</t>
        </is>
      </c>
      <c r="C2688" s="40" t="inlineStr">
        <is>
          <t>BAC_TOU</t>
        </is>
      </c>
      <c r="D2688" s="40" t="inlineStr">
        <is>
          <t>B1</t>
        </is>
      </c>
      <c r="E2688" s="40" t="inlineStr">
        <is>
          <t>ALT</t>
        </is>
      </c>
      <c r="F2688" s="40" t="inlineStr">
        <is>
          <t>681100</t>
        </is>
      </c>
      <c r="G2688" s="39" t="inlineStr">
        <is>
          <t>Dotations aux amortissements</t>
        </is>
      </c>
      <c r="H2688" s="40" t="inlineStr">
        <is>
          <t>COMPTABLE</t>
        </is>
      </c>
      <c r="I2688" s="41" t="inlineStr">
        <is>
          <t>2024ACT_VDEF</t>
        </is>
      </c>
      <c r="J2688" s="41" t="n">
        <v>2024</v>
      </c>
      <c r="K2688" s="41" t="inlineStr">
        <is>
          <t>EUR</t>
        </is>
      </c>
      <c r="L2688" s="42" t="n">
        <v>18684</v>
      </c>
    </row>
    <row r="2689">
      <c r="B2689" s="39" t="inlineStr">
        <is>
          <t>TUNON_PAR</t>
        </is>
      </c>
      <c r="C2689" s="40" t="inlineStr">
        <is>
          <t>BAC_TOU</t>
        </is>
      </c>
      <c r="D2689" s="40" t="inlineStr">
        <is>
          <t>B1</t>
        </is>
      </c>
      <c r="E2689" s="40" t="inlineStr">
        <is>
          <t>ALT</t>
        </is>
      </c>
      <c r="F2689" s="40" t="inlineStr">
        <is>
          <t>681100</t>
        </is>
      </c>
      <c r="G2689" s="39" t="inlineStr">
        <is>
          <t>Dotations aux amortissements</t>
        </is>
      </c>
      <c r="H2689" s="40" t="inlineStr">
        <is>
          <t>COMPTABLE</t>
        </is>
      </c>
      <c r="I2689" s="41" t="inlineStr">
        <is>
          <t>2025FCST_V4</t>
        </is>
      </c>
      <c r="J2689" s="41" t="n">
        <v>2025</v>
      </c>
      <c r="K2689" s="41" t="inlineStr">
        <is>
          <t>EUR</t>
        </is>
      </c>
      <c r="L2689" s="42" t="n">
        <v>19667</v>
      </c>
    </row>
    <row r="2690">
      <c r="B2690" s="39" t="inlineStr">
        <is>
          <t>TUNON_PAR</t>
        </is>
      </c>
      <c r="C2690" s="40" t="inlineStr">
        <is>
          <t>BAC_TOU</t>
        </is>
      </c>
      <c r="D2690" s="40" t="inlineStr">
        <is>
          <t>B1</t>
        </is>
      </c>
      <c r="E2690" s="40" t="inlineStr">
        <is>
          <t>ALT</t>
        </is>
      </c>
      <c r="F2690" s="40" t="inlineStr">
        <is>
          <t>STA_EFF</t>
        </is>
      </c>
      <c r="G2690" s="39" t="inlineStr">
        <is>
          <t>Effectif inscrit</t>
        </is>
      </c>
      <c r="H2690" s="40" t="inlineStr">
        <is>
          <t>TECHNIQUE</t>
        </is>
      </c>
      <c r="I2690" s="41" t="inlineStr">
        <is>
          <t>2023ACT_VDEF</t>
        </is>
      </c>
      <c r="J2690" s="41" t="n">
        <v>2023</v>
      </c>
      <c r="K2690" s="41" t="inlineStr">
        <is>
          <t>NB</t>
        </is>
      </c>
      <c r="L2690" s="43" t="n">
        <v>42</v>
      </c>
    </row>
    <row r="2691">
      <c r="B2691" s="39" t="inlineStr">
        <is>
          <t>TUNON_PAR</t>
        </is>
      </c>
      <c r="C2691" s="40" t="inlineStr">
        <is>
          <t>BAC_TOU</t>
        </is>
      </c>
      <c r="D2691" s="40" t="inlineStr">
        <is>
          <t>B1</t>
        </is>
      </c>
      <c r="E2691" s="40" t="inlineStr">
        <is>
          <t>ALT</t>
        </is>
      </c>
      <c r="F2691" s="40" t="inlineStr">
        <is>
          <t>STA_EFF</t>
        </is>
      </c>
      <c r="G2691" s="39" t="inlineStr">
        <is>
          <t>Effectif inscrit</t>
        </is>
      </c>
      <c r="H2691" s="40" t="inlineStr">
        <is>
          <t>TECHNIQUE</t>
        </is>
      </c>
      <c r="I2691" s="41" t="inlineStr">
        <is>
          <t>2024ACT_VDEF</t>
        </is>
      </c>
      <c r="J2691" s="41" t="n">
        <v>2024</v>
      </c>
      <c r="K2691" s="41" t="inlineStr">
        <is>
          <t>NB</t>
        </is>
      </c>
      <c r="L2691" s="43" t="n">
        <v>45</v>
      </c>
    </row>
    <row r="2692">
      <c r="B2692" s="39" t="inlineStr">
        <is>
          <t>TUNON_PAR</t>
        </is>
      </c>
      <c r="C2692" s="40" t="inlineStr">
        <is>
          <t>BAC_TOU</t>
        </is>
      </c>
      <c r="D2692" s="40" t="inlineStr">
        <is>
          <t>B1</t>
        </is>
      </c>
      <c r="E2692" s="40" t="inlineStr">
        <is>
          <t>ALT</t>
        </is>
      </c>
      <c r="F2692" s="40" t="inlineStr">
        <is>
          <t>STA_EFF</t>
        </is>
      </c>
      <c r="G2692" s="39" t="inlineStr">
        <is>
          <t>Effectif inscrit</t>
        </is>
      </c>
      <c r="H2692" s="40" t="inlineStr">
        <is>
          <t>TECHNIQUE</t>
        </is>
      </c>
      <c r="I2692" s="41" t="inlineStr">
        <is>
          <t>2025FCST_V4</t>
        </is>
      </c>
      <c r="J2692" s="41" t="n">
        <v>2025</v>
      </c>
      <c r="K2692" s="41" t="inlineStr">
        <is>
          <t>NB</t>
        </is>
      </c>
      <c r="L2692" s="43" t="n">
        <v>47</v>
      </c>
    </row>
    <row r="2693">
      <c r="B2693" s="39" t="inlineStr">
        <is>
          <t>TUNON_PAR</t>
        </is>
      </c>
      <c r="C2693" s="40" t="inlineStr">
        <is>
          <t>BAC_TOU</t>
        </is>
      </c>
      <c r="D2693" s="40" t="inlineStr">
        <is>
          <t>B1</t>
        </is>
      </c>
      <c r="E2693" s="40" t="inlineStr">
        <is>
          <t>ALT</t>
        </is>
      </c>
      <c r="F2693" s="40" t="inlineStr">
        <is>
          <t>STA_CAND</t>
        </is>
      </c>
      <c r="G2693" s="39" t="inlineStr">
        <is>
          <t>Candidatures reçues</t>
        </is>
      </c>
      <c r="H2693" s="40" t="inlineStr">
        <is>
          <t>TECHNIQUE</t>
        </is>
      </c>
      <c r="I2693" s="41" t="inlineStr">
        <is>
          <t>2023ACT_VDEF</t>
        </is>
      </c>
      <c r="J2693" s="41" t="n">
        <v>2023</v>
      </c>
      <c r="K2693" s="41" t="inlineStr">
        <is>
          <t>NB</t>
        </is>
      </c>
      <c r="L2693" s="43" t="n">
        <v>113</v>
      </c>
    </row>
    <row r="2694">
      <c r="B2694" s="39" t="inlineStr">
        <is>
          <t>TUNON_PAR</t>
        </is>
      </c>
      <c r="C2694" s="40" t="inlineStr">
        <is>
          <t>BAC_TOU</t>
        </is>
      </c>
      <c r="D2694" s="40" t="inlineStr">
        <is>
          <t>B1</t>
        </is>
      </c>
      <c r="E2694" s="40" t="inlineStr">
        <is>
          <t>ALT</t>
        </is>
      </c>
      <c r="F2694" s="40" t="inlineStr">
        <is>
          <t>STA_CAND</t>
        </is>
      </c>
      <c r="G2694" s="39" t="inlineStr">
        <is>
          <t>Candidatures reçues</t>
        </is>
      </c>
      <c r="H2694" s="40" t="inlineStr">
        <is>
          <t>TECHNIQUE</t>
        </is>
      </c>
      <c r="I2694" s="41" t="inlineStr">
        <is>
          <t>2024ACT_VDEF</t>
        </is>
      </c>
      <c r="J2694" s="41" t="n">
        <v>2024</v>
      </c>
      <c r="K2694" s="41" t="inlineStr">
        <is>
          <t>NB</t>
        </is>
      </c>
      <c r="L2694" s="43" t="n">
        <v>120</v>
      </c>
    </row>
    <row r="2695">
      <c r="B2695" s="39" t="inlineStr">
        <is>
          <t>TUNON_PAR</t>
        </is>
      </c>
      <c r="C2695" s="40" t="inlineStr">
        <is>
          <t>BAC_TOU</t>
        </is>
      </c>
      <c r="D2695" s="40" t="inlineStr">
        <is>
          <t>B1</t>
        </is>
      </c>
      <c r="E2695" s="40" t="inlineStr">
        <is>
          <t>ALT</t>
        </is>
      </c>
      <c r="F2695" s="40" t="inlineStr">
        <is>
          <t>STA_CAND</t>
        </is>
      </c>
      <c r="G2695" s="39" t="inlineStr">
        <is>
          <t>Candidatures reçues</t>
        </is>
      </c>
      <c r="H2695" s="40" t="inlineStr">
        <is>
          <t>TECHNIQUE</t>
        </is>
      </c>
      <c r="I2695" s="41" t="inlineStr">
        <is>
          <t>2025FCST_V4</t>
        </is>
      </c>
      <c r="J2695" s="41" t="n">
        <v>2025</v>
      </c>
      <c r="K2695" s="41" t="inlineStr">
        <is>
          <t>NB</t>
        </is>
      </c>
      <c r="L2695" s="43" t="n">
        <v>126</v>
      </c>
    </row>
    <row r="2696">
      <c r="B2696" s="39" t="inlineStr">
        <is>
          <t>TUNON_PAR</t>
        </is>
      </c>
      <c r="C2696" s="40" t="inlineStr">
        <is>
          <t>BAC_TOU</t>
        </is>
      </c>
      <c r="D2696" s="40" t="inlineStr">
        <is>
          <t>B1</t>
        </is>
      </c>
      <c r="E2696" s="40" t="inlineStr">
        <is>
          <t>ALT</t>
        </is>
      </c>
      <c r="F2696" s="40" t="inlineStr">
        <is>
          <t>STA_ADMIS</t>
        </is>
      </c>
      <c r="G2696" s="39" t="inlineStr">
        <is>
          <t>Candidats admis</t>
        </is>
      </c>
      <c r="H2696" s="40" t="inlineStr">
        <is>
          <t>TECHNIQUE</t>
        </is>
      </c>
      <c r="I2696" s="41" t="inlineStr">
        <is>
          <t>2023ACT_VDEF</t>
        </is>
      </c>
      <c r="J2696" s="41" t="n">
        <v>2023</v>
      </c>
      <c r="K2696" s="41" t="inlineStr">
        <is>
          <t>NB</t>
        </is>
      </c>
      <c r="L2696" s="43" t="n">
        <v>70</v>
      </c>
    </row>
    <row r="2697">
      <c r="B2697" s="39" t="inlineStr">
        <is>
          <t>TUNON_PAR</t>
        </is>
      </c>
      <c r="C2697" s="40" t="inlineStr">
        <is>
          <t>BAC_TOU</t>
        </is>
      </c>
      <c r="D2697" s="40" t="inlineStr">
        <is>
          <t>B1</t>
        </is>
      </c>
      <c r="E2697" s="40" t="inlineStr">
        <is>
          <t>ALT</t>
        </is>
      </c>
      <c r="F2697" s="40" t="inlineStr">
        <is>
          <t>STA_ADMIS</t>
        </is>
      </c>
      <c r="G2697" s="39" t="inlineStr">
        <is>
          <t>Candidats admis</t>
        </is>
      </c>
      <c r="H2697" s="40" t="inlineStr">
        <is>
          <t>TECHNIQUE</t>
        </is>
      </c>
      <c r="I2697" s="41" t="inlineStr">
        <is>
          <t>2024ACT_VDEF</t>
        </is>
      </c>
      <c r="J2697" s="41" t="n">
        <v>2024</v>
      </c>
      <c r="K2697" s="41" t="inlineStr">
        <is>
          <t>NB</t>
        </is>
      </c>
      <c r="L2697" s="43" t="n">
        <v>74</v>
      </c>
    </row>
    <row r="2698">
      <c r="B2698" s="39" t="inlineStr">
        <is>
          <t>TUNON_PAR</t>
        </is>
      </c>
      <c r="C2698" s="40" t="inlineStr">
        <is>
          <t>BAC_TOU</t>
        </is>
      </c>
      <c r="D2698" s="40" t="inlineStr">
        <is>
          <t>B1</t>
        </is>
      </c>
      <c r="E2698" s="40" t="inlineStr">
        <is>
          <t>ALT</t>
        </is>
      </c>
      <c r="F2698" s="40" t="inlineStr">
        <is>
          <t>STA_ADMIS</t>
        </is>
      </c>
      <c r="G2698" s="39" t="inlineStr">
        <is>
          <t>Candidats admis</t>
        </is>
      </c>
      <c r="H2698" s="40" t="inlineStr">
        <is>
          <t>TECHNIQUE</t>
        </is>
      </c>
      <c r="I2698" s="41" t="inlineStr">
        <is>
          <t>2025FCST_V4</t>
        </is>
      </c>
      <c r="J2698" s="41" t="n">
        <v>2025</v>
      </c>
      <c r="K2698" s="41" t="inlineStr">
        <is>
          <t>NB</t>
        </is>
      </c>
      <c r="L2698" s="43" t="n">
        <v>78</v>
      </c>
    </row>
    <row r="2699">
      <c r="B2699" s="39" t="inlineStr">
        <is>
          <t>TUNON_PAR</t>
        </is>
      </c>
      <c r="C2699" s="40" t="inlineStr">
        <is>
          <t>BAC_TOU</t>
        </is>
      </c>
      <c r="D2699" s="40" t="inlineStr">
        <is>
          <t>B1</t>
        </is>
      </c>
      <c r="E2699" s="40" t="inlineStr">
        <is>
          <t>ALT</t>
        </is>
      </c>
      <c r="F2699" s="40" t="inlineStr">
        <is>
          <t>STA_NOUV</t>
        </is>
      </c>
      <c r="G2699" s="39" t="inlineStr">
        <is>
          <t>Nouveaux inscrits</t>
        </is>
      </c>
      <c r="H2699" s="40" t="inlineStr">
        <is>
          <t>TECHNIQUE</t>
        </is>
      </c>
      <c r="I2699" s="41" t="inlineStr">
        <is>
          <t>2023ACT_VDEF</t>
        </is>
      </c>
      <c r="J2699" s="41" t="n">
        <v>2023</v>
      </c>
      <c r="K2699" s="41" t="inlineStr">
        <is>
          <t>NB</t>
        </is>
      </c>
      <c r="L2699" s="43" t="n">
        <v>42</v>
      </c>
    </row>
    <row r="2700">
      <c r="B2700" s="39" t="inlineStr">
        <is>
          <t>TUNON_PAR</t>
        </is>
      </c>
      <c r="C2700" s="40" t="inlineStr">
        <is>
          <t>BAC_TOU</t>
        </is>
      </c>
      <c r="D2700" s="40" t="inlineStr">
        <is>
          <t>B1</t>
        </is>
      </c>
      <c r="E2700" s="40" t="inlineStr">
        <is>
          <t>ALT</t>
        </is>
      </c>
      <c r="F2700" s="40" t="inlineStr">
        <is>
          <t>STA_NOUV</t>
        </is>
      </c>
      <c r="G2700" s="39" t="inlineStr">
        <is>
          <t>Nouveaux inscrits</t>
        </is>
      </c>
      <c r="H2700" s="40" t="inlineStr">
        <is>
          <t>TECHNIQUE</t>
        </is>
      </c>
      <c r="I2700" s="41" t="inlineStr">
        <is>
          <t>2024ACT_VDEF</t>
        </is>
      </c>
      <c r="J2700" s="41" t="n">
        <v>2024</v>
      </c>
      <c r="K2700" s="41" t="inlineStr">
        <is>
          <t>NB</t>
        </is>
      </c>
      <c r="L2700" s="43" t="n">
        <v>45</v>
      </c>
    </row>
    <row r="2701">
      <c r="B2701" s="39" t="inlineStr">
        <is>
          <t>TUNON_PAR</t>
        </is>
      </c>
      <c r="C2701" s="40" t="inlineStr">
        <is>
          <t>BAC_TOU</t>
        </is>
      </c>
      <c r="D2701" s="40" t="inlineStr">
        <is>
          <t>B1</t>
        </is>
      </c>
      <c r="E2701" s="40" t="inlineStr">
        <is>
          <t>ALT</t>
        </is>
      </c>
      <c r="F2701" s="40" t="inlineStr">
        <is>
          <t>STA_NOUV</t>
        </is>
      </c>
      <c r="G2701" s="39" t="inlineStr">
        <is>
          <t>Nouveaux inscrits</t>
        </is>
      </c>
      <c r="H2701" s="40" t="inlineStr">
        <is>
          <t>TECHNIQUE</t>
        </is>
      </c>
      <c r="I2701" s="41" t="inlineStr">
        <is>
          <t>2025FCST_V4</t>
        </is>
      </c>
      <c r="J2701" s="41" t="n">
        <v>2025</v>
      </c>
      <c r="K2701" s="41" t="inlineStr">
        <is>
          <t>NB</t>
        </is>
      </c>
      <c r="L2701" s="43" t="n">
        <v>47</v>
      </c>
    </row>
    <row r="2702">
      <c r="B2702" s="39" t="inlineStr">
        <is>
          <t>TUNON_PAR</t>
        </is>
      </c>
      <c r="C2702" s="40" t="inlineStr">
        <is>
          <t>BAC_TOU</t>
        </is>
      </c>
      <c r="D2702" s="40" t="inlineStr">
        <is>
          <t>B1</t>
        </is>
      </c>
      <c r="E2702" s="40" t="inlineStr">
        <is>
          <t>ALT</t>
        </is>
      </c>
      <c r="F2702" s="40" t="inlineStr">
        <is>
          <t>STA_CLASS</t>
        </is>
      </c>
      <c r="G2702" s="39" t="inlineStr">
        <is>
          <t>Nombre de classes</t>
        </is>
      </c>
      <c r="H2702" s="40" t="inlineStr">
        <is>
          <t>TECHNIQUE</t>
        </is>
      </c>
      <c r="I2702" s="41" t="inlineStr">
        <is>
          <t>2023ACT_VDEF</t>
        </is>
      </c>
      <c r="J2702" s="41" t="n">
        <v>2023</v>
      </c>
      <c r="K2702" s="41" t="inlineStr">
        <is>
          <t>NB</t>
        </is>
      </c>
      <c r="L2702" s="43" t="n">
        <v>2</v>
      </c>
    </row>
    <row r="2703">
      <c r="B2703" s="39" t="inlineStr">
        <is>
          <t>TUNON_PAR</t>
        </is>
      </c>
      <c r="C2703" s="40" t="inlineStr">
        <is>
          <t>BAC_TOU</t>
        </is>
      </c>
      <c r="D2703" s="40" t="inlineStr">
        <is>
          <t>B1</t>
        </is>
      </c>
      <c r="E2703" s="40" t="inlineStr">
        <is>
          <t>ALT</t>
        </is>
      </c>
      <c r="F2703" s="40" t="inlineStr">
        <is>
          <t>STA_CLASS</t>
        </is>
      </c>
      <c r="G2703" s="39" t="inlineStr">
        <is>
          <t>Nombre de classes</t>
        </is>
      </c>
      <c r="H2703" s="40" t="inlineStr">
        <is>
          <t>TECHNIQUE</t>
        </is>
      </c>
      <c r="I2703" s="41" t="inlineStr">
        <is>
          <t>2024ACT_VDEF</t>
        </is>
      </c>
      <c r="J2703" s="41" t="n">
        <v>2024</v>
      </c>
      <c r="K2703" s="41" t="inlineStr">
        <is>
          <t>NB</t>
        </is>
      </c>
      <c r="L2703" s="43" t="n">
        <v>2</v>
      </c>
    </row>
    <row r="2704">
      <c r="B2704" s="39" t="inlineStr">
        <is>
          <t>TUNON_PAR</t>
        </is>
      </c>
      <c r="C2704" s="40" t="inlineStr">
        <is>
          <t>BAC_TOU</t>
        </is>
      </c>
      <c r="D2704" s="40" t="inlineStr">
        <is>
          <t>B1</t>
        </is>
      </c>
      <c r="E2704" s="40" t="inlineStr">
        <is>
          <t>ALT</t>
        </is>
      </c>
      <c r="F2704" s="40" t="inlineStr">
        <is>
          <t>STA_CLASS</t>
        </is>
      </c>
      <c r="G2704" s="39" t="inlineStr">
        <is>
          <t>Nombre de classes</t>
        </is>
      </c>
      <c r="H2704" s="40" t="inlineStr">
        <is>
          <t>TECHNIQUE</t>
        </is>
      </c>
      <c r="I2704" s="41" t="inlineStr">
        <is>
          <t>2025FCST_V4</t>
        </is>
      </c>
      <c r="J2704" s="41" t="n">
        <v>2025</v>
      </c>
      <c r="K2704" s="41" t="inlineStr">
        <is>
          <t>NB</t>
        </is>
      </c>
      <c r="L2704" s="43" t="n">
        <v>2</v>
      </c>
    </row>
    <row r="2705">
      <c r="B2705" s="39" t="inlineStr">
        <is>
          <t>TUNON_PAR</t>
        </is>
      </c>
      <c r="C2705" s="40" t="inlineStr">
        <is>
          <t>BAC_TOU</t>
        </is>
      </c>
      <c r="D2705" s="40" t="inlineStr">
        <is>
          <t>B1</t>
        </is>
      </c>
      <c r="E2705" s="40" t="inlineStr">
        <is>
          <t>ALT</t>
        </is>
      </c>
      <c r="F2705" s="40" t="inlineStr">
        <is>
          <t>STA_HEURE</t>
        </is>
      </c>
      <c r="G2705" s="39" t="inlineStr">
        <is>
          <t>Heures d'enseignement</t>
        </is>
      </c>
      <c r="H2705" s="40" t="inlineStr">
        <is>
          <t>TECHNIQUE</t>
        </is>
      </c>
      <c r="I2705" s="41" t="inlineStr">
        <is>
          <t>2023ACT_VDEF</t>
        </is>
      </c>
      <c r="J2705" s="41" t="n">
        <v>2023</v>
      </c>
      <c r="K2705" s="41" t="inlineStr">
        <is>
          <t>NB</t>
        </is>
      </c>
      <c r="L2705" s="43" t="n">
        <v>1080</v>
      </c>
    </row>
    <row r="2706">
      <c r="B2706" s="39" t="inlineStr">
        <is>
          <t>TUNON_PAR</t>
        </is>
      </c>
      <c r="C2706" s="40" t="inlineStr">
        <is>
          <t>BAC_TOU</t>
        </is>
      </c>
      <c r="D2706" s="40" t="inlineStr">
        <is>
          <t>B1</t>
        </is>
      </c>
      <c r="E2706" s="40" t="inlineStr">
        <is>
          <t>ALT</t>
        </is>
      </c>
      <c r="F2706" s="40" t="inlineStr">
        <is>
          <t>STA_HEURE</t>
        </is>
      </c>
      <c r="G2706" s="39" t="inlineStr">
        <is>
          <t>Heures d'enseignement</t>
        </is>
      </c>
      <c r="H2706" s="40" t="inlineStr">
        <is>
          <t>TECHNIQUE</t>
        </is>
      </c>
      <c r="I2706" s="41" t="inlineStr">
        <is>
          <t>2024ACT_VDEF</t>
        </is>
      </c>
      <c r="J2706" s="41" t="n">
        <v>2024</v>
      </c>
      <c r="K2706" s="41" t="inlineStr">
        <is>
          <t>NB</t>
        </is>
      </c>
      <c r="L2706" s="43" t="n">
        <v>1140</v>
      </c>
    </row>
    <row r="2707">
      <c r="B2707" s="39" t="inlineStr">
        <is>
          <t>TUNON_PAR</t>
        </is>
      </c>
      <c r="C2707" s="40" t="inlineStr">
        <is>
          <t>BAC_TOU</t>
        </is>
      </c>
      <c r="D2707" s="40" t="inlineStr">
        <is>
          <t>B1</t>
        </is>
      </c>
      <c r="E2707" s="40" t="inlineStr">
        <is>
          <t>ALT</t>
        </is>
      </c>
      <c r="F2707" s="40" t="inlineStr">
        <is>
          <t>STA_HEURE</t>
        </is>
      </c>
      <c r="G2707" s="39" t="inlineStr">
        <is>
          <t>Heures d'enseignement</t>
        </is>
      </c>
      <c r="H2707" s="40" t="inlineStr">
        <is>
          <t>TECHNIQUE</t>
        </is>
      </c>
      <c r="I2707" s="41" t="inlineStr">
        <is>
          <t>2025FCST_V4</t>
        </is>
      </c>
      <c r="J2707" s="41" t="n">
        <v>2025</v>
      </c>
      <c r="K2707" s="41" t="inlineStr">
        <is>
          <t>NB</t>
        </is>
      </c>
      <c r="L2707" s="43" t="n">
        <v>1200</v>
      </c>
    </row>
    <row r="2708">
      <c r="B2708" s="39" t="inlineStr">
        <is>
          <t>TUNON_PAR</t>
        </is>
      </c>
      <c r="C2708" s="40" t="inlineStr">
        <is>
          <t>BAC_TOU</t>
        </is>
      </c>
      <c r="D2708" s="40" t="inlineStr">
        <is>
          <t>B1</t>
        </is>
      </c>
      <c r="E2708" s="40" t="inlineStr">
        <is>
          <t>ALT</t>
        </is>
      </c>
      <c r="F2708" s="40" t="inlineStr">
        <is>
          <t>STA_CAPA</t>
        </is>
      </c>
      <c r="G2708" s="39" t="inlineStr">
        <is>
          <t>Capacité par classe</t>
        </is>
      </c>
      <c r="H2708" s="40" t="inlineStr">
        <is>
          <t>TECHNIQUE</t>
        </is>
      </c>
      <c r="I2708" s="41" t="inlineStr">
        <is>
          <t>2023ACT_VDEF</t>
        </is>
      </c>
      <c r="J2708" s="41" t="n">
        <v>2023</v>
      </c>
      <c r="K2708" s="41" t="inlineStr">
        <is>
          <t>NB</t>
        </is>
      </c>
      <c r="L2708" s="43" t="n">
        <v>32</v>
      </c>
    </row>
    <row r="2709">
      <c r="B2709" s="39" t="inlineStr">
        <is>
          <t>TUNON_PAR</t>
        </is>
      </c>
      <c r="C2709" s="40" t="inlineStr">
        <is>
          <t>BAC_TOU</t>
        </is>
      </c>
      <c r="D2709" s="40" t="inlineStr">
        <is>
          <t>B1</t>
        </is>
      </c>
      <c r="E2709" s="40" t="inlineStr">
        <is>
          <t>ALT</t>
        </is>
      </c>
      <c r="F2709" s="40" t="inlineStr">
        <is>
          <t>STA_CAPA</t>
        </is>
      </c>
      <c r="G2709" s="39" t="inlineStr">
        <is>
          <t>Capacité par classe</t>
        </is>
      </c>
      <c r="H2709" s="40" t="inlineStr">
        <is>
          <t>TECHNIQUE</t>
        </is>
      </c>
      <c r="I2709" s="41" t="inlineStr">
        <is>
          <t>2024ACT_VDEF</t>
        </is>
      </c>
      <c r="J2709" s="41" t="n">
        <v>2024</v>
      </c>
      <c r="K2709" s="41" t="inlineStr">
        <is>
          <t>NB</t>
        </is>
      </c>
      <c r="L2709" s="43" t="n">
        <v>32</v>
      </c>
    </row>
    <row r="2710">
      <c r="B2710" s="39" t="inlineStr">
        <is>
          <t>TUNON_PAR</t>
        </is>
      </c>
      <c r="C2710" s="40" t="inlineStr">
        <is>
          <t>BAC_TOU</t>
        </is>
      </c>
      <c r="D2710" s="40" t="inlineStr">
        <is>
          <t>B1</t>
        </is>
      </c>
      <c r="E2710" s="40" t="inlineStr">
        <is>
          <t>ALT</t>
        </is>
      </c>
      <c r="F2710" s="40" t="inlineStr">
        <is>
          <t>STA_CAPA</t>
        </is>
      </c>
      <c r="G2710" s="39" t="inlineStr">
        <is>
          <t>Capacité par classe</t>
        </is>
      </c>
      <c r="H2710" s="40" t="inlineStr">
        <is>
          <t>TECHNIQUE</t>
        </is>
      </c>
      <c r="I2710" s="41" t="inlineStr">
        <is>
          <t>2025FCST_V4</t>
        </is>
      </c>
      <c r="J2710" s="41" t="n">
        <v>2025</v>
      </c>
      <c r="K2710" s="41" t="inlineStr">
        <is>
          <t>NB</t>
        </is>
      </c>
      <c r="L2710" s="43" t="n">
        <v>32</v>
      </c>
    </row>
    <row r="2711">
      <c r="B2711" s="39" t="inlineStr">
        <is>
          <t>TUNON_PAR</t>
        </is>
      </c>
      <c r="C2711" s="40" t="inlineStr">
        <is>
          <t>BAC_TOU</t>
        </is>
      </c>
      <c r="D2711" s="40" t="inlineStr">
        <is>
          <t>B1</t>
        </is>
      </c>
      <c r="E2711" s="40" t="inlineStr">
        <is>
          <t>ALT</t>
        </is>
      </c>
      <c r="F2711" s="40" t="inlineStr">
        <is>
          <t>DRV_CONV</t>
        </is>
      </c>
      <c r="G2711" s="39" t="inlineStr">
        <is>
          <t>Taux de conversion candidat→inscrit</t>
        </is>
      </c>
      <c r="H2711" s="40" t="inlineStr">
        <is>
          <t>TECHNIQUE</t>
        </is>
      </c>
      <c r="I2711" s="41" t="inlineStr">
        <is>
          <t>2023ACT_VDEF</t>
        </is>
      </c>
      <c r="J2711" s="41" t="n">
        <v>2023</v>
      </c>
      <c r="K2711" s="41" t="inlineStr">
        <is>
          <t>PCT</t>
        </is>
      </c>
      <c r="L2711" s="44" t="n">
        <v>0.373</v>
      </c>
    </row>
    <row r="2712">
      <c r="B2712" s="39" t="inlineStr">
        <is>
          <t>TUNON_PAR</t>
        </is>
      </c>
      <c r="C2712" s="40" t="inlineStr">
        <is>
          <t>BAC_TOU</t>
        </is>
      </c>
      <c r="D2712" s="40" t="inlineStr">
        <is>
          <t>B1</t>
        </is>
      </c>
      <c r="E2712" s="40" t="inlineStr">
        <is>
          <t>ALT</t>
        </is>
      </c>
      <c r="F2712" s="40" t="inlineStr">
        <is>
          <t>DRV_CONV</t>
        </is>
      </c>
      <c r="G2712" s="39" t="inlineStr">
        <is>
          <t>Taux de conversion candidat→inscrit</t>
        </is>
      </c>
      <c r="H2712" s="40" t="inlineStr">
        <is>
          <t>TECHNIQUE</t>
        </is>
      </c>
      <c r="I2712" s="41" t="inlineStr">
        <is>
          <t>2024ACT_VDEF</t>
        </is>
      </c>
      <c r="J2712" s="41" t="n">
        <v>2024</v>
      </c>
      <c r="K2712" s="41" t="inlineStr">
        <is>
          <t>PCT</t>
        </is>
      </c>
      <c r="L2712" s="44" t="n">
        <v>0.373</v>
      </c>
    </row>
    <row r="2713">
      <c r="B2713" s="39" t="inlineStr">
        <is>
          <t>TUNON_PAR</t>
        </is>
      </c>
      <c r="C2713" s="40" t="inlineStr">
        <is>
          <t>BAC_TOU</t>
        </is>
      </c>
      <c r="D2713" s="40" t="inlineStr">
        <is>
          <t>B1</t>
        </is>
      </c>
      <c r="E2713" s="40" t="inlineStr">
        <is>
          <t>ALT</t>
        </is>
      </c>
      <c r="F2713" s="40" t="inlineStr">
        <is>
          <t>DRV_CONV</t>
        </is>
      </c>
      <c r="G2713" s="39" t="inlineStr">
        <is>
          <t>Taux de conversion candidat→inscrit</t>
        </is>
      </c>
      <c r="H2713" s="40" t="inlineStr">
        <is>
          <t>TECHNIQUE</t>
        </is>
      </c>
      <c r="I2713" s="41" t="inlineStr">
        <is>
          <t>2025FCST_V4</t>
        </is>
      </c>
      <c r="J2713" s="41" t="n">
        <v>2025</v>
      </c>
      <c r="K2713" s="41" t="inlineStr">
        <is>
          <t>PCT</t>
        </is>
      </c>
      <c r="L2713" s="44" t="n">
        <v>0.373</v>
      </c>
    </row>
    <row r="2714">
      <c r="B2714" s="39" t="inlineStr">
        <is>
          <t>TUNON_PAR</t>
        </is>
      </c>
      <c r="C2714" s="40" t="inlineStr">
        <is>
          <t>BAC_TOU</t>
        </is>
      </c>
      <c r="D2714" s="40" t="inlineStr">
        <is>
          <t>B1</t>
        </is>
      </c>
      <c r="E2714" s="40" t="inlineStr">
        <is>
          <t>ALT</t>
        </is>
      </c>
      <c r="F2714" s="40" t="inlineStr">
        <is>
          <t>PRX_TARIF</t>
        </is>
      </c>
      <c r="G2714" s="39" t="inlineStr">
        <is>
          <t>Tarif moyen scolarité</t>
        </is>
      </c>
      <c r="H2714" s="40" t="inlineStr">
        <is>
          <t>TECHNIQUE</t>
        </is>
      </c>
      <c r="I2714" s="41" t="inlineStr">
        <is>
          <t>2023ACT_VDEF</t>
        </is>
      </c>
      <c r="J2714" s="41" t="n">
        <v>2023</v>
      </c>
      <c r="K2714" s="41" t="inlineStr">
        <is>
          <t>EUR</t>
        </is>
      </c>
      <c r="L2714" s="42" t="n">
        <v>8000</v>
      </c>
    </row>
    <row r="2715">
      <c r="B2715" s="39" t="inlineStr">
        <is>
          <t>TUNON_PAR</t>
        </is>
      </c>
      <c r="C2715" s="40" t="inlineStr">
        <is>
          <t>BAC_TOU</t>
        </is>
      </c>
      <c r="D2715" s="40" t="inlineStr">
        <is>
          <t>B1</t>
        </is>
      </c>
      <c r="E2715" s="40" t="inlineStr">
        <is>
          <t>ALT</t>
        </is>
      </c>
      <c r="F2715" s="40" t="inlineStr">
        <is>
          <t>PRX_TARIF</t>
        </is>
      </c>
      <c r="G2715" s="39" t="inlineStr">
        <is>
          <t>Tarif moyen scolarité</t>
        </is>
      </c>
      <c r="H2715" s="40" t="inlineStr">
        <is>
          <t>TECHNIQUE</t>
        </is>
      </c>
      <c r="I2715" s="41" t="inlineStr">
        <is>
          <t>2024ACT_VDEF</t>
        </is>
      </c>
      <c r="J2715" s="41" t="n">
        <v>2024</v>
      </c>
      <c r="K2715" s="41" t="inlineStr">
        <is>
          <t>EUR</t>
        </is>
      </c>
      <c r="L2715" s="42" t="n">
        <v>8000</v>
      </c>
    </row>
    <row r="2716">
      <c r="B2716" s="39" t="inlineStr">
        <is>
          <t>TUNON_PAR</t>
        </is>
      </c>
      <c r="C2716" s="40" t="inlineStr">
        <is>
          <t>BAC_TOU</t>
        </is>
      </c>
      <c r="D2716" s="40" t="inlineStr">
        <is>
          <t>B1</t>
        </is>
      </c>
      <c r="E2716" s="40" t="inlineStr">
        <is>
          <t>ALT</t>
        </is>
      </c>
      <c r="F2716" s="40" t="inlineStr">
        <is>
          <t>PRX_TARIF</t>
        </is>
      </c>
      <c r="G2716" s="39" t="inlineStr">
        <is>
          <t>Tarif moyen scolarité</t>
        </is>
      </c>
      <c r="H2716" s="40" t="inlineStr">
        <is>
          <t>TECHNIQUE</t>
        </is>
      </c>
      <c r="I2716" s="41" t="inlineStr">
        <is>
          <t>2025FCST_V4</t>
        </is>
      </c>
      <c r="J2716" s="41" t="n">
        <v>2025</v>
      </c>
      <c r="K2716" s="41" t="inlineStr">
        <is>
          <t>EUR</t>
        </is>
      </c>
      <c r="L2716" s="42" t="n">
        <v>8000</v>
      </c>
    </row>
    <row r="2717">
      <c r="B2717" s="39" t="inlineStr">
        <is>
          <t>TUNON_PAR</t>
        </is>
      </c>
      <c r="C2717" s="40" t="inlineStr">
        <is>
          <t>BAC_TOU</t>
        </is>
      </c>
      <c r="D2717" s="40" t="inlineStr">
        <is>
          <t>B1</t>
        </is>
      </c>
      <c r="E2717" s="40" t="inlineStr">
        <is>
          <t>ALT</t>
        </is>
      </c>
      <c r="F2717" s="40" t="inlineStr">
        <is>
          <t>CAC_LEAD</t>
        </is>
      </c>
      <c r="G2717" s="39" t="inlineStr">
        <is>
          <t>Coût d'acquisition par lead</t>
        </is>
      </c>
      <c r="H2717" s="40" t="inlineStr">
        <is>
          <t>TECHNIQUE</t>
        </is>
      </c>
      <c r="I2717" s="41" t="inlineStr">
        <is>
          <t>2023ACT_VDEF</t>
        </is>
      </c>
      <c r="J2717" s="41" t="n">
        <v>2023</v>
      </c>
      <c r="K2717" s="41" t="inlineStr">
        <is>
          <t>EUR</t>
        </is>
      </c>
      <c r="L2717" s="42" t="n">
        <v>320</v>
      </c>
    </row>
    <row r="2718">
      <c r="B2718" s="39" t="inlineStr">
        <is>
          <t>TUNON_PAR</t>
        </is>
      </c>
      <c r="C2718" s="40" t="inlineStr">
        <is>
          <t>BAC_TOU</t>
        </is>
      </c>
      <c r="D2718" s="40" t="inlineStr">
        <is>
          <t>B1</t>
        </is>
      </c>
      <c r="E2718" s="40" t="inlineStr">
        <is>
          <t>ALT</t>
        </is>
      </c>
      <c r="F2718" s="40" t="inlineStr">
        <is>
          <t>CAC_LEAD</t>
        </is>
      </c>
      <c r="G2718" s="39" t="inlineStr">
        <is>
          <t>Coût d'acquisition par lead</t>
        </is>
      </c>
      <c r="H2718" s="40" t="inlineStr">
        <is>
          <t>TECHNIQUE</t>
        </is>
      </c>
      <c r="I2718" s="41" t="inlineStr">
        <is>
          <t>2024ACT_VDEF</t>
        </is>
      </c>
      <c r="J2718" s="41" t="n">
        <v>2024</v>
      </c>
      <c r="K2718" s="41" t="inlineStr">
        <is>
          <t>EUR</t>
        </is>
      </c>
      <c r="L2718" s="42" t="n">
        <v>320</v>
      </c>
    </row>
    <row r="2719">
      <c r="B2719" s="39" t="inlineStr">
        <is>
          <t>TUNON_PAR</t>
        </is>
      </c>
      <c r="C2719" s="40" t="inlineStr">
        <is>
          <t>BAC_TOU</t>
        </is>
      </c>
      <c r="D2719" s="40" t="inlineStr">
        <is>
          <t>B1</t>
        </is>
      </c>
      <c r="E2719" s="40" t="inlineStr">
        <is>
          <t>ALT</t>
        </is>
      </c>
      <c r="F2719" s="40" t="inlineStr">
        <is>
          <t>CAC_LEAD</t>
        </is>
      </c>
      <c r="G2719" s="39" t="inlineStr">
        <is>
          <t>Coût d'acquisition par lead</t>
        </is>
      </c>
      <c r="H2719" s="40" t="inlineStr">
        <is>
          <t>TECHNIQUE</t>
        </is>
      </c>
      <c r="I2719" s="41" t="inlineStr">
        <is>
          <t>2025FCST_V4</t>
        </is>
      </c>
      <c r="J2719" s="41" t="n">
        <v>2025</v>
      </c>
      <c r="K2719" s="41" t="inlineStr">
        <is>
          <t>EUR</t>
        </is>
      </c>
      <c r="L2719" s="42" t="n">
        <v>320</v>
      </c>
    </row>
    <row r="2720">
      <c r="B2720" s="39" t="inlineStr">
        <is>
          <t>TUNON_PAR</t>
        </is>
      </c>
      <c r="C2720" s="40" t="inlineStr">
        <is>
          <t>BAC_TOU</t>
        </is>
      </c>
      <c r="D2720" s="40" t="inlineStr">
        <is>
          <t>B2</t>
        </is>
      </c>
      <c r="E2720" s="40" t="inlineStr">
        <is>
          <t>ALT</t>
        </is>
      </c>
      <c r="F2720" s="40" t="inlineStr">
        <is>
          <t>706100</t>
        </is>
      </c>
      <c r="G2720" s="39" t="inlineStr">
        <is>
          <t>Droits de scolarité</t>
        </is>
      </c>
      <c r="H2720" s="40" t="inlineStr">
        <is>
          <t>COMPTABLE</t>
        </is>
      </c>
      <c r="I2720" s="41" t="inlineStr">
        <is>
          <t>2023ACT_VDEF</t>
        </is>
      </c>
      <c r="J2720" s="41" t="n">
        <v>2023</v>
      </c>
      <c r="K2720" s="41" t="inlineStr">
        <is>
          <t>EUR</t>
        </is>
      </c>
      <c r="L2720" s="42" t="n">
        <v>288000</v>
      </c>
    </row>
    <row r="2721">
      <c r="B2721" s="39" t="inlineStr">
        <is>
          <t>TUNON_PAR</t>
        </is>
      </c>
      <c r="C2721" s="40" t="inlineStr">
        <is>
          <t>BAC_TOU</t>
        </is>
      </c>
      <c r="D2721" s="40" t="inlineStr">
        <is>
          <t>B2</t>
        </is>
      </c>
      <c r="E2721" s="40" t="inlineStr">
        <is>
          <t>ALT</t>
        </is>
      </c>
      <c r="F2721" s="40" t="inlineStr">
        <is>
          <t>706100</t>
        </is>
      </c>
      <c r="G2721" s="39" t="inlineStr">
        <is>
          <t>Droits de scolarité</t>
        </is>
      </c>
      <c r="H2721" s="40" t="inlineStr">
        <is>
          <t>COMPTABLE</t>
        </is>
      </c>
      <c r="I2721" s="41" t="inlineStr">
        <is>
          <t>2024ACT_VDEF</t>
        </is>
      </c>
      <c r="J2721" s="41" t="n">
        <v>2024</v>
      </c>
      <c r="K2721" s="41" t="inlineStr">
        <is>
          <t>EUR</t>
        </is>
      </c>
      <c r="L2721" s="42" t="n">
        <v>304000</v>
      </c>
    </row>
    <row r="2722">
      <c r="B2722" s="39" t="inlineStr">
        <is>
          <t>TUNON_PAR</t>
        </is>
      </c>
      <c r="C2722" s="40" t="inlineStr">
        <is>
          <t>BAC_TOU</t>
        </is>
      </c>
      <c r="D2722" s="40" t="inlineStr">
        <is>
          <t>B2</t>
        </is>
      </c>
      <c r="E2722" s="40" t="inlineStr">
        <is>
          <t>ALT</t>
        </is>
      </c>
      <c r="F2722" s="40" t="inlineStr">
        <is>
          <t>706100</t>
        </is>
      </c>
      <c r="G2722" s="39" t="inlineStr">
        <is>
          <t>Droits de scolarité</t>
        </is>
      </c>
      <c r="H2722" s="40" t="inlineStr">
        <is>
          <t>COMPTABLE</t>
        </is>
      </c>
      <c r="I2722" s="41" t="inlineStr">
        <is>
          <t>2025FCST_V4</t>
        </is>
      </c>
      <c r="J2722" s="41" t="n">
        <v>2025</v>
      </c>
      <c r="K2722" s="41" t="inlineStr">
        <is>
          <t>EUR</t>
        </is>
      </c>
      <c r="L2722" s="42" t="n">
        <v>320000</v>
      </c>
    </row>
    <row r="2723">
      <c r="B2723" s="39" t="inlineStr">
        <is>
          <t>TUNON_PAR</t>
        </is>
      </c>
      <c r="C2723" s="40" t="inlineStr">
        <is>
          <t>BAC_TOU</t>
        </is>
      </c>
      <c r="D2723" s="40" t="inlineStr">
        <is>
          <t>B2</t>
        </is>
      </c>
      <c r="E2723" s="40" t="inlineStr">
        <is>
          <t>ALT</t>
        </is>
      </c>
      <c r="F2723" s="40" t="inlineStr">
        <is>
          <t>604100</t>
        </is>
      </c>
      <c r="G2723" s="39" t="inlineStr">
        <is>
          <t>Vacations &amp; sous-traitance pédagogique</t>
        </is>
      </c>
      <c r="H2723" s="40" t="inlineStr">
        <is>
          <t>COMPTABLE</t>
        </is>
      </c>
      <c r="I2723" s="41" t="inlineStr">
        <is>
          <t>2023ACT_VDEF</t>
        </is>
      </c>
      <c r="J2723" s="41" t="n">
        <v>2023</v>
      </c>
      <c r="K2723" s="41" t="inlineStr">
        <is>
          <t>EUR</t>
        </is>
      </c>
      <c r="L2723" s="42" t="n">
        <v>56448</v>
      </c>
    </row>
    <row r="2724">
      <c r="B2724" s="39" t="inlineStr">
        <is>
          <t>TUNON_PAR</t>
        </is>
      </c>
      <c r="C2724" s="40" t="inlineStr">
        <is>
          <t>BAC_TOU</t>
        </is>
      </c>
      <c r="D2724" s="40" t="inlineStr">
        <is>
          <t>B2</t>
        </is>
      </c>
      <c r="E2724" s="40" t="inlineStr">
        <is>
          <t>ALT</t>
        </is>
      </c>
      <c r="F2724" s="40" t="inlineStr">
        <is>
          <t>604100</t>
        </is>
      </c>
      <c r="G2724" s="39" t="inlineStr">
        <is>
          <t>Vacations &amp; sous-traitance pédagogique</t>
        </is>
      </c>
      <c r="H2724" s="40" t="inlineStr">
        <is>
          <t>COMPTABLE</t>
        </is>
      </c>
      <c r="I2724" s="41" t="inlineStr">
        <is>
          <t>2024ACT_VDEF</t>
        </is>
      </c>
      <c r="J2724" s="41" t="n">
        <v>2024</v>
      </c>
      <c r="K2724" s="41" t="inlineStr">
        <is>
          <t>EUR</t>
        </is>
      </c>
      <c r="L2724" s="42" t="n">
        <v>59584</v>
      </c>
    </row>
    <row r="2725">
      <c r="B2725" s="39" t="inlineStr">
        <is>
          <t>TUNON_PAR</t>
        </is>
      </c>
      <c r="C2725" s="40" t="inlineStr">
        <is>
          <t>BAC_TOU</t>
        </is>
      </c>
      <c r="D2725" s="40" t="inlineStr">
        <is>
          <t>B2</t>
        </is>
      </c>
      <c r="E2725" s="40" t="inlineStr">
        <is>
          <t>ALT</t>
        </is>
      </c>
      <c r="F2725" s="40" t="inlineStr">
        <is>
          <t>604100</t>
        </is>
      </c>
      <c r="G2725" s="39" t="inlineStr">
        <is>
          <t>Vacations &amp; sous-traitance pédagogique</t>
        </is>
      </c>
      <c r="H2725" s="40" t="inlineStr">
        <is>
          <t>COMPTABLE</t>
        </is>
      </c>
      <c r="I2725" s="41" t="inlineStr">
        <is>
          <t>2025FCST_V4</t>
        </is>
      </c>
      <c r="J2725" s="41" t="n">
        <v>2025</v>
      </c>
      <c r="K2725" s="41" t="inlineStr">
        <is>
          <t>EUR</t>
        </is>
      </c>
      <c r="L2725" s="42" t="n">
        <v>62720</v>
      </c>
    </row>
    <row r="2726">
      <c r="B2726" s="39" t="inlineStr">
        <is>
          <t>TUNON_PAR</t>
        </is>
      </c>
      <c r="C2726" s="40" t="inlineStr">
        <is>
          <t>BAC_TOU</t>
        </is>
      </c>
      <c r="D2726" s="40" t="inlineStr">
        <is>
          <t>B2</t>
        </is>
      </c>
      <c r="E2726" s="40" t="inlineStr">
        <is>
          <t>ALT</t>
        </is>
      </c>
      <c r="F2726" s="40" t="inlineStr">
        <is>
          <t>606300</t>
        </is>
      </c>
      <c r="G2726" s="39" t="inlineStr">
        <is>
          <t>Fournitures &amp; ressources pédagogiques</t>
        </is>
      </c>
      <c r="H2726" s="40" t="inlineStr">
        <is>
          <t>COMPTABLE</t>
        </is>
      </c>
      <c r="I2726" s="41" t="inlineStr">
        <is>
          <t>2023ACT_VDEF</t>
        </is>
      </c>
      <c r="J2726" s="41" t="n">
        <v>2023</v>
      </c>
      <c r="K2726" s="41" t="inlineStr">
        <is>
          <t>EUR</t>
        </is>
      </c>
      <c r="L2726" s="42" t="n">
        <v>16200</v>
      </c>
    </row>
    <row r="2727">
      <c r="B2727" s="39" t="inlineStr">
        <is>
          <t>TUNON_PAR</t>
        </is>
      </c>
      <c r="C2727" s="40" t="inlineStr">
        <is>
          <t>BAC_TOU</t>
        </is>
      </c>
      <c r="D2727" s="40" t="inlineStr">
        <is>
          <t>B2</t>
        </is>
      </c>
      <c r="E2727" s="40" t="inlineStr">
        <is>
          <t>ALT</t>
        </is>
      </c>
      <c r="F2727" s="40" t="inlineStr">
        <is>
          <t>606300</t>
        </is>
      </c>
      <c r="G2727" s="39" t="inlineStr">
        <is>
          <t>Fournitures &amp; ressources pédagogiques</t>
        </is>
      </c>
      <c r="H2727" s="40" t="inlineStr">
        <is>
          <t>COMPTABLE</t>
        </is>
      </c>
      <c r="I2727" s="41" t="inlineStr">
        <is>
          <t>2024ACT_VDEF</t>
        </is>
      </c>
      <c r="J2727" s="41" t="n">
        <v>2024</v>
      </c>
      <c r="K2727" s="41" t="inlineStr">
        <is>
          <t>EUR</t>
        </is>
      </c>
      <c r="L2727" s="42" t="n">
        <v>17100</v>
      </c>
    </row>
    <row r="2728">
      <c r="B2728" s="39" t="inlineStr">
        <is>
          <t>TUNON_PAR</t>
        </is>
      </c>
      <c r="C2728" s="40" t="inlineStr">
        <is>
          <t>BAC_TOU</t>
        </is>
      </c>
      <c r="D2728" s="40" t="inlineStr">
        <is>
          <t>B2</t>
        </is>
      </c>
      <c r="E2728" s="40" t="inlineStr">
        <is>
          <t>ALT</t>
        </is>
      </c>
      <c r="F2728" s="40" t="inlineStr">
        <is>
          <t>606300</t>
        </is>
      </c>
      <c r="G2728" s="39" t="inlineStr">
        <is>
          <t>Fournitures &amp; ressources pédagogiques</t>
        </is>
      </c>
      <c r="H2728" s="40" t="inlineStr">
        <is>
          <t>COMPTABLE</t>
        </is>
      </c>
      <c r="I2728" s="41" t="inlineStr">
        <is>
          <t>2025FCST_V4</t>
        </is>
      </c>
      <c r="J2728" s="41" t="n">
        <v>2025</v>
      </c>
      <c r="K2728" s="41" t="inlineStr">
        <is>
          <t>EUR</t>
        </is>
      </c>
      <c r="L2728" s="42" t="n">
        <v>18000</v>
      </c>
    </row>
    <row r="2729">
      <c r="B2729" s="39" t="inlineStr">
        <is>
          <t>TUNON_PAR</t>
        </is>
      </c>
      <c r="C2729" s="40" t="inlineStr">
        <is>
          <t>BAC_TOU</t>
        </is>
      </c>
      <c r="D2729" s="40" t="inlineStr">
        <is>
          <t>B2</t>
        </is>
      </c>
      <c r="E2729" s="40" t="inlineStr">
        <is>
          <t>ALT</t>
        </is>
      </c>
      <c r="F2729" s="40" t="inlineStr">
        <is>
          <t>613200</t>
        </is>
      </c>
      <c r="G2729" s="39" t="inlineStr">
        <is>
          <t>Locations immobilières (loyers)</t>
        </is>
      </c>
      <c r="H2729" s="40" t="inlineStr">
        <is>
          <t>COMPTABLE</t>
        </is>
      </c>
      <c r="I2729" s="41" t="inlineStr">
        <is>
          <t>2023ACT_VDEF</t>
        </is>
      </c>
      <c r="J2729" s="41" t="n">
        <v>2023</v>
      </c>
      <c r="K2729" s="41" t="inlineStr">
        <is>
          <t>EUR</t>
        </is>
      </c>
      <c r="L2729" s="42" t="n">
        <v>32400</v>
      </c>
    </row>
    <row r="2730">
      <c r="B2730" s="39" t="inlineStr">
        <is>
          <t>TUNON_PAR</t>
        </is>
      </c>
      <c r="C2730" s="40" t="inlineStr">
        <is>
          <t>BAC_TOU</t>
        </is>
      </c>
      <c r="D2730" s="40" t="inlineStr">
        <is>
          <t>B2</t>
        </is>
      </c>
      <c r="E2730" s="40" t="inlineStr">
        <is>
          <t>ALT</t>
        </is>
      </c>
      <c r="F2730" s="40" t="inlineStr">
        <is>
          <t>613200</t>
        </is>
      </c>
      <c r="G2730" s="39" t="inlineStr">
        <is>
          <t>Locations immobilières (loyers)</t>
        </is>
      </c>
      <c r="H2730" s="40" t="inlineStr">
        <is>
          <t>COMPTABLE</t>
        </is>
      </c>
      <c r="I2730" s="41" t="inlineStr">
        <is>
          <t>2024ACT_VDEF</t>
        </is>
      </c>
      <c r="J2730" s="41" t="n">
        <v>2024</v>
      </c>
      <c r="K2730" s="41" t="inlineStr">
        <is>
          <t>EUR</t>
        </is>
      </c>
      <c r="L2730" s="42" t="n">
        <v>34200</v>
      </c>
    </row>
    <row r="2731">
      <c r="B2731" s="39" t="inlineStr">
        <is>
          <t>TUNON_PAR</t>
        </is>
      </c>
      <c r="C2731" s="40" t="inlineStr">
        <is>
          <t>BAC_TOU</t>
        </is>
      </c>
      <c r="D2731" s="40" t="inlineStr">
        <is>
          <t>B2</t>
        </is>
      </c>
      <c r="E2731" s="40" t="inlineStr">
        <is>
          <t>ALT</t>
        </is>
      </c>
      <c r="F2731" s="40" t="inlineStr">
        <is>
          <t>613200</t>
        </is>
      </c>
      <c r="G2731" s="39" t="inlineStr">
        <is>
          <t>Locations immobilières (loyers)</t>
        </is>
      </c>
      <c r="H2731" s="40" t="inlineStr">
        <is>
          <t>COMPTABLE</t>
        </is>
      </c>
      <c r="I2731" s="41" t="inlineStr">
        <is>
          <t>2025FCST_V4</t>
        </is>
      </c>
      <c r="J2731" s="41" t="n">
        <v>2025</v>
      </c>
      <c r="K2731" s="41" t="inlineStr">
        <is>
          <t>EUR</t>
        </is>
      </c>
      <c r="L2731" s="42" t="n">
        <v>36000</v>
      </c>
    </row>
    <row r="2732">
      <c r="B2732" s="39" t="inlineStr">
        <is>
          <t>TUNON_PAR</t>
        </is>
      </c>
      <c r="C2732" s="40" t="inlineStr">
        <is>
          <t>BAC_TOU</t>
        </is>
      </c>
      <c r="D2732" s="40" t="inlineStr">
        <is>
          <t>B2</t>
        </is>
      </c>
      <c r="E2732" s="40" t="inlineStr">
        <is>
          <t>ALT</t>
        </is>
      </c>
      <c r="F2732" s="40" t="inlineStr">
        <is>
          <t>641100</t>
        </is>
      </c>
      <c r="G2732" s="39" t="inlineStr">
        <is>
          <t>Rémunérations du personnel permanent</t>
        </is>
      </c>
      <c r="H2732" s="40" t="inlineStr">
        <is>
          <t>COMPTABLE</t>
        </is>
      </c>
      <c r="I2732" s="41" t="inlineStr">
        <is>
          <t>2023ACT_VDEF</t>
        </is>
      </c>
      <c r="J2732" s="41" t="n">
        <v>2023</v>
      </c>
      <c r="K2732" s="41" t="inlineStr">
        <is>
          <t>EUR</t>
        </is>
      </c>
      <c r="L2732" s="42" t="n">
        <v>87000</v>
      </c>
    </row>
    <row r="2733">
      <c r="B2733" s="39" t="inlineStr">
        <is>
          <t>TUNON_PAR</t>
        </is>
      </c>
      <c r="C2733" s="40" t="inlineStr">
        <is>
          <t>BAC_TOU</t>
        </is>
      </c>
      <c r="D2733" s="40" t="inlineStr">
        <is>
          <t>B2</t>
        </is>
      </c>
      <c r="E2733" s="40" t="inlineStr">
        <is>
          <t>ALT</t>
        </is>
      </c>
      <c r="F2733" s="40" t="inlineStr">
        <is>
          <t>641100</t>
        </is>
      </c>
      <c r="G2733" s="39" t="inlineStr">
        <is>
          <t>Rémunérations du personnel permanent</t>
        </is>
      </c>
      <c r="H2733" s="40" t="inlineStr">
        <is>
          <t>COMPTABLE</t>
        </is>
      </c>
      <c r="I2733" s="41" t="inlineStr">
        <is>
          <t>2024ACT_VDEF</t>
        </is>
      </c>
      <c r="J2733" s="41" t="n">
        <v>2024</v>
      </c>
      <c r="K2733" s="41" t="inlineStr">
        <is>
          <t>EUR</t>
        </is>
      </c>
      <c r="L2733" s="42" t="n">
        <v>91834</v>
      </c>
    </row>
    <row r="2734">
      <c r="B2734" s="39" t="inlineStr">
        <is>
          <t>TUNON_PAR</t>
        </is>
      </c>
      <c r="C2734" s="40" t="inlineStr">
        <is>
          <t>BAC_TOU</t>
        </is>
      </c>
      <c r="D2734" s="40" t="inlineStr">
        <is>
          <t>B2</t>
        </is>
      </c>
      <c r="E2734" s="40" t="inlineStr">
        <is>
          <t>ALT</t>
        </is>
      </c>
      <c r="F2734" s="40" t="inlineStr">
        <is>
          <t>641100</t>
        </is>
      </c>
      <c r="G2734" s="39" t="inlineStr">
        <is>
          <t>Rémunérations du personnel permanent</t>
        </is>
      </c>
      <c r="H2734" s="40" t="inlineStr">
        <is>
          <t>COMPTABLE</t>
        </is>
      </c>
      <c r="I2734" s="41" t="inlineStr">
        <is>
          <t>2025FCST_V4</t>
        </is>
      </c>
      <c r="J2734" s="41" t="n">
        <v>2025</v>
      </c>
      <c r="K2734" s="41" t="inlineStr">
        <is>
          <t>EUR</t>
        </is>
      </c>
      <c r="L2734" s="42" t="n">
        <v>96667</v>
      </c>
    </row>
    <row r="2735">
      <c r="B2735" s="39" t="inlineStr">
        <is>
          <t>TUNON_PAR</t>
        </is>
      </c>
      <c r="C2735" s="40" t="inlineStr">
        <is>
          <t>BAC_TOU</t>
        </is>
      </c>
      <c r="D2735" s="40" t="inlineStr">
        <is>
          <t>B2</t>
        </is>
      </c>
      <c r="E2735" s="40" t="inlineStr">
        <is>
          <t>ALT</t>
        </is>
      </c>
      <c r="F2735" s="40" t="inlineStr">
        <is>
          <t>622600</t>
        </is>
      </c>
      <c r="G2735" s="39" t="inlineStr">
        <is>
          <t>Honoraires &amp; frais de siège (structure groupe)</t>
        </is>
      </c>
      <c r="H2735" s="40" t="inlineStr">
        <is>
          <t>COMPTABLE</t>
        </is>
      </c>
      <c r="I2735" s="41" t="inlineStr">
        <is>
          <t>2023ACT_VDEF</t>
        </is>
      </c>
      <c r="J2735" s="41" t="n">
        <v>2023</v>
      </c>
      <c r="K2735" s="41" t="inlineStr">
        <is>
          <t>EUR</t>
        </is>
      </c>
      <c r="L2735" s="42" t="n">
        <v>29426</v>
      </c>
    </row>
    <row r="2736">
      <c r="B2736" s="39" t="inlineStr">
        <is>
          <t>TUNON_PAR</t>
        </is>
      </c>
      <c r="C2736" s="40" t="inlineStr">
        <is>
          <t>BAC_TOU</t>
        </is>
      </c>
      <c r="D2736" s="40" t="inlineStr">
        <is>
          <t>B2</t>
        </is>
      </c>
      <c r="E2736" s="40" t="inlineStr">
        <is>
          <t>ALT</t>
        </is>
      </c>
      <c r="F2736" s="40" t="inlineStr">
        <is>
          <t>622600</t>
        </is>
      </c>
      <c r="G2736" s="39" t="inlineStr">
        <is>
          <t>Honoraires &amp; frais de siège (structure groupe)</t>
        </is>
      </c>
      <c r="H2736" s="40" t="inlineStr">
        <is>
          <t>COMPTABLE</t>
        </is>
      </c>
      <c r="I2736" s="41" t="inlineStr">
        <is>
          <t>2024ACT_VDEF</t>
        </is>
      </c>
      <c r="J2736" s="41" t="n">
        <v>2024</v>
      </c>
      <c r="K2736" s="41" t="inlineStr">
        <is>
          <t>EUR</t>
        </is>
      </c>
      <c r="L2736" s="42" t="n">
        <v>31061</v>
      </c>
    </row>
    <row r="2737">
      <c r="B2737" s="39" t="inlineStr">
        <is>
          <t>TUNON_PAR</t>
        </is>
      </c>
      <c r="C2737" s="40" t="inlineStr">
        <is>
          <t>BAC_TOU</t>
        </is>
      </c>
      <c r="D2737" s="40" t="inlineStr">
        <is>
          <t>B2</t>
        </is>
      </c>
      <c r="E2737" s="40" t="inlineStr">
        <is>
          <t>ALT</t>
        </is>
      </c>
      <c r="F2737" s="40" t="inlineStr">
        <is>
          <t>622600</t>
        </is>
      </c>
      <c r="G2737" s="39" t="inlineStr">
        <is>
          <t>Honoraires &amp; frais de siège (structure groupe)</t>
        </is>
      </c>
      <c r="H2737" s="40" t="inlineStr">
        <is>
          <t>COMPTABLE</t>
        </is>
      </c>
      <c r="I2737" s="41" t="inlineStr">
        <is>
          <t>2025FCST_V4</t>
        </is>
      </c>
      <c r="J2737" s="41" t="n">
        <v>2025</v>
      </c>
      <c r="K2737" s="41" t="inlineStr">
        <is>
          <t>EUR</t>
        </is>
      </c>
      <c r="L2737" s="42" t="n">
        <v>32696</v>
      </c>
    </row>
    <row r="2738">
      <c r="B2738" s="39" t="inlineStr">
        <is>
          <t>TUNON_PAR</t>
        </is>
      </c>
      <c r="C2738" s="40" t="inlineStr">
        <is>
          <t>BAC_TOU</t>
        </is>
      </c>
      <c r="D2738" s="40" t="inlineStr">
        <is>
          <t>B2</t>
        </is>
      </c>
      <c r="E2738" s="40" t="inlineStr">
        <is>
          <t>ALT</t>
        </is>
      </c>
      <c r="F2738" s="40" t="inlineStr">
        <is>
          <t>606800</t>
        </is>
      </c>
      <c r="G2738" s="39" t="inlineStr">
        <is>
          <t>Autres achats &amp; charges externes</t>
        </is>
      </c>
      <c r="H2738" s="40" t="inlineStr">
        <is>
          <t>COMPTABLE</t>
        </is>
      </c>
      <c r="I2738" s="41" t="inlineStr">
        <is>
          <t>2023ACT_VDEF</t>
        </is>
      </c>
      <c r="J2738" s="41" t="n">
        <v>2023</v>
      </c>
      <c r="K2738" s="41" t="inlineStr">
        <is>
          <t>EUR</t>
        </is>
      </c>
      <c r="L2738" s="42" t="n">
        <v>33624</v>
      </c>
    </row>
    <row r="2739">
      <c r="B2739" s="39" t="inlineStr">
        <is>
          <t>TUNON_PAR</t>
        </is>
      </c>
      <c r="C2739" s="40" t="inlineStr">
        <is>
          <t>BAC_TOU</t>
        </is>
      </c>
      <c r="D2739" s="40" t="inlineStr">
        <is>
          <t>B2</t>
        </is>
      </c>
      <c r="E2739" s="40" t="inlineStr">
        <is>
          <t>ALT</t>
        </is>
      </c>
      <c r="F2739" s="40" t="inlineStr">
        <is>
          <t>606800</t>
        </is>
      </c>
      <c r="G2739" s="39" t="inlineStr">
        <is>
          <t>Autres achats &amp; charges externes</t>
        </is>
      </c>
      <c r="H2739" s="40" t="inlineStr">
        <is>
          <t>COMPTABLE</t>
        </is>
      </c>
      <c r="I2739" s="41" t="inlineStr">
        <is>
          <t>2024ACT_VDEF</t>
        </is>
      </c>
      <c r="J2739" s="41" t="n">
        <v>2024</v>
      </c>
      <c r="K2739" s="41" t="inlineStr">
        <is>
          <t>EUR</t>
        </is>
      </c>
      <c r="L2739" s="42" t="n">
        <v>35492</v>
      </c>
    </row>
    <row r="2740">
      <c r="B2740" s="39" t="inlineStr">
        <is>
          <t>TUNON_PAR</t>
        </is>
      </c>
      <c r="C2740" s="40" t="inlineStr">
        <is>
          <t>BAC_TOU</t>
        </is>
      </c>
      <c r="D2740" s="40" t="inlineStr">
        <is>
          <t>B2</t>
        </is>
      </c>
      <c r="E2740" s="40" t="inlineStr">
        <is>
          <t>ALT</t>
        </is>
      </c>
      <c r="F2740" s="40" t="inlineStr">
        <is>
          <t>606800</t>
        </is>
      </c>
      <c r="G2740" s="39" t="inlineStr">
        <is>
          <t>Autres achats &amp; charges externes</t>
        </is>
      </c>
      <c r="H2740" s="40" t="inlineStr">
        <is>
          <t>COMPTABLE</t>
        </is>
      </c>
      <c r="I2740" s="41" t="inlineStr">
        <is>
          <t>2025FCST_V4</t>
        </is>
      </c>
      <c r="J2740" s="41" t="n">
        <v>2025</v>
      </c>
      <c r="K2740" s="41" t="inlineStr">
        <is>
          <t>EUR</t>
        </is>
      </c>
      <c r="L2740" s="42" t="n">
        <v>37360</v>
      </c>
    </row>
    <row r="2741">
      <c r="B2741" s="39" t="inlineStr">
        <is>
          <t>TUNON_PAR</t>
        </is>
      </c>
      <c r="C2741" s="40" t="inlineStr">
        <is>
          <t>BAC_TOU</t>
        </is>
      </c>
      <c r="D2741" s="40" t="inlineStr">
        <is>
          <t>B2</t>
        </is>
      </c>
      <c r="E2741" s="40" t="inlineStr">
        <is>
          <t>ALT</t>
        </is>
      </c>
      <c r="F2741" s="40" t="inlineStr">
        <is>
          <t>681100</t>
        </is>
      </c>
      <c r="G2741" s="39" t="inlineStr">
        <is>
          <t>Dotations aux amortissements</t>
        </is>
      </c>
      <c r="H2741" s="40" t="inlineStr">
        <is>
          <t>COMPTABLE</t>
        </is>
      </c>
      <c r="I2741" s="41" t="inlineStr">
        <is>
          <t>2023ACT_VDEF</t>
        </is>
      </c>
      <c r="J2741" s="41" t="n">
        <v>2023</v>
      </c>
      <c r="K2741" s="41" t="inlineStr">
        <is>
          <t>EUR</t>
        </is>
      </c>
      <c r="L2741" s="42" t="n">
        <v>17700</v>
      </c>
    </row>
    <row r="2742">
      <c r="B2742" s="39" t="inlineStr">
        <is>
          <t>TUNON_PAR</t>
        </is>
      </c>
      <c r="C2742" s="40" t="inlineStr">
        <is>
          <t>BAC_TOU</t>
        </is>
      </c>
      <c r="D2742" s="40" t="inlineStr">
        <is>
          <t>B2</t>
        </is>
      </c>
      <c r="E2742" s="40" t="inlineStr">
        <is>
          <t>ALT</t>
        </is>
      </c>
      <c r="F2742" s="40" t="inlineStr">
        <is>
          <t>681100</t>
        </is>
      </c>
      <c r="G2742" s="39" t="inlineStr">
        <is>
          <t>Dotations aux amortissements</t>
        </is>
      </c>
      <c r="H2742" s="40" t="inlineStr">
        <is>
          <t>COMPTABLE</t>
        </is>
      </c>
      <c r="I2742" s="41" t="inlineStr">
        <is>
          <t>2024ACT_VDEF</t>
        </is>
      </c>
      <c r="J2742" s="41" t="n">
        <v>2024</v>
      </c>
      <c r="K2742" s="41" t="inlineStr">
        <is>
          <t>EUR</t>
        </is>
      </c>
      <c r="L2742" s="42" t="n">
        <v>18684</v>
      </c>
    </row>
    <row r="2743">
      <c r="B2743" s="39" t="inlineStr">
        <is>
          <t>TUNON_PAR</t>
        </is>
      </c>
      <c r="C2743" s="40" t="inlineStr">
        <is>
          <t>BAC_TOU</t>
        </is>
      </c>
      <c r="D2743" s="40" t="inlineStr">
        <is>
          <t>B2</t>
        </is>
      </c>
      <c r="E2743" s="40" t="inlineStr">
        <is>
          <t>ALT</t>
        </is>
      </c>
      <c r="F2743" s="40" t="inlineStr">
        <is>
          <t>681100</t>
        </is>
      </c>
      <c r="G2743" s="39" t="inlineStr">
        <is>
          <t>Dotations aux amortissements</t>
        </is>
      </c>
      <c r="H2743" s="40" t="inlineStr">
        <is>
          <t>COMPTABLE</t>
        </is>
      </c>
      <c r="I2743" s="41" t="inlineStr">
        <is>
          <t>2025FCST_V4</t>
        </is>
      </c>
      <c r="J2743" s="41" t="n">
        <v>2025</v>
      </c>
      <c r="K2743" s="41" t="inlineStr">
        <is>
          <t>EUR</t>
        </is>
      </c>
      <c r="L2743" s="42" t="n">
        <v>19667</v>
      </c>
    </row>
    <row r="2744">
      <c r="B2744" s="39" t="inlineStr">
        <is>
          <t>TUNON_PAR</t>
        </is>
      </c>
      <c r="C2744" s="40" t="inlineStr">
        <is>
          <t>BAC_TOU</t>
        </is>
      </c>
      <c r="D2744" s="40" t="inlineStr">
        <is>
          <t>B2</t>
        </is>
      </c>
      <c r="E2744" s="40" t="inlineStr">
        <is>
          <t>ALT</t>
        </is>
      </c>
      <c r="F2744" s="40" t="inlineStr">
        <is>
          <t>STA_EFF</t>
        </is>
      </c>
      <c r="G2744" s="39" t="inlineStr">
        <is>
          <t>Effectif inscrit</t>
        </is>
      </c>
      <c r="H2744" s="40" t="inlineStr">
        <is>
          <t>TECHNIQUE</t>
        </is>
      </c>
      <c r="I2744" s="41" t="inlineStr">
        <is>
          <t>2023ACT_VDEF</t>
        </is>
      </c>
      <c r="J2744" s="41" t="n">
        <v>2023</v>
      </c>
      <c r="K2744" s="41" t="inlineStr">
        <is>
          <t>NB</t>
        </is>
      </c>
      <c r="L2744" s="43" t="n">
        <v>36</v>
      </c>
    </row>
    <row r="2745">
      <c r="B2745" s="39" t="inlineStr">
        <is>
          <t>TUNON_PAR</t>
        </is>
      </c>
      <c r="C2745" s="40" t="inlineStr">
        <is>
          <t>BAC_TOU</t>
        </is>
      </c>
      <c r="D2745" s="40" t="inlineStr">
        <is>
          <t>B2</t>
        </is>
      </c>
      <c r="E2745" s="40" t="inlineStr">
        <is>
          <t>ALT</t>
        </is>
      </c>
      <c r="F2745" s="40" t="inlineStr">
        <is>
          <t>STA_EFF</t>
        </is>
      </c>
      <c r="G2745" s="39" t="inlineStr">
        <is>
          <t>Effectif inscrit</t>
        </is>
      </c>
      <c r="H2745" s="40" t="inlineStr">
        <is>
          <t>TECHNIQUE</t>
        </is>
      </c>
      <c r="I2745" s="41" t="inlineStr">
        <is>
          <t>2024ACT_VDEF</t>
        </is>
      </c>
      <c r="J2745" s="41" t="n">
        <v>2024</v>
      </c>
      <c r="K2745" s="41" t="inlineStr">
        <is>
          <t>NB</t>
        </is>
      </c>
      <c r="L2745" s="43" t="n">
        <v>38</v>
      </c>
    </row>
    <row r="2746">
      <c r="B2746" s="39" t="inlineStr">
        <is>
          <t>TUNON_PAR</t>
        </is>
      </c>
      <c r="C2746" s="40" t="inlineStr">
        <is>
          <t>BAC_TOU</t>
        </is>
      </c>
      <c r="D2746" s="40" t="inlineStr">
        <is>
          <t>B2</t>
        </is>
      </c>
      <c r="E2746" s="40" t="inlineStr">
        <is>
          <t>ALT</t>
        </is>
      </c>
      <c r="F2746" s="40" t="inlineStr">
        <is>
          <t>STA_EFF</t>
        </is>
      </c>
      <c r="G2746" s="39" t="inlineStr">
        <is>
          <t>Effectif inscrit</t>
        </is>
      </c>
      <c r="H2746" s="40" t="inlineStr">
        <is>
          <t>TECHNIQUE</t>
        </is>
      </c>
      <c r="I2746" s="41" t="inlineStr">
        <is>
          <t>2025FCST_V4</t>
        </is>
      </c>
      <c r="J2746" s="41" t="n">
        <v>2025</v>
      </c>
      <c r="K2746" s="41" t="inlineStr">
        <is>
          <t>NB</t>
        </is>
      </c>
      <c r="L2746" s="43" t="n">
        <v>40</v>
      </c>
    </row>
    <row r="2747">
      <c r="B2747" s="39" t="inlineStr">
        <is>
          <t>TUNON_PAR</t>
        </is>
      </c>
      <c r="C2747" s="40" t="inlineStr">
        <is>
          <t>BAC_TOU</t>
        </is>
      </c>
      <c r="D2747" s="40" t="inlineStr">
        <is>
          <t>B2</t>
        </is>
      </c>
      <c r="E2747" s="40" t="inlineStr">
        <is>
          <t>ALT</t>
        </is>
      </c>
      <c r="F2747" s="40" t="inlineStr">
        <is>
          <t>STA_REINS</t>
        </is>
      </c>
      <c r="G2747" s="39" t="inlineStr">
        <is>
          <t>Réinscrits</t>
        </is>
      </c>
      <c r="H2747" s="40" t="inlineStr">
        <is>
          <t>TECHNIQUE</t>
        </is>
      </c>
      <c r="I2747" s="41" t="inlineStr">
        <is>
          <t>2023ACT_VDEF</t>
        </is>
      </c>
      <c r="J2747" s="41" t="n">
        <v>2023</v>
      </c>
      <c r="K2747" s="41" t="inlineStr">
        <is>
          <t>NB</t>
        </is>
      </c>
      <c r="L2747" s="43" t="n">
        <v>36</v>
      </c>
    </row>
    <row r="2748">
      <c r="B2748" s="39" t="inlineStr">
        <is>
          <t>TUNON_PAR</t>
        </is>
      </c>
      <c r="C2748" s="40" t="inlineStr">
        <is>
          <t>BAC_TOU</t>
        </is>
      </c>
      <c r="D2748" s="40" t="inlineStr">
        <is>
          <t>B2</t>
        </is>
      </c>
      <c r="E2748" s="40" t="inlineStr">
        <is>
          <t>ALT</t>
        </is>
      </c>
      <c r="F2748" s="40" t="inlineStr">
        <is>
          <t>STA_REINS</t>
        </is>
      </c>
      <c r="G2748" s="39" t="inlineStr">
        <is>
          <t>Réinscrits</t>
        </is>
      </c>
      <c r="H2748" s="40" t="inlineStr">
        <is>
          <t>TECHNIQUE</t>
        </is>
      </c>
      <c r="I2748" s="41" t="inlineStr">
        <is>
          <t>2024ACT_VDEF</t>
        </is>
      </c>
      <c r="J2748" s="41" t="n">
        <v>2024</v>
      </c>
      <c r="K2748" s="41" t="inlineStr">
        <is>
          <t>NB</t>
        </is>
      </c>
      <c r="L2748" s="43" t="n">
        <v>38</v>
      </c>
    </row>
    <row r="2749">
      <c r="B2749" s="39" t="inlineStr">
        <is>
          <t>TUNON_PAR</t>
        </is>
      </c>
      <c r="C2749" s="40" t="inlineStr">
        <is>
          <t>BAC_TOU</t>
        </is>
      </c>
      <c r="D2749" s="40" t="inlineStr">
        <is>
          <t>B2</t>
        </is>
      </c>
      <c r="E2749" s="40" t="inlineStr">
        <is>
          <t>ALT</t>
        </is>
      </c>
      <c r="F2749" s="40" t="inlineStr">
        <is>
          <t>STA_REINS</t>
        </is>
      </c>
      <c r="G2749" s="39" t="inlineStr">
        <is>
          <t>Réinscrits</t>
        </is>
      </c>
      <c r="H2749" s="40" t="inlineStr">
        <is>
          <t>TECHNIQUE</t>
        </is>
      </c>
      <c r="I2749" s="41" t="inlineStr">
        <is>
          <t>2025FCST_V4</t>
        </is>
      </c>
      <c r="J2749" s="41" t="n">
        <v>2025</v>
      </c>
      <c r="K2749" s="41" t="inlineStr">
        <is>
          <t>NB</t>
        </is>
      </c>
      <c r="L2749" s="43" t="n">
        <v>40</v>
      </c>
    </row>
    <row r="2750">
      <c r="B2750" s="39" t="inlineStr">
        <is>
          <t>TUNON_PAR</t>
        </is>
      </c>
      <c r="C2750" s="40" t="inlineStr">
        <is>
          <t>BAC_TOU</t>
        </is>
      </c>
      <c r="D2750" s="40" t="inlineStr">
        <is>
          <t>B2</t>
        </is>
      </c>
      <c r="E2750" s="40" t="inlineStr">
        <is>
          <t>ALT</t>
        </is>
      </c>
      <c r="F2750" s="40" t="inlineStr">
        <is>
          <t>STA_CLASS</t>
        </is>
      </c>
      <c r="G2750" s="39" t="inlineStr">
        <is>
          <t>Nombre de classes</t>
        </is>
      </c>
      <c r="H2750" s="40" t="inlineStr">
        <is>
          <t>TECHNIQUE</t>
        </is>
      </c>
      <c r="I2750" s="41" t="inlineStr">
        <is>
          <t>2023ACT_VDEF</t>
        </is>
      </c>
      <c r="J2750" s="41" t="n">
        <v>2023</v>
      </c>
      <c r="K2750" s="41" t="inlineStr">
        <is>
          <t>NB</t>
        </is>
      </c>
      <c r="L2750" s="43" t="n">
        <v>2</v>
      </c>
    </row>
    <row r="2751">
      <c r="B2751" s="39" t="inlineStr">
        <is>
          <t>TUNON_PAR</t>
        </is>
      </c>
      <c r="C2751" s="40" t="inlineStr">
        <is>
          <t>BAC_TOU</t>
        </is>
      </c>
      <c r="D2751" s="40" t="inlineStr">
        <is>
          <t>B2</t>
        </is>
      </c>
      <c r="E2751" s="40" t="inlineStr">
        <is>
          <t>ALT</t>
        </is>
      </c>
      <c r="F2751" s="40" t="inlineStr">
        <is>
          <t>STA_CLASS</t>
        </is>
      </c>
      <c r="G2751" s="39" t="inlineStr">
        <is>
          <t>Nombre de classes</t>
        </is>
      </c>
      <c r="H2751" s="40" t="inlineStr">
        <is>
          <t>TECHNIQUE</t>
        </is>
      </c>
      <c r="I2751" s="41" t="inlineStr">
        <is>
          <t>2024ACT_VDEF</t>
        </is>
      </c>
      <c r="J2751" s="41" t="n">
        <v>2024</v>
      </c>
      <c r="K2751" s="41" t="inlineStr">
        <is>
          <t>NB</t>
        </is>
      </c>
      <c r="L2751" s="43" t="n">
        <v>2</v>
      </c>
    </row>
    <row r="2752">
      <c r="B2752" s="39" t="inlineStr">
        <is>
          <t>TUNON_PAR</t>
        </is>
      </c>
      <c r="C2752" s="40" t="inlineStr">
        <is>
          <t>BAC_TOU</t>
        </is>
      </c>
      <c r="D2752" s="40" t="inlineStr">
        <is>
          <t>B2</t>
        </is>
      </c>
      <c r="E2752" s="40" t="inlineStr">
        <is>
          <t>ALT</t>
        </is>
      </c>
      <c r="F2752" s="40" t="inlineStr">
        <is>
          <t>STA_CLASS</t>
        </is>
      </c>
      <c r="G2752" s="39" t="inlineStr">
        <is>
          <t>Nombre de classes</t>
        </is>
      </c>
      <c r="H2752" s="40" t="inlineStr">
        <is>
          <t>TECHNIQUE</t>
        </is>
      </c>
      <c r="I2752" s="41" t="inlineStr">
        <is>
          <t>2025FCST_V4</t>
        </is>
      </c>
      <c r="J2752" s="41" t="n">
        <v>2025</v>
      </c>
      <c r="K2752" s="41" t="inlineStr">
        <is>
          <t>NB</t>
        </is>
      </c>
      <c r="L2752" s="43" t="n">
        <v>2</v>
      </c>
    </row>
    <row r="2753">
      <c r="B2753" s="39" t="inlineStr">
        <is>
          <t>TUNON_PAR</t>
        </is>
      </c>
      <c r="C2753" s="40" t="inlineStr">
        <is>
          <t>BAC_TOU</t>
        </is>
      </c>
      <c r="D2753" s="40" t="inlineStr">
        <is>
          <t>B2</t>
        </is>
      </c>
      <c r="E2753" s="40" t="inlineStr">
        <is>
          <t>ALT</t>
        </is>
      </c>
      <c r="F2753" s="40" t="inlineStr">
        <is>
          <t>STA_HEURE</t>
        </is>
      </c>
      <c r="G2753" s="39" t="inlineStr">
        <is>
          <t>Heures d'enseignement</t>
        </is>
      </c>
      <c r="H2753" s="40" t="inlineStr">
        <is>
          <t>TECHNIQUE</t>
        </is>
      </c>
      <c r="I2753" s="41" t="inlineStr">
        <is>
          <t>2023ACT_VDEF</t>
        </is>
      </c>
      <c r="J2753" s="41" t="n">
        <v>2023</v>
      </c>
      <c r="K2753" s="41" t="inlineStr">
        <is>
          <t>NB</t>
        </is>
      </c>
      <c r="L2753" s="43" t="n">
        <v>1008</v>
      </c>
    </row>
    <row r="2754">
      <c r="B2754" s="39" t="inlineStr">
        <is>
          <t>TUNON_PAR</t>
        </is>
      </c>
      <c r="C2754" s="40" t="inlineStr">
        <is>
          <t>BAC_TOU</t>
        </is>
      </c>
      <c r="D2754" s="40" t="inlineStr">
        <is>
          <t>B2</t>
        </is>
      </c>
      <c r="E2754" s="40" t="inlineStr">
        <is>
          <t>ALT</t>
        </is>
      </c>
      <c r="F2754" s="40" t="inlineStr">
        <is>
          <t>STA_HEURE</t>
        </is>
      </c>
      <c r="G2754" s="39" t="inlineStr">
        <is>
          <t>Heures d'enseignement</t>
        </is>
      </c>
      <c r="H2754" s="40" t="inlineStr">
        <is>
          <t>TECHNIQUE</t>
        </is>
      </c>
      <c r="I2754" s="41" t="inlineStr">
        <is>
          <t>2024ACT_VDEF</t>
        </is>
      </c>
      <c r="J2754" s="41" t="n">
        <v>2024</v>
      </c>
      <c r="K2754" s="41" t="inlineStr">
        <is>
          <t>NB</t>
        </is>
      </c>
      <c r="L2754" s="43" t="n">
        <v>1064</v>
      </c>
    </row>
    <row r="2755">
      <c r="B2755" s="39" t="inlineStr">
        <is>
          <t>TUNON_PAR</t>
        </is>
      </c>
      <c r="C2755" s="40" t="inlineStr">
        <is>
          <t>BAC_TOU</t>
        </is>
      </c>
      <c r="D2755" s="40" t="inlineStr">
        <is>
          <t>B2</t>
        </is>
      </c>
      <c r="E2755" s="40" t="inlineStr">
        <is>
          <t>ALT</t>
        </is>
      </c>
      <c r="F2755" s="40" t="inlineStr">
        <is>
          <t>STA_HEURE</t>
        </is>
      </c>
      <c r="G2755" s="39" t="inlineStr">
        <is>
          <t>Heures d'enseignement</t>
        </is>
      </c>
      <c r="H2755" s="40" t="inlineStr">
        <is>
          <t>TECHNIQUE</t>
        </is>
      </c>
      <c r="I2755" s="41" t="inlineStr">
        <is>
          <t>2025FCST_V4</t>
        </is>
      </c>
      <c r="J2755" s="41" t="n">
        <v>2025</v>
      </c>
      <c r="K2755" s="41" t="inlineStr">
        <is>
          <t>NB</t>
        </is>
      </c>
      <c r="L2755" s="43" t="n">
        <v>1120</v>
      </c>
    </row>
    <row r="2756">
      <c r="B2756" s="39" t="inlineStr">
        <is>
          <t>TUNON_PAR</t>
        </is>
      </c>
      <c r="C2756" s="40" t="inlineStr">
        <is>
          <t>BAC_TOU</t>
        </is>
      </c>
      <c r="D2756" s="40" t="inlineStr">
        <is>
          <t>B2</t>
        </is>
      </c>
      <c r="E2756" s="40" t="inlineStr">
        <is>
          <t>ALT</t>
        </is>
      </c>
      <c r="F2756" s="40" t="inlineStr">
        <is>
          <t>STA_CAPA</t>
        </is>
      </c>
      <c r="G2756" s="39" t="inlineStr">
        <is>
          <t>Capacité par classe</t>
        </is>
      </c>
      <c r="H2756" s="40" t="inlineStr">
        <is>
          <t>TECHNIQUE</t>
        </is>
      </c>
      <c r="I2756" s="41" t="inlineStr">
        <is>
          <t>2023ACT_VDEF</t>
        </is>
      </c>
      <c r="J2756" s="41" t="n">
        <v>2023</v>
      </c>
      <c r="K2756" s="41" t="inlineStr">
        <is>
          <t>NB</t>
        </is>
      </c>
      <c r="L2756" s="43" t="n">
        <v>32</v>
      </c>
    </row>
    <row r="2757">
      <c r="B2757" s="39" t="inlineStr">
        <is>
          <t>TUNON_PAR</t>
        </is>
      </c>
      <c r="C2757" s="40" t="inlineStr">
        <is>
          <t>BAC_TOU</t>
        </is>
      </c>
      <c r="D2757" s="40" t="inlineStr">
        <is>
          <t>B2</t>
        </is>
      </c>
      <c r="E2757" s="40" t="inlineStr">
        <is>
          <t>ALT</t>
        </is>
      </c>
      <c r="F2757" s="40" t="inlineStr">
        <is>
          <t>STA_CAPA</t>
        </is>
      </c>
      <c r="G2757" s="39" t="inlineStr">
        <is>
          <t>Capacité par classe</t>
        </is>
      </c>
      <c r="H2757" s="40" t="inlineStr">
        <is>
          <t>TECHNIQUE</t>
        </is>
      </c>
      <c r="I2757" s="41" t="inlineStr">
        <is>
          <t>2024ACT_VDEF</t>
        </is>
      </c>
      <c r="J2757" s="41" t="n">
        <v>2024</v>
      </c>
      <c r="K2757" s="41" t="inlineStr">
        <is>
          <t>NB</t>
        </is>
      </c>
      <c r="L2757" s="43" t="n">
        <v>32</v>
      </c>
    </row>
    <row r="2758">
      <c r="B2758" s="39" t="inlineStr">
        <is>
          <t>TUNON_PAR</t>
        </is>
      </c>
      <c r="C2758" s="40" t="inlineStr">
        <is>
          <t>BAC_TOU</t>
        </is>
      </c>
      <c r="D2758" s="40" t="inlineStr">
        <is>
          <t>B2</t>
        </is>
      </c>
      <c r="E2758" s="40" t="inlineStr">
        <is>
          <t>ALT</t>
        </is>
      </c>
      <c r="F2758" s="40" t="inlineStr">
        <is>
          <t>STA_CAPA</t>
        </is>
      </c>
      <c r="G2758" s="39" t="inlineStr">
        <is>
          <t>Capacité par classe</t>
        </is>
      </c>
      <c r="H2758" s="40" t="inlineStr">
        <is>
          <t>TECHNIQUE</t>
        </is>
      </c>
      <c r="I2758" s="41" t="inlineStr">
        <is>
          <t>2025FCST_V4</t>
        </is>
      </c>
      <c r="J2758" s="41" t="n">
        <v>2025</v>
      </c>
      <c r="K2758" s="41" t="inlineStr">
        <is>
          <t>NB</t>
        </is>
      </c>
      <c r="L2758" s="43" t="n">
        <v>32</v>
      </c>
    </row>
    <row r="2759">
      <c r="B2759" s="39" t="inlineStr">
        <is>
          <t>TUNON_PAR</t>
        </is>
      </c>
      <c r="C2759" s="40" t="inlineStr">
        <is>
          <t>BAC_TOU</t>
        </is>
      </c>
      <c r="D2759" s="40" t="inlineStr">
        <is>
          <t>B2</t>
        </is>
      </c>
      <c r="E2759" s="40" t="inlineStr">
        <is>
          <t>ALT</t>
        </is>
      </c>
      <c r="F2759" s="40" t="inlineStr">
        <is>
          <t>DRV_PASS</t>
        </is>
      </c>
      <c r="G2759" s="39" t="inlineStr">
        <is>
          <t>Taux de passage (réinscription)</t>
        </is>
      </c>
      <c r="H2759" s="40" t="inlineStr">
        <is>
          <t>TECHNIQUE</t>
        </is>
      </c>
      <c r="I2759" s="41" t="inlineStr">
        <is>
          <t>2023ACT_VDEF</t>
        </is>
      </c>
      <c r="J2759" s="41" t="n">
        <v>2023</v>
      </c>
      <c r="K2759" s="41" t="inlineStr">
        <is>
          <t>PCT</t>
        </is>
      </c>
      <c r="L2759" s="44" t="n">
        <v>0.93</v>
      </c>
    </row>
    <row r="2760">
      <c r="B2760" s="39" t="inlineStr">
        <is>
          <t>TUNON_PAR</t>
        </is>
      </c>
      <c r="C2760" s="40" t="inlineStr">
        <is>
          <t>BAC_TOU</t>
        </is>
      </c>
      <c r="D2760" s="40" t="inlineStr">
        <is>
          <t>B2</t>
        </is>
      </c>
      <c r="E2760" s="40" t="inlineStr">
        <is>
          <t>ALT</t>
        </is>
      </c>
      <c r="F2760" s="40" t="inlineStr">
        <is>
          <t>DRV_PASS</t>
        </is>
      </c>
      <c r="G2760" s="39" t="inlineStr">
        <is>
          <t>Taux de passage (réinscription)</t>
        </is>
      </c>
      <c r="H2760" s="40" t="inlineStr">
        <is>
          <t>TECHNIQUE</t>
        </is>
      </c>
      <c r="I2760" s="41" t="inlineStr">
        <is>
          <t>2024ACT_VDEF</t>
        </is>
      </c>
      <c r="J2760" s="41" t="n">
        <v>2024</v>
      </c>
      <c r="K2760" s="41" t="inlineStr">
        <is>
          <t>PCT</t>
        </is>
      </c>
      <c r="L2760" s="44" t="n">
        <v>0.93</v>
      </c>
    </row>
    <row r="2761">
      <c r="B2761" s="39" t="inlineStr">
        <is>
          <t>TUNON_PAR</t>
        </is>
      </c>
      <c r="C2761" s="40" t="inlineStr">
        <is>
          <t>BAC_TOU</t>
        </is>
      </c>
      <c r="D2761" s="40" t="inlineStr">
        <is>
          <t>B2</t>
        </is>
      </c>
      <c r="E2761" s="40" t="inlineStr">
        <is>
          <t>ALT</t>
        </is>
      </c>
      <c r="F2761" s="40" t="inlineStr">
        <is>
          <t>DRV_PASS</t>
        </is>
      </c>
      <c r="G2761" s="39" t="inlineStr">
        <is>
          <t>Taux de passage (réinscription)</t>
        </is>
      </c>
      <c r="H2761" s="40" t="inlineStr">
        <is>
          <t>TECHNIQUE</t>
        </is>
      </c>
      <c r="I2761" s="41" t="inlineStr">
        <is>
          <t>2025FCST_V4</t>
        </is>
      </c>
      <c r="J2761" s="41" t="n">
        <v>2025</v>
      </c>
      <c r="K2761" s="41" t="inlineStr">
        <is>
          <t>PCT</t>
        </is>
      </c>
      <c r="L2761" s="44" t="n">
        <v>0.93</v>
      </c>
    </row>
    <row r="2762">
      <c r="B2762" s="39" t="inlineStr">
        <is>
          <t>TUNON_PAR</t>
        </is>
      </c>
      <c r="C2762" s="40" t="inlineStr">
        <is>
          <t>BAC_TOU</t>
        </is>
      </c>
      <c r="D2762" s="40" t="inlineStr">
        <is>
          <t>B2</t>
        </is>
      </c>
      <c r="E2762" s="40" t="inlineStr">
        <is>
          <t>ALT</t>
        </is>
      </c>
      <c r="F2762" s="40" t="inlineStr">
        <is>
          <t>PRX_TARIF</t>
        </is>
      </c>
      <c r="G2762" s="39" t="inlineStr">
        <is>
          <t>Tarif moyen scolarité</t>
        </is>
      </c>
      <c r="H2762" s="40" t="inlineStr">
        <is>
          <t>TECHNIQUE</t>
        </is>
      </c>
      <c r="I2762" s="41" t="inlineStr">
        <is>
          <t>2023ACT_VDEF</t>
        </is>
      </c>
      <c r="J2762" s="41" t="n">
        <v>2023</v>
      </c>
      <c r="K2762" s="41" t="inlineStr">
        <is>
          <t>EUR</t>
        </is>
      </c>
      <c r="L2762" s="42" t="n">
        <v>8000</v>
      </c>
    </row>
    <row r="2763">
      <c r="B2763" s="39" t="inlineStr">
        <is>
          <t>TUNON_PAR</t>
        </is>
      </c>
      <c r="C2763" s="40" t="inlineStr">
        <is>
          <t>BAC_TOU</t>
        </is>
      </c>
      <c r="D2763" s="40" t="inlineStr">
        <is>
          <t>B2</t>
        </is>
      </c>
      <c r="E2763" s="40" t="inlineStr">
        <is>
          <t>ALT</t>
        </is>
      </c>
      <c r="F2763" s="40" t="inlineStr">
        <is>
          <t>PRX_TARIF</t>
        </is>
      </c>
      <c r="G2763" s="39" t="inlineStr">
        <is>
          <t>Tarif moyen scolarité</t>
        </is>
      </c>
      <c r="H2763" s="40" t="inlineStr">
        <is>
          <t>TECHNIQUE</t>
        </is>
      </c>
      <c r="I2763" s="41" t="inlineStr">
        <is>
          <t>2024ACT_VDEF</t>
        </is>
      </c>
      <c r="J2763" s="41" t="n">
        <v>2024</v>
      </c>
      <c r="K2763" s="41" t="inlineStr">
        <is>
          <t>EUR</t>
        </is>
      </c>
      <c r="L2763" s="42" t="n">
        <v>8000</v>
      </c>
    </row>
    <row r="2764">
      <c r="B2764" s="39" t="inlineStr">
        <is>
          <t>TUNON_PAR</t>
        </is>
      </c>
      <c r="C2764" s="40" t="inlineStr">
        <is>
          <t>BAC_TOU</t>
        </is>
      </c>
      <c r="D2764" s="40" t="inlineStr">
        <is>
          <t>B2</t>
        </is>
      </c>
      <c r="E2764" s="40" t="inlineStr">
        <is>
          <t>ALT</t>
        </is>
      </c>
      <c r="F2764" s="40" t="inlineStr">
        <is>
          <t>PRX_TARIF</t>
        </is>
      </c>
      <c r="G2764" s="39" t="inlineStr">
        <is>
          <t>Tarif moyen scolarité</t>
        </is>
      </c>
      <c r="H2764" s="40" t="inlineStr">
        <is>
          <t>TECHNIQUE</t>
        </is>
      </c>
      <c r="I2764" s="41" t="inlineStr">
        <is>
          <t>2025FCST_V4</t>
        </is>
      </c>
      <c r="J2764" s="41" t="n">
        <v>2025</v>
      </c>
      <c r="K2764" s="41" t="inlineStr">
        <is>
          <t>EUR</t>
        </is>
      </c>
      <c r="L2764" s="42" t="n">
        <v>8000</v>
      </c>
    </row>
    <row r="2765">
      <c r="B2765" s="39" t="inlineStr">
        <is>
          <t>TUNON_PAR</t>
        </is>
      </c>
      <c r="C2765" s="40" t="inlineStr">
        <is>
          <t>BAC_TOU</t>
        </is>
      </c>
      <c r="D2765" s="40" t="inlineStr">
        <is>
          <t>B3</t>
        </is>
      </c>
      <c r="E2765" s="40" t="inlineStr">
        <is>
          <t>ALT</t>
        </is>
      </c>
      <c r="F2765" s="40" t="inlineStr">
        <is>
          <t>706100</t>
        </is>
      </c>
      <c r="G2765" s="39" t="inlineStr">
        <is>
          <t>Droits de scolarité</t>
        </is>
      </c>
      <c r="H2765" s="40" t="inlineStr">
        <is>
          <t>COMPTABLE</t>
        </is>
      </c>
      <c r="I2765" s="41" t="inlineStr">
        <is>
          <t>2023ACT_VDEF</t>
        </is>
      </c>
      <c r="J2765" s="41" t="n">
        <v>2023</v>
      </c>
      <c r="K2765" s="41" t="inlineStr">
        <is>
          <t>EUR</t>
        </is>
      </c>
      <c r="L2765" s="42" t="n">
        <v>252000</v>
      </c>
    </row>
    <row r="2766">
      <c r="B2766" s="39" t="inlineStr">
        <is>
          <t>TUNON_PAR</t>
        </is>
      </c>
      <c r="C2766" s="40" t="inlineStr">
        <is>
          <t>BAC_TOU</t>
        </is>
      </c>
      <c r="D2766" s="40" t="inlineStr">
        <is>
          <t>B3</t>
        </is>
      </c>
      <c r="E2766" s="40" t="inlineStr">
        <is>
          <t>ALT</t>
        </is>
      </c>
      <c r="F2766" s="40" t="inlineStr">
        <is>
          <t>706100</t>
        </is>
      </c>
      <c r="G2766" s="39" t="inlineStr">
        <is>
          <t>Droits de scolarité</t>
        </is>
      </c>
      <c r="H2766" s="40" t="inlineStr">
        <is>
          <t>COMPTABLE</t>
        </is>
      </c>
      <c r="I2766" s="41" t="inlineStr">
        <is>
          <t>2024ACT_VDEF</t>
        </is>
      </c>
      <c r="J2766" s="41" t="n">
        <v>2024</v>
      </c>
      <c r="K2766" s="41" t="inlineStr">
        <is>
          <t>EUR</t>
        </is>
      </c>
      <c r="L2766" s="42" t="n">
        <v>266000</v>
      </c>
    </row>
    <row r="2767">
      <c r="B2767" s="39" t="inlineStr">
        <is>
          <t>TUNON_PAR</t>
        </is>
      </c>
      <c r="C2767" s="40" t="inlineStr">
        <is>
          <t>BAC_TOU</t>
        </is>
      </c>
      <c r="D2767" s="40" t="inlineStr">
        <is>
          <t>B3</t>
        </is>
      </c>
      <c r="E2767" s="40" t="inlineStr">
        <is>
          <t>ALT</t>
        </is>
      </c>
      <c r="F2767" s="40" t="inlineStr">
        <is>
          <t>706100</t>
        </is>
      </c>
      <c r="G2767" s="39" t="inlineStr">
        <is>
          <t>Droits de scolarité</t>
        </is>
      </c>
      <c r="H2767" s="40" t="inlineStr">
        <is>
          <t>COMPTABLE</t>
        </is>
      </c>
      <c r="I2767" s="41" t="inlineStr">
        <is>
          <t>2025FCST_V4</t>
        </is>
      </c>
      <c r="J2767" s="41" t="n">
        <v>2025</v>
      </c>
      <c r="K2767" s="41" t="inlineStr">
        <is>
          <t>EUR</t>
        </is>
      </c>
      <c r="L2767" s="42" t="n">
        <v>280000</v>
      </c>
    </row>
    <row r="2768">
      <c r="B2768" s="39" t="inlineStr">
        <is>
          <t>TUNON_PAR</t>
        </is>
      </c>
      <c r="C2768" s="40" t="inlineStr">
        <is>
          <t>BAC_TOU</t>
        </is>
      </c>
      <c r="D2768" s="40" t="inlineStr">
        <is>
          <t>B3</t>
        </is>
      </c>
      <c r="E2768" s="40" t="inlineStr">
        <is>
          <t>ALT</t>
        </is>
      </c>
      <c r="F2768" s="40" t="inlineStr">
        <is>
          <t>604100</t>
        </is>
      </c>
      <c r="G2768" s="39" t="inlineStr">
        <is>
          <t>Vacations &amp; sous-traitance pédagogique</t>
        </is>
      </c>
      <c r="H2768" s="40" t="inlineStr">
        <is>
          <t>COMPTABLE</t>
        </is>
      </c>
      <c r="I2768" s="41" t="inlineStr">
        <is>
          <t>2023ACT_VDEF</t>
        </is>
      </c>
      <c r="J2768" s="41" t="n">
        <v>2023</v>
      </c>
      <c r="K2768" s="41" t="inlineStr">
        <is>
          <t>EUR</t>
        </is>
      </c>
      <c r="L2768" s="42" t="n">
        <v>52416</v>
      </c>
    </row>
    <row r="2769">
      <c r="B2769" s="39" t="inlineStr">
        <is>
          <t>TUNON_PAR</t>
        </is>
      </c>
      <c r="C2769" s="40" t="inlineStr">
        <is>
          <t>BAC_TOU</t>
        </is>
      </c>
      <c r="D2769" s="40" t="inlineStr">
        <is>
          <t>B3</t>
        </is>
      </c>
      <c r="E2769" s="40" t="inlineStr">
        <is>
          <t>ALT</t>
        </is>
      </c>
      <c r="F2769" s="40" t="inlineStr">
        <is>
          <t>604100</t>
        </is>
      </c>
      <c r="G2769" s="39" t="inlineStr">
        <is>
          <t>Vacations &amp; sous-traitance pédagogique</t>
        </is>
      </c>
      <c r="H2769" s="40" t="inlineStr">
        <is>
          <t>COMPTABLE</t>
        </is>
      </c>
      <c r="I2769" s="41" t="inlineStr">
        <is>
          <t>2024ACT_VDEF</t>
        </is>
      </c>
      <c r="J2769" s="41" t="n">
        <v>2024</v>
      </c>
      <c r="K2769" s="41" t="inlineStr">
        <is>
          <t>EUR</t>
        </is>
      </c>
      <c r="L2769" s="42" t="n">
        <v>55328</v>
      </c>
    </row>
    <row r="2770">
      <c r="B2770" s="39" t="inlineStr">
        <is>
          <t>TUNON_PAR</t>
        </is>
      </c>
      <c r="C2770" s="40" t="inlineStr">
        <is>
          <t>BAC_TOU</t>
        </is>
      </c>
      <c r="D2770" s="40" t="inlineStr">
        <is>
          <t>B3</t>
        </is>
      </c>
      <c r="E2770" s="40" t="inlineStr">
        <is>
          <t>ALT</t>
        </is>
      </c>
      <c r="F2770" s="40" t="inlineStr">
        <is>
          <t>604100</t>
        </is>
      </c>
      <c r="G2770" s="39" t="inlineStr">
        <is>
          <t>Vacations &amp; sous-traitance pédagogique</t>
        </is>
      </c>
      <c r="H2770" s="40" t="inlineStr">
        <is>
          <t>COMPTABLE</t>
        </is>
      </c>
      <c r="I2770" s="41" t="inlineStr">
        <is>
          <t>2025FCST_V4</t>
        </is>
      </c>
      <c r="J2770" s="41" t="n">
        <v>2025</v>
      </c>
      <c r="K2770" s="41" t="inlineStr">
        <is>
          <t>EUR</t>
        </is>
      </c>
      <c r="L2770" s="42" t="n">
        <v>58240</v>
      </c>
    </row>
    <row r="2771">
      <c r="B2771" s="39" t="inlineStr">
        <is>
          <t>TUNON_PAR</t>
        </is>
      </c>
      <c r="C2771" s="40" t="inlineStr">
        <is>
          <t>BAC_TOU</t>
        </is>
      </c>
      <c r="D2771" s="40" t="inlineStr">
        <is>
          <t>B3</t>
        </is>
      </c>
      <c r="E2771" s="40" t="inlineStr">
        <is>
          <t>ALT</t>
        </is>
      </c>
      <c r="F2771" s="40" t="inlineStr">
        <is>
          <t>606300</t>
        </is>
      </c>
      <c r="G2771" s="39" t="inlineStr">
        <is>
          <t>Fournitures &amp; ressources pédagogiques</t>
        </is>
      </c>
      <c r="H2771" s="40" t="inlineStr">
        <is>
          <t>COMPTABLE</t>
        </is>
      </c>
      <c r="I2771" s="41" t="inlineStr">
        <is>
          <t>2023ACT_VDEF</t>
        </is>
      </c>
      <c r="J2771" s="41" t="n">
        <v>2023</v>
      </c>
      <c r="K2771" s="41" t="inlineStr">
        <is>
          <t>EUR</t>
        </is>
      </c>
      <c r="L2771" s="42" t="n">
        <v>14175</v>
      </c>
    </row>
    <row r="2772">
      <c r="B2772" s="39" t="inlineStr">
        <is>
          <t>TUNON_PAR</t>
        </is>
      </c>
      <c r="C2772" s="40" t="inlineStr">
        <is>
          <t>BAC_TOU</t>
        </is>
      </c>
      <c r="D2772" s="40" t="inlineStr">
        <is>
          <t>B3</t>
        </is>
      </c>
      <c r="E2772" s="40" t="inlineStr">
        <is>
          <t>ALT</t>
        </is>
      </c>
      <c r="F2772" s="40" t="inlineStr">
        <is>
          <t>606300</t>
        </is>
      </c>
      <c r="G2772" s="39" t="inlineStr">
        <is>
          <t>Fournitures &amp; ressources pédagogiques</t>
        </is>
      </c>
      <c r="H2772" s="40" t="inlineStr">
        <is>
          <t>COMPTABLE</t>
        </is>
      </c>
      <c r="I2772" s="41" t="inlineStr">
        <is>
          <t>2024ACT_VDEF</t>
        </is>
      </c>
      <c r="J2772" s="41" t="n">
        <v>2024</v>
      </c>
      <c r="K2772" s="41" t="inlineStr">
        <is>
          <t>EUR</t>
        </is>
      </c>
      <c r="L2772" s="42" t="n">
        <v>14962</v>
      </c>
    </row>
    <row r="2773">
      <c r="B2773" s="39" t="inlineStr">
        <is>
          <t>TUNON_PAR</t>
        </is>
      </c>
      <c r="C2773" s="40" t="inlineStr">
        <is>
          <t>BAC_TOU</t>
        </is>
      </c>
      <c r="D2773" s="40" t="inlineStr">
        <is>
          <t>B3</t>
        </is>
      </c>
      <c r="E2773" s="40" t="inlineStr">
        <is>
          <t>ALT</t>
        </is>
      </c>
      <c r="F2773" s="40" t="inlineStr">
        <is>
          <t>606300</t>
        </is>
      </c>
      <c r="G2773" s="39" t="inlineStr">
        <is>
          <t>Fournitures &amp; ressources pédagogiques</t>
        </is>
      </c>
      <c r="H2773" s="40" t="inlineStr">
        <is>
          <t>COMPTABLE</t>
        </is>
      </c>
      <c r="I2773" s="41" t="inlineStr">
        <is>
          <t>2025FCST_V4</t>
        </is>
      </c>
      <c r="J2773" s="41" t="n">
        <v>2025</v>
      </c>
      <c r="K2773" s="41" t="inlineStr">
        <is>
          <t>EUR</t>
        </is>
      </c>
      <c r="L2773" s="42" t="n">
        <v>15750</v>
      </c>
    </row>
    <row r="2774">
      <c r="B2774" s="39" t="inlineStr">
        <is>
          <t>TUNON_PAR</t>
        </is>
      </c>
      <c r="C2774" s="40" t="inlineStr">
        <is>
          <t>BAC_TOU</t>
        </is>
      </c>
      <c r="D2774" s="40" t="inlineStr">
        <is>
          <t>B3</t>
        </is>
      </c>
      <c r="E2774" s="40" t="inlineStr">
        <is>
          <t>ALT</t>
        </is>
      </c>
      <c r="F2774" s="40" t="inlineStr">
        <is>
          <t>613200</t>
        </is>
      </c>
      <c r="G2774" s="39" t="inlineStr">
        <is>
          <t>Locations immobilières (loyers)</t>
        </is>
      </c>
      <c r="H2774" s="40" t="inlineStr">
        <is>
          <t>COMPTABLE</t>
        </is>
      </c>
      <c r="I2774" s="41" t="inlineStr">
        <is>
          <t>2023ACT_VDEF</t>
        </is>
      </c>
      <c r="J2774" s="41" t="n">
        <v>2023</v>
      </c>
      <c r="K2774" s="41" t="inlineStr">
        <is>
          <t>EUR</t>
        </is>
      </c>
      <c r="L2774" s="42" t="n">
        <v>32400</v>
      </c>
    </row>
    <row r="2775">
      <c r="B2775" s="39" t="inlineStr">
        <is>
          <t>TUNON_PAR</t>
        </is>
      </c>
      <c r="C2775" s="40" t="inlineStr">
        <is>
          <t>BAC_TOU</t>
        </is>
      </c>
      <c r="D2775" s="40" t="inlineStr">
        <is>
          <t>B3</t>
        </is>
      </c>
      <c r="E2775" s="40" t="inlineStr">
        <is>
          <t>ALT</t>
        </is>
      </c>
      <c r="F2775" s="40" t="inlineStr">
        <is>
          <t>613200</t>
        </is>
      </c>
      <c r="G2775" s="39" t="inlineStr">
        <is>
          <t>Locations immobilières (loyers)</t>
        </is>
      </c>
      <c r="H2775" s="40" t="inlineStr">
        <is>
          <t>COMPTABLE</t>
        </is>
      </c>
      <c r="I2775" s="41" t="inlineStr">
        <is>
          <t>2024ACT_VDEF</t>
        </is>
      </c>
      <c r="J2775" s="41" t="n">
        <v>2024</v>
      </c>
      <c r="K2775" s="41" t="inlineStr">
        <is>
          <t>EUR</t>
        </is>
      </c>
      <c r="L2775" s="42" t="n">
        <v>34200</v>
      </c>
    </row>
    <row r="2776">
      <c r="B2776" s="39" t="inlineStr">
        <is>
          <t>TUNON_PAR</t>
        </is>
      </c>
      <c r="C2776" s="40" t="inlineStr">
        <is>
          <t>BAC_TOU</t>
        </is>
      </c>
      <c r="D2776" s="40" t="inlineStr">
        <is>
          <t>B3</t>
        </is>
      </c>
      <c r="E2776" s="40" t="inlineStr">
        <is>
          <t>ALT</t>
        </is>
      </c>
      <c r="F2776" s="40" t="inlineStr">
        <is>
          <t>613200</t>
        </is>
      </c>
      <c r="G2776" s="39" t="inlineStr">
        <is>
          <t>Locations immobilières (loyers)</t>
        </is>
      </c>
      <c r="H2776" s="40" t="inlineStr">
        <is>
          <t>COMPTABLE</t>
        </is>
      </c>
      <c r="I2776" s="41" t="inlineStr">
        <is>
          <t>2025FCST_V4</t>
        </is>
      </c>
      <c r="J2776" s="41" t="n">
        <v>2025</v>
      </c>
      <c r="K2776" s="41" t="inlineStr">
        <is>
          <t>EUR</t>
        </is>
      </c>
      <c r="L2776" s="42" t="n">
        <v>36000</v>
      </c>
    </row>
    <row r="2777">
      <c r="B2777" s="39" t="inlineStr">
        <is>
          <t>TUNON_PAR</t>
        </is>
      </c>
      <c r="C2777" s="40" t="inlineStr">
        <is>
          <t>BAC_TOU</t>
        </is>
      </c>
      <c r="D2777" s="40" t="inlineStr">
        <is>
          <t>B3</t>
        </is>
      </c>
      <c r="E2777" s="40" t="inlineStr">
        <is>
          <t>ALT</t>
        </is>
      </c>
      <c r="F2777" s="40" t="inlineStr">
        <is>
          <t>641100</t>
        </is>
      </c>
      <c r="G2777" s="39" t="inlineStr">
        <is>
          <t>Rémunérations du personnel permanent</t>
        </is>
      </c>
      <c r="H2777" s="40" t="inlineStr">
        <is>
          <t>COMPTABLE</t>
        </is>
      </c>
      <c r="I2777" s="41" t="inlineStr">
        <is>
          <t>2023ACT_VDEF</t>
        </is>
      </c>
      <c r="J2777" s="41" t="n">
        <v>2023</v>
      </c>
      <c r="K2777" s="41" t="inlineStr">
        <is>
          <t>EUR</t>
        </is>
      </c>
      <c r="L2777" s="42" t="n">
        <v>87000</v>
      </c>
    </row>
    <row r="2778">
      <c r="B2778" s="39" t="inlineStr">
        <is>
          <t>TUNON_PAR</t>
        </is>
      </c>
      <c r="C2778" s="40" t="inlineStr">
        <is>
          <t>BAC_TOU</t>
        </is>
      </c>
      <c r="D2778" s="40" t="inlineStr">
        <is>
          <t>B3</t>
        </is>
      </c>
      <c r="E2778" s="40" t="inlineStr">
        <is>
          <t>ALT</t>
        </is>
      </c>
      <c r="F2778" s="40" t="inlineStr">
        <is>
          <t>641100</t>
        </is>
      </c>
      <c r="G2778" s="39" t="inlineStr">
        <is>
          <t>Rémunérations du personnel permanent</t>
        </is>
      </c>
      <c r="H2778" s="40" t="inlineStr">
        <is>
          <t>COMPTABLE</t>
        </is>
      </c>
      <c r="I2778" s="41" t="inlineStr">
        <is>
          <t>2024ACT_VDEF</t>
        </is>
      </c>
      <c r="J2778" s="41" t="n">
        <v>2024</v>
      </c>
      <c r="K2778" s="41" t="inlineStr">
        <is>
          <t>EUR</t>
        </is>
      </c>
      <c r="L2778" s="42" t="n">
        <v>91834</v>
      </c>
    </row>
    <row r="2779">
      <c r="B2779" s="39" t="inlineStr">
        <is>
          <t>TUNON_PAR</t>
        </is>
      </c>
      <c r="C2779" s="40" t="inlineStr">
        <is>
          <t>BAC_TOU</t>
        </is>
      </c>
      <c r="D2779" s="40" t="inlineStr">
        <is>
          <t>B3</t>
        </is>
      </c>
      <c r="E2779" s="40" t="inlineStr">
        <is>
          <t>ALT</t>
        </is>
      </c>
      <c r="F2779" s="40" t="inlineStr">
        <is>
          <t>641100</t>
        </is>
      </c>
      <c r="G2779" s="39" t="inlineStr">
        <is>
          <t>Rémunérations du personnel permanent</t>
        </is>
      </c>
      <c r="H2779" s="40" t="inlineStr">
        <is>
          <t>COMPTABLE</t>
        </is>
      </c>
      <c r="I2779" s="41" t="inlineStr">
        <is>
          <t>2025FCST_V4</t>
        </is>
      </c>
      <c r="J2779" s="41" t="n">
        <v>2025</v>
      </c>
      <c r="K2779" s="41" t="inlineStr">
        <is>
          <t>EUR</t>
        </is>
      </c>
      <c r="L2779" s="42" t="n">
        <v>96667</v>
      </c>
    </row>
    <row r="2780">
      <c r="B2780" s="39" t="inlineStr">
        <is>
          <t>TUNON_PAR</t>
        </is>
      </c>
      <c r="C2780" s="40" t="inlineStr">
        <is>
          <t>BAC_TOU</t>
        </is>
      </c>
      <c r="D2780" s="40" t="inlineStr">
        <is>
          <t>B3</t>
        </is>
      </c>
      <c r="E2780" s="40" t="inlineStr">
        <is>
          <t>ALT</t>
        </is>
      </c>
      <c r="F2780" s="40" t="inlineStr">
        <is>
          <t>622600</t>
        </is>
      </c>
      <c r="G2780" s="39" t="inlineStr">
        <is>
          <t>Honoraires &amp; frais de siège (structure groupe)</t>
        </is>
      </c>
      <c r="H2780" s="40" t="inlineStr">
        <is>
          <t>COMPTABLE</t>
        </is>
      </c>
      <c r="I2780" s="41" t="inlineStr">
        <is>
          <t>2023ACT_VDEF</t>
        </is>
      </c>
      <c r="J2780" s="41" t="n">
        <v>2023</v>
      </c>
      <c r="K2780" s="41" t="inlineStr">
        <is>
          <t>EUR</t>
        </is>
      </c>
      <c r="L2780" s="42" t="n">
        <v>29426</v>
      </c>
    </row>
    <row r="2781">
      <c r="B2781" s="39" t="inlineStr">
        <is>
          <t>TUNON_PAR</t>
        </is>
      </c>
      <c r="C2781" s="40" t="inlineStr">
        <is>
          <t>BAC_TOU</t>
        </is>
      </c>
      <c r="D2781" s="40" t="inlineStr">
        <is>
          <t>B3</t>
        </is>
      </c>
      <c r="E2781" s="40" t="inlineStr">
        <is>
          <t>ALT</t>
        </is>
      </c>
      <c r="F2781" s="40" t="inlineStr">
        <is>
          <t>622600</t>
        </is>
      </c>
      <c r="G2781" s="39" t="inlineStr">
        <is>
          <t>Honoraires &amp; frais de siège (structure groupe)</t>
        </is>
      </c>
      <c r="H2781" s="40" t="inlineStr">
        <is>
          <t>COMPTABLE</t>
        </is>
      </c>
      <c r="I2781" s="41" t="inlineStr">
        <is>
          <t>2024ACT_VDEF</t>
        </is>
      </c>
      <c r="J2781" s="41" t="n">
        <v>2024</v>
      </c>
      <c r="K2781" s="41" t="inlineStr">
        <is>
          <t>EUR</t>
        </is>
      </c>
      <c r="L2781" s="42" t="n">
        <v>31061</v>
      </c>
    </row>
    <row r="2782">
      <c r="B2782" s="39" t="inlineStr">
        <is>
          <t>TUNON_PAR</t>
        </is>
      </c>
      <c r="C2782" s="40" t="inlineStr">
        <is>
          <t>BAC_TOU</t>
        </is>
      </c>
      <c r="D2782" s="40" t="inlineStr">
        <is>
          <t>B3</t>
        </is>
      </c>
      <c r="E2782" s="40" t="inlineStr">
        <is>
          <t>ALT</t>
        </is>
      </c>
      <c r="F2782" s="40" t="inlineStr">
        <is>
          <t>622600</t>
        </is>
      </c>
      <c r="G2782" s="39" t="inlineStr">
        <is>
          <t>Honoraires &amp; frais de siège (structure groupe)</t>
        </is>
      </c>
      <c r="H2782" s="40" t="inlineStr">
        <is>
          <t>COMPTABLE</t>
        </is>
      </c>
      <c r="I2782" s="41" t="inlineStr">
        <is>
          <t>2025FCST_V4</t>
        </is>
      </c>
      <c r="J2782" s="41" t="n">
        <v>2025</v>
      </c>
      <c r="K2782" s="41" t="inlineStr">
        <is>
          <t>EUR</t>
        </is>
      </c>
      <c r="L2782" s="42" t="n">
        <v>32696</v>
      </c>
    </row>
    <row r="2783">
      <c r="B2783" s="39" t="inlineStr">
        <is>
          <t>TUNON_PAR</t>
        </is>
      </c>
      <c r="C2783" s="40" t="inlineStr">
        <is>
          <t>BAC_TOU</t>
        </is>
      </c>
      <c r="D2783" s="40" t="inlineStr">
        <is>
          <t>B3</t>
        </is>
      </c>
      <c r="E2783" s="40" t="inlineStr">
        <is>
          <t>ALT</t>
        </is>
      </c>
      <c r="F2783" s="40" t="inlineStr">
        <is>
          <t>606800</t>
        </is>
      </c>
      <c r="G2783" s="39" t="inlineStr">
        <is>
          <t>Autres achats &amp; charges externes</t>
        </is>
      </c>
      <c r="H2783" s="40" t="inlineStr">
        <is>
          <t>COMPTABLE</t>
        </is>
      </c>
      <c r="I2783" s="41" t="inlineStr">
        <is>
          <t>2023ACT_VDEF</t>
        </is>
      </c>
      <c r="J2783" s="41" t="n">
        <v>2023</v>
      </c>
      <c r="K2783" s="41" t="inlineStr">
        <is>
          <t>EUR</t>
        </is>
      </c>
      <c r="L2783" s="42" t="n">
        <v>29421</v>
      </c>
    </row>
    <row r="2784">
      <c r="B2784" s="39" t="inlineStr">
        <is>
          <t>TUNON_PAR</t>
        </is>
      </c>
      <c r="C2784" s="40" t="inlineStr">
        <is>
          <t>BAC_TOU</t>
        </is>
      </c>
      <c r="D2784" s="40" t="inlineStr">
        <is>
          <t>B3</t>
        </is>
      </c>
      <c r="E2784" s="40" t="inlineStr">
        <is>
          <t>ALT</t>
        </is>
      </c>
      <c r="F2784" s="40" t="inlineStr">
        <is>
          <t>606800</t>
        </is>
      </c>
      <c r="G2784" s="39" t="inlineStr">
        <is>
          <t>Autres achats &amp; charges externes</t>
        </is>
      </c>
      <c r="H2784" s="40" t="inlineStr">
        <is>
          <t>COMPTABLE</t>
        </is>
      </c>
      <c r="I2784" s="41" t="inlineStr">
        <is>
          <t>2024ACT_VDEF</t>
        </is>
      </c>
      <c r="J2784" s="41" t="n">
        <v>2024</v>
      </c>
      <c r="K2784" s="41" t="inlineStr">
        <is>
          <t>EUR</t>
        </is>
      </c>
      <c r="L2784" s="42" t="n">
        <v>31056</v>
      </c>
    </row>
    <row r="2785">
      <c r="B2785" s="39" t="inlineStr">
        <is>
          <t>TUNON_PAR</t>
        </is>
      </c>
      <c r="C2785" s="40" t="inlineStr">
        <is>
          <t>BAC_TOU</t>
        </is>
      </c>
      <c r="D2785" s="40" t="inlineStr">
        <is>
          <t>B3</t>
        </is>
      </c>
      <c r="E2785" s="40" t="inlineStr">
        <is>
          <t>ALT</t>
        </is>
      </c>
      <c r="F2785" s="40" t="inlineStr">
        <is>
          <t>606800</t>
        </is>
      </c>
      <c r="G2785" s="39" t="inlineStr">
        <is>
          <t>Autres achats &amp; charges externes</t>
        </is>
      </c>
      <c r="H2785" s="40" t="inlineStr">
        <is>
          <t>COMPTABLE</t>
        </is>
      </c>
      <c r="I2785" s="41" t="inlineStr">
        <is>
          <t>2025FCST_V4</t>
        </is>
      </c>
      <c r="J2785" s="41" t="n">
        <v>2025</v>
      </c>
      <c r="K2785" s="41" t="inlineStr">
        <is>
          <t>EUR</t>
        </is>
      </c>
      <c r="L2785" s="42" t="n">
        <v>32690</v>
      </c>
    </row>
    <row r="2786">
      <c r="B2786" s="39" t="inlineStr">
        <is>
          <t>TUNON_PAR</t>
        </is>
      </c>
      <c r="C2786" s="40" t="inlineStr">
        <is>
          <t>BAC_TOU</t>
        </is>
      </c>
      <c r="D2786" s="40" t="inlineStr">
        <is>
          <t>B3</t>
        </is>
      </c>
      <c r="E2786" s="40" t="inlineStr">
        <is>
          <t>ALT</t>
        </is>
      </c>
      <c r="F2786" s="40" t="inlineStr">
        <is>
          <t>681100</t>
        </is>
      </c>
      <c r="G2786" s="39" t="inlineStr">
        <is>
          <t>Dotations aux amortissements</t>
        </is>
      </c>
      <c r="H2786" s="40" t="inlineStr">
        <is>
          <t>COMPTABLE</t>
        </is>
      </c>
      <c r="I2786" s="41" t="inlineStr">
        <is>
          <t>2023ACT_VDEF</t>
        </is>
      </c>
      <c r="J2786" s="41" t="n">
        <v>2023</v>
      </c>
      <c r="K2786" s="41" t="inlineStr">
        <is>
          <t>EUR</t>
        </is>
      </c>
      <c r="L2786" s="42" t="n">
        <v>17700</v>
      </c>
    </row>
    <row r="2787">
      <c r="B2787" s="39" t="inlineStr">
        <is>
          <t>TUNON_PAR</t>
        </is>
      </c>
      <c r="C2787" s="40" t="inlineStr">
        <is>
          <t>BAC_TOU</t>
        </is>
      </c>
      <c r="D2787" s="40" t="inlineStr">
        <is>
          <t>B3</t>
        </is>
      </c>
      <c r="E2787" s="40" t="inlineStr">
        <is>
          <t>ALT</t>
        </is>
      </c>
      <c r="F2787" s="40" t="inlineStr">
        <is>
          <t>681100</t>
        </is>
      </c>
      <c r="G2787" s="39" t="inlineStr">
        <is>
          <t>Dotations aux amortissements</t>
        </is>
      </c>
      <c r="H2787" s="40" t="inlineStr">
        <is>
          <t>COMPTABLE</t>
        </is>
      </c>
      <c r="I2787" s="41" t="inlineStr">
        <is>
          <t>2024ACT_VDEF</t>
        </is>
      </c>
      <c r="J2787" s="41" t="n">
        <v>2024</v>
      </c>
      <c r="K2787" s="41" t="inlineStr">
        <is>
          <t>EUR</t>
        </is>
      </c>
      <c r="L2787" s="42" t="n">
        <v>18684</v>
      </c>
    </row>
    <row r="2788">
      <c r="B2788" s="39" t="inlineStr">
        <is>
          <t>TUNON_PAR</t>
        </is>
      </c>
      <c r="C2788" s="40" t="inlineStr">
        <is>
          <t>BAC_TOU</t>
        </is>
      </c>
      <c r="D2788" s="40" t="inlineStr">
        <is>
          <t>B3</t>
        </is>
      </c>
      <c r="E2788" s="40" t="inlineStr">
        <is>
          <t>ALT</t>
        </is>
      </c>
      <c r="F2788" s="40" t="inlineStr">
        <is>
          <t>681100</t>
        </is>
      </c>
      <c r="G2788" s="39" t="inlineStr">
        <is>
          <t>Dotations aux amortissements</t>
        </is>
      </c>
      <c r="H2788" s="40" t="inlineStr">
        <is>
          <t>COMPTABLE</t>
        </is>
      </c>
      <c r="I2788" s="41" t="inlineStr">
        <is>
          <t>2025FCST_V4</t>
        </is>
      </c>
      <c r="J2788" s="41" t="n">
        <v>2025</v>
      </c>
      <c r="K2788" s="41" t="inlineStr">
        <is>
          <t>EUR</t>
        </is>
      </c>
      <c r="L2788" s="42" t="n">
        <v>19667</v>
      </c>
    </row>
    <row r="2789">
      <c r="B2789" s="39" t="inlineStr">
        <is>
          <t>TUNON_PAR</t>
        </is>
      </c>
      <c r="C2789" s="40" t="inlineStr">
        <is>
          <t>BAC_TOU</t>
        </is>
      </c>
      <c r="D2789" s="40" t="inlineStr">
        <is>
          <t>B3</t>
        </is>
      </c>
      <c r="E2789" s="40" t="inlineStr">
        <is>
          <t>ALT</t>
        </is>
      </c>
      <c r="F2789" s="40" t="inlineStr">
        <is>
          <t>STA_EFF</t>
        </is>
      </c>
      <c r="G2789" s="39" t="inlineStr">
        <is>
          <t>Effectif inscrit</t>
        </is>
      </c>
      <c r="H2789" s="40" t="inlineStr">
        <is>
          <t>TECHNIQUE</t>
        </is>
      </c>
      <c r="I2789" s="41" t="inlineStr">
        <is>
          <t>2023ACT_VDEF</t>
        </is>
      </c>
      <c r="J2789" s="41" t="n">
        <v>2023</v>
      </c>
      <c r="K2789" s="41" t="inlineStr">
        <is>
          <t>NB</t>
        </is>
      </c>
      <c r="L2789" s="43" t="n">
        <v>32</v>
      </c>
    </row>
    <row r="2790">
      <c r="B2790" s="39" t="inlineStr">
        <is>
          <t>TUNON_PAR</t>
        </is>
      </c>
      <c r="C2790" s="40" t="inlineStr">
        <is>
          <t>BAC_TOU</t>
        </is>
      </c>
      <c r="D2790" s="40" t="inlineStr">
        <is>
          <t>B3</t>
        </is>
      </c>
      <c r="E2790" s="40" t="inlineStr">
        <is>
          <t>ALT</t>
        </is>
      </c>
      <c r="F2790" s="40" t="inlineStr">
        <is>
          <t>STA_EFF</t>
        </is>
      </c>
      <c r="G2790" s="39" t="inlineStr">
        <is>
          <t>Effectif inscrit</t>
        </is>
      </c>
      <c r="H2790" s="40" t="inlineStr">
        <is>
          <t>TECHNIQUE</t>
        </is>
      </c>
      <c r="I2790" s="41" t="inlineStr">
        <is>
          <t>2024ACT_VDEF</t>
        </is>
      </c>
      <c r="J2790" s="41" t="n">
        <v>2024</v>
      </c>
      <c r="K2790" s="41" t="inlineStr">
        <is>
          <t>NB</t>
        </is>
      </c>
      <c r="L2790" s="43" t="n">
        <v>33</v>
      </c>
    </row>
    <row r="2791">
      <c r="B2791" s="39" t="inlineStr">
        <is>
          <t>TUNON_PAR</t>
        </is>
      </c>
      <c r="C2791" s="40" t="inlineStr">
        <is>
          <t>BAC_TOU</t>
        </is>
      </c>
      <c r="D2791" s="40" t="inlineStr">
        <is>
          <t>B3</t>
        </is>
      </c>
      <c r="E2791" s="40" t="inlineStr">
        <is>
          <t>ALT</t>
        </is>
      </c>
      <c r="F2791" s="40" t="inlineStr">
        <is>
          <t>STA_EFF</t>
        </is>
      </c>
      <c r="G2791" s="39" t="inlineStr">
        <is>
          <t>Effectif inscrit</t>
        </is>
      </c>
      <c r="H2791" s="40" t="inlineStr">
        <is>
          <t>TECHNIQUE</t>
        </is>
      </c>
      <c r="I2791" s="41" t="inlineStr">
        <is>
          <t>2025FCST_V4</t>
        </is>
      </c>
      <c r="J2791" s="41" t="n">
        <v>2025</v>
      </c>
      <c r="K2791" s="41" t="inlineStr">
        <is>
          <t>NB</t>
        </is>
      </c>
      <c r="L2791" s="43" t="n">
        <v>35</v>
      </c>
    </row>
    <row r="2792">
      <c r="B2792" s="39" t="inlineStr">
        <is>
          <t>TUNON_PAR</t>
        </is>
      </c>
      <c r="C2792" s="40" t="inlineStr">
        <is>
          <t>BAC_TOU</t>
        </is>
      </c>
      <c r="D2792" s="40" t="inlineStr">
        <is>
          <t>B3</t>
        </is>
      </c>
      <c r="E2792" s="40" t="inlineStr">
        <is>
          <t>ALT</t>
        </is>
      </c>
      <c r="F2792" s="40" t="inlineStr">
        <is>
          <t>STA_REINS</t>
        </is>
      </c>
      <c r="G2792" s="39" t="inlineStr">
        <is>
          <t>Réinscrits</t>
        </is>
      </c>
      <c r="H2792" s="40" t="inlineStr">
        <is>
          <t>TECHNIQUE</t>
        </is>
      </c>
      <c r="I2792" s="41" t="inlineStr">
        <is>
          <t>2023ACT_VDEF</t>
        </is>
      </c>
      <c r="J2792" s="41" t="n">
        <v>2023</v>
      </c>
      <c r="K2792" s="41" t="inlineStr">
        <is>
          <t>NB</t>
        </is>
      </c>
      <c r="L2792" s="43" t="n">
        <v>32</v>
      </c>
    </row>
    <row r="2793">
      <c r="B2793" s="39" t="inlineStr">
        <is>
          <t>TUNON_PAR</t>
        </is>
      </c>
      <c r="C2793" s="40" t="inlineStr">
        <is>
          <t>BAC_TOU</t>
        </is>
      </c>
      <c r="D2793" s="40" t="inlineStr">
        <is>
          <t>B3</t>
        </is>
      </c>
      <c r="E2793" s="40" t="inlineStr">
        <is>
          <t>ALT</t>
        </is>
      </c>
      <c r="F2793" s="40" t="inlineStr">
        <is>
          <t>STA_REINS</t>
        </is>
      </c>
      <c r="G2793" s="39" t="inlineStr">
        <is>
          <t>Réinscrits</t>
        </is>
      </c>
      <c r="H2793" s="40" t="inlineStr">
        <is>
          <t>TECHNIQUE</t>
        </is>
      </c>
      <c r="I2793" s="41" t="inlineStr">
        <is>
          <t>2024ACT_VDEF</t>
        </is>
      </c>
      <c r="J2793" s="41" t="n">
        <v>2024</v>
      </c>
      <c r="K2793" s="41" t="inlineStr">
        <is>
          <t>NB</t>
        </is>
      </c>
      <c r="L2793" s="43" t="n">
        <v>33</v>
      </c>
    </row>
    <row r="2794">
      <c r="B2794" s="39" t="inlineStr">
        <is>
          <t>TUNON_PAR</t>
        </is>
      </c>
      <c r="C2794" s="40" t="inlineStr">
        <is>
          <t>BAC_TOU</t>
        </is>
      </c>
      <c r="D2794" s="40" t="inlineStr">
        <is>
          <t>B3</t>
        </is>
      </c>
      <c r="E2794" s="40" t="inlineStr">
        <is>
          <t>ALT</t>
        </is>
      </c>
      <c r="F2794" s="40" t="inlineStr">
        <is>
          <t>STA_REINS</t>
        </is>
      </c>
      <c r="G2794" s="39" t="inlineStr">
        <is>
          <t>Réinscrits</t>
        </is>
      </c>
      <c r="H2794" s="40" t="inlineStr">
        <is>
          <t>TECHNIQUE</t>
        </is>
      </c>
      <c r="I2794" s="41" t="inlineStr">
        <is>
          <t>2025FCST_V4</t>
        </is>
      </c>
      <c r="J2794" s="41" t="n">
        <v>2025</v>
      </c>
      <c r="K2794" s="41" t="inlineStr">
        <is>
          <t>NB</t>
        </is>
      </c>
      <c r="L2794" s="43" t="n">
        <v>35</v>
      </c>
    </row>
    <row r="2795">
      <c r="B2795" s="39" t="inlineStr">
        <is>
          <t>TUNON_PAR</t>
        </is>
      </c>
      <c r="C2795" s="40" t="inlineStr">
        <is>
          <t>BAC_TOU</t>
        </is>
      </c>
      <c r="D2795" s="40" t="inlineStr">
        <is>
          <t>B3</t>
        </is>
      </c>
      <c r="E2795" s="40" t="inlineStr">
        <is>
          <t>ALT</t>
        </is>
      </c>
      <c r="F2795" s="40" t="inlineStr">
        <is>
          <t>STA_CLASS</t>
        </is>
      </c>
      <c r="G2795" s="39" t="inlineStr">
        <is>
          <t>Nombre de classes</t>
        </is>
      </c>
      <c r="H2795" s="40" t="inlineStr">
        <is>
          <t>TECHNIQUE</t>
        </is>
      </c>
      <c r="I2795" s="41" t="inlineStr">
        <is>
          <t>2023ACT_VDEF</t>
        </is>
      </c>
      <c r="J2795" s="41" t="n">
        <v>2023</v>
      </c>
      <c r="K2795" s="41" t="inlineStr">
        <is>
          <t>NB</t>
        </is>
      </c>
      <c r="L2795" s="43" t="n">
        <v>2</v>
      </c>
    </row>
    <row r="2796">
      <c r="B2796" s="39" t="inlineStr">
        <is>
          <t>TUNON_PAR</t>
        </is>
      </c>
      <c r="C2796" s="40" t="inlineStr">
        <is>
          <t>BAC_TOU</t>
        </is>
      </c>
      <c r="D2796" s="40" t="inlineStr">
        <is>
          <t>B3</t>
        </is>
      </c>
      <c r="E2796" s="40" t="inlineStr">
        <is>
          <t>ALT</t>
        </is>
      </c>
      <c r="F2796" s="40" t="inlineStr">
        <is>
          <t>STA_CLASS</t>
        </is>
      </c>
      <c r="G2796" s="39" t="inlineStr">
        <is>
          <t>Nombre de classes</t>
        </is>
      </c>
      <c r="H2796" s="40" t="inlineStr">
        <is>
          <t>TECHNIQUE</t>
        </is>
      </c>
      <c r="I2796" s="41" t="inlineStr">
        <is>
          <t>2024ACT_VDEF</t>
        </is>
      </c>
      <c r="J2796" s="41" t="n">
        <v>2024</v>
      </c>
      <c r="K2796" s="41" t="inlineStr">
        <is>
          <t>NB</t>
        </is>
      </c>
      <c r="L2796" s="43" t="n">
        <v>2</v>
      </c>
    </row>
    <row r="2797">
      <c r="B2797" s="39" t="inlineStr">
        <is>
          <t>TUNON_PAR</t>
        </is>
      </c>
      <c r="C2797" s="40" t="inlineStr">
        <is>
          <t>BAC_TOU</t>
        </is>
      </c>
      <c r="D2797" s="40" t="inlineStr">
        <is>
          <t>B3</t>
        </is>
      </c>
      <c r="E2797" s="40" t="inlineStr">
        <is>
          <t>ALT</t>
        </is>
      </c>
      <c r="F2797" s="40" t="inlineStr">
        <is>
          <t>STA_CLASS</t>
        </is>
      </c>
      <c r="G2797" s="39" t="inlineStr">
        <is>
          <t>Nombre de classes</t>
        </is>
      </c>
      <c r="H2797" s="40" t="inlineStr">
        <is>
          <t>TECHNIQUE</t>
        </is>
      </c>
      <c r="I2797" s="41" t="inlineStr">
        <is>
          <t>2025FCST_V4</t>
        </is>
      </c>
      <c r="J2797" s="41" t="n">
        <v>2025</v>
      </c>
      <c r="K2797" s="41" t="inlineStr">
        <is>
          <t>NB</t>
        </is>
      </c>
      <c r="L2797" s="43" t="n">
        <v>2</v>
      </c>
    </row>
    <row r="2798">
      <c r="B2798" s="39" t="inlineStr">
        <is>
          <t>TUNON_PAR</t>
        </is>
      </c>
      <c r="C2798" s="40" t="inlineStr">
        <is>
          <t>BAC_TOU</t>
        </is>
      </c>
      <c r="D2798" s="40" t="inlineStr">
        <is>
          <t>B3</t>
        </is>
      </c>
      <c r="E2798" s="40" t="inlineStr">
        <is>
          <t>ALT</t>
        </is>
      </c>
      <c r="F2798" s="40" t="inlineStr">
        <is>
          <t>STA_HEURE</t>
        </is>
      </c>
      <c r="G2798" s="39" t="inlineStr">
        <is>
          <t>Heures d'enseignement</t>
        </is>
      </c>
      <c r="H2798" s="40" t="inlineStr">
        <is>
          <t>TECHNIQUE</t>
        </is>
      </c>
      <c r="I2798" s="41" t="inlineStr">
        <is>
          <t>2023ACT_VDEF</t>
        </is>
      </c>
      <c r="J2798" s="41" t="n">
        <v>2023</v>
      </c>
      <c r="K2798" s="41" t="inlineStr">
        <is>
          <t>NB</t>
        </is>
      </c>
      <c r="L2798" s="43" t="n">
        <v>936</v>
      </c>
    </row>
    <row r="2799">
      <c r="B2799" s="39" t="inlineStr">
        <is>
          <t>TUNON_PAR</t>
        </is>
      </c>
      <c r="C2799" s="40" t="inlineStr">
        <is>
          <t>BAC_TOU</t>
        </is>
      </c>
      <c r="D2799" s="40" t="inlineStr">
        <is>
          <t>B3</t>
        </is>
      </c>
      <c r="E2799" s="40" t="inlineStr">
        <is>
          <t>ALT</t>
        </is>
      </c>
      <c r="F2799" s="40" t="inlineStr">
        <is>
          <t>STA_HEURE</t>
        </is>
      </c>
      <c r="G2799" s="39" t="inlineStr">
        <is>
          <t>Heures d'enseignement</t>
        </is>
      </c>
      <c r="H2799" s="40" t="inlineStr">
        <is>
          <t>TECHNIQUE</t>
        </is>
      </c>
      <c r="I2799" s="41" t="inlineStr">
        <is>
          <t>2024ACT_VDEF</t>
        </is>
      </c>
      <c r="J2799" s="41" t="n">
        <v>2024</v>
      </c>
      <c r="K2799" s="41" t="inlineStr">
        <is>
          <t>NB</t>
        </is>
      </c>
      <c r="L2799" s="43" t="n">
        <v>988</v>
      </c>
    </row>
    <row r="2800">
      <c r="B2800" s="39" t="inlineStr">
        <is>
          <t>TUNON_PAR</t>
        </is>
      </c>
      <c r="C2800" s="40" t="inlineStr">
        <is>
          <t>BAC_TOU</t>
        </is>
      </c>
      <c r="D2800" s="40" t="inlineStr">
        <is>
          <t>B3</t>
        </is>
      </c>
      <c r="E2800" s="40" t="inlineStr">
        <is>
          <t>ALT</t>
        </is>
      </c>
      <c r="F2800" s="40" t="inlineStr">
        <is>
          <t>STA_HEURE</t>
        </is>
      </c>
      <c r="G2800" s="39" t="inlineStr">
        <is>
          <t>Heures d'enseignement</t>
        </is>
      </c>
      <c r="H2800" s="40" t="inlineStr">
        <is>
          <t>TECHNIQUE</t>
        </is>
      </c>
      <c r="I2800" s="41" t="inlineStr">
        <is>
          <t>2025FCST_V4</t>
        </is>
      </c>
      <c r="J2800" s="41" t="n">
        <v>2025</v>
      </c>
      <c r="K2800" s="41" t="inlineStr">
        <is>
          <t>NB</t>
        </is>
      </c>
      <c r="L2800" s="43" t="n">
        <v>1040</v>
      </c>
    </row>
    <row r="2801">
      <c r="B2801" s="39" t="inlineStr">
        <is>
          <t>TUNON_PAR</t>
        </is>
      </c>
      <c r="C2801" s="40" t="inlineStr">
        <is>
          <t>BAC_TOU</t>
        </is>
      </c>
      <c r="D2801" s="40" t="inlineStr">
        <is>
          <t>B3</t>
        </is>
      </c>
      <c r="E2801" s="40" t="inlineStr">
        <is>
          <t>ALT</t>
        </is>
      </c>
      <c r="F2801" s="40" t="inlineStr">
        <is>
          <t>STA_CAPA</t>
        </is>
      </c>
      <c r="G2801" s="39" t="inlineStr">
        <is>
          <t>Capacité par classe</t>
        </is>
      </c>
      <c r="H2801" s="40" t="inlineStr">
        <is>
          <t>TECHNIQUE</t>
        </is>
      </c>
      <c r="I2801" s="41" t="inlineStr">
        <is>
          <t>2023ACT_VDEF</t>
        </is>
      </c>
      <c r="J2801" s="41" t="n">
        <v>2023</v>
      </c>
      <c r="K2801" s="41" t="inlineStr">
        <is>
          <t>NB</t>
        </is>
      </c>
      <c r="L2801" s="43" t="n">
        <v>32</v>
      </c>
    </row>
    <row r="2802">
      <c r="B2802" s="39" t="inlineStr">
        <is>
          <t>TUNON_PAR</t>
        </is>
      </c>
      <c r="C2802" s="40" t="inlineStr">
        <is>
          <t>BAC_TOU</t>
        </is>
      </c>
      <c r="D2802" s="40" t="inlineStr">
        <is>
          <t>B3</t>
        </is>
      </c>
      <c r="E2802" s="40" t="inlineStr">
        <is>
          <t>ALT</t>
        </is>
      </c>
      <c r="F2802" s="40" t="inlineStr">
        <is>
          <t>STA_CAPA</t>
        </is>
      </c>
      <c r="G2802" s="39" t="inlineStr">
        <is>
          <t>Capacité par classe</t>
        </is>
      </c>
      <c r="H2802" s="40" t="inlineStr">
        <is>
          <t>TECHNIQUE</t>
        </is>
      </c>
      <c r="I2802" s="41" t="inlineStr">
        <is>
          <t>2024ACT_VDEF</t>
        </is>
      </c>
      <c r="J2802" s="41" t="n">
        <v>2024</v>
      </c>
      <c r="K2802" s="41" t="inlineStr">
        <is>
          <t>NB</t>
        </is>
      </c>
      <c r="L2802" s="43" t="n">
        <v>32</v>
      </c>
    </row>
    <row r="2803">
      <c r="B2803" s="39" t="inlineStr">
        <is>
          <t>TUNON_PAR</t>
        </is>
      </c>
      <c r="C2803" s="40" t="inlineStr">
        <is>
          <t>BAC_TOU</t>
        </is>
      </c>
      <c r="D2803" s="40" t="inlineStr">
        <is>
          <t>B3</t>
        </is>
      </c>
      <c r="E2803" s="40" t="inlineStr">
        <is>
          <t>ALT</t>
        </is>
      </c>
      <c r="F2803" s="40" t="inlineStr">
        <is>
          <t>STA_CAPA</t>
        </is>
      </c>
      <c r="G2803" s="39" t="inlineStr">
        <is>
          <t>Capacité par classe</t>
        </is>
      </c>
      <c r="H2803" s="40" t="inlineStr">
        <is>
          <t>TECHNIQUE</t>
        </is>
      </c>
      <c r="I2803" s="41" t="inlineStr">
        <is>
          <t>2025FCST_V4</t>
        </is>
      </c>
      <c r="J2803" s="41" t="n">
        <v>2025</v>
      </c>
      <c r="K2803" s="41" t="inlineStr">
        <is>
          <t>NB</t>
        </is>
      </c>
      <c r="L2803" s="43" t="n">
        <v>32</v>
      </c>
    </row>
    <row r="2804">
      <c r="B2804" s="39" t="inlineStr">
        <is>
          <t>TUNON_PAR</t>
        </is>
      </c>
      <c r="C2804" s="40" t="inlineStr">
        <is>
          <t>BAC_TOU</t>
        </is>
      </c>
      <c r="D2804" s="40" t="inlineStr">
        <is>
          <t>B3</t>
        </is>
      </c>
      <c r="E2804" s="40" t="inlineStr">
        <is>
          <t>ALT</t>
        </is>
      </c>
      <c r="F2804" s="40" t="inlineStr">
        <is>
          <t>DRV_PASS</t>
        </is>
      </c>
      <c r="G2804" s="39" t="inlineStr">
        <is>
          <t>Taux de passage (réinscription)</t>
        </is>
      </c>
      <c r="H2804" s="40" t="inlineStr">
        <is>
          <t>TECHNIQUE</t>
        </is>
      </c>
      <c r="I2804" s="41" t="inlineStr">
        <is>
          <t>2023ACT_VDEF</t>
        </is>
      </c>
      <c r="J2804" s="41" t="n">
        <v>2023</v>
      </c>
      <c r="K2804" s="41" t="inlineStr">
        <is>
          <t>PCT</t>
        </is>
      </c>
      <c r="L2804" s="44" t="n">
        <v>0.95</v>
      </c>
    </row>
    <row r="2805">
      <c r="B2805" s="39" t="inlineStr">
        <is>
          <t>TUNON_PAR</t>
        </is>
      </c>
      <c r="C2805" s="40" t="inlineStr">
        <is>
          <t>BAC_TOU</t>
        </is>
      </c>
      <c r="D2805" s="40" t="inlineStr">
        <is>
          <t>B3</t>
        </is>
      </c>
      <c r="E2805" s="40" t="inlineStr">
        <is>
          <t>ALT</t>
        </is>
      </c>
      <c r="F2805" s="40" t="inlineStr">
        <is>
          <t>DRV_PASS</t>
        </is>
      </c>
      <c r="G2805" s="39" t="inlineStr">
        <is>
          <t>Taux de passage (réinscription)</t>
        </is>
      </c>
      <c r="H2805" s="40" t="inlineStr">
        <is>
          <t>TECHNIQUE</t>
        </is>
      </c>
      <c r="I2805" s="41" t="inlineStr">
        <is>
          <t>2024ACT_VDEF</t>
        </is>
      </c>
      <c r="J2805" s="41" t="n">
        <v>2024</v>
      </c>
      <c r="K2805" s="41" t="inlineStr">
        <is>
          <t>PCT</t>
        </is>
      </c>
      <c r="L2805" s="44" t="n">
        <v>0.95</v>
      </c>
    </row>
    <row r="2806">
      <c r="B2806" s="39" t="inlineStr">
        <is>
          <t>TUNON_PAR</t>
        </is>
      </c>
      <c r="C2806" s="40" t="inlineStr">
        <is>
          <t>BAC_TOU</t>
        </is>
      </c>
      <c r="D2806" s="40" t="inlineStr">
        <is>
          <t>B3</t>
        </is>
      </c>
      <c r="E2806" s="40" t="inlineStr">
        <is>
          <t>ALT</t>
        </is>
      </c>
      <c r="F2806" s="40" t="inlineStr">
        <is>
          <t>DRV_PASS</t>
        </is>
      </c>
      <c r="G2806" s="39" t="inlineStr">
        <is>
          <t>Taux de passage (réinscription)</t>
        </is>
      </c>
      <c r="H2806" s="40" t="inlineStr">
        <is>
          <t>TECHNIQUE</t>
        </is>
      </c>
      <c r="I2806" s="41" t="inlineStr">
        <is>
          <t>2025FCST_V4</t>
        </is>
      </c>
      <c r="J2806" s="41" t="n">
        <v>2025</v>
      </c>
      <c r="K2806" s="41" t="inlineStr">
        <is>
          <t>PCT</t>
        </is>
      </c>
      <c r="L2806" s="44" t="n">
        <v>0.95</v>
      </c>
    </row>
    <row r="2807">
      <c r="B2807" s="39" t="inlineStr">
        <is>
          <t>TUNON_PAR</t>
        </is>
      </c>
      <c r="C2807" s="40" t="inlineStr">
        <is>
          <t>BAC_TOU</t>
        </is>
      </c>
      <c r="D2807" s="40" t="inlineStr">
        <is>
          <t>B3</t>
        </is>
      </c>
      <c r="E2807" s="40" t="inlineStr">
        <is>
          <t>ALT</t>
        </is>
      </c>
      <c r="F2807" s="40" t="inlineStr">
        <is>
          <t>PRX_TARIF</t>
        </is>
      </c>
      <c r="G2807" s="39" t="inlineStr">
        <is>
          <t>Tarif moyen scolarité</t>
        </is>
      </c>
      <c r="H2807" s="40" t="inlineStr">
        <is>
          <t>TECHNIQUE</t>
        </is>
      </c>
      <c r="I2807" s="41" t="inlineStr">
        <is>
          <t>2023ACT_VDEF</t>
        </is>
      </c>
      <c r="J2807" s="41" t="n">
        <v>2023</v>
      </c>
      <c r="K2807" s="41" t="inlineStr">
        <is>
          <t>EUR</t>
        </is>
      </c>
      <c r="L2807" s="42" t="n">
        <v>8000</v>
      </c>
    </row>
    <row r="2808">
      <c r="B2808" s="39" t="inlineStr">
        <is>
          <t>TUNON_PAR</t>
        </is>
      </c>
      <c r="C2808" s="40" t="inlineStr">
        <is>
          <t>BAC_TOU</t>
        </is>
      </c>
      <c r="D2808" s="40" t="inlineStr">
        <is>
          <t>B3</t>
        </is>
      </c>
      <c r="E2808" s="40" t="inlineStr">
        <is>
          <t>ALT</t>
        </is>
      </c>
      <c r="F2808" s="40" t="inlineStr">
        <is>
          <t>PRX_TARIF</t>
        </is>
      </c>
      <c r="G2808" s="39" t="inlineStr">
        <is>
          <t>Tarif moyen scolarité</t>
        </is>
      </c>
      <c r="H2808" s="40" t="inlineStr">
        <is>
          <t>TECHNIQUE</t>
        </is>
      </c>
      <c r="I2808" s="41" t="inlineStr">
        <is>
          <t>2024ACT_VDEF</t>
        </is>
      </c>
      <c r="J2808" s="41" t="n">
        <v>2024</v>
      </c>
      <c r="K2808" s="41" t="inlineStr">
        <is>
          <t>EUR</t>
        </is>
      </c>
      <c r="L2808" s="42" t="n">
        <v>8000</v>
      </c>
    </row>
    <row r="2809">
      <c r="B2809" s="39" t="inlineStr">
        <is>
          <t>TUNON_PAR</t>
        </is>
      </c>
      <c r="C2809" s="40" t="inlineStr">
        <is>
          <t>BAC_TOU</t>
        </is>
      </c>
      <c r="D2809" s="40" t="inlineStr">
        <is>
          <t>B3</t>
        </is>
      </c>
      <c r="E2809" s="40" t="inlineStr">
        <is>
          <t>ALT</t>
        </is>
      </c>
      <c r="F2809" s="40" t="inlineStr">
        <is>
          <t>PRX_TARIF</t>
        </is>
      </c>
      <c r="G2809" s="39" t="inlineStr">
        <is>
          <t>Tarif moyen scolarité</t>
        </is>
      </c>
      <c r="H2809" s="40" t="inlineStr">
        <is>
          <t>TECHNIQUE</t>
        </is>
      </c>
      <c r="I2809" s="41" t="inlineStr">
        <is>
          <t>2025FCST_V4</t>
        </is>
      </c>
      <c r="J2809" s="41" t="n">
        <v>2025</v>
      </c>
      <c r="K2809" s="41" t="inlineStr">
        <is>
          <t>EUR</t>
        </is>
      </c>
      <c r="L2809" s="42" t="n">
        <v>8000</v>
      </c>
    </row>
    <row r="2810">
      <c r="B2810" s="39" t="inlineStr">
        <is>
          <t>TUNON_LYO</t>
        </is>
      </c>
      <c r="C2810" s="40" t="inlineStr">
        <is>
          <t>BAC_TOU</t>
        </is>
      </c>
      <c r="D2810" s="40" t="inlineStr">
        <is>
          <t>B1</t>
        </is>
      </c>
      <c r="E2810" s="40" t="inlineStr">
        <is>
          <t>ALT</t>
        </is>
      </c>
      <c r="F2810" s="40" t="inlineStr">
        <is>
          <t>706100</t>
        </is>
      </c>
      <c r="G2810" s="39" t="inlineStr">
        <is>
          <t>Droits de scolarité</t>
        </is>
      </c>
      <c r="H2810" s="40" t="inlineStr">
        <is>
          <t>COMPTABLE</t>
        </is>
      </c>
      <c r="I2810" s="41" t="inlineStr">
        <is>
          <t>2023ACT_VDEF</t>
        </is>
      </c>
      <c r="J2810" s="41" t="n">
        <v>2023</v>
      </c>
      <c r="K2810" s="41" t="inlineStr">
        <is>
          <t>EUR</t>
        </is>
      </c>
      <c r="L2810" s="42" t="n">
        <v>288000</v>
      </c>
    </row>
    <row r="2811">
      <c r="B2811" s="39" t="inlineStr">
        <is>
          <t>TUNON_LYO</t>
        </is>
      </c>
      <c r="C2811" s="40" t="inlineStr">
        <is>
          <t>BAC_TOU</t>
        </is>
      </c>
      <c r="D2811" s="40" t="inlineStr">
        <is>
          <t>B1</t>
        </is>
      </c>
      <c r="E2811" s="40" t="inlineStr">
        <is>
          <t>ALT</t>
        </is>
      </c>
      <c r="F2811" s="40" t="inlineStr">
        <is>
          <t>706100</t>
        </is>
      </c>
      <c r="G2811" s="39" t="inlineStr">
        <is>
          <t>Droits de scolarité</t>
        </is>
      </c>
      <c r="H2811" s="40" t="inlineStr">
        <is>
          <t>COMPTABLE</t>
        </is>
      </c>
      <c r="I2811" s="41" t="inlineStr">
        <is>
          <t>2024ACT_VDEF</t>
        </is>
      </c>
      <c r="J2811" s="41" t="n">
        <v>2024</v>
      </c>
      <c r="K2811" s="41" t="inlineStr">
        <is>
          <t>EUR</t>
        </is>
      </c>
      <c r="L2811" s="42" t="n">
        <v>304000</v>
      </c>
    </row>
    <row r="2812">
      <c r="B2812" s="39" t="inlineStr">
        <is>
          <t>TUNON_LYO</t>
        </is>
      </c>
      <c r="C2812" s="40" t="inlineStr">
        <is>
          <t>BAC_TOU</t>
        </is>
      </c>
      <c r="D2812" s="40" t="inlineStr">
        <is>
          <t>B1</t>
        </is>
      </c>
      <c r="E2812" s="40" t="inlineStr">
        <is>
          <t>ALT</t>
        </is>
      </c>
      <c r="F2812" s="40" t="inlineStr">
        <is>
          <t>706100</t>
        </is>
      </c>
      <c r="G2812" s="39" t="inlineStr">
        <is>
          <t>Droits de scolarité</t>
        </is>
      </c>
      <c r="H2812" s="40" t="inlineStr">
        <is>
          <t>COMPTABLE</t>
        </is>
      </c>
      <c r="I2812" s="41" t="inlineStr">
        <is>
          <t>2025FCST_V4</t>
        </is>
      </c>
      <c r="J2812" s="41" t="n">
        <v>2025</v>
      </c>
      <c r="K2812" s="41" t="inlineStr">
        <is>
          <t>EUR</t>
        </is>
      </c>
      <c r="L2812" s="42" t="n">
        <v>320000</v>
      </c>
    </row>
    <row r="2813">
      <c r="B2813" s="39" t="inlineStr">
        <is>
          <t>TUNON_LYO</t>
        </is>
      </c>
      <c r="C2813" s="40" t="inlineStr">
        <is>
          <t>BAC_TOU</t>
        </is>
      </c>
      <c r="D2813" s="40" t="inlineStr">
        <is>
          <t>B1</t>
        </is>
      </c>
      <c r="E2813" s="40" t="inlineStr">
        <is>
          <t>ALT</t>
        </is>
      </c>
      <c r="F2813" s="40" t="inlineStr">
        <is>
          <t>708500</t>
        </is>
      </c>
      <c r="G2813" s="39" t="inlineStr">
        <is>
          <t>Frais de dossier / inscription</t>
        </is>
      </c>
      <c r="H2813" s="40" t="inlineStr">
        <is>
          <t>COMPTABLE</t>
        </is>
      </c>
      <c r="I2813" s="41" t="inlineStr">
        <is>
          <t>2023ACT_VDEF</t>
        </is>
      </c>
      <c r="J2813" s="41" t="n">
        <v>2023</v>
      </c>
      <c r="K2813" s="41" t="inlineStr">
        <is>
          <t>EUR</t>
        </is>
      </c>
      <c r="L2813" s="42" t="n">
        <v>3240</v>
      </c>
    </row>
    <row r="2814">
      <c r="B2814" s="39" t="inlineStr">
        <is>
          <t>TUNON_LYO</t>
        </is>
      </c>
      <c r="C2814" s="40" t="inlineStr">
        <is>
          <t>BAC_TOU</t>
        </is>
      </c>
      <c r="D2814" s="40" t="inlineStr">
        <is>
          <t>B1</t>
        </is>
      </c>
      <c r="E2814" s="40" t="inlineStr">
        <is>
          <t>ALT</t>
        </is>
      </c>
      <c r="F2814" s="40" t="inlineStr">
        <is>
          <t>708500</t>
        </is>
      </c>
      <c r="G2814" s="39" t="inlineStr">
        <is>
          <t>Frais de dossier / inscription</t>
        </is>
      </c>
      <c r="H2814" s="40" t="inlineStr">
        <is>
          <t>COMPTABLE</t>
        </is>
      </c>
      <c r="I2814" s="41" t="inlineStr">
        <is>
          <t>2024ACT_VDEF</t>
        </is>
      </c>
      <c r="J2814" s="41" t="n">
        <v>2024</v>
      </c>
      <c r="K2814" s="41" t="inlineStr">
        <is>
          <t>EUR</t>
        </is>
      </c>
      <c r="L2814" s="42" t="n">
        <v>3420</v>
      </c>
    </row>
    <row r="2815">
      <c r="B2815" s="39" t="inlineStr">
        <is>
          <t>TUNON_LYO</t>
        </is>
      </c>
      <c r="C2815" s="40" t="inlineStr">
        <is>
          <t>BAC_TOU</t>
        </is>
      </c>
      <c r="D2815" s="40" t="inlineStr">
        <is>
          <t>B1</t>
        </is>
      </c>
      <c r="E2815" s="40" t="inlineStr">
        <is>
          <t>ALT</t>
        </is>
      </c>
      <c r="F2815" s="40" t="inlineStr">
        <is>
          <t>708500</t>
        </is>
      </c>
      <c r="G2815" s="39" t="inlineStr">
        <is>
          <t>Frais de dossier / inscription</t>
        </is>
      </c>
      <c r="H2815" s="40" t="inlineStr">
        <is>
          <t>COMPTABLE</t>
        </is>
      </c>
      <c r="I2815" s="41" t="inlineStr">
        <is>
          <t>2025FCST_V4</t>
        </is>
      </c>
      <c r="J2815" s="41" t="n">
        <v>2025</v>
      </c>
      <c r="K2815" s="41" t="inlineStr">
        <is>
          <t>EUR</t>
        </is>
      </c>
      <c r="L2815" s="42" t="n">
        <v>3600</v>
      </c>
    </row>
    <row r="2816">
      <c r="B2816" s="39" t="inlineStr">
        <is>
          <t>TUNON_LYO</t>
        </is>
      </c>
      <c r="C2816" s="40" t="inlineStr">
        <is>
          <t>BAC_TOU</t>
        </is>
      </c>
      <c r="D2816" s="40" t="inlineStr">
        <is>
          <t>B1</t>
        </is>
      </c>
      <c r="E2816" s="40" t="inlineStr">
        <is>
          <t>ALT</t>
        </is>
      </c>
      <c r="F2816" s="40" t="inlineStr">
        <is>
          <t>604100</t>
        </is>
      </c>
      <c r="G2816" s="39" t="inlineStr">
        <is>
          <t>Vacations &amp; sous-traitance pédagogique</t>
        </is>
      </c>
      <c r="H2816" s="40" t="inlineStr">
        <is>
          <t>COMPTABLE</t>
        </is>
      </c>
      <c r="I2816" s="41" t="inlineStr">
        <is>
          <t>2023ACT_VDEF</t>
        </is>
      </c>
      <c r="J2816" s="41" t="n">
        <v>2023</v>
      </c>
      <c r="K2816" s="41" t="inlineStr">
        <is>
          <t>EUR</t>
        </is>
      </c>
      <c r="L2816" s="42" t="n">
        <v>60480</v>
      </c>
    </row>
    <row r="2817">
      <c r="B2817" s="39" t="inlineStr">
        <is>
          <t>TUNON_LYO</t>
        </is>
      </c>
      <c r="C2817" s="40" t="inlineStr">
        <is>
          <t>BAC_TOU</t>
        </is>
      </c>
      <c r="D2817" s="40" t="inlineStr">
        <is>
          <t>B1</t>
        </is>
      </c>
      <c r="E2817" s="40" t="inlineStr">
        <is>
          <t>ALT</t>
        </is>
      </c>
      <c r="F2817" s="40" t="inlineStr">
        <is>
          <t>604100</t>
        </is>
      </c>
      <c r="G2817" s="39" t="inlineStr">
        <is>
          <t>Vacations &amp; sous-traitance pédagogique</t>
        </is>
      </c>
      <c r="H2817" s="40" t="inlineStr">
        <is>
          <t>COMPTABLE</t>
        </is>
      </c>
      <c r="I2817" s="41" t="inlineStr">
        <is>
          <t>2024ACT_VDEF</t>
        </is>
      </c>
      <c r="J2817" s="41" t="n">
        <v>2024</v>
      </c>
      <c r="K2817" s="41" t="inlineStr">
        <is>
          <t>EUR</t>
        </is>
      </c>
      <c r="L2817" s="42" t="n">
        <v>63840</v>
      </c>
    </row>
    <row r="2818">
      <c r="B2818" s="39" t="inlineStr">
        <is>
          <t>TUNON_LYO</t>
        </is>
      </c>
      <c r="C2818" s="40" t="inlineStr">
        <is>
          <t>BAC_TOU</t>
        </is>
      </c>
      <c r="D2818" s="40" t="inlineStr">
        <is>
          <t>B1</t>
        </is>
      </c>
      <c r="E2818" s="40" t="inlineStr">
        <is>
          <t>ALT</t>
        </is>
      </c>
      <c r="F2818" s="40" t="inlineStr">
        <is>
          <t>604100</t>
        </is>
      </c>
      <c r="G2818" s="39" t="inlineStr">
        <is>
          <t>Vacations &amp; sous-traitance pédagogique</t>
        </is>
      </c>
      <c r="H2818" s="40" t="inlineStr">
        <is>
          <t>COMPTABLE</t>
        </is>
      </c>
      <c r="I2818" s="41" t="inlineStr">
        <is>
          <t>2025FCST_V4</t>
        </is>
      </c>
      <c r="J2818" s="41" t="n">
        <v>2025</v>
      </c>
      <c r="K2818" s="41" t="inlineStr">
        <is>
          <t>EUR</t>
        </is>
      </c>
      <c r="L2818" s="42" t="n">
        <v>67200</v>
      </c>
    </row>
    <row r="2819">
      <c r="B2819" s="39" t="inlineStr">
        <is>
          <t>TUNON_LYO</t>
        </is>
      </c>
      <c r="C2819" s="40" t="inlineStr">
        <is>
          <t>BAC_TOU</t>
        </is>
      </c>
      <c r="D2819" s="40" t="inlineStr">
        <is>
          <t>B1</t>
        </is>
      </c>
      <c r="E2819" s="40" t="inlineStr">
        <is>
          <t>ALT</t>
        </is>
      </c>
      <c r="F2819" s="40" t="inlineStr">
        <is>
          <t>606300</t>
        </is>
      </c>
      <c r="G2819" s="39" t="inlineStr">
        <is>
          <t>Fournitures &amp; ressources pédagogiques</t>
        </is>
      </c>
      <c r="H2819" s="40" t="inlineStr">
        <is>
          <t>COMPTABLE</t>
        </is>
      </c>
      <c r="I2819" s="41" t="inlineStr">
        <is>
          <t>2023ACT_VDEF</t>
        </is>
      </c>
      <c r="J2819" s="41" t="n">
        <v>2023</v>
      </c>
      <c r="K2819" s="41" t="inlineStr">
        <is>
          <t>EUR</t>
        </is>
      </c>
      <c r="L2819" s="42" t="n">
        <v>16200</v>
      </c>
    </row>
    <row r="2820">
      <c r="B2820" s="39" t="inlineStr">
        <is>
          <t>TUNON_LYO</t>
        </is>
      </c>
      <c r="C2820" s="40" t="inlineStr">
        <is>
          <t>BAC_TOU</t>
        </is>
      </c>
      <c r="D2820" s="40" t="inlineStr">
        <is>
          <t>B1</t>
        </is>
      </c>
      <c r="E2820" s="40" t="inlineStr">
        <is>
          <t>ALT</t>
        </is>
      </c>
      <c r="F2820" s="40" t="inlineStr">
        <is>
          <t>606300</t>
        </is>
      </c>
      <c r="G2820" s="39" t="inlineStr">
        <is>
          <t>Fournitures &amp; ressources pédagogiques</t>
        </is>
      </c>
      <c r="H2820" s="40" t="inlineStr">
        <is>
          <t>COMPTABLE</t>
        </is>
      </c>
      <c r="I2820" s="41" t="inlineStr">
        <is>
          <t>2024ACT_VDEF</t>
        </is>
      </c>
      <c r="J2820" s="41" t="n">
        <v>2024</v>
      </c>
      <c r="K2820" s="41" t="inlineStr">
        <is>
          <t>EUR</t>
        </is>
      </c>
      <c r="L2820" s="42" t="n">
        <v>17100</v>
      </c>
    </row>
    <row r="2821">
      <c r="B2821" s="39" t="inlineStr">
        <is>
          <t>TUNON_LYO</t>
        </is>
      </c>
      <c r="C2821" s="40" t="inlineStr">
        <is>
          <t>BAC_TOU</t>
        </is>
      </c>
      <c r="D2821" s="40" t="inlineStr">
        <is>
          <t>B1</t>
        </is>
      </c>
      <c r="E2821" s="40" t="inlineStr">
        <is>
          <t>ALT</t>
        </is>
      </c>
      <c r="F2821" s="40" t="inlineStr">
        <is>
          <t>606300</t>
        </is>
      </c>
      <c r="G2821" s="39" t="inlineStr">
        <is>
          <t>Fournitures &amp; ressources pédagogiques</t>
        </is>
      </c>
      <c r="H2821" s="40" t="inlineStr">
        <is>
          <t>COMPTABLE</t>
        </is>
      </c>
      <c r="I2821" s="41" t="inlineStr">
        <is>
          <t>2025FCST_V4</t>
        </is>
      </c>
      <c r="J2821" s="41" t="n">
        <v>2025</v>
      </c>
      <c r="K2821" s="41" t="inlineStr">
        <is>
          <t>EUR</t>
        </is>
      </c>
      <c r="L2821" s="42" t="n">
        <v>18000</v>
      </c>
    </row>
    <row r="2822">
      <c r="B2822" s="39" t="inlineStr">
        <is>
          <t>TUNON_LYO</t>
        </is>
      </c>
      <c r="C2822" s="40" t="inlineStr">
        <is>
          <t>BAC_TOU</t>
        </is>
      </c>
      <c r="D2822" s="40" t="inlineStr">
        <is>
          <t>B1</t>
        </is>
      </c>
      <c r="E2822" s="40" t="inlineStr">
        <is>
          <t>ALT</t>
        </is>
      </c>
      <c r="F2822" s="40" t="inlineStr">
        <is>
          <t>623000</t>
        </is>
      </c>
      <c r="G2822" s="39" t="inlineStr">
        <is>
          <t>Publicité &amp; marketing (acquisition)</t>
        </is>
      </c>
      <c r="H2822" s="40" t="inlineStr">
        <is>
          <t>COMPTABLE</t>
        </is>
      </c>
      <c r="I2822" s="41" t="inlineStr">
        <is>
          <t>2023ACT_VDEF</t>
        </is>
      </c>
      <c r="J2822" s="41" t="n">
        <v>2023</v>
      </c>
      <c r="K2822" s="41" t="inlineStr">
        <is>
          <t>EUR</t>
        </is>
      </c>
      <c r="L2822" s="42" t="n">
        <v>11520</v>
      </c>
    </row>
    <row r="2823">
      <c r="B2823" s="39" t="inlineStr">
        <is>
          <t>TUNON_LYO</t>
        </is>
      </c>
      <c r="C2823" s="40" t="inlineStr">
        <is>
          <t>BAC_TOU</t>
        </is>
      </c>
      <c r="D2823" s="40" t="inlineStr">
        <is>
          <t>B1</t>
        </is>
      </c>
      <c r="E2823" s="40" t="inlineStr">
        <is>
          <t>ALT</t>
        </is>
      </c>
      <c r="F2823" s="40" t="inlineStr">
        <is>
          <t>623000</t>
        </is>
      </c>
      <c r="G2823" s="39" t="inlineStr">
        <is>
          <t>Publicité &amp; marketing (acquisition)</t>
        </is>
      </c>
      <c r="H2823" s="40" t="inlineStr">
        <is>
          <t>COMPTABLE</t>
        </is>
      </c>
      <c r="I2823" s="41" t="inlineStr">
        <is>
          <t>2024ACT_VDEF</t>
        </is>
      </c>
      <c r="J2823" s="41" t="n">
        <v>2024</v>
      </c>
      <c r="K2823" s="41" t="inlineStr">
        <is>
          <t>EUR</t>
        </is>
      </c>
      <c r="L2823" s="42" t="n">
        <v>12160</v>
      </c>
    </row>
    <row r="2824">
      <c r="B2824" s="39" t="inlineStr">
        <is>
          <t>TUNON_LYO</t>
        </is>
      </c>
      <c r="C2824" s="40" t="inlineStr">
        <is>
          <t>BAC_TOU</t>
        </is>
      </c>
      <c r="D2824" s="40" t="inlineStr">
        <is>
          <t>B1</t>
        </is>
      </c>
      <c r="E2824" s="40" t="inlineStr">
        <is>
          <t>ALT</t>
        </is>
      </c>
      <c r="F2824" s="40" t="inlineStr">
        <is>
          <t>623000</t>
        </is>
      </c>
      <c r="G2824" s="39" t="inlineStr">
        <is>
          <t>Publicité &amp; marketing (acquisition)</t>
        </is>
      </c>
      <c r="H2824" s="40" t="inlineStr">
        <is>
          <t>COMPTABLE</t>
        </is>
      </c>
      <c r="I2824" s="41" t="inlineStr">
        <is>
          <t>2025FCST_V4</t>
        </is>
      </c>
      <c r="J2824" s="41" t="n">
        <v>2025</v>
      </c>
      <c r="K2824" s="41" t="inlineStr">
        <is>
          <t>EUR</t>
        </is>
      </c>
      <c r="L2824" s="42" t="n">
        <v>12800</v>
      </c>
    </row>
    <row r="2825">
      <c r="B2825" s="39" t="inlineStr">
        <is>
          <t>TUNON_LYO</t>
        </is>
      </c>
      <c r="C2825" s="40" t="inlineStr">
        <is>
          <t>BAC_TOU</t>
        </is>
      </c>
      <c r="D2825" s="40" t="inlineStr">
        <is>
          <t>B1</t>
        </is>
      </c>
      <c r="E2825" s="40" t="inlineStr">
        <is>
          <t>ALT</t>
        </is>
      </c>
      <c r="F2825" s="40" t="inlineStr">
        <is>
          <t>613200</t>
        </is>
      </c>
      <c r="G2825" s="39" t="inlineStr">
        <is>
          <t>Locations immobilières (loyers)</t>
        </is>
      </c>
      <c r="H2825" s="40" t="inlineStr">
        <is>
          <t>COMPTABLE</t>
        </is>
      </c>
      <c r="I2825" s="41" t="inlineStr">
        <is>
          <t>2023ACT_VDEF</t>
        </is>
      </c>
      <c r="J2825" s="41" t="n">
        <v>2023</v>
      </c>
      <c r="K2825" s="41" t="inlineStr">
        <is>
          <t>EUR</t>
        </is>
      </c>
      <c r="L2825" s="42" t="n">
        <v>33120</v>
      </c>
    </row>
    <row r="2826">
      <c r="B2826" s="39" t="inlineStr">
        <is>
          <t>TUNON_LYO</t>
        </is>
      </c>
      <c r="C2826" s="40" t="inlineStr">
        <is>
          <t>BAC_TOU</t>
        </is>
      </c>
      <c r="D2826" s="40" t="inlineStr">
        <is>
          <t>B1</t>
        </is>
      </c>
      <c r="E2826" s="40" t="inlineStr">
        <is>
          <t>ALT</t>
        </is>
      </c>
      <c r="F2826" s="40" t="inlineStr">
        <is>
          <t>613200</t>
        </is>
      </c>
      <c r="G2826" s="39" t="inlineStr">
        <is>
          <t>Locations immobilières (loyers)</t>
        </is>
      </c>
      <c r="H2826" s="40" t="inlineStr">
        <is>
          <t>COMPTABLE</t>
        </is>
      </c>
      <c r="I2826" s="41" t="inlineStr">
        <is>
          <t>2024ACT_VDEF</t>
        </is>
      </c>
      <c r="J2826" s="41" t="n">
        <v>2024</v>
      </c>
      <c r="K2826" s="41" t="inlineStr">
        <is>
          <t>EUR</t>
        </is>
      </c>
      <c r="L2826" s="42" t="n">
        <v>34960</v>
      </c>
    </row>
    <row r="2827">
      <c r="B2827" s="39" t="inlineStr">
        <is>
          <t>TUNON_LYO</t>
        </is>
      </c>
      <c r="C2827" s="40" t="inlineStr">
        <is>
          <t>BAC_TOU</t>
        </is>
      </c>
      <c r="D2827" s="40" t="inlineStr">
        <is>
          <t>B1</t>
        </is>
      </c>
      <c r="E2827" s="40" t="inlineStr">
        <is>
          <t>ALT</t>
        </is>
      </c>
      <c r="F2827" s="40" t="inlineStr">
        <is>
          <t>613200</t>
        </is>
      </c>
      <c r="G2827" s="39" t="inlineStr">
        <is>
          <t>Locations immobilières (loyers)</t>
        </is>
      </c>
      <c r="H2827" s="40" t="inlineStr">
        <is>
          <t>COMPTABLE</t>
        </is>
      </c>
      <c r="I2827" s="41" t="inlineStr">
        <is>
          <t>2025FCST_V4</t>
        </is>
      </c>
      <c r="J2827" s="41" t="n">
        <v>2025</v>
      </c>
      <c r="K2827" s="41" t="inlineStr">
        <is>
          <t>EUR</t>
        </is>
      </c>
      <c r="L2827" s="42" t="n">
        <v>36800</v>
      </c>
    </row>
    <row r="2828">
      <c r="B2828" s="39" t="inlineStr">
        <is>
          <t>TUNON_LYO</t>
        </is>
      </c>
      <c r="C2828" s="40" t="inlineStr">
        <is>
          <t>BAC_TOU</t>
        </is>
      </c>
      <c r="D2828" s="40" t="inlineStr">
        <is>
          <t>B1</t>
        </is>
      </c>
      <c r="E2828" s="40" t="inlineStr">
        <is>
          <t>ALT</t>
        </is>
      </c>
      <c r="F2828" s="40" t="inlineStr">
        <is>
          <t>641100</t>
        </is>
      </c>
      <c r="G2828" s="39" t="inlineStr">
        <is>
          <t>Rémunérations du personnel permanent</t>
        </is>
      </c>
      <c r="H2828" s="40" t="inlineStr">
        <is>
          <t>COMPTABLE</t>
        </is>
      </c>
      <c r="I2828" s="41" t="inlineStr">
        <is>
          <t>2023ACT_VDEF</t>
        </is>
      </c>
      <c r="J2828" s="41" t="n">
        <v>2023</v>
      </c>
      <c r="K2828" s="41" t="inlineStr">
        <is>
          <t>EUR</t>
        </is>
      </c>
      <c r="L2828" s="42" t="n">
        <v>83520</v>
      </c>
    </row>
    <row r="2829">
      <c r="B2829" s="39" t="inlineStr">
        <is>
          <t>TUNON_LYO</t>
        </is>
      </c>
      <c r="C2829" s="40" t="inlineStr">
        <is>
          <t>BAC_TOU</t>
        </is>
      </c>
      <c r="D2829" s="40" t="inlineStr">
        <is>
          <t>B1</t>
        </is>
      </c>
      <c r="E2829" s="40" t="inlineStr">
        <is>
          <t>ALT</t>
        </is>
      </c>
      <c r="F2829" s="40" t="inlineStr">
        <is>
          <t>641100</t>
        </is>
      </c>
      <c r="G2829" s="39" t="inlineStr">
        <is>
          <t>Rémunérations du personnel permanent</t>
        </is>
      </c>
      <c r="H2829" s="40" t="inlineStr">
        <is>
          <t>COMPTABLE</t>
        </is>
      </c>
      <c r="I2829" s="41" t="inlineStr">
        <is>
          <t>2024ACT_VDEF</t>
        </is>
      </c>
      <c r="J2829" s="41" t="n">
        <v>2024</v>
      </c>
      <c r="K2829" s="41" t="inlineStr">
        <is>
          <t>EUR</t>
        </is>
      </c>
      <c r="L2829" s="42" t="n">
        <v>88160</v>
      </c>
    </row>
    <row r="2830">
      <c r="B2830" s="39" t="inlineStr">
        <is>
          <t>TUNON_LYO</t>
        </is>
      </c>
      <c r="C2830" s="40" t="inlineStr">
        <is>
          <t>BAC_TOU</t>
        </is>
      </c>
      <c r="D2830" s="40" t="inlineStr">
        <is>
          <t>B1</t>
        </is>
      </c>
      <c r="E2830" s="40" t="inlineStr">
        <is>
          <t>ALT</t>
        </is>
      </c>
      <c r="F2830" s="40" t="inlineStr">
        <is>
          <t>641100</t>
        </is>
      </c>
      <c r="G2830" s="39" t="inlineStr">
        <is>
          <t>Rémunérations du personnel permanent</t>
        </is>
      </c>
      <c r="H2830" s="40" t="inlineStr">
        <is>
          <t>COMPTABLE</t>
        </is>
      </c>
      <c r="I2830" s="41" t="inlineStr">
        <is>
          <t>2025FCST_V4</t>
        </is>
      </c>
      <c r="J2830" s="41" t="n">
        <v>2025</v>
      </c>
      <c r="K2830" s="41" t="inlineStr">
        <is>
          <t>EUR</t>
        </is>
      </c>
      <c r="L2830" s="42" t="n">
        <v>92800</v>
      </c>
    </row>
    <row r="2831">
      <c r="B2831" s="39" t="inlineStr">
        <is>
          <t>TUNON_LYO</t>
        </is>
      </c>
      <c r="C2831" s="40" t="inlineStr">
        <is>
          <t>BAC_TOU</t>
        </is>
      </c>
      <c r="D2831" s="40" t="inlineStr">
        <is>
          <t>B1</t>
        </is>
      </c>
      <c r="E2831" s="40" t="inlineStr">
        <is>
          <t>ALT</t>
        </is>
      </c>
      <c r="F2831" s="40" t="inlineStr">
        <is>
          <t>622600</t>
        </is>
      </c>
      <c r="G2831" s="39" t="inlineStr">
        <is>
          <t>Honoraires &amp; frais de siège (structure groupe)</t>
        </is>
      </c>
      <c r="H2831" s="40" t="inlineStr">
        <is>
          <t>COMPTABLE</t>
        </is>
      </c>
      <c r="I2831" s="41" t="inlineStr">
        <is>
          <t>2023ACT_VDEF</t>
        </is>
      </c>
      <c r="J2831" s="41" t="n">
        <v>2023</v>
      </c>
      <c r="K2831" s="41" t="inlineStr">
        <is>
          <t>EUR</t>
        </is>
      </c>
      <c r="L2831" s="42" t="n">
        <v>30101</v>
      </c>
    </row>
    <row r="2832">
      <c r="B2832" s="39" t="inlineStr">
        <is>
          <t>TUNON_LYO</t>
        </is>
      </c>
      <c r="C2832" s="40" t="inlineStr">
        <is>
          <t>BAC_TOU</t>
        </is>
      </c>
      <c r="D2832" s="40" t="inlineStr">
        <is>
          <t>B1</t>
        </is>
      </c>
      <c r="E2832" s="40" t="inlineStr">
        <is>
          <t>ALT</t>
        </is>
      </c>
      <c r="F2832" s="40" t="inlineStr">
        <is>
          <t>622600</t>
        </is>
      </c>
      <c r="G2832" s="39" t="inlineStr">
        <is>
          <t>Honoraires &amp; frais de siège (structure groupe)</t>
        </is>
      </c>
      <c r="H2832" s="40" t="inlineStr">
        <is>
          <t>COMPTABLE</t>
        </is>
      </c>
      <c r="I2832" s="41" t="inlineStr">
        <is>
          <t>2024ACT_VDEF</t>
        </is>
      </c>
      <c r="J2832" s="41" t="n">
        <v>2024</v>
      </c>
      <c r="K2832" s="41" t="inlineStr">
        <is>
          <t>EUR</t>
        </is>
      </c>
      <c r="L2832" s="42" t="n">
        <v>31774</v>
      </c>
    </row>
    <row r="2833">
      <c r="B2833" s="39" t="inlineStr">
        <is>
          <t>TUNON_LYO</t>
        </is>
      </c>
      <c r="C2833" s="40" t="inlineStr">
        <is>
          <t>BAC_TOU</t>
        </is>
      </c>
      <c r="D2833" s="40" t="inlineStr">
        <is>
          <t>B1</t>
        </is>
      </c>
      <c r="E2833" s="40" t="inlineStr">
        <is>
          <t>ALT</t>
        </is>
      </c>
      <c r="F2833" s="40" t="inlineStr">
        <is>
          <t>622600</t>
        </is>
      </c>
      <c r="G2833" s="39" t="inlineStr">
        <is>
          <t>Honoraires &amp; frais de siège (structure groupe)</t>
        </is>
      </c>
      <c r="H2833" s="40" t="inlineStr">
        <is>
          <t>COMPTABLE</t>
        </is>
      </c>
      <c r="I2833" s="41" t="inlineStr">
        <is>
          <t>2025FCST_V4</t>
        </is>
      </c>
      <c r="J2833" s="41" t="n">
        <v>2025</v>
      </c>
      <c r="K2833" s="41" t="inlineStr">
        <is>
          <t>EUR</t>
        </is>
      </c>
      <c r="L2833" s="42" t="n">
        <v>33446</v>
      </c>
    </row>
    <row r="2834">
      <c r="B2834" s="39" t="inlineStr">
        <is>
          <t>TUNON_LYO</t>
        </is>
      </c>
      <c r="C2834" s="40" t="inlineStr">
        <is>
          <t>BAC_TOU</t>
        </is>
      </c>
      <c r="D2834" s="40" t="inlineStr">
        <is>
          <t>B1</t>
        </is>
      </c>
      <c r="E2834" s="40" t="inlineStr">
        <is>
          <t>ALT</t>
        </is>
      </c>
      <c r="F2834" s="40" t="inlineStr">
        <is>
          <t>606800</t>
        </is>
      </c>
      <c r="G2834" s="39" t="inlineStr">
        <is>
          <t>Autres achats &amp; charges externes</t>
        </is>
      </c>
      <c r="H2834" s="40" t="inlineStr">
        <is>
          <t>COMPTABLE</t>
        </is>
      </c>
      <c r="I2834" s="41" t="inlineStr">
        <is>
          <t>2023ACT_VDEF</t>
        </is>
      </c>
      <c r="J2834" s="41" t="n">
        <v>2023</v>
      </c>
      <c r="K2834" s="41" t="inlineStr">
        <is>
          <t>EUR</t>
        </is>
      </c>
      <c r="L2834" s="42" t="n">
        <v>33624</v>
      </c>
    </row>
    <row r="2835">
      <c r="B2835" s="39" t="inlineStr">
        <is>
          <t>TUNON_LYO</t>
        </is>
      </c>
      <c r="C2835" s="40" t="inlineStr">
        <is>
          <t>BAC_TOU</t>
        </is>
      </c>
      <c r="D2835" s="40" t="inlineStr">
        <is>
          <t>B1</t>
        </is>
      </c>
      <c r="E2835" s="40" t="inlineStr">
        <is>
          <t>ALT</t>
        </is>
      </c>
      <c r="F2835" s="40" t="inlineStr">
        <is>
          <t>606800</t>
        </is>
      </c>
      <c r="G2835" s="39" t="inlineStr">
        <is>
          <t>Autres achats &amp; charges externes</t>
        </is>
      </c>
      <c r="H2835" s="40" t="inlineStr">
        <is>
          <t>COMPTABLE</t>
        </is>
      </c>
      <c r="I2835" s="41" t="inlineStr">
        <is>
          <t>2024ACT_VDEF</t>
        </is>
      </c>
      <c r="J2835" s="41" t="n">
        <v>2024</v>
      </c>
      <c r="K2835" s="41" t="inlineStr">
        <is>
          <t>EUR</t>
        </is>
      </c>
      <c r="L2835" s="42" t="n">
        <v>35492</v>
      </c>
    </row>
    <row r="2836">
      <c r="B2836" s="39" t="inlineStr">
        <is>
          <t>TUNON_LYO</t>
        </is>
      </c>
      <c r="C2836" s="40" t="inlineStr">
        <is>
          <t>BAC_TOU</t>
        </is>
      </c>
      <c r="D2836" s="40" t="inlineStr">
        <is>
          <t>B1</t>
        </is>
      </c>
      <c r="E2836" s="40" t="inlineStr">
        <is>
          <t>ALT</t>
        </is>
      </c>
      <c r="F2836" s="40" t="inlineStr">
        <is>
          <t>606800</t>
        </is>
      </c>
      <c r="G2836" s="39" t="inlineStr">
        <is>
          <t>Autres achats &amp; charges externes</t>
        </is>
      </c>
      <c r="H2836" s="40" t="inlineStr">
        <is>
          <t>COMPTABLE</t>
        </is>
      </c>
      <c r="I2836" s="41" t="inlineStr">
        <is>
          <t>2025FCST_V4</t>
        </is>
      </c>
      <c r="J2836" s="41" t="n">
        <v>2025</v>
      </c>
      <c r="K2836" s="41" t="inlineStr">
        <is>
          <t>EUR</t>
        </is>
      </c>
      <c r="L2836" s="42" t="n">
        <v>37360</v>
      </c>
    </row>
    <row r="2837">
      <c r="B2837" s="39" t="inlineStr">
        <is>
          <t>TUNON_LYO</t>
        </is>
      </c>
      <c r="C2837" s="40" t="inlineStr">
        <is>
          <t>BAC_TOU</t>
        </is>
      </c>
      <c r="D2837" s="40" t="inlineStr">
        <is>
          <t>B1</t>
        </is>
      </c>
      <c r="E2837" s="40" t="inlineStr">
        <is>
          <t>ALT</t>
        </is>
      </c>
      <c r="F2837" s="40" t="inlineStr">
        <is>
          <t>681100</t>
        </is>
      </c>
      <c r="G2837" s="39" t="inlineStr">
        <is>
          <t>Dotations aux amortissements</t>
        </is>
      </c>
      <c r="H2837" s="40" t="inlineStr">
        <is>
          <t>COMPTABLE</t>
        </is>
      </c>
      <c r="I2837" s="41" t="inlineStr">
        <is>
          <t>2023ACT_VDEF</t>
        </is>
      </c>
      <c r="J2837" s="41" t="n">
        <v>2023</v>
      </c>
      <c r="K2837" s="41" t="inlineStr">
        <is>
          <t>EUR</t>
        </is>
      </c>
      <c r="L2837" s="42" t="n">
        <v>18000</v>
      </c>
    </row>
    <row r="2838">
      <c r="B2838" s="39" t="inlineStr">
        <is>
          <t>TUNON_LYO</t>
        </is>
      </c>
      <c r="C2838" s="40" t="inlineStr">
        <is>
          <t>BAC_TOU</t>
        </is>
      </c>
      <c r="D2838" s="40" t="inlineStr">
        <is>
          <t>B1</t>
        </is>
      </c>
      <c r="E2838" s="40" t="inlineStr">
        <is>
          <t>ALT</t>
        </is>
      </c>
      <c r="F2838" s="40" t="inlineStr">
        <is>
          <t>681100</t>
        </is>
      </c>
      <c r="G2838" s="39" t="inlineStr">
        <is>
          <t>Dotations aux amortissements</t>
        </is>
      </c>
      <c r="H2838" s="40" t="inlineStr">
        <is>
          <t>COMPTABLE</t>
        </is>
      </c>
      <c r="I2838" s="41" t="inlineStr">
        <is>
          <t>2024ACT_VDEF</t>
        </is>
      </c>
      <c r="J2838" s="41" t="n">
        <v>2024</v>
      </c>
      <c r="K2838" s="41" t="inlineStr">
        <is>
          <t>EUR</t>
        </is>
      </c>
      <c r="L2838" s="42" t="n">
        <v>19000</v>
      </c>
    </row>
    <row r="2839">
      <c r="B2839" s="39" t="inlineStr">
        <is>
          <t>TUNON_LYO</t>
        </is>
      </c>
      <c r="C2839" s="40" t="inlineStr">
        <is>
          <t>BAC_TOU</t>
        </is>
      </c>
      <c r="D2839" s="40" t="inlineStr">
        <is>
          <t>B1</t>
        </is>
      </c>
      <c r="E2839" s="40" t="inlineStr">
        <is>
          <t>ALT</t>
        </is>
      </c>
      <c r="F2839" s="40" t="inlineStr">
        <is>
          <t>681100</t>
        </is>
      </c>
      <c r="G2839" s="39" t="inlineStr">
        <is>
          <t>Dotations aux amortissements</t>
        </is>
      </c>
      <c r="H2839" s="40" t="inlineStr">
        <is>
          <t>COMPTABLE</t>
        </is>
      </c>
      <c r="I2839" s="41" t="inlineStr">
        <is>
          <t>2025FCST_V4</t>
        </is>
      </c>
      <c r="J2839" s="41" t="n">
        <v>2025</v>
      </c>
      <c r="K2839" s="41" t="inlineStr">
        <is>
          <t>EUR</t>
        </is>
      </c>
      <c r="L2839" s="42" t="n">
        <v>20000</v>
      </c>
    </row>
    <row r="2840">
      <c r="B2840" s="39" t="inlineStr">
        <is>
          <t>TUNON_LYO</t>
        </is>
      </c>
      <c r="C2840" s="40" t="inlineStr">
        <is>
          <t>BAC_TOU</t>
        </is>
      </c>
      <c r="D2840" s="40" t="inlineStr">
        <is>
          <t>B1</t>
        </is>
      </c>
      <c r="E2840" s="40" t="inlineStr">
        <is>
          <t>ALT</t>
        </is>
      </c>
      <c r="F2840" s="40" t="inlineStr">
        <is>
          <t>STA_EFF</t>
        </is>
      </c>
      <c r="G2840" s="39" t="inlineStr">
        <is>
          <t>Effectif inscrit</t>
        </is>
      </c>
      <c r="H2840" s="40" t="inlineStr">
        <is>
          <t>TECHNIQUE</t>
        </is>
      </c>
      <c r="I2840" s="41" t="inlineStr">
        <is>
          <t>2023ACT_VDEF</t>
        </is>
      </c>
      <c r="J2840" s="41" t="n">
        <v>2023</v>
      </c>
      <c r="K2840" s="41" t="inlineStr">
        <is>
          <t>NB</t>
        </is>
      </c>
      <c r="L2840" s="43" t="n">
        <v>36</v>
      </c>
    </row>
    <row r="2841">
      <c r="B2841" s="39" t="inlineStr">
        <is>
          <t>TUNON_LYO</t>
        </is>
      </c>
      <c r="C2841" s="40" t="inlineStr">
        <is>
          <t>BAC_TOU</t>
        </is>
      </c>
      <c r="D2841" s="40" t="inlineStr">
        <is>
          <t>B1</t>
        </is>
      </c>
      <c r="E2841" s="40" t="inlineStr">
        <is>
          <t>ALT</t>
        </is>
      </c>
      <c r="F2841" s="40" t="inlineStr">
        <is>
          <t>STA_EFF</t>
        </is>
      </c>
      <c r="G2841" s="39" t="inlineStr">
        <is>
          <t>Effectif inscrit</t>
        </is>
      </c>
      <c r="H2841" s="40" t="inlineStr">
        <is>
          <t>TECHNIQUE</t>
        </is>
      </c>
      <c r="I2841" s="41" t="inlineStr">
        <is>
          <t>2024ACT_VDEF</t>
        </is>
      </c>
      <c r="J2841" s="41" t="n">
        <v>2024</v>
      </c>
      <c r="K2841" s="41" t="inlineStr">
        <is>
          <t>NB</t>
        </is>
      </c>
      <c r="L2841" s="43" t="n">
        <v>38</v>
      </c>
    </row>
    <row r="2842">
      <c r="B2842" s="39" t="inlineStr">
        <is>
          <t>TUNON_LYO</t>
        </is>
      </c>
      <c r="C2842" s="40" t="inlineStr">
        <is>
          <t>BAC_TOU</t>
        </is>
      </c>
      <c r="D2842" s="40" t="inlineStr">
        <is>
          <t>B1</t>
        </is>
      </c>
      <c r="E2842" s="40" t="inlineStr">
        <is>
          <t>ALT</t>
        </is>
      </c>
      <c r="F2842" s="40" t="inlineStr">
        <is>
          <t>STA_EFF</t>
        </is>
      </c>
      <c r="G2842" s="39" t="inlineStr">
        <is>
          <t>Effectif inscrit</t>
        </is>
      </c>
      <c r="H2842" s="40" t="inlineStr">
        <is>
          <t>TECHNIQUE</t>
        </is>
      </c>
      <c r="I2842" s="41" t="inlineStr">
        <is>
          <t>2025FCST_V4</t>
        </is>
      </c>
      <c r="J2842" s="41" t="n">
        <v>2025</v>
      </c>
      <c r="K2842" s="41" t="inlineStr">
        <is>
          <t>NB</t>
        </is>
      </c>
      <c r="L2842" s="43" t="n">
        <v>40</v>
      </c>
    </row>
    <row r="2843">
      <c r="B2843" s="39" t="inlineStr">
        <is>
          <t>TUNON_LYO</t>
        </is>
      </c>
      <c r="C2843" s="40" t="inlineStr">
        <is>
          <t>BAC_TOU</t>
        </is>
      </c>
      <c r="D2843" s="40" t="inlineStr">
        <is>
          <t>B1</t>
        </is>
      </c>
      <c r="E2843" s="40" t="inlineStr">
        <is>
          <t>ALT</t>
        </is>
      </c>
      <c r="F2843" s="40" t="inlineStr">
        <is>
          <t>STA_CAND</t>
        </is>
      </c>
      <c r="G2843" s="39" t="inlineStr">
        <is>
          <t>Candidatures reçues</t>
        </is>
      </c>
      <c r="H2843" s="40" t="inlineStr">
        <is>
          <t>TECHNIQUE</t>
        </is>
      </c>
      <c r="I2843" s="41" t="inlineStr">
        <is>
          <t>2023ACT_VDEF</t>
        </is>
      </c>
      <c r="J2843" s="41" t="n">
        <v>2023</v>
      </c>
      <c r="K2843" s="41" t="inlineStr">
        <is>
          <t>NB</t>
        </is>
      </c>
      <c r="L2843" s="43" t="n">
        <v>97</v>
      </c>
    </row>
    <row r="2844">
      <c r="B2844" s="39" t="inlineStr">
        <is>
          <t>TUNON_LYO</t>
        </is>
      </c>
      <c r="C2844" s="40" t="inlineStr">
        <is>
          <t>BAC_TOU</t>
        </is>
      </c>
      <c r="D2844" s="40" t="inlineStr">
        <is>
          <t>B1</t>
        </is>
      </c>
      <c r="E2844" s="40" t="inlineStr">
        <is>
          <t>ALT</t>
        </is>
      </c>
      <c r="F2844" s="40" t="inlineStr">
        <is>
          <t>STA_CAND</t>
        </is>
      </c>
      <c r="G2844" s="39" t="inlineStr">
        <is>
          <t>Candidatures reçues</t>
        </is>
      </c>
      <c r="H2844" s="40" t="inlineStr">
        <is>
          <t>TECHNIQUE</t>
        </is>
      </c>
      <c r="I2844" s="41" t="inlineStr">
        <is>
          <t>2024ACT_VDEF</t>
        </is>
      </c>
      <c r="J2844" s="41" t="n">
        <v>2024</v>
      </c>
      <c r="K2844" s="41" t="inlineStr">
        <is>
          <t>NB</t>
        </is>
      </c>
      <c r="L2844" s="43" t="n">
        <v>103</v>
      </c>
    </row>
    <row r="2845">
      <c r="B2845" s="39" t="inlineStr">
        <is>
          <t>TUNON_LYO</t>
        </is>
      </c>
      <c r="C2845" s="40" t="inlineStr">
        <is>
          <t>BAC_TOU</t>
        </is>
      </c>
      <c r="D2845" s="40" t="inlineStr">
        <is>
          <t>B1</t>
        </is>
      </c>
      <c r="E2845" s="40" t="inlineStr">
        <is>
          <t>ALT</t>
        </is>
      </c>
      <c r="F2845" s="40" t="inlineStr">
        <is>
          <t>STA_CAND</t>
        </is>
      </c>
      <c r="G2845" s="39" t="inlineStr">
        <is>
          <t>Candidatures reçues</t>
        </is>
      </c>
      <c r="H2845" s="40" t="inlineStr">
        <is>
          <t>TECHNIQUE</t>
        </is>
      </c>
      <c r="I2845" s="41" t="inlineStr">
        <is>
          <t>2025FCST_V4</t>
        </is>
      </c>
      <c r="J2845" s="41" t="n">
        <v>2025</v>
      </c>
      <c r="K2845" s="41" t="inlineStr">
        <is>
          <t>NB</t>
        </is>
      </c>
      <c r="L2845" s="43" t="n">
        <v>108</v>
      </c>
    </row>
    <row r="2846">
      <c r="B2846" s="39" t="inlineStr">
        <is>
          <t>TUNON_LYO</t>
        </is>
      </c>
      <c r="C2846" s="40" t="inlineStr">
        <is>
          <t>BAC_TOU</t>
        </is>
      </c>
      <c r="D2846" s="40" t="inlineStr">
        <is>
          <t>B1</t>
        </is>
      </c>
      <c r="E2846" s="40" t="inlineStr">
        <is>
          <t>ALT</t>
        </is>
      </c>
      <c r="F2846" s="40" t="inlineStr">
        <is>
          <t>STA_ADMIS</t>
        </is>
      </c>
      <c r="G2846" s="39" t="inlineStr">
        <is>
          <t>Candidats admis</t>
        </is>
      </c>
      <c r="H2846" s="40" t="inlineStr">
        <is>
          <t>TECHNIQUE</t>
        </is>
      </c>
      <c r="I2846" s="41" t="inlineStr">
        <is>
          <t>2023ACT_VDEF</t>
        </is>
      </c>
      <c r="J2846" s="41" t="n">
        <v>2023</v>
      </c>
      <c r="K2846" s="41" t="inlineStr">
        <is>
          <t>NB</t>
        </is>
      </c>
      <c r="L2846" s="43" t="n">
        <v>60</v>
      </c>
    </row>
    <row r="2847">
      <c r="B2847" s="39" t="inlineStr">
        <is>
          <t>TUNON_LYO</t>
        </is>
      </c>
      <c r="C2847" s="40" t="inlineStr">
        <is>
          <t>BAC_TOU</t>
        </is>
      </c>
      <c r="D2847" s="40" t="inlineStr">
        <is>
          <t>B1</t>
        </is>
      </c>
      <c r="E2847" s="40" t="inlineStr">
        <is>
          <t>ALT</t>
        </is>
      </c>
      <c r="F2847" s="40" t="inlineStr">
        <is>
          <t>STA_ADMIS</t>
        </is>
      </c>
      <c r="G2847" s="39" t="inlineStr">
        <is>
          <t>Candidats admis</t>
        </is>
      </c>
      <c r="H2847" s="40" t="inlineStr">
        <is>
          <t>TECHNIQUE</t>
        </is>
      </c>
      <c r="I2847" s="41" t="inlineStr">
        <is>
          <t>2024ACT_VDEF</t>
        </is>
      </c>
      <c r="J2847" s="41" t="n">
        <v>2024</v>
      </c>
      <c r="K2847" s="41" t="inlineStr">
        <is>
          <t>NB</t>
        </is>
      </c>
      <c r="L2847" s="43" t="n">
        <v>64</v>
      </c>
    </row>
    <row r="2848">
      <c r="B2848" s="39" t="inlineStr">
        <is>
          <t>TUNON_LYO</t>
        </is>
      </c>
      <c r="C2848" s="40" t="inlineStr">
        <is>
          <t>BAC_TOU</t>
        </is>
      </c>
      <c r="D2848" s="40" t="inlineStr">
        <is>
          <t>B1</t>
        </is>
      </c>
      <c r="E2848" s="40" t="inlineStr">
        <is>
          <t>ALT</t>
        </is>
      </c>
      <c r="F2848" s="40" t="inlineStr">
        <is>
          <t>STA_ADMIS</t>
        </is>
      </c>
      <c r="G2848" s="39" t="inlineStr">
        <is>
          <t>Candidats admis</t>
        </is>
      </c>
      <c r="H2848" s="40" t="inlineStr">
        <is>
          <t>TECHNIQUE</t>
        </is>
      </c>
      <c r="I2848" s="41" t="inlineStr">
        <is>
          <t>2025FCST_V4</t>
        </is>
      </c>
      <c r="J2848" s="41" t="n">
        <v>2025</v>
      </c>
      <c r="K2848" s="41" t="inlineStr">
        <is>
          <t>NB</t>
        </is>
      </c>
      <c r="L2848" s="43" t="n">
        <v>67</v>
      </c>
    </row>
    <row r="2849">
      <c r="B2849" s="39" t="inlineStr">
        <is>
          <t>TUNON_LYO</t>
        </is>
      </c>
      <c r="C2849" s="40" t="inlineStr">
        <is>
          <t>BAC_TOU</t>
        </is>
      </c>
      <c r="D2849" s="40" t="inlineStr">
        <is>
          <t>B1</t>
        </is>
      </c>
      <c r="E2849" s="40" t="inlineStr">
        <is>
          <t>ALT</t>
        </is>
      </c>
      <c r="F2849" s="40" t="inlineStr">
        <is>
          <t>STA_NOUV</t>
        </is>
      </c>
      <c r="G2849" s="39" t="inlineStr">
        <is>
          <t>Nouveaux inscrits</t>
        </is>
      </c>
      <c r="H2849" s="40" t="inlineStr">
        <is>
          <t>TECHNIQUE</t>
        </is>
      </c>
      <c r="I2849" s="41" t="inlineStr">
        <is>
          <t>2023ACT_VDEF</t>
        </is>
      </c>
      <c r="J2849" s="41" t="n">
        <v>2023</v>
      </c>
      <c r="K2849" s="41" t="inlineStr">
        <is>
          <t>NB</t>
        </is>
      </c>
      <c r="L2849" s="43" t="n">
        <v>36</v>
      </c>
    </row>
    <row r="2850">
      <c r="B2850" s="39" t="inlineStr">
        <is>
          <t>TUNON_LYO</t>
        </is>
      </c>
      <c r="C2850" s="40" t="inlineStr">
        <is>
          <t>BAC_TOU</t>
        </is>
      </c>
      <c r="D2850" s="40" t="inlineStr">
        <is>
          <t>B1</t>
        </is>
      </c>
      <c r="E2850" s="40" t="inlineStr">
        <is>
          <t>ALT</t>
        </is>
      </c>
      <c r="F2850" s="40" t="inlineStr">
        <is>
          <t>STA_NOUV</t>
        </is>
      </c>
      <c r="G2850" s="39" t="inlineStr">
        <is>
          <t>Nouveaux inscrits</t>
        </is>
      </c>
      <c r="H2850" s="40" t="inlineStr">
        <is>
          <t>TECHNIQUE</t>
        </is>
      </c>
      <c r="I2850" s="41" t="inlineStr">
        <is>
          <t>2024ACT_VDEF</t>
        </is>
      </c>
      <c r="J2850" s="41" t="n">
        <v>2024</v>
      </c>
      <c r="K2850" s="41" t="inlineStr">
        <is>
          <t>NB</t>
        </is>
      </c>
      <c r="L2850" s="43" t="n">
        <v>38</v>
      </c>
    </row>
    <row r="2851">
      <c r="B2851" s="39" t="inlineStr">
        <is>
          <t>TUNON_LYO</t>
        </is>
      </c>
      <c r="C2851" s="40" t="inlineStr">
        <is>
          <t>BAC_TOU</t>
        </is>
      </c>
      <c r="D2851" s="40" t="inlineStr">
        <is>
          <t>B1</t>
        </is>
      </c>
      <c r="E2851" s="40" t="inlineStr">
        <is>
          <t>ALT</t>
        </is>
      </c>
      <c r="F2851" s="40" t="inlineStr">
        <is>
          <t>STA_NOUV</t>
        </is>
      </c>
      <c r="G2851" s="39" t="inlineStr">
        <is>
          <t>Nouveaux inscrits</t>
        </is>
      </c>
      <c r="H2851" s="40" t="inlineStr">
        <is>
          <t>TECHNIQUE</t>
        </is>
      </c>
      <c r="I2851" s="41" t="inlineStr">
        <is>
          <t>2025FCST_V4</t>
        </is>
      </c>
      <c r="J2851" s="41" t="n">
        <v>2025</v>
      </c>
      <c r="K2851" s="41" t="inlineStr">
        <is>
          <t>NB</t>
        </is>
      </c>
      <c r="L2851" s="43" t="n">
        <v>40</v>
      </c>
    </row>
    <row r="2852">
      <c r="B2852" s="39" t="inlineStr">
        <is>
          <t>TUNON_LYO</t>
        </is>
      </c>
      <c r="C2852" s="40" t="inlineStr">
        <is>
          <t>BAC_TOU</t>
        </is>
      </c>
      <c r="D2852" s="40" t="inlineStr">
        <is>
          <t>B1</t>
        </is>
      </c>
      <c r="E2852" s="40" t="inlineStr">
        <is>
          <t>ALT</t>
        </is>
      </c>
      <c r="F2852" s="40" t="inlineStr">
        <is>
          <t>STA_CLASS</t>
        </is>
      </c>
      <c r="G2852" s="39" t="inlineStr">
        <is>
          <t>Nombre de classes</t>
        </is>
      </c>
      <c r="H2852" s="40" t="inlineStr">
        <is>
          <t>TECHNIQUE</t>
        </is>
      </c>
      <c r="I2852" s="41" t="inlineStr">
        <is>
          <t>2023ACT_VDEF</t>
        </is>
      </c>
      <c r="J2852" s="41" t="n">
        <v>2023</v>
      </c>
      <c r="K2852" s="41" t="inlineStr">
        <is>
          <t>NB</t>
        </is>
      </c>
      <c r="L2852" s="43" t="n">
        <v>2</v>
      </c>
    </row>
    <row r="2853">
      <c r="B2853" s="39" t="inlineStr">
        <is>
          <t>TUNON_LYO</t>
        </is>
      </c>
      <c r="C2853" s="40" t="inlineStr">
        <is>
          <t>BAC_TOU</t>
        </is>
      </c>
      <c r="D2853" s="40" t="inlineStr">
        <is>
          <t>B1</t>
        </is>
      </c>
      <c r="E2853" s="40" t="inlineStr">
        <is>
          <t>ALT</t>
        </is>
      </c>
      <c r="F2853" s="40" t="inlineStr">
        <is>
          <t>STA_CLASS</t>
        </is>
      </c>
      <c r="G2853" s="39" t="inlineStr">
        <is>
          <t>Nombre de classes</t>
        </is>
      </c>
      <c r="H2853" s="40" t="inlineStr">
        <is>
          <t>TECHNIQUE</t>
        </is>
      </c>
      <c r="I2853" s="41" t="inlineStr">
        <is>
          <t>2024ACT_VDEF</t>
        </is>
      </c>
      <c r="J2853" s="41" t="n">
        <v>2024</v>
      </c>
      <c r="K2853" s="41" t="inlineStr">
        <is>
          <t>NB</t>
        </is>
      </c>
      <c r="L2853" s="43" t="n">
        <v>2</v>
      </c>
    </row>
    <row r="2854">
      <c r="B2854" s="39" t="inlineStr">
        <is>
          <t>TUNON_LYO</t>
        </is>
      </c>
      <c r="C2854" s="40" t="inlineStr">
        <is>
          <t>BAC_TOU</t>
        </is>
      </c>
      <c r="D2854" s="40" t="inlineStr">
        <is>
          <t>B1</t>
        </is>
      </c>
      <c r="E2854" s="40" t="inlineStr">
        <is>
          <t>ALT</t>
        </is>
      </c>
      <c r="F2854" s="40" t="inlineStr">
        <is>
          <t>STA_CLASS</t>
        </is>
      </c>
      <c r="G2854" s="39" t="inlineStr">
        <is>
          <t>Nombre de classes</t>
        </is>
      </c>
      <c r="H2854" s="40" t="inlineStr">
        <is>
          <t>TECHNIQUE</t>
        </is>
      </c>
      <c r="I2854" s="41" t="inlineStr">
        <is>
          <t>2025FCST_V4</t>
        </is>
      </c>
      <c r="J2854" s="41" t="n">
        <v>2025</v>
      </c>
      <c r="K2854" s="41" t="inlineStr">
        <is>
          <t>NB</t>
        </is>
      </c>
      <c r="L2854" s="43" t="n">
        <v>2</v>
      </c>
    </row>
    <row r="2855">
      <c r="B2855" s="39" t="inlineStr">
        <is>
          <t>TUNON_LYO</t>
        </is>
      </c>
      <c r="C2855" s="40" t="inlineStr">
        <is>
          <t>BAC_TOU</t>
        </is>
      </c>
      <c r="D2855" s="40" t="inlineStr">
        <is>
          <t>B1</t>
        </is>
      </c>
      <c r="E2855" s="40" t="inlineStr">
        <is>
          <t>ALT</t>
        </is>
      </c>
      <c r="F2855" s="40" t="inlineStr">
        <is>
          <t>STA_HEURE</t>
        </is>
      </c>
      <c r="G2855" s="39" t="inlineStr">
        <is>
          <t>Heures d'enseignement</t>
        </is>
      </c>
      <c r="H2855" s="40" t="inlineStr">
        <is>
          <t>TECHNIQUE</t>
        </is>
      </c>
      <c r="I2855" s="41" t="inlineStr">
        <is>
          <t>2023ACT_VDEF</t>
        </is>
      </c>
      <c r="J2855" s="41" t="n">
        <v>2023</v>
      </c>
      <c r="K2855" s="41" t="inlineStr">
        <is>
          <t>NB</t>
        </is>
      </c>
      <c r="L2855" s="43" t="n">
        <v>1080</v>
      </c>
    </row>
    <row r="2856">
      <c r="B2856" s="39" t="inlineStr">
        <is>
          <t>TUNON_LYO</t>
        </is>
      </c>
      <c r="C2856" s="40" t="inlineStr">
        <is>
          <t>BAC_TOU</t>
        </is>
      </c>
      <c r="D2856" s="40" t="inlineStr">
        <is>
          <t>B1</t>
        </is>
      </c>
      <c r="E2856" s="40" t="inlineStr">
        <is>
          <t>ALT</t>
        </is>
      </c>
      <c r="F2856" s="40" t="inlineStr">
        <is>
          <t>STA_HEURE</t>
        </is>
      </c>
      <c r="G2856" s="39" t="inlineStr">
        <is>
          <t>Heures d'enseignement</t>
        </is>
      </c>
      <c r="H2856" s="40" t="inlineStr">
        <is>
          <t>TECHNIQUE</t>
        </is>
      </c>
      <c r="I2856" s="41" t="inlineStr">
        <is>
          <t>2024ACT_VDEF</t>
        </is>
      </c>
      <c r="J2856" s="41" t="n">
        <v>2024</v>
      </c>
      <c r="K2856" s="41" t="inlineStr">
        <is>
          <t>NB</t>
        </is>
      </c>
      <c r="L2856" s="43" t="n">
        <v>1140</v>
      </c>
    </row>
    <row r="2857">
      <c r="B2857" s="39" t="inlineStr">
        <is>
          <t>TUNON_LYO</t>
        </is>
      </c>
      <c r="C2857" s="40" t="inlineStr">
        <is>
          <t>BAC_TOU</t>
        </is>
      </c>
      <c r="D2857" s="40" t="inlineStr">
        <is>
          <t>B1</t>
        </is>
      </c>
      <c r="E2857" s="40" t="inlineStr">
        <is>
          <t>ALT</t>
        </is>
      </c>
      <c r="F2857" s="40" t="inlineStr">
        <is>
          <t>STA_HEURE</t>
        </is>
      </c>
      <c r="G2857" s="39" t="inlineStr">
        <is>
          <t>Heures d'enseignement</t>
        </is>
      </c>
      <c r="H2857" s="40" t="inlineStr">
        <is>
          <t>TECHNIQUE</t>
        </is>
      </c>
      <c r="I2857" s="41" t="inlineStr">
        <is>
          <t>2025FCST_V4</t>
        </is>
      </c>
      <c r="J2857" s="41" t="n">
        <v>2025</v>
      </c>
      <c r="K2857" s="41" t="inlineStr">
        <is>
          <t>NB</t>
        </is>
      </c>
      <c r="L2857" s="43" t="n">
        <v>1200</v>
      </c>
    </row>
    <row r="2858">
      <c r="B2858" s="39" t="inlineStr">
        <is>
          <t>TUNON_LYO</t>
        </is>
      </c>
      <c r="C2858" s="40" t="inlineStr">
        <is>
          <t>BAC_TOU</t>
        </is>
      </c>
      <c r="D2858" s="40" t="inlineStr">
        <is>
          <t>B1</t>
        </is>
      </c>
      <c r="E2858" s="40" t="inlineStr">
        <is>
          <t>ALT</t>
        </is>
      </c>
      <c r="F2858" s="40" t="inlineStr">
        <is>
          <t>STA_CAPA</t>
        </is>
      </c>
      <c r="G2858" s="39" t="inlineStr">
        <is>
          <t>Capacité par classe</t>
        </is>
      </c>
      <c r="H2858" s="40" t="inlineStr">
        <is>
          <t>TECHNIQUE</t>
        </is>
      </c>
      <c r="I2858" s="41" t="inlineStr">
        <is>
          <t>2023ACT_VDEF</t>
        </is>
      </c>
      <c r="J2858" s="41" t="n">
        <v>2023</v>
      </c>
      <c r="K2858" s="41" t="inlineStr">
        <is>
          <t>NB</t>
        </is>
      </c>
      <c r="L2858" s="43" t="n">
        <v>32</v>
      </c>
    </row>
    <row r="2859">
      <c r="B2859" s="39" t="inlineStr">
        <is>
          <t>TUNON_LYO</t>
        </is>
      </c>
      <c r="C2859" s="40" t="inlineStr">
        <is>
          <t>BAC_TOU</t>
        </is>
      </c>
      <c r="D2859" s="40" t="inlineStr">
        <is>
          <t>B1</t>
        </is>
      </c>
      <c r="E2859" s="40" t="inlineStr">
        <is>
          <t>ALT</t>
        </is>
      </c>
      <c r="F2859" s="40" t="inlineStr">
        <is>
          <t>STA_CAPA</t>
        </is>
      </c>
      <c r="G2859" s="39" t="inlineStr">
        <is>
          <t>Capacité par classe</t>
        </is>
      </c>
      <c r="H2859" s="40" t="inlineStr">
        <is>
          <t>TECHNIQUE</t>
        </is>
      </c>
      <c r="I2859" s="41" t="inlineStr">
        <is>
          <t>2024ACT_VDEF</t>
        </is>
      </c>
      <c r="J2859" s="41" t="n">
        <v>2024</v>
      </c>
      <c r="K2859" s="41" t="inlineStr">
        <is>
          <t>NB</t>
        </is>
      </c>
      <c r="L2859" s="43" t="n">
        <v>32</v>
      </c>
    </row>
    <row r="2860">
      <c r="B2860" s="39" t="inlineStr">
        <is>
          <t>TUNON_LYO</t>
        </is>
      </c>
      <c r="C2860" s="40" t="inlineStr">
        <is>
          <t>BAC_TOU</t>
        </is>
      </c>
      <c r="D2860" s="40" t="inlineStr">
        <is>
          <t>B1</t>
        </is>
      </c>
      <c r="E2860" s="40" t="inlineStr">
        <is>
          <t>ALT</t>
        </is>
      </c>
      <c r="F2860" s="40" t="inlineStr">
        <is>
          <t>STA_CAPA</t>
        </is>
      </c>
      <c r="G2860" s="39" t="inlineStr">
        <is>
          <t>Capacité par classe</t>
        </is>
      </c>
      <c r="H2860" s="40" t="inlineStr">
        <is>
          <t>TECHNIQUE</t>
        </is>
      </c>
      <c r="I2860" s="41" t="inlineStr">
        <is>
          <t>2025FCST_V4</t>
        </is>
      </c>
      <c r="J2860" s="41" t="n">
        <v>2025</v>
      </c>
      <c r="K2860" s="41" t="inlineStr">
        <is>
          <t>NB</t>
        </is>
      </c>
      <c r="L2860" s="43" t="n">
        <v>32</v>
      </c>
    </row>
    <row r="2861">
      <c r="B2861" s="39" t="inlineStr">
        <is>
          <t>TUNON_LYO</t>
        </is>
      </c>
      <c r="C2861" s="40" t="inlineStr">
        <is>
          <t>BAC_TOU</t>
        </is>
      </c>
      <c r="D2861" s="40" t="inlineStr">
        <is>
          <t>B1</t>
        </is>
      </c>
      <c r="E2861" s="40" t="inlineStr">
        <is>
          <t>ALT</t>
        </is>
      </c>
      <c r="F2861" s="40" t="inlineStr">
        <is>
          <t>DRV_CONV</t>
        </is>
      </c>
      <c r="G2861" s="39" t="inlineStr">
        <is>
          <t>Taux de conversion candidat→inscrit</t>
        </is>
      </c>
      <c r="H2861" s="40" t="inlineStr">
        <is>
          <t>TECHNIQUE</t>
        </is>
      </c>
      <c r="I2861" s="41" t="inlineStr">
        <is>
          <t>2023ACT_VDEF</t>
        </is>
      </c>
      <c r="J2861" s="41" t="n">
        <v>2023</v>
      </c>
      <c r="K2861" s="41" t="inlineStr">
        <is>
          <t>PCT</t>
        </is>
      </c>
      <c r="L2861" s="44" t="n">
        <v>0.3704</v>
      </c>
    </row>
    <row r="2862">
      <c r="B2862" s="39" t="inlineStr">
        <is>
          <t>TUNON_LYO</t>
        </is>
      </c>
      <c r="C2862" s="40" t="inlineStr">
        <is>
          <t>BAC_TOU</t>
        </is>
      </c>
      <c r="D2862" s="40" t="inlineStr">
        <is>
          <t>B1</t>
        </is>
      </c>
      <c r="E2862" s="40" t="inlineStr">
        <is>
          <t>ALT</t>
        </is>
      </c>
      <c r="F2862" s="40" t="inlineStr">
        <is>
          <t>DRV_CONV</t>
        </is>
      </c>
      <c r="G2862" s="39" t="inlineStr">
        <is>
          <t>Taux de conversion candidat→inscrit</t>
        </is>
      </c>
      <c r="H2862" s="40" t="inlineStr">
        <is>
          <t>TECHNIQUE</t>
        </is>
      </c>
      <c r="I2862" s="41" t="inlineStr">
        <is>
          <t>2024ACT_VDEF</t>
        </is>
      </c>
      <c r="J2862" s="41" t="n">
        <v>2024</v>
      </c>
      <c r="K2862" s="41" t="inlineStr">
        <is>
          <t>PCT</t>
        </is>
      </c>
      <c r="L2862" s="44" t="n">
        <v>0.3704</v>
      </c>
    </row>
    <row r="2863">
      <c r="B2863" s="39" t="inlineStr">
        <is>
          <t>TUNON_LYO</t>
        </is>
      </c>
      <c r="C2863" s="40" t="inlineStr">
        <is>
          <t>BAC_TOU</t>
        </is>
      </c>
      <c r="D2863" s="40" t="inlineStr">
        <is>
          <t>B1</t>
        </is>
      </c>
      <c r="E2863" s="40" t="inlineStr">
        <is>
          <t>ALT</t>
        </is>
      </c>
      <c r="F2863" s="40" t="inlineStr">
        <is>
          <t>DRV_CONV</t>
        </is>
      </c>
      <c r="G2863" s="39" t="inlineStr">
        <is>
          <t>Taux de conversion candidat→inscrit</t>
        </is>
      </c>
      <c r="H2863" s="40" t="inlineStr">
        <is>
          <t>TECHNIQUE</t>
        </is>
      </c>
      <c r="I2863" s="41" t="inlineStr">
        <is>
          <t>2025FCST_V4</t>
        </is>
      </c>
      <c r="J2863" s="41" t="n">
        <v>2025</v>
      </c>
      <c r="K2863" s="41" t="inlineStr">
        <is>
          <t>PCT</t>
        </is>
      </c>
      <c r="L2863" s="44" t="n">
        <v>0.3704</v>
      </c>
    </row>
    <row r="2864">
      <c r="B2864" s="39" t="inlineStr">
        <is>
          <t>TUNON_LYO</t>
        </is>
      </c>
      <c r="C2864" s="40" t="inlineStr">
        <is>
          <t>BAC_TOU</t>
        </is>
      </c>
      <c r="D2864" s="40" t="inlineStr">
        <is>
          <t>B1</t>
        </is>
      </c>
      <c r="E2864" s="40" t="inlineStr">
        <is>
          <t>ALT</t>
        </is>
      </c>
      <c r="F2864" s="40" t="inlineStr">
        <is>
          <t>PRX_TARIF</t>
        </is>
      </c>
      <c r="G2864" s="39" t="inlineStr">
        <is>
          <t>Tarif moyen scolarité</t>
        </is>
      </c>
      <c r="H2864" s="40" t="inlineStr">
        <is>
          <t>TECHNIQUE</t>
        </is>
      </c>
      <c r="I2864" s="41" t="inlineStr">
        <is>
          <t>2023ACT_VDEF</t>
        </is>
      </c>
      <c r="J2864" s="41" t="n">
        <v>2023</v>
      </c>
      <c r="K2864" s="41" t="inlineStr">
        <is>
          <t>EUR</t>
        </is>
      </c>
      <c r="L2864" s="42" t="n">
        <v>8000</v>
      </c>
    </row>
    <row r="2865">
      <c r="B2865" s="39" t="inlineStr">
        <is>
          <t>TUNON_LYO</t>
        </is>
      </c>
      <c r="C2865" s="40" t="inlineStr">
        <is>
          <t>BAC_TOU</t>
        </is>
      </c>
      <c r="D2865" s="40" t="inlineStr">
        <is>
          <t>B1</t>
        </is>
      </c>
      <c r="E2865" s="40" t="inlineStr">
        <is>
          <t>ALT</t>
        </is>
      </c>
      <c r="F2865" s="40" t="inlineStr">
        <is>
          <t>PRX_TARIF</t>
        </is>
      </c>
      <c r="G2865" s="39" t="inlineStr">
        <is>
          <t>Tarif moyen scolarité</t>
        </is>
      </c>
      <c r="H2865" s="40" t="inlineStr">
        <is>
          <t>TECHNIQUE</t>
        </is>
      </c>
      <c r="I2865" s="41" t="inlineStr">
        <is>
          <t>2024ACT_VDEF</t>
        </is>
      </c>
      <c r="J2865" s="41" t="n">
        <v>2024</v>
      </c>
      <c r="K2865" s="41" t="inlineStr">
        <is>
          <t>EUR</t>
        </is>
      </c>
      <c r="L2865" s="42" t="n">
        <v>8000</v>
      </c>
    </row>
    <row r="2866">
      <c r="B2866" s="39" t="inlineStr">
        <is>
          <t>TUNON_LYO</t>
        </is>
      </c>
      <c r="C2866" s="40" t="inlineStr">
        <is>
          <t>BAC_TOU</t>
        </is>
      </c>
      <c r="D2866" s="40" t="inlineStr">
        <is>
          <t>B1</t>
        </is>
      </c>
      <c r="E2866" s="40" t="inlineStr">
        <is>
          <t>ALT</t>
        </is>
      </c>
      <c r="F2866" s="40" t="inlineStr">
        <is>
          <t>PRX_TARIF</t>
        </is>
      </c>
      <c r="G2866" s="39" t="inlineStr">
        <is>
          <t>Tarif moyen scolarité</t>
        </is>
      </c>
      <c r="H2866" s="40" t="inlineStr">
        <is>
          <t>TECHNIQUE</t>
        </is>
      </c>
      <c r="I2866" s="41" t="inlineStr">
        <is>
          <t>2025FCST_V4</t>
        </is>
      </c>
      <c r="J2866" s="41" t="n">
        <v>2025</v>
      </c>
      <c r="K2866" s="41" t="inlineStr">
        <is>
          <t>EUR</t>
        </is>
      </c>
      <c r="L2866" s="42" t="n">
        <v>8000</v>
      </c>
    </row>
    <row r="2867">
      <c r="B2867" s="39" t="inlineStr">
        <is>
          <t>TUNON_LYO</t>
        </is>
      </c>
      <c r="C2867" s="40" t="inlineStr">
        <is>
          <t>BAC_TOU</t>
        </is>
      </c>
      <c r="D2867" s="40" t="inlineStr">
        <is>
          <t>B1</t>
        </is>
      </c>
      <c r="E2867" s="40" t="inlineStr">
        <is>
          <t>ALT</t>
        </is>
      </c>
      <c r="F2867" s="40" t="inlineStr">
        <is>
          <t>CAC_LEAD</t>
        </is>
      </c>
      <c r="G2867" s="39" t="inlineStr">
        <is>
          <t>Coût d'acquisition par lead</t>
        </is>
      </c>
      <c r="H2867" s="40" t="inlineStr">
        <is>
          <t>TECHNIQUE</t>
        </is>
      </c>
      <c r="I2867" s="41" t="inlineStr">
        <is>
          <t>2023ACT_VDEF</t>
        </is>
      </c>
      <c r="J2867" s="41" t="n">
        <v>2023</v>
      </c>
      <c r="K2867" s="41" t="inlineStr">
        <is>
          <t>EUR</t>
        </is>
      </c>
      <c r="L2867" s="42" t="n">
        <v>320</v>
      </c>
    </row>
    <row r="2868">
      <c r="B2868" s="39" t="inlineStr">
        <is>
          <t>TUNON_LYO</t>
        </is>
      </c>
      <c r="C2868" s="40" t="inlineStr">
        <is>
          <t>BAC_TOU</t>
        </is>
      </c>
      <c r="D2868" s="40" t="inlineStr">
        <is>
          <t>B1</t>
        </is>
      </c>
      <c r="E2868" s="40" t="inlineStr">
        <is>
          <t>ALT</t>
        </is>
      </c>
      <c r="F2868" s="40" t="inlineStr">
        <is>
          <t>CAC_LEAD</t>
        </is>
      </c>
      <c r="G2868" s="39" t="inlineStr">
        <is>
          <t>Coût d'acquisition par lead</t>
        </is>
      </c>
      <c r="H2868" s="40" t="inlineStr">
        <is>
          <t>TECHNIQUE</t>
        </is>
      </c>
      <c r="I2868" s="41" t="inlineStr">
        <is>
          <t>2024ACT_VDEF</t>
        </is>
      </c>
      <c r="J2868" s="41" t="n">
        <v>2024</v>
      </c>
      <c r="K2868" s="41" t="inlineStr">
        <is>
          <t>EUR</t>
        </is>
      </c>
      <c r="L2868" s="42" t="n">
        <v>320</v>
      </c>
    </row>
    <row r="2869">
      <c r="B2869" s="39" t="inlineStr">
        <is>
          <t>TUNON_LYO</t>
        </is>
      </c>
      <c r="C2869" s="40" t="inlineStr">
        <is>
          <t>BAC_TOU</t>
        </is>
      </c>
      <c r="D2869" s="40" t="inlineStr">
        <is>
          <t>B1</t>
        </is>
      </c>
      <c r="E2869" s="40" t="inlineStr">
        <is>
          <t>ALT</t>
        </is>
      </c>
      <c r="F2869" s="40" t="inlineStr">
        <is>
          <t>CAC_LEAD</t>
        </is>
      </c>
      <c r="G2869" s="39" t="inlineStr">
        <is>
          <t>Coût d'acquisition par lead</t>
        </is>
      </c>
      <c r="H2869" s="40" t="inlineStr">
        <is>
          <t>TECHNIQUE</t>
        </is>
      </c>
      <c r="I2869" s="41" t="inlineStr">
        <is>
          <t>2025FCST_V4</t>
        </is>
      </c>
      <c r="J2869" s="41" t="n">
        <v>2025</v>
      </c>
      <c r="K2869" s="41" t="inlineStr">
        <is>
          <t>EUR</t>
        </is>
      </c>
      <c r="L2869" s="42" t="n">
        <v>320</v>
      </c>
    </row>
    <row r="2870">
      <c r="B2870" s="39" t="inlineStr">
        <is>
          <t>TUNON_LYO</t>
        </is>
      </c>
      <c r="C2870" s="40" t="inlineStr">
        <is>
          <t>BAC_TOU</t>
        </is>
      </c>
      <c r="D2870" s="40" t="inlineStr">
        <is>
          <t>B2</t>
        </is>
      </c>
      <c r="E2870" s="40" t="inlineStr">
        <is>
          <t>ALT</t>
        </is>
      </c>
      <c r="F2870" s="40" t="inlineStr">
        <is>
          <t>706100</t>
        </is>
      </c>
      <c r="G2870" s="39" t="inlineStr">
        <is>
          <t>Droits de scolarité</t>
        </is>
      </c>
      <c r="H2870" s="40" t="inlineStr">
        <is>
          <t>COMPTABLE</t>
        </is>
      </c>
      <c r="I2870" s="41" t="inlineStr">
        <is>
          <t>2023ACT_VDEF</t>
        </is>
      </c>
      <c r="J2870" s="41" t="n">
        <v>2023</v>
      </c>
      <c r="K2870" s="41" t="inlineStr">
        <is>
          <t>EUR</t>
        </is>
      </c>
      <c r="L2870" s="42" t="n">
        <v>244800</v>
      </c>
    </row>
    <row r="2871">
      <c r="B2871" s="39" t="inlineStr">
        <is>
          <t>TUNON_LYO</t>
        </is>
      </c>
      <c r="C2871" s="40" t="inlineStr">
        <is>
          <t>BAC_TOU</t>
        </is>
      </c>
      <c r="D2871" s="40" t="inlineStr">
        <is>
          <t>B2</t>
        </is>
      </c>
      <c r="E2871" s="40" t="inlineStr">
        <is>
          <t>ALT</t>
        </is>
      </c>
      <c r="F2871" s="40" t="inlineStr">
        <is>
          <t>706100</t>
        </is>
      </c>
      <c r="G2871" s="39" t="inlineStr">
        <is>
          <t>Droits de scolarité</t>
        </is>
      </c>
      <c r="H2871" s="40" t="inlineStr">
        <is>
          <t>COMPTABLE</t>
        </is>
      </c>
      <c r="I2871" s="41" t="inlineStr">
        <is>
          <t>2024ACT_VDEF</t>
        </is>
      </c>
      <c r="J2871" s="41" t="n">
        <v>2024</v>
      </c>
      <c r="K2871" s="41" t="inlineStr">
        <is>
          <t>EUR</t>
        </is>
      </c>
      <c r="L2871" s="42" t="n">
        <v>258400</v>
      </c>
    </row>
    <row r="2872">
      <c r="B2872" s="39" t="inlineStr">
        <is>
          <t>TUNON_LYO</t>
        </is>
      </c>
      <c r="C2872" s="40" t="inlineStr">
        <is>
          <t>BAC_TOU</t>
        </is>
      </c>
      <c r="D2872" s="40" t="inlineStr">
        <is>
          <t>B2</t>
        </is>
      </c>
      <c r="E2872" s="40" t="inlineStr">
        <is>
          <t>ALT</t>
        </is>
      </c>
      <c r="F2872" s="40" t="inlineStr">
        <is>
          <t>706100</t>
        </is>
      </c>
      <c r="G2872" s="39" t="inlineStr">
        <is>
          <t>Droits de scolarité</t>
        </is>
      </c>
      <c r="H2872" s="40" t="inlineStr">
        <is>
          <t>COMPTABLE</t>
        </is>
      </c>
      <c r="I2872" s="41" t="inlineStr">
        <is>
          <t>2025FCST_V4</t>
        </is>
      </c>
      <c r="J2872" s="41" t="n">
        <v>2025</v>
      </c>
      <c r="K2872" s="41" t="inlineStr">
        <is>
          <t>EUR</t>
        </is>
      </c>
      <c r="L2872" s="42" t="n">
        <v>272000</v>
      </c>
    </row>
    <row r="2873">
      <c r="B2873" s="39" t="inlineStr">
        <is>
          <t>TUNON_LYO</t>
        </is>
      </c>
      <c r="C2873" s="40" t="inlineStr">
        <is>
          <t>BAC_TOU</t>
        </is>
      </c>
      <c r="D2873" s="40" t="inlineStr">
        <is>
          <t>B2</t>
        </is>
      </c>
      <c r="E2873" s="40" t="inlineStr">
        <is>
          <t>ALT</t>
        </is>
      </c>
      <c r="F2873" s="40" t="inlineStr">
        <is>
          <t>604100</t>
        </is>
      </c>
      <c r="G2873" s="39" t="inlineStr">
        <is>
          <t>Vacations &amp; sous-traitance pédagogique</t>
        </is>
      </c>
      <c r="H2873" s="40" t="inlineStr">
        <is>
          <t>COMPTABLE</t>
        </is>
      </c>
      <c r="I2873" s="41" t="inlineStr">
        <is>
          <t>2023ACT_VDEF</t>
        </is>
      </c>
      <c r="J2873" s="41" t="n">
        <v>2023</v>
      </c>
      <c r="K2873" s="41" t="inlineStr">
        <is>
          <t>EUR</t>
        </is>
      </c>
      <c r="L2873" s="42" t="n">
        <v>56448</v>
      </c>
    </row>
    <row r="2874">
      <c r="B2874" s="39" t="inlineStr">
        <is>
          <t>TUNON_LYO</t>
        </is>
      </c>
      <c r="C2874" s="40" t="inlineStr">
        <is>
          <t>BAC_TOU</t>
        </is>
      </c>
      <c r="D2874" s="40" t="inlineStr">
        <is>
          <t>B2</t>
        </is>
      </c>
      <c r="E2874" s="40" t="inlineStr">
        <is>
          <t>ALT</t>
        </is>
      </c>
      <c r="F2874" s="40" t="inlineStr">
        <is>
          <t>604100</t>
        </is>
      </c>
      <c r="G2874" s="39" t="inlineStr">
        <is>
          <t>Vacations &amp; sous-traitance pédagogique</t>
        </is>
      </c>
      <c r="H2874" s="40" t="inlineStr">
        <is>
          <t>COMPTABLE</t>
        </is>
      </c>
      <c r="I2874" s="41" t="inlineStr">
        <is>
          <t>2024ACT_VDEF</t>
        </is>
      </c>
      <c r="J2874" s="41" t="n">
        <v>2024</v>
      </c>
      <c r="K2874" s="41" t="inlineStr">
        <is>
          <t>EUR</t>
        </is>
      </c>
      <c r="L2874" s="42" t="n">
        <v>59584</v>
      </c>
    </row>
    <row r="2875">
      <c r="B2875" s="39" t="inlineStr">
        <is>
          <t>TUNON_LYO</t>
        </is>
      </c>
      <c r="C2875" s="40" t="inlineStr">
        <is>
          <t>BAC_TOU</t>
        </is>
      </c>
      <c r="D2875" s="40" t="inlineStr">
        <is>
          <t>B2</t>
        </is>
      </c>
      <c r="E2875" s="40" t="inlineStr">
        <is>
          <t>ALT</t>
        </is>
      </c>
      <c r="F2875" s="40" t="inlineStr">
        <is>
          <t>604100</t>
        </is>
      </c>
      <c r="G2875" s="39" t="inlineStr">
        <is>
          <t>Vacations &amp; sous-traitance pédagogique</t>
        </is>
      </c>
      <c r="H2875" s="40" t="inlineStr">
        <is>
          <t>COMPTABLE</t>
        </is>
      </c>
      <c r="I2875" s="41" t="inlineStr">
        <is>
          <t>2025FCST_V4</t>
        </is>
      </c>
      <c r="J2875" s="41" t="n">
        <v>2025</v>
      </c>
      <c r="K2875" s="41" t="inlineStr">
        <is>
          <t>EUR</t>
        </is>
      </c>
      <c r="L2875" s="42" t="n">
        <v>62720</v>
      </c>
    </row>
    <row r="2876">
      <c r="B2876" s="39" t="inlineStr">
        <is>
          <t>TUNON_LYO</t>
        </is>
      </c>
      <c r="C2876" s="40" t="inlineStr">
        <is>
          <t>BAC_TOU</t>
        </is>
      </c>
      <c r="D2876" s="40" t="inlineStr">
        <is>
          <t>B2</t>
        </is>
      </c>
      <c r="E2876" s="40" t="inlineStr">
        <is>
          <t>ALT</t>
        </is>
      </c>
      <c r="F2876" s="40" t="inlineStr">
        <is>
          <t>606300</t>
        </is>
      </c>
      <c r="G2876" s="39" t="inlineStr">
        <is>
          <t>Fournitures &amp; ressources pédagogiques</t>
        </is>
      </c>
      <c r="H2876" s="40" t="inlineStr">
        <is>
          <t>COMPTABLE</t>
        </is>
      </c>
      <c r="I2876" s="41" t="inlineStr">
        <is>
          <t>2023ACT_VDEF</t>
        </is>
      </c>
      <c r="J2876" s="41" t="n">
        <v>2023</v>
      </c>
      <c r="K2876" s="41" t="inlineStr">
        <is>
          <t>EUR</t>
        </is>
      </c>
      <c r="L2876" s="42" t="n">
        <v>13770</v>
      </c>
    </row>
    <row r="2877">
      <c r="B2877" s="39" t="inlineStr">
        <is>
          <t>TUNON_LYO</t>
        </is>
      </c>
      <c r="C2877" s="40" t="inlineStr">
        <is>
          <t>BAC_TOU</t>
        </is>
      </c>
      <c r="D2877" s="40" t="inlineStr">
        <is>
          <t>B2</t>
        </is>
      </c>
      <c r="E2877" s="40" t="inlineStr">
        <is>
          <t>ALT</t>
        </is>
      </c>
      <c r="F2877" s="40" t="inlineStr">
        <is>
          <t>606300</t>
        </is>
      </c>
      <c r="G2877" s="39" t="inlineStr">
        <is>
          <t>Fournitures &amp; ressources pédagogiques</t>
        </is>
      </c>
      <c r="H2877" s="40" t="inlineStr">
        <is>
          <t>COMPTABLE</t>
        </is>
      </c>
      <c r="I2877" s="41" t="inlineStr">
        <is>
          <t>2024ACT_VDEF</t>
        </is>
      </c>
      <c r="J2877" s="41" t="n">
        <v>2024</v>
      </c>
      <c r="K2877" s="41" t="inlineStr">
        <is>
          <t>EUR</t>
        </is>
      </c>
      <c r="L2877" s="42" t="n">
        <v>14535</v>
      </c>
    </row>
    <row r="2878">
      <c r="B2878" s="39" t="inlineStr">
        <is>
          <t>TUNON_LYO</t>
        </is>
      </c>
      <c r="C2878" s="40" t="inlineStr">
        <is>
          <t>BAC_TOU</t>
        </is>
      </c>
      <c r="D2878" s="40" t="inlineStr">
        <is>
          <t>B2</t>
        </is>
      </c>
      <c r="E2878" s="40" t="inlineStr">
        <is>
          <t>ALT</t>
        </is>
      </c>
      <c r="F2878" s="40" t="inlineStr">
        <is>
          <t>606300</t>
        </is>
      </c>
      <c r="G2878" s="39" t="inlineStr">
        <is>
          <t>Fournitures &amp; ressources pédagogiques</t>
        </is>
      </c>
      <c r="H2878" s="40" t="inlineStr">
        <is>
          <t>COMPTABLE</t>
        </is>
      </c>
      <c r="I2878" s="41" t="inlineStr">
        <is>
          <t>2025FCST_V4</t>
        </is>
      </c>
      <c r="J2878" s="41" t="n">
        <v>2025</v>
      </c>
      <c r="K2878" s="41" t="inlineStr">
        <is>
          <t>EUR</t>
        </is>
      </c>
      <c r="L2878" s="42" t="n">
        <v>15300</v>
      </c>
    </row>
    <row r="2879">
      <c r="B2879" s="39" t="inlineStr">
        <is>
          <t>TUNON_LYO</t>
        </is>
      </c>
      <c r="C2879" s="40" t="inlineStr">
        <is>
          <t>BAC_TOU</t>
        </is>
      </c>
      <c r="D2879" s="40" t="inlineStr">
        <is>
          <t>B2</t>
        </is>
      </c>
      <c r="E2879" s="40" t="inlineStr">
        <is>
          <t>ALT</t>
        </is>
      </c>
      <c r="F2879" s="40" t="inlineStr">
        <is>
          <t>613200</t>
        </is>
      </c>
      <c r="G2879" s="39" t="inlineStr">
        <is>
          <t>Locations immobilières (loyers)</t>
        </is>
      </c>
      <c r="H2879" s="40" t="inlineStr">
        <is>
          <t>COMPTABLE</t>
        </is>
      </c>
      <c r="I2879" s="41" t="inlineStr">
        <is>
          <t>2023ACT_VDEF</t>
        </is>
      </c>
      <c r="J2879" s="41" t="n">
        <v>2023</v>
      </c>
      <c r="K2879" s="41" t="inlineStr">
        <is>
          <t>EUR</t>
        </is>
      </c>
      <c r="L2879" s="42" t="n">
        <v>33120</v>
      </c>
    </row>
    <row r="2880">
      <c r="B2880" s="39" t="inlineStr">
        <is>
          <t>TUNON_LYO</t>
        </is>
      </c>
      <c r="C2880" s="40" t="inlineStr">
        <is>
          <t>BAC_TOU</t>
        </is>
      </c>
      <c r="D2880" s="40" t="inlineStr">
        <is>
          <t>B2</t>
        </is>
      </c>
      <c r="E2880" s="40" t="inlineStr">
        <is>
          <t>ALT</t>
        </is>
      </c>
      <c r="F2880" s="40" t="inlineStr">
        <is>
          <t>613200</t>
        </is>
      </c>
      <c r="G2880" s="39" t="inlineStr">
        <is>
          <t>Locations immobilières (loyers)</t>
        </is>
      </c>
      <c r="H2880" s="40" t="inlineStr">
        <is>
          <t>COMPTABLE</t>
        </is>
      </c>
      <c r="I2880" s="41" t="inlineStr">
        <is>
          <t>2024ACT_VDEF</t>
        </is>
      </c>
      <c r="J2880" s="41" t="n">
        <v>2024</v>
      </c>
      <c r="K2880" s="41" t="inlineStr">
        <is>
          <t>EUR</t>
        </is>
      </c>
      <c r="L2880" s="42" t="n">
        <v>34960</v>
      </c>
    </row>
    <row r="2881">
      <c r="B2881" s="39" t="inlineStr">
        <is>
          <t>TUNON_LYO</t>
        </is>
      </c>
      <c r="C2881" s="40" t="inlineStr">
        <is>
          <t>BAC_TOU</t>
        </is>
      </c>
      <c r="D2881" s="40" t="inlineStr">
        <is>
          <t>B2</t>
        </is>
      </c>
      <c r="E2881" s="40" t="inlineStr">
        <is>
          <t>ALT</t>
        </is>
      </c>
      <c r="F2881" s="40" t="inlineStr">
        <is>
          <t>613200</t>
        </is>
      </c>
      <c r="G2881" s="39" t="inlineStr">
        <is>
          <t>Locations immobilières (loyers)</t>
        </is>
      </c>
      <c r="H2881" s="40" t="inlineStr">
        <is>
          <t>COMPTABLE</t>
        </is>
      </c>
      <c r="I2881" s="41" t="inlineStr">
        <is>
          <t>2025FCST_V4</t>
        </is>
      </c>
      <c r="J2881" s="41" t="n">
        <v>2025</v>
      </c>
      <c r="K2881" s="41" t="inlineStr">
        <is>
          <t>EUR</t>
        </is>
      </c>
      <c r="L2881" s="42" t="n">
        <v>36800</v>
      </c>
    </row>
    <row r="2882">
      <c r="B2882" s="39" t="inlineStr">
        <is>
          <t>TUNON_LYO</t>
        </is>
      </c>
      <c r="C2882" s="40" t="inlineStr">
        <is>
          <t>BAC_TOU</t>
        </is>
      </c>
      <c r="D2882" s="40" t="inlineStr">
        <is>
          <t>B2</t>
        </is>
      </c>
      <c r="E2882" s="40" t="inlineStr">
        <is>
          <t>ALT</t>
        </is>
      </c>
      <c r="F2882" s="40" t="inlineStr">
        <is>
          <t>641100</t>
        </is>
      </c>
      <c r="G2882" s="39" t="inlineStr">
        <is>
          <t>Rémunérations du personnel permanent</t>
        </is>
      </c>
      <c r="H2882" s="40" t="inlineStr">
        <is>
          <t>COMPTABLE</t>
        </is>
      </c>
      <c r="I2882" s="41" t="inlineStr">
        <is>
          <t>2023ACT_VDEF</t>
        </is>
      </c>
      <c r="J2882" s="41" t="n">
        <v>2023</v>
      </c>
      <c r="K2882" s="41" t="inlineStr">
        <is>
          <t>EUR</t>
        </is>
      </c>
      <c r="L2882" s="42" t="n">
        <v>83520</v>
      </c>
    </row>
    <row r="2883">
      <c r="B2883" s="39" t="inlineStr">
        <is>
          <t>TUNON_LYO</t>
        </is>
      </c>
      <c r="C2883" s="40" t="inlineStr">
        <is>
          <t>BAC_TOU</t>
        </is>
      </c>
      <c r="D2883" s="40" t="inlineStr">
        <is>
          <t>B2</t>
        </is>
      </c>
      <c r="E2883" s="40" t="inlineStr">
        <is>
          <t>ALT</t>
        </is>
      </c>
      <c r="F2883" s="40" t="inlineStr">
        <is>
          <t>641100</t>
        </is>
      </c>
      <c r="G2883" s="39" t="inlineStr">
        <is>
          <t>Rémunérations du personnel permanent</t>
        </is>
      </c>
      <c r="H2883" s="40" t="inlineStr">
        <is>
          <t>COMPTABLE</t>
        </is>
      </c>
      <c r="I2883" s="41" t="inlineStr">
        <is>
          <t>2024ACT_VDEF</t>
        </is>
      </c>
      <c r="J2883" s="41" t="n">
        <v>2024</v>
      </c>
      <c r="K2883" s="41" t="inlineStr">
        <is>
          <t>EUR</t>
        </is>
      </c>
      <c r="L2883" s="42" t="n">
        <v>88160</v>
      </c>
    </row>
    <row r="2884">
      <c r="B2884" s="39" t="inlineStr">
        <is>
          <t>TUNON_LYO</t>
        </is>
      </c>
      <c r="C2884" s="40" t="inlineStr">
        <is>
          <t>BAC_TOU</t>
        </is>
      </c>
      <c r="D2884" s="40" t="inlineStr">
        <is>
          <t>B2</t>
        </is>
      </c>
      <c r="E2884" s="40" t="inlineStr">
        <is>
          <t>ALT</t>
        </is>
      </c>
      <c r="F2884" s="40" t="inlineStr">
        <is>
          <t>641100</t>
        </is>
      </c>
      <c r="G2884" s="39" t="inlineStr">
        <is>
          <t>Rémunérations du personnel permanent</t>
        </is>
      </c>
      <c r="H2884" s="40" t="inlineStr">
        <is>
          <t>COMPTABLE</t>
        </is>
      </c>
      <c r="I2884" s="41" t="inlineStr">
        <is>
          <t>2025FCST_V4</t>
        </is>
      </c>
      <c r="J2884" s="41" t="n">
        <v>2025</v>
      </c>
      <c r="K2884" s="41" t="inlineStr">
        <is>
          <t>EUR</t>
        </is>
      </c>
      <c r="L2884" s="42" t="n">
        <v>92800</v>
      </c>
    </row>
    <row r="2885">
      <c r="B2885" s="39" t="inlineStr">
        <is>
          <t>TUNON_LYO</t>
        </is>
      </c>
      <c r="C2885" s="40" t="inlineStr">
        <is>
          <t>BAC_TOU</t>
        </is>
      </c>
      <c r="D2885" s="40" t="inlineStr">
        <is>
          <t>B2</t>
        </is>
      </c>
      <c r="E2885" s="40" t="inlineStr">
        <is>
          <t>ALT</t>
        </is>
      </c>
      <c r="F2885" s="40" t="inlineStr">
        <is>
          <t>622600</t>
        </is>
      </c>
      <c r="G2885" s="39" t="inlineStr">
        <is>
          <t>Honoraires &amp; frais de siège (structure groupe)</t>
        </is>
      </c>
      <c r="H2885" s="40" t="inlineStr">
        <is>
          <t>COMPTABLE</t>
        </is>
      </c>
      <c r="I2885" s="41" t="inlineStr">
        <is>
          <t>2023ACT_VDEF</t>
        </is>
      </c>
      <c r="J2885" s="41" t="n">
        <v>2023</v>
      </c>
      <c r="K2885" s="41" t="inlineStr">
        <is>
          <t>EUR</t>
        </is>
      </c>
      <c r="L2885" s="42" t="n">
        <v>30101</v>
      </c>
    </row>
    <row r="2886">
      <c r="B2886" s="39" t="inlineStr">
        <is>
          <t>TUNON_LYO</t>
        </is>
      </c>
      <c r="C2886" s="40" t="inlineStr">
        <is>
          <t>BAC_TOU</t>
        </is>
      </c>
      <c r="D2886" s="40" t="inlineStr">
        <is>
          <t>B2</t>
        </is>
      </c>
      <c r="E2886" s="40" t="inlineStr">
        <is>
          <t>ALT</t>
        </is>
      </c>
      <c r="F2886" s="40" t="inlineStr">
        <is>
          <t>622600</t>
        </is>
      </c>
      <c r="G2886" s="39" t="inlineStr">
        <is>
          <t>Honoraires &amp; frais de siège (structure groupe)</t>
        </is>
      </c>
      <c r="H2886" s="40" t="inlineStr">
        <is>
          <t>COMPTABLE</t>
        </is>
      </c>
      <c r="I2886" s="41" t="inlineStr">
        <is>
          <t>2024ACT_VDEF</t>
        </is>
      </c>
      <c r="J2886" s="41" t="n">
        <v>2024</v>
      </c>
      <c r="K2886" s="41" t="inlineStr">
        <is>
          <t>EUR</t>
        </is>
      </c>
      <c r="L2886" s="42" t="n">
        <v>31774</v>
      </c>
    </row>
    <row r="2887">
      <c r="B2887" s="39" t="inlineStr">
        <is>
          <t>TUNON_LYO</t>
        </is>
      </c>
      <c r="C2887" s="40" t="inlineStr">
        <is>
          <t>BAC_TOU</t>
        </is>
      </c>
      <c r="D2887" s="40" t="inlineStr">
        <is>
          <t>B2</t>
        </is>
      </c>
      <c r="E2887" s="40" t="inlineStr">
        <is>
          <t>ALT</t>
        </is>
      </c>
      <c r="F2887" s="40" t="inlineStr">
        <is>
          <t>622600</t>
        </is>
      </c>
      <c r="G2887" s="39" t="inlineStr">
        <is>
          <t>Honoraires &amp; frais de siège (structure groupe)</t>
        </is>
      </c>
      <c r="H2887" s="40" t="inlineStr">
        <is>
          <t>COMPTABLE</t>
        </is>
      </c>
      <c r="I2887" s="41" t="inlineStr">
        <is>
          <t>2025FCST_V4</t>
        </is>
      </c>
      <c r="J2887" s="41" t="n">
        <v>2025</v>
      </c>
      <c r="K2887" s="41" t="inlineStr">
        <is>
          <t>EUR</t>
        </is>
      </c>
      <c r="L2887" s="42" t="n">
        <v>33446</v>
      </c>
    </row>
    <row r="2888">
      <c r="B2888" s="39" t="inlineStr">
        <is>
          <t>TUNON_LYO</t>
        </is>
      </c>
      <c r="C2888" s="40" t="inlineStr">
        <is>
          <t>BAC_TOU</t>
        </is>
      </c>
      <c r="D2888" s="40" t="inlineStr">
        <is>
          <t>B2</t>
        </is>
      </c>
      <c r="E2888" s="40" t="inlineStr">
        <is>
          <t>ALT</t>
        </is>
      </c>
      <c r="F2888" s="40" t="inlineStr">
        <is>
          <t>606800</t>
        </is>
      </c>
      <c r="G2888" s="39" t="inlineStr">
        <is>
          <t>Autres achats &amp; charges externes</t>
        </is>
      </c>
      <c r="H2888" s="40" t="inlineStr">
        <is>
          <t>COMPTABLE</t>
        </is>
      </c>
      <c r="I2888" s="41" t="inlineStr">
        <is>
          <t>2023ACT_VDEF</t>
        </is>
      </c>
      <c r="J2888" s="41" t="n">
        <v>2023</v>
      </c>
      <c r="K2888" s="41" t="inlineStr">
        <is>
          <t>EUR</t>
        </is>
      </c>
      <c r="L2888" s="42" t="n">
        <v>28580</v>
      </c>
    </row>
    <row r="2889">
      <c r="B2889" s="39" t="inlineStr">
        <is>
          <t>TUNON_LYO</t>
        </is>
      </c>
      <c r="C2889" s="40" t="inlineStr">
        <is>
          <t>BAC_TOU</t>
        </is>
      </c>
      <c r="D2889" s="40" t="inlineStr">
        <is>
          <t>B2</t>
        </is>
      </c>
      <c r="E2889" s="40" t="inlineStr">
        <is>
          <t>ALT</t>
        </is>
      </c>
      <c r="F2889" s="40" t="inlineStr">
        <is>
          <t>606800</t>
        </is>
      </c>
      <c r="G2889" s="39" t="inlineStr">
        <is>
          <t>Autres achats &amp; charges externes</t>
        </is>
      </c>
      <c r="H2889" s="40" t="inlineStr">
        <is>
          <t>COMPTABLE</t>
        </is>
      </c>
      <c r="I2889" s="41" t="inlineStr">
        <is>
          <t>2024ACT_VDEF</t>
        </is>
      </c>
      <c r="J2889" s="41" t="n">
        <v>2024</v>
      </c>
      <c r="K2889" s="41" t="inlineStr">
        <is>
          <t>EUR</t>
        </is>
      </c>
      <c r="L2889" s="42" t="n">
        <v>30168</v>
      </c>
    </row>
    <row r="2890">
      <c r="B2890" s="39" t="inlineStr">
        <is>
          <t>TUNON_LYO</t>
        </is>
      </c>
      <c r="C2890" s="40" t="inlineStr">
        <is>
          <t>BAC_TOU</t>
        </is>
      </c>
      <c r="D2890" s="40" t="inlineStr">
        <is>
          <t>B2</t>
        </is>
      </c>
      <c r="E2890" s="40" t="inlineStr">
        <is>
          <t>ALT</t>
        </is>
      </c>
      <c r="F2890" s="40" t="inlineStr">
        <is>
          <t>606800</t>
        </is>
      </c>
      <c r="G2890" s="39" t="inlineStr">
        <is>
          <t>Autres achats &amp; charges externes</t>
        </is>
      </c>
      <c r="H2890" s="40" t="inlineStr">
        <is>
          <t>COMPTABLE</t>
        </is>
      </c>
      <c r="I2890" s="41" t="inlineStr">
        <is>
          <t>2025FCST_V4</t>
        </is>
      </c>
      <c r="J2890" s="41" t="n">
        <v>2025</v>
      </c>
      <c r="K2890" s="41" t="inlineStr">
        <is>
          <t>EUR</t>
        </is>
      </c>
      <c r="L2890" s="42" t="n">
        <v>31756</v>
      </c>
    </row>
    <row r="2891">
      <c r="B2891" s="39" t="inlineStr">
        <is>
          <t>TUNON_LYO</t>
        </is>
      </c>
      <c r="C2891" s="40" t="inlineStr">
        <is>
          <t>BAC_TOU</t>
        </is>
      </c>
      <c r="D2891" s="40" t="inlineStr">
        <is>
          <t>B2</t>
        </is>
      </c>
      <c r="E2891" s="40" t="inlineStr">
        <is>
          <t>ALT</t>
        </is>
      </c>
      <c r="F2891" s="40" t="inlineStr">
        <is>
          <t>681100</t>
        </is>
      </c>
      <c r="G2891" s="39" t="inlineStr">
        <is>
          <t>Dotations aux amortissements</t>
        </is>
      </c>
      <c r="H2891" s="40" t="inlineStr">
        <is>
          <t>COMPTABLE</t>
        </is>
      </c>
      <c r="I2891" s="41" t="inlineStr">
        <is>
          <t>2023ACT_VDEF</t>
        </is>
      </c>
      <c r="J2891" s="41" t="n">
        <v>2023</v>
      </c>
      <c r="K2891" s="41" t="inlineStr">
        <is>
          <t>EUR</t>
        </is>
      </c>
      <c r="L2891" s="42" t="n">
        <v>18000</v>
      </c>
    </row>
    <row r="2892">
      <c r="B2892" s="39" t="inlineStr">
        <is>
          <t>TUNON_LYO</t>
        </is>
      </c>
      <c r="C2892" s="40" t="inlineStr">
        <is>
          <t>BAC_TOU</t>
        </is>
      </c>
      <c r="D2892" s="40" t="inlineStr">
        <is>
          <t>B2</t>
        </is>
      </c>
      <c r="E2892" s="40" t="inlineStr">
        <is>
          <t>ALT</t>
        </is>
      </c>
      <c r="F2892" s="40" t="inlineStr">
        <is>
          <t>681100</t>
        </is>
      </c>
      <c r="G2892" s="39" t="inlineStr">
        <is>
          <t>Dotations aux amortissements</t>
        </is>
      </c>
      <c r="H2892" s="40" t="inlineStr">
        <is>
          <t>COMPTABLE</t>
        </is>
      </c>
      <c r="I2892" s="41" t="inlineStr">
        <is>
          <t>2024ACT_VDEF</t>
        </is>
      </c>
      <c r="J2892" s="41" t="n">
        <v>2024</v>
      </c>
      <c r="K2892" s="41" t="inlineStr">
        <is>
          <t>EUR</t>
        </is>
      </c>
      <c r="L2892" s="42" t="n">
        <v>19000</v>
      </c>
    </row>
    <row r="2893">
      <c r="B2893" s="39" t="inlineStr">
        <is>
          <t>TUNON_LYO</t>
        </is>
      </c>
      <c r="C2893" s="40" t="inlineStr">
        <is>
          <t>BAC_TOU</t>
        </is>
      </c>
      <c r="D2893" s="40" t="inlineStr">
        <is>
          <t>B2</t>
        </is>
      </c>
      <c r="E2893" s="40" t="inlineStr">
        <is>
          <t>ALT</t>
        </is>
      </c>
      <c r="F2893" s="40" t="inlineStr">
        <is>
          <t>681100</t>
        </is>
      </c>
      <c r="G2893" s="39" t="inlineStr">
        <is>
          <t>Dotations aux amortissements</t>
        </is>
      </c>
      <c r="H2893" s="40" t="inlineStr">
        <is>
          <t>COMPTABLE</t>
        </is>
      </c>
      <c r="I2893" s="41" t="inlineStr">
        <is>
          <t>2025FCST_V4</t>
        </is>
      </c>
      <c r="J2893" s="41" t="n">
        <v>2025</v>
      </c>
      <c r="K2893" s="41" t="inlineStr">
        <is>
          <t>EUR</t>
        </is>
      </c>
      <c r="L2893" s="42" t="n">
        <v>20000</v>
      </c>
    </row>
    <row r="2894">
      <c r="B2894" s="39" t="inlineStr">
        <is>
          <t>TUNON_LYO</t>
        </is>
      </c>
      <c r="C2894" s="40" t="inlineStr">
        <is>
          <t>BAC_TOU</t>
        </is>
      </c>
      <c r="D2894" s="40" t="inlineStr">
        <is>
          <t>B2</t>
        </is>
      </c>
      <c r="E2894" s="40" t="inlineStr">
        <is>
          <t>ALT</t>
        </is>
      </c>
      <c r="F2894" s="40" t="inlineStr">
        <is>
          <t>STA_EFF</t>
        </is>
      </c>
      <c r="G2894" s="39" t="inlineStr">
        <is>
          <t>Effectif inscrit</t>
        </is>
      </c>
      <c r="H2894" s="40" t="inlineStr">
        <is>
          <t>TECHNIQUE</t>
        </is>
      </c>
      <c r="I2894" s="41" t="inlineStr">
        <is>
          <t>2023ACT_VDEF</t>
        </is>
      </c>
      <c r="J2894" s="41" t="n">
        <v>2023</v>
      </c>
      <c r="K2894" s="41" t="inlineStr">
        <is>
          <t>NB</t>
        </is>
      </c>
      <c r="L2894" s="43" t="n">
        <v>31</v>
      </c>
    </row>
    <row r="2895">
      <c r="B2895" s="39" t="inlineStr">
        <is>
          <t>TUNON_LYO</t>
        </is>
      </c>
      <c r="C2895" s="40" t="inlineStr">
        <is>
          <t>BAC_TOU</t>
        </is>
      </c>
      <c r="D2895" s="40" t="inlineStr">
        <is>
          <t>B2</t>
        </is>
      </c>
      <c r="E2895" s="40" t="inlineStr">
        <is>
          <t>ALT</t>
        </is>
      </c>
      <c r="F2895" s="40" t="inlineStr">
        <is>
          <t>STA_EFF</t>
        </is>
      </c>
      <c r="G2895" s="39" t="inlineStr">
        <is>
          <t>Effectif inscrit</t>
        </is>
      </c>
      <c r="H2895" s="40" t="inlineStr">
        <is>
          <t>TECHNIQUE</t>
        </is>
      </c>
      <c r="I2895" s="41" t="inlineStr">
        <is>
          <t>2024ACT_VDEF</t>
        </is>
      </c>
      <c r="J2895" s="41" t="n">
        <v>2024</v>
      </c>
      <c r="K2895" s="41" t="inlineStr">
        <is>
          <t>NB</t>
        </is>
      </c>
      <c r="L2895" s="43" t="n">
        <v>32</v>
      </c>
    </row>
    <row r="2896">
      <c r="B2896" s="39" t="inlineStr">
        <is>
          <t>TUNON_LYO</t>
        </is>
      </c>
      <c r="C2896" s="40" t="inlineStr">
        <is>
          <t>BAC_TOU</t>
        </is>
      </c>
      <c r="D2896" s="40" t="inlineStr">
        <is>
          <t>B2</t>
        </is>
      </c>
      <c r="E2896" s="40" t="inlineStr">
        <is>
          <t>ALT</t>
        </is>
      </c>
      <c r="F2896" s="40" t="inlineStr">
        <is>
          <t>STA_EFF</t>
        </is>
      </c>
      <c r="G2896" s="39" t="inlineStr">
        <is>
          <t>Effectif inscrit</t>
        </is>
      </c>
      <c r="H2896" s="40" t="inlineStr">
        <is>
          <t>TECHNIQUE</t>
        </is>
      </c>
      <c r="I2896" s="41" t="inlineStr">
        <is>
          <t>2025FCST_V4</t>
        </is>
      </c>
      <c r="J2896" s="41" t="n">
        <v>2025</v>
      </c>
      <c r="K2896" s="41" t="inlineStr">
        <is>
          <t>NB</t>
        </is>
      </c>
      <c r="L2896" s="43" t="n">
        <v>34</v>
      </c>
    </row>
    <row r="2897">
      <c r="B2897" s="39" t="inlineStr">
        <is>
          <t>TUNON_LYO</t>
        </is>
      </c>
      <c r="C2897" s="40" t="inlineStr">
        <is>
          <t>BAC_TOU</t>
        </is>
      </c>
      <c r="D2897" s="40" t="inlineStr">
        <is>
          <t>B2</t>
        </is>
      </c>
      <c r="E2897" s="40" t="inlineStr">
        <is>
          <t>ALT</t>
        </is>
      </c>
      <c r="F2897" s="40" t="inlineStr">
        <is>
          <t>STA_REINS</t>
        </is>
      </c>
      <c r="G2897" s="39" t="inlineStr">
        <is>
          <t>Réinscrits</t>
        </is>
      </c>
      <c r="H2897" s="40" t="inlineStr">
        <is>
          <t>TECHNIQUE</t>
        </is>
      </c>
      <c r="I2897" s="41" t="inlineStr">
        <is>
          <t>2023ACT_VDEF</t>
        </is>
      </c>
      <c r="J2897" s="41" t="n">
        <v>2023</v>
      </c>
      <c r="K2897" s="41" t="inlineStr">
        <is>
          <t>NB</t>
        </is>
      </c>
      <c r="L2897" s="43" t="n">
        <v>31</v>
      </c>
    </row>
    <row r="2898">
      <c r="B2898" s="39" t="inlineStr">
        <is>
          <t>TUNON_LYO</t>
        </is>
      </c>
      <c r="C2898" s="40" t="inlineStr">
        <is>
          <t>BAC_TOU</t>
        </is>
      </c>
      <c r="D2898" s="40" t="inlineStr">
        <is>
          <t>B2</t>
        </is>
      </c>
      <c r="E2898" s="40" t="inlineStr">
        <is>
          <t>ALT</t>
        </is>
      </c>
      <c r="F2898" s="40" t="inlineStr">
        <is>
          <t>STA_REINS</t>
        </is>
      </c>
      <c r="G2898" s="39" t="inlineStr">
        <is>
          <t>Réinscrits</t>
        </is>
      </c>
      <c r="H2898" s="40" t="inlineStr">
        <is>
          <t>TECHNIQUE</t>
        </is>
      </c>
      <c r="I2898" s="41" t="inlineStr">
        <is>
          <t>2024ACT_VDEF</t>
        </is>
      </c>
      <c r="J2898" s="41" t="n">
        <v>2024</v>
      </c>
      <c r="K2898" s="41" t="inlineStr">
        <is>
          <t>NB</t>
        </is>
      </c>
      <c r="L2898" s="43" t="n">
        <v>32</v>
      </c>
    </row>
    <row r="2899">
      <c r="B2899" s="39" t="inlineStr">
        <is>
          <t>TUNON_LYO</t>
        </is>
      </c>
      <c r="C2899" s="40" t="inlineStr">
        <is>
          <t>BAC_TOU</t>
        </is>
      </c>
      <c r="D2899" s="40" t="inlineStr">
        <is>
          <t>B2</t>
        </is>
      </c>
      <c r="E2899" s="40" t="inlineStr">
        <is>
          <t>ALT</t>
        </is>
      </c>
      <c r="F2899" s="40" t="inlineStr">
        <is>
          <t>STA_REINS</t>
        </is>
      </c>
      <c r="G2899" s="39" t="inlineStr">
        <is>
          <t>Réinscrits</t>
        </is>
      </c>
      <c r="H2899" s="40" t="inlineStr">
        <is>
          <t>TECHNIQUE</t>
        </is>
      </c>
      <c r="I2899" s="41" t="inlineStr">
        <is>
          <t>2025FCST_V4</t>
        </is>
      </c>
      <c r="J2899" s="41" t="n">
        <v>2025</v>
      </c>
      <c r="K2899" s="41" t="inlineStr">
        <is>
          <t>NB</t>
        </is>
      </c>
      <c r="L2899" s="43" t="n">
        <v>34</v>
      </c>
    </row>
    <row r="2900">
      <c r="B2900" s="39" t="inlineStr">
        <is>
          <t>TUNON_LYO</t>
        </is>
      </c>
      <c r="C2900" s="40" t="inlineStr">
        <is>
          <t>BAC_TOU</t>
        </is>
      </c>
      <c r="D2900" s="40" t="inlineStr">
        <is>
          <t>B2</t>
        </is>
      </c>
      <c r="E2900" s="40" t="inlineStr">
        <is>
          <t>ALT</t>
        </is>
      </c>
      <c r="F2900" s="40" t="inlineStr">
        <is>
          <t>STA_CLASS</t>
        </is>
      </c>
      <c r="G2900" s="39" t="inlineStr">
        <is>
          <t>Nombre de classes</t>
        </is>
      </c>
      <c r="H2900" s="40" t="inlineStr">
        <is>
          <t>TECHNIQUE</t>
        </is>
      </c>
      <c r="I2900" s="41" t="inlineStr">
        <is>
          <t>2023ACT_VDEF</t>
        </is>
      </c>
      <c r="J2900" s="41" t="n">
        <v>2023</v>
      </c>
      <c r="K2900" s="41" t="inlineStr">
        <is>
          <t>NB</t>
        </is>
      </c>
      <c r="L2900" s="43" t="n">
        <v>2</v>
      </c>
    </row>
    <row r="2901">
      <c r="B2901" s="39" t="inlineStr">
        <is>
          <t>TUNON_LYO</t>
        </is>
      </c>
      <c r="C2901" s="40" t="inlineStr">
        <is>
          <t>BAC_TOU</t>
        </is>
      </c>
      <c r="D2901" s="40" t="inlineStr">
        <is>
          <t>B2</t>
        </is>
      </c>
      <c r="E2901" s="40" t="inlineStr">
        <is>
          <t>ALT</t>
        </is>
      </c>
      <c r="F2901" s="40" t="inlineStr">
        <is>
          <t>STA_CLASS</t>
        </is>
      </c>
      <c r="G2901" s="39" t="inlineStr">
        <is>
          <t>Nombre de classes</t>
        </is>
      </c>
      <c r="H2901" s="40" t="inlineStr">
        <is>
          <t>TECHNIQUE</t>
        </is>
      </c>
      <c r="I2901" s="41" t="inlineStr">
        <is>
          <t>2024ACT_VDEF</t>
        </is>
      </c>
      <c r="J2901" s="41" t="n">
        <v>2024</v>
      </c>
      <c r="K2901" s="41" t="inlineStr">
        <is>
          <t>NB</t>
        </is>
      </c>
      <c r="L2901" s="43" t="n">
        <v>2</v>
      </c>
    </row>
    <row r="2902">
      <c r="B2902" s="39" t="inlineStr">
        <is>
          <t>TUNON_LYO</t>
        </is>
      </c>
      <c r="C2902" s="40" t="inlineStr">
        <is>
          <t>BAC_TOU</t>
        </is>
      </c>
      <c r="D2902" s="40" t="inlineStr">
        <is>
          <t>B2</t>
        </is>
      </c>
      <c r="E2902" s="40" t="inlineStr">
        <is>
          <t>ALT</t>
        </is>
      </c>
      <c r="F2902" s="40" t="inlineStr">
        <is>
          <t>STA_CLASS</t>
        </is>
      </c>
      <c r="G2902" s="39" t="inlineStr">
        <is>
          <t>Nombre de classes</t>
        </is>
      </c>
      <c r="H2902" s="40" t="inlineStr">
        <is>
          <t>TECHNIQUE</t>
        </is>
      </c>
      <c r="I2902" s="41" t="inlineStr">
        <is>
          <t>2025FCST_V4</t>
        </is>
      </c>
      <c r="J2902" s="41" t="n">
        <v>2025</v>
      </c>
      <c r="K2902" s="41" t="inlineStr">
        <is>
          <t>NB</t>
        </is>
      </c>
      <c r="L2902" s="43" t="n">
        <v>2</v>
      </c>
    </row>
    <row r="2903">
      <c r="B2903" s="39" t="inlineStr">
        <is>
          <t>TUNON_LYO</t>
        </is>
      </c>
      <c r="C2903" s="40" t="inlineStr">
        <is>
          <t>BAC_TOU</t>
        </is>
      </c>
      <c r="D2903" s="40" t="inlineStr">
        <is>
          <t>B2</t>
        </is>
      </c>
      <c r="E2903" s="40" t="inlineStr">
        <is>
          <t>ALT</t>
        </is>
      </c>
      <c r="F2903" s="40" t="inlineStr">
        <is>
          <t>STA_HEURE</t>
        </is>
      </c>
      <c r="G2903" s="39" t="inlineStr">
        <is>
          <t>Heures d'enseignement</t>
        </is>
      </c>
      <c r="H2903" s="40" t="inlineStr">
        <is>
          <t>TECHNIQUE</t>
        </is>
      </c>
      <c r="I2903" s="41" t="inlineStr">
        <is>
          <t>2023ACT_VDEF</t>
        </is>
      </c>
      <c r="J2903" s="41" t="n">
        <v>2023</v>
      </c>
      <c r="K2903" s="41" t="inlineStr">
        <is>
          <t>NB</t>
        </is>
      </c>
      <c r="L2903" s="43" t="n">
        <v>1008</v>
      </c>
    </row>
    <row r="2904">
      <c r="B2904" s="39" t="inlineStr">
        <is>
          <t>TUNON_LYO</t>
        </is>
      </c>
      <c r="C2904" s="40" t="inlineStr">
        <is>
          <t>BAC_TOU</t>
        </is>
      </c>
      <c r="D2904" s="40" t="inlineStr">
        <is>
          <t>B2</t>
        </is>
      </c>
      <c r="E2904" s="40" t="inlineStr">
        <is>
          <t>ALT</t>
        </is>
      </c>
      <c r="F2904" s="40" t="inlineStr">
        <is>
          <t>STA_HEURE</t>
        </is>
      </c>
      <c r="G2904" s="39" t="inlineStr">
        <is>
          <t>Heures d'enseignement</t>
        </is>
      </c>
      <c r="H2904" s="40" t="inlineStr">
        <is>
          <t>TECHNIQUE</t>
        </is>
      </c>
      <c r="I2904" s="41" t="inlineStr">
        <is>
          <t>2024ACT_VDEF</t>
        </is>
      </c>
      <c r="J2904" s="41" t="n">
        <v>2024</v>
      </c>
      <c r="K2904" s="41" t="inlineStr">
        <is>
          <t>NB</t>
        </is>
      </c>
      <c r="L2904" s="43" t="n">
        <v>1064</v>
      </c>
    </row>
    <row r="2905">
      <c r="B2905" s="39" t="inlineStr">
        <is>
          <t>TUNON_LYO</t>
        </is>
      </c>
      <c r="C2905" s="40" t="inlineStr">
        <is>
          <t>BAC_TOU</t>
        </is>
      </c>
      <c r="D2905" s="40" t="inlineStr">
        <is>
          <t>B2</t>
        </is>
      </c>
      <c r="E2905" s="40" t="inlineStr">
        <is>
          <t>ALT</t>
        </is>
      </c>
      <c r="F2905" s="40" t="inlineStr">
        <is>
          <t>STA_HEURE</t>
        </is>
      </c>
      <c r="G2905" s="39" t="inlineStr">
        <is>
          <t>Heures d'enseignement</t>
        </is>
      </c>
      <c r="H2905" s="40" t="inlineStr">
        <is>
          <t>TECHNIQUE</t>
        </is>
      </c>
      <c r="I2905" s="41" t="inlineStr">
        <is>
          <t>2025FCST_V4</t>
        </is>
      </c>
      <c r="J2905" s="41" t="n">
        <v>2025</v>
      </c>
      <c r="K2905" s="41" t="inlineStr">
        <is>
          <t>NB</t>
        </is>
      </c>
      <c r="L2905" s="43" t="n">
        <v>1120</v>
      </c>
    </row>
    <row r="2906">
      <c r="B2906" s="39" t="inlineStr">
        <is>
          <t>TUNON_LYO</t>
        </is>
      </c>
      <c r="C2906" s="40" t="inlineStr">
        <is>
          <t>BAC_TOU</t>
        </is>
      </c>
      <c r="D2906" s="40" t="inlineStr">
        <is>
          <t>B2</t>
        </is>
      </c>
      <c r="E2906" s="40" t="inlineStr">
        <is>
          <t>ALT</t>
        </is>
      </c>
      <c r="F2906" s="40" t="inlineStr">
        <is>
          <t>STA_CAPA</t>
        </is>
      </c>
      <c r="G2906" s="39" t="inlineStr">
        <is>
          <t>Capacité par classe</t>
        </is>
      </c>
      <c r="H2906" s="40" t="inlineStr">
        <is>
          <t>TECHNIQUE</t>
        </is>
      </c>
      <c r="I2906" s="41" t="inlineStr">
        <is>
          <t>2023ACT_VDEF</t>
        </is>
      </c>
      <c r="J2906" s="41" t="n">
        <v>2023</v>
      </c>
      <c r="K2906" s="41" t="inlineStr">
        <is>
          <t>NB</t>
        </is>
      </c>
      <c r="L2906" s="43" t="n">
        <v>32</v>
      </c>
    </row>
    <row r="2907">
      <c r="B2907" s="39" t="inlineStr">
        <is>
          <t>TUNON_LYO</t>
        </is>
      </c>
      <c r="C2907" s="40" t="inlineStr">
        <is>
          <t>BAC_TOU</t>
        </is>
      </c>
      <c r="D2907" s="40" t="inlineStr">
        <is>
          <t>B2</t>
        </is>
      </c>
      <c r="E2907" s="40" t="inlineStr">
        <is>
          <t>ALT</t>
        </is>
      </c>
      <c r="F2907" s="40" t="inlineStr">
        <is>
          <t>STA_CAPA</t>
        </is>
      </c>
      <c r="G2907" s="39" t="inlineStr">
        <is>
          <t>Capacité par classe</t>
        </is>
      </c>
      <c r="H2907" s="40" t="inlineStr">
        <is>
          <t>TECHNIQUE</t>
        </is>
      </c>
      <c r="I2907" s="41" t="inlineStr">
        <is>
          <t>2024ACT_VDEF</t>
        </is>
      </c>
      <c r="J2907" s="41" t="n">
        <v>2024</v>
      </c>
      <c r="K2907" s="41" t="inlineStr">
        <is>
          <t>NB</t>
        </is>
      </c>
      <c r="L2907" s="43" t="n">
        <v>32</v>
      </c>
    </row>
    <row r="2908">
      <c r="B2908" s="39" t="inlineStr">
        <is>
          <t>TUNON_LYO</t>
        </is>
      </c>
      <c r="C2908" s="40" t="inlineStr">
        <is>
          <t>BAC_TOU</t>
        </is>
      </c>
      <c r="D2908" s="40" t="inlineStr">
        <is>
          <t>B2</t>
        </is>
      </c>
      <c r="E2908" s="40" t="inlineStr">
        <is>
          <t>ALT</t>
        </is>
      </c>
      <c r="F2908" s="40" t="inlineStr">
        <is>
          <t>STA_CAPA</t>
        </is>
      </c>
      <c r="G2908" s="39" t="inlineStr">
        <is>
          <t>Capacité par classe</t>
        </is>
      </c>
      <c r="H2908" s="40" t="inlineStr">
        <is>
          <t>TECHNIQUE</t>
        </is>
      </c>
      <c r="I2908" s="41" t="inlineStr">
        <is>
          <t>2025FCST_V4</t>
        </is>
      </c>
      <c r="J2908" s="41" t="n">
        <v>2025</v>
      </c>
      <c r="K2908" s="41" t="inlineStr">
        <is>
          <t>NB</t>
        </is>
      </c>
      <c r="L2908" s="43" t="n">
        <v>32</v>
      </c>
    </row>
    <row r="2909">
      <c r="B2909" s="39" t="inlineStr">
        <is>
          <t>TUNON_LYO</t>
        </is>
      </c>
      <c r="C2909" s="40" t="inlineStr">
        <is>
          <t>BAC_TOU</t>
        </is>
      </c>
      <c r="D2909" s="40" t="inlineStr">
        <is>
          <t>B2</t>
        </is>
      </c>
      <c r="E2909" s="40" t="inlineStr">
        <is>
          <t>ALT</t>
        </is>
      </c>
      <c r="F2909" s="40" t="inlineStr">
        <is>
          <t>DRV_PASS</t>
        </is>
      </c>
      <c r="G2909" s="39" t="inlineStr">
        <is>
          <t>Taux de passage (réinscription)</t>
        </is>
      </c>
      <c r="H2909" s="40" t="inlineStr">
        <is>
          <t>TECHNIQUE</t>
        </is>
      </c>
      <c r="I2909" s="41" t="inlineStr">
        <is>
          <t>2023ACT_VDEF</t>
        </is>
      </c>
      <c r="J2909" s="41" t="n">
        <v>2023</v>
      </c>
      <c r="K2909" s="41" t="inlineStr">
        <is>
          <t>PCT</t>
        </is>
      </c>
      <c r="L2909" s="44" t="n">
        <v>0.93</v>
      </c>
    </row>
    <row r="2910">
      <c r="B2910" s="39" t="inlineStr">
        <is>
          <t>TUNON_LYO</t>
        </is>
      </c>
      <c r="C2910" s="40" t="inlineStr">
        <is>
          <t>BAC_TOU</t>
        </is>
      </c>
      <c r="D2910" s="40" t="inlineStr">
        <is>
          <t>B2</t>
        </is>
      </c>
      <c r="E2910" s="40" t="inlineStr">
        <is>
          <t>ALT</t>
        </is>
      </c>
      <c r="F2910" s="40" t="inlineStr">
        <is>
          <t>DRV_PASS</t>
        </is>
      </c>
      <c r="G2910" s="39" t="inlineStr">
        <is>
          <t>Taux de passage (réinscription)</t>
        </is>
      </c>
      <c r="H2910" s="40" t="inlineStr">
        <is>
          <t>TECHNIQUE</t>
        </is>
      </c>
      <c r="I2910" s="41" t="inlineStr">
        <is>
          <t>2024ACT_VDEF</t>
        </is>
      </c>
      <c r="J2910" s="41" t="n">
        <v>2024</v>
      </c>
      <c r="K2910" s="41" t="inlineStr">
        <is>
          <t>PCT</t>
        </is>
      </c>
      <c r="L2910" s="44" t="n">
        <v>0.93</v>
      </c>
    </row>
    <row r="2911">
      <c r="B2911" s="39" t="inlineStr">
        <is>
          <t>TUNON_LYO</t>
        </is>
      </c>
      <c r="C2911" s="40" t="inlineStr">
        <is>
          <t>BAC_TOU</t>
        </is>
      </c>
      <c r="D2911" s="40" t="inlineStr">
        <is>
          <t>B2</t>
        </is>
      </c>
      <c r="E2911" s="40" t="inlineStr">
        <is>
          <t>ALT</t>
        </is>
      </c>
      <c r="F2911" s="40" t="inlineStr">
        <is>
          <t>DRV_PASS</t>
        </is>
      </c>
      <c r="G2911" s="39" t="inlineStr">
        <is>
          <t>Taux de passage (réinscription)</t>
        </is>
      </c>
      <c r="H2911" s="40" t="inlineStr">
        <is>
          <t>TECHNIQUE</t>
        </is>
      </c>
      <c r="I2911" s="41" t="inlineStr">
        <is>
          <t>2025FCST_V4</t>
        </is>
      </c>
      <c r="J2911" s="41" t="n">
        <v>2025</v>
      </c>
      <c r="K2911" s="41" t="inlineStr">
        <is>
          <t>PCT</t>
        </is>
      </c>
      <c r="L2911" s="44" t="n">
        <v>0.93</v>
      </c>
    </row>
    <row r="2912">
      <c r="B2912" s="39" t="inlineStr">
        <is>
          <t>TUNON_LYO</t>
        </is>
      </c>
      <c r="C2912" s="40" t="inlineStr">
        <is>
          <t>BAC_TOU</t>
        </is>
      </c>
      <c r="D2912" s="40" t="inlineStr">
        <is>
          <t>B2</t>
        </is>
      </c>
      <c r="E2912" s="40" t="inlineStr">
        <is>
          <t>ALT</t>
        </is>
      </c>
      <c r="F2912" s="40" t="inlineStr">
        <is>
          <t>PRX_TARIF</t>
        </is>
      </c>
      <c r="G2912" s="39" t="inlineStr">
        <is>
          <t>Tarif moyen scolarité</t>
        </is>
      </c>
      <c r="H2912" s="40" t="inlineStr">
        <is>
          <t>TECHNIQUE</t>
        </is>
      </c>
      <c r="I2912" s="41" t="inlineStr">
        <is>
          <t>2023ACT_VDEF</t>
        </is>
      </c>
      <c r="J2912" s="41" t="n">
        <v>2023</v>
      </c>
      <c r="K2912" s="41" t="inlineStr">
        <is>
          <t>EUR</t>
        </is>
      </c>
      <c r="L2912" s="42" t="n">
        <v>8000</v>
      </c>
    </row>
    <row r="2913">
      <c r="B2913" s="39" t="inlineStr">
        <is>
          <t>TUNON_LYO</t>
        </is>
      </c>
      <c r="C2913" s="40" t="inlineStr">
        <is>
          <t>BAC_TOU</t>
        </is>
      </c>
      <c r="D2913" s="40" t="inlineStr">
        <is>
          <t>B2</t>
        </is>
      </c>
      <c r="E2913" s="40" t="inlineStr">
        <is>
          <t>ALT</t>
        </is>
      </c>
      <c r="F2913" s="40" t="inlineStr">
        <is>
          <t>PRX_TARIF</t>
        </is>
      </c>
      <c r="G2913" s="39" t="inlineStr">
        <is>
          <t>Tarif moyen scolarité</t>
        </is>
      </c>
      <c r="H2913" s="40" t="inlineStr">
        <is>
          <t>TECHNIQUE</t>
        </is>
      </c>
      <c r="I2913" s="41" t="inlineStr">
        <is>
          <t>2024ACT_VDEF</t>
        </is>
      </c>
      <c r="J2913" s="41" t="n">
        <v>2024</v>
      </c>
      <c r="K2913" s="41" t="inlineStr">
        <is>
          <t>EUR</t>
        </is>
      </c>
      <c r="L2913" s="42" t="n">
        <v>8000</v>
      </c>
    </row>
    <row r="2914">
      <c r="B2914" s="39" t="inlineStr">
        <is>
          <t>TUNON_LYO</t>
        </is>
      </c>
      <c r="C2914" s="40" t="inlineStr">
        <is>
          <t>BAC_TOU</t>
        </is>
      </c>
      <c r="D2914" s="40" t="inlineStr">
        <is>
          <t>B2</t>
        </is>
      </c>
      <c r="E2914" s="40" t="inlineStr">
        <is>
          <t>ALT</t>
        </is>
      </c>
      <c r="F2914" s="40" t="inlineStr">
        <is>
          <t>PRX_TARIF</t>
        </is>
      </c>
      <c r="G2914" s="39" t="inlineStr">
        <is>
          <t>Tarif moyen scolarité</t>
        </is>
      </c>
      <c r="H2914" s="40" t="inlineStr">
        <is>
          <t>TECHNIQUE</t>
        </is>
      </c>
      <c r="I2914" s="41" t="inlineStr">
        <is>
          <t>2025FCST_V4</t>
        </is>
      </c>
      <c r="J2914" s="41" t="n">
        <v>2025</v>
      </c>
      <c r="K2914" s="41" t="inlineStr">
        <is>
          <t>EUR</t>
        </is>
      </c>
      <c r="L2914" s="42" t="n">
        <v>8000</v>
      </c>
    </row>
    <row r="2915">
      <c r="B2915" s="39" t="inlineStr">
        <is>
          <t>TUNON_LYO</t>
        </is>
      </c>
      <c r="C2915" s="40" t="inlineStr">
        <is>
          <t>BAC_TOU</t>
        </is>
      </c>
      <c r="D2915" s="40" t="inlineStr">
        <is>
          <t>B3</t>
        </is>
      </c>
      <c r="E2915" s="40" t="inlineStr">
        <is>
          <t>ALT</t>
        </is>
      </c>
      <c r="F2915" s="40" t="inlineStr">
        <is>
          <t>706100</t>
        </is>
      </c>
      <c r="G2915" s="39" t="inlineStr">
        <is>
          <t>Droits de scolarité</t>
        </is>
      </c>
      <c r="H2915" s="40" t="inlineStr">
        <is>
          <t>COMPTABLE</t>
        </is>
      </c>
      <c r="I2915" s="41" t="inlineStr">
        <is>
          <t>2023ACT_VDEF</t>
        </is>
      </c>
      <c r="J2915" s="41" t="n">
        <v>2023</v>
      </c>
      <c r="K2915" s="41" t="inlineStr">
        <is>
          <t>EUR</t>
        </is>
      </c>
      <c r="L2915" s="42" t="n">
        <v>216000</v>
      </c>
    </row>
    <row r="2916">
      <c r="B2916" s="39" t="inlineStr">
        <is>
          <t>TUNON_LYO</t>
        </is>
      </c>
      <c r="C2916" s="40" t="inlineStr">
        <is>
          <t>BAC_TOU</t>
        </is>
      </c>
      <c r="D2916" s="40" t="inlineStr">
        <is>
          <t>B3</t>
        </is>
      </c>
      <c r="E2916" s="40" t="inlineStr">
        <is>
          <t>ALT</t>
        </is>
      </c>
      <c r="F2916" s="40" t="inlineStr">
        <is>
          <t>706100</t>
        </is>
      </c>
      <c r="G2916" s="39" t="inlineStr">
        <is>
          <t>Droits de scolarité</t>
        </is>
      </c>
      <c r="H2916" s="40" t="inlineStr">
        <is>
          <t>COMPTABLE</t>
        </is>
      </c>
      <c r="I2916" s="41" t="inlineStr">
        <is>
          <t>2024ACT_VDEF</t>
        </is>
      </c>
      <c r="J2916" s="41" t="n">
        <v>2024</v>
      </c>
      <c r="K2916" s="41" t="inlineStr">
        <is>
          <t>EUR</t>
        </is>
      </c>
      <c r="L2916" s="42" t="n">
        <v>228000</v>
      </c>
    </row>
    <row r="2917">
      <c r="B2917" s="39" t="inlineStr">
        <is>
          <t>TUNON_LYO</t>
        </is>
      </c>
      <c r="C2917" s="40" t="inlineStr">
        <is>
          <t>BAC_TOU</t>
        </is>
      </c>
      <c r="D2917" s="40" t="inlineStr">
        <is>
          <t>B3</t>
        </is>
      </c>
      <c r="E2917" s="40" t="inlineStr">
        <is>
          <t>ALT</t>
        </is>
      </c>
      <c r="F2917" s="40" t="inlineStr">
        <is>
          <t>706100</t>
        </is>
      </c>
      <c r="G2917" s="39" t="inlineStr">
        <is>
          <t>Droits de scolarité</t>
        </is>
      </c>
      <c r="H2917" s="40" t="inlineStr">
        <is>
          <t>COMPTABLE</t>
        </is>
      </c>
      <c r="I2917" s="41" t="inlineStr">
        <is>
          <t>2025FCST_V4</t>
        </is>
      </c>
      <c r="J2917" s="41" t="n">
        <v>2025</v>
      </c>
      <c r="K2917" s="41" t="inlineStr">
        <is>
          <t>EUR</t>
        </is>
      </c>
      <c r="L2917" s="42" t="n">
        <v>240000</v>
      </c>
    </row>
    <row r="2918">
      <c r="B2918" s="39" t="inlineStr">
        <is>
          <t>TUNON_LYO</t>
        </is>
      </c>
      <c r="C2918" s="40" t="inlineStr">
        <is>
          <t>BAC_TOU</t>
        </is>
      </c>
      <c r="D2918" s="40" t="inlineStr">
        <is>
          <t>B3</t>
        </is>
      </c>
      <c r="E2918" s="40" t="inlineStr">
        <is>
          <t>ALT</t>
        </is>
      </c>
      <c r="F2918" s="40" t="inlineStr">
        <is>
          <t>604100</t>
        </is>
      </c>
      <c r="G2918" s="39" t="inlineStr">
        <is>
          <t>Vacations &amp; sous-traitance pédagogique</t>
        </is>
      </c>
      <c r="H2918" s="40" t="inlineStr">
        <is>
          <t>COMPTABLE</t>
        </is>
      </c>
      <c r="I2918" s="41" t="inlineStr">
        <is>
          <t>2023ACT_VDEF</t>
        </is>
      </c>
      <c r="J2918" s="41" t="n">
        <v>2023</v>
      </c>
      <c r="K2918" s="41" t="inlineStr">
        <is>
          <t>EUR</t>
        </is>
      </c>
      <c r="L2918" s="42" t="n">
        <v>26208</v>
      </c>
    </row>
    <row r="2919">
      <c r="B2919" s="39" t="inlineStr">
        <is>
          <t>TUNON_LYO</t>
        </is>
      </c>
      <c r="C2919" s="40" t="inlineStr">
        <is>
          <t>BAC_TOU</t>
        </is>
      </c>
      <c r="D2919" s="40" t="inlineStr">
        <is>
          <t>B3</t>
        </is>
      </c>
      <c r="E2919" s="40" t="inlineStr">
        <is>
          <t>ALT</t>
        </is>
      </c>
      <c r="F2919" s="40" t="inlineStr">
        <is>
          <t>604100</t>
        </is>
      </c>
      <c r="G2919" s="39" t="inlineStr">
        <is>
          <t>Vacations &amp; sous-traitance pédagogique</t>
        </is>
      </c>
      <c r="H2919" s="40" t="inlineStr">
        <is>
          <t>COMPTABLE</t>
        </is>
      </c>
      <c r="I2919" s="41" t="inlineStr">
        <is>
          <t>2024ACT_VDEF</t>
        </is>
      </c>
      <c r="J2919" s="41" t="n">
        <v>2024</v>
      </c>
      <c r="K2919" s="41" t="inlineStr">
        <is>
          <t>EUR</t>
        </is>
      </c>
      <c r="L2919" s="42" t="n">
        <v>27664</v>
      </c>
    </row>
    <row r="2920">
      <c r="B2920" s="39" t="inlineStr">
        <is>
          <t>TUNON_LYO</t>
        </is>
      </c>
      <c r="C2920" s="40" t="inlineStr">
        <is>
          <t>BAC_TOU</t>
        </is>
      </c>
      <c r="D2920" s="40" t="inlineStr">
        <is>
          <t>B3</t>
        </is>
      </c>
      <c r="E2920" s="40" t="inlineStr">
        <is>
          <t>ALT</t>
        </is>
      </c>
      <c r="F2920" s="40" t="inlineStr">
        <is>
          <t>604100</t>
        </is>
      </c>
      <c r="G2920" s="39" t="inlineStr">
        <is>
          <t>Vacations &amp; sous-traitance pédagogique</t>
        </is>
      </c>
      <c r="H2920" s="40" t="inlineStr">
        <is>
          <t>COMPTABLE</t>
        </is>
      </c>
      <c r="I2920" s="41" t="inlineStr">
        <is>
          <t>2025FCST_V4</t>
        </is>
      </c>
      <c r="J2920" s="41" t="n">
        <v>2025</v>
      </c>
      <c r="K2920" s="41" t="inlineStr">
        <is>
          <t>EUR</t>
        </is>
      </c>
      <c r="L2920" s="42" t="n">
        <v>29120</v>
      </c>
    </row>
    <row r="2921">
      <c r="B2921" s="39" t="inlineStr">
        <is>
          <t>TUNON_LYO</t>
        </is>
      </c>
      <c r="C2921" s="40" t="inlineStr">
        <is>
          <t>BAC_TOU</t>
        </is>
      </c>
      <c r="D2921" s="40" t="inlineStr">
        <is>
          <t>B3</t>
        </is>
      </c>
      <c r="E2921" s="40" t="inlineStr">
        <is>
          <t>ALT</t>
        </is>
      </c>
      <c r="F2921" s="40" t="inlineStr">
        <is>
          <t>606300</t>
        </is>
      </c>
      <c r="G2921" s="39" t="inlineStr">
        <is>
          <t>Fournitures &amp; ressources pédagogiques</t>
        </is>
      </c>
      <c r="H2921" s="40" t="inlineStr">
        <is>
          <t>COMPTABLE</t>
        </is>
      </c>
      <c r="I2921" s="41" t="inlineStr">
        <is>
          <t>2023ACT_VDEF</t>
        </is>
      </c>
      <c r="J2921" s="41" t="n">
        <v>2023</v>
      </c>
      <c r="K2921" s="41" t="inlineStr">
        <is>
          <t>EUR</t>
        </is>
      </c>
      <c r="L2921" s="42" t="n">
        <v>12150</v>
      </c>
    </row>
    <row r="2922">
      <c r="B2922" s="39" t="inlineStr">
        <is>
          <t>TUNON_LYO</t>
        </is>
      </c>
      <c r="C2922" s="40" t="inlineStr">
        <is>
          <t>BAC_TOU</t>
        </is>
      </c>
      <c r="D2922" s="40" t="inlineStr">
        <is>
          <t>B3</t>
        </is>
      </c>
      <c r="E2922" s="40" t="inlineStr">
        <is>
          <t>ALT</t>
        </is>
      </c>
      <c r="F2922" s="40" t="inlineStr">
        <is>
          <t>606300</t>
        </is>
      </c>
      <c r="G2922" s="39" t="inlineStr">
        <is>
          <t>Fournitures &amp; ressources pédagogiques</t>
        </is>
      </c>
      <c r="H2922" s="40" t="inlineStr">
        <is>
          <t>COMPTABLE</t>
        </is>
      </c>
      <c r="I2922" s="41" t="inlineStr">
        <is>
          <t>2024ACT_VDEF</t>
        </is>
      </c>
      <c r="J2922" s="41" t="n">
        <v>2024</v>
      </c>
      <c r="K2922" s="41" t="inlineStr">
        <is>
          <t>EUR</t>
        </is>
      </c>
      <c r="L2922" s="42" t="n">
        <v>12825</v>
      </c>
    </row>
    <row r="2923">
      <c r="B2923" s="39" t="inlineStr">
        <is>
          <t>TUNON_LYO</t>
        </is>
      </c>
      <c r="C2923" s="40" t="inlineStr">
        <is>
          <t>BAC_TOU</t>
        </is>
      </c>
      <c r="D2923" s="40" t="inlineStr">
        <is>
          <t>B3</t>
        </is>
      </c>
      <c r="E2923" s="40" t="inlineStr">
        <is>
          <t>ALT</t>
        </is>
      </c>
      <c r="F2923" s="40" t="inlineStr">
        <is>
          <t>606300</t>
        </is>
      </c>
      <c r="G2923" s="39" t="inlineStr">
        <is>
          <t>Fournitures &amp; ressources pédagogiques</t>
        </is>
      </c>
      <c r="H2923" s="40" t="inlineStr">
        <is>
          <t>COMPTABLE</t>
        </is>
      </c>
      <c r="I2923" s="41" t="inlineStr">
        <is>
          <t>2025FCST_V4</t>
        </is>
      </c>
      <c r="J2923" s="41" t="n">
        <v>2025</v>
      </c>
      <c r="K2923" s="41" t="inlineStr">
        <is>
          <t>EUR</t>
        </is>
      </c>
      <c r="L2923" s="42" t="n">
        <v>13500</v>
      </c>
    </row>
    <row r="2924">
      <c r="B2924" s="39" t="inlineStr">
        <is>
          <t>TUNON_LYO</t>
        </is>
      </c>
      <c r="C2924" s="40" t="inlineStr">
        <is>
          <t>BAC_TOU</t>
        </is>
      </c>
      <c r="D2924" s="40" t="inlineStr">
        <is>
          <t>B3</t>
        </is>
      </c>
      <c r="E2924" s="40" t="inlineStr">
        <is>
          <t>ALT</t>
        </is>
      </c>
      <c r="F2924" s="40" t="inlineStr">
        <is>
          <t>613200</t>
        </is>
      </c>
      <c r="G2924" s="39" t="inlineStr">
        <is>
          <t>Locations immobilières (loyers)</t>
        </is>
      </c>
      <c r="H2924" s="40" t="inlineStr">
        <is>
          <t>COMPTABLE</t>
        </is>
      </c>
      <c r="I2924" s="41" t="inlineStr">
        <is>
          <t>2023ACT_VDEF</t>
        </is>
      </c>
      <c r="J2924" s="41" t="n">
        <v>2023</v>
      </c>
      <c r="K2924" s="41" t="inlineStr">
        <is>
          <t>EUR</t>
        </is>
      </c>
      <c r="L2924" s="42" t="n">
        <v>16560</v>
      </c>
    </row>
    <row r="2925">
      <c r="B2925" s="39" t="inlineStr">
        <is>
          <t>TUNON_LYO</t>
        </is>
      </c>
      <c r="C2925" s="40" t="inlineStr">
        <is>
          <t>BAC_TOU</t>
        </is>
      </c>
      <c r="D2925" s="40" t="inlineStr">
        <is>
          <t>B3</t>
        </is>
      </c>
      <c r="E2925" s="40" t="inlineStr">
        <is>
          <t>ALT</t>
        </is>
      </c>
      <c r="F2925" s="40" t="inlineStr">
        <is>
          <t>613200</t>
        </is>
      </c>
      <c r="G2925" s="39" t="inlineStr">
        <is>
          <t>Locations immobilières (loyers)</t>
        </is>
      </c>
      <c r="H2925" s="40" t="inlineStr">
        <is>
          <t>COMPTABLE</t>
        </is>
      </c>
      <c r="I2925" s="41" t="inlineStr">
        <is>
          <t>2024ACT_VDEF</t>
        </is>
      </c>
      <c r="J2925" s="41" t="n">
        <v>2024</v>
      </c>
      <c r="K2925" s="41" t="inlineStr">
        <is>
          <t>EUR</t>
        </is>
      </c>
      <c r="L2925" s="42" t="n">
        <v>17480</v>
      </c>
    </row>
    <row r="2926">
      <c r="B2926" s="39" t="inlineStr">
        <is>
          <t>TUNON_LYO</t>
        </is>
      </c>
      <c r="C2926" s="40" t="inlineStr">
        <is>
          <t>BAC_TOU</t>
        </is>
      </c>
      <c r="D2926" s="40" t="inlineStr">
        <is>
          <t>B3</t>
        </is>
      </c>
      <c r="E2926" s="40" t="inlineStr">
        <is>
          <t>ALT</t>
        </is>
      </c>
      <c r="F2926" s="40" t="inlineStr">
        <is>
          <t>613200</t>
        </is>
      </c>
      <c r="G2926" s="39" t="inlineStr">
        <is>
          <t>Locations immobilières (loyers)</t>
        </is>
      </c>
      <c r="H2926" s="40" t="inlineStr">
        <is>
          <t>COMPTABLE</t>
        </is>
      </c>
      <c r="I2926" s="41" t="inlineStr">
        <is>
          <t>2025FCST_V4</t>
        </is>
      </c>
      <c r="J2926" s="41" t="n">
        <v>2025</v>
      </c>
      <c r="K2926" s="41" t="inlineStr">
        <is>
          <t>EUR</t>
        </is>
      </c>
      <c r="L2926" s="42" t="n">
        <v>18400</v>
      </c>
    </row>
    <row r="2927">
      <c r="B2927" s="39" t="inlineStr">
        <is>
          <t>TUNON_LYO</t>
        </is>
      </c>
      <c r="C2927" s="40" t="inlineStr">
        <is>
          <t>BAC_TOU</t>
        </is>
      </c>
      <c r="D2927" s="40" t="inlineStr">
        <is>
          <t>B3</t>
        </is>
      </c>
      <c r="E2927" s="40" t="inlineStr">
        <is>
          <t>ALT</t>
        </is>
      </c>
      <c r="F2927" s="40" t="inlineStr">
        <is>
          <t>641100</t>
        </is>
      </c>
      <c r="G2927" s="39" t="inlineStr">
        <is>
          <t>Rémunérations du personnel permanent</t>
        </is>
      </c>
      <c r="H2927" s="40" t="inlineStr">
        <is>
          <t>COMPTABLE</t>
        </is>
      </c>
      <c r="I2927" s="41" t="inlineStr">
        <is>
          <t>2023ACT_VDEF</t>
        </is>
      </c>
      <c r="J2927" s="41" t="n">
        <v>2023</v>
      </c>
      <c r="K2927" s="41" t="inlineStr">
        <is>
          <t>EUR</t>
        </is>
      </c>
      <c r="L2927" s="42" t="n">
        <v>41760</v>
      </c>
    </row>
    <row r="2928">
      <c r="B2928" s="39" t="inlineStr">
        <is>
          <t>TUNON_LYO</t>
        </is>
      </c>
      <c r="C2928" s="40" t="inlineStr">
        <is>
          <t>BAC_TOU</t>
        </is>
      </c>
      <c r="D2928" s="40" t="inlineStr">
        <is>
          <t>B3</t>
        </is>
      </c>
      <c r="E2928" s="40" t="inlineStr">
        <is>
          <t>ALT</t>
        </is>
      </c>
      <c r="F2928" s="40" t="inlineStr">
        <is>
          <t>641100</t>
        </is>
      </c>
      <c r="G2928" s="39" t="inlineStr">
        <is>
          <t>Rémunérations du personnel permanent</t>
        </is>
      </c>
      <c r="H2928" s="40" t="inlineStr">
        <is>
          <t>COMPTABLE</t>
        </is>
      </c>
      <c r="I2928" s="41" t="inlineStr">
        <is>
          <t>2024ACT_VDEF</t>
        </is>
      </c>
      <c r="J2928" s="41" t="n">
        <v>2024</v>
      </c>
      <c r="K2928" s="41" t="inlineStr">
        <is>
          <t>EUR</t>
        </is>
      </c>
      <c r="L2928" s="42" t="n">
        <v>44080</v>
      </c>
    </row>
    <row r="2929">
      <c r="B2929" s="39" t="inlineStr">
        <is>
          <t>TUNON_LYO</t>
        </is>
      </c>
      <c r="C2929" s="40" t="inlineStr">
        <is>
          <t>BAC_TOU</t>
        </is>
      </c>
      <c r="D2929" s="40" t="inlineStr">
        <is>
          <t>B3</t>
        </is>
      </c>
      <c r="E2929" s="40" t="inlineStr">
        <is>
          <t>ALT</t>
        </is>
      </c>
      <c r="F2929" s="40" t="inlineStr">
        <is>
          <t>641100</t>
        </is>
      </c>
      <c r="G2929" s="39" t="inlineStr">
        <is>
          <t>Rémunérations du personnel permanent</t>
        </is>
      </c>
      <c r="H2929" s="40" t="inlineStr">
        <is>
          <t>COMPTABLE</t>
        </is>
      </c>
      <c r="I2929" s="41" t="inlineStr">
        <is>
          <t>2025FCST_V4</t>
        </is>
      </c>
      <c r="J2929" s="41" t="n">
        <v>2025</v>
      </c>
      <c r="K2929" s="41" t="inlineStr">
        <is>
          <t>EUR</t>
        </is>
      </c>
      <c r="L2929" s="42" t="n">
        <v>46400</v>
      </c>
    </row>
    <row r="2930">
      <c r="B2930" s="39" t="inlineStr">
        <is>
          <t>TUNON_LYO</t>
        </is>
      </c>
      <c r="C2930" s="40" t="inlineStr">
        <is>
          <t>BAC_TOU</t>
        </is>
      </c>
      <c r="D2930" s="40" t="inlineStr">
        <is>
          <t>B3</t>
        </is>
      </c>
      <c r="E2930" s="40" t="inlineStr">
        <is>
          <t>ALT</t>
        </is>
      </c>
      <c r="F2930" s="40" t="inlineStr">
        <is>
          <t>622600</t>
        </is>
      </c>
      <c r="G2930" s="39" t="inlineStr">
        <is>
          <t>Honoraires &amp; frais de siège (structure groupe)</t>
        </is>
      </c>
      <c r="H2930" s="40" t="inlineStr">
        <is>
          <t>COMPTABLE</t>
        </is>
      </c>
      <c r="I2930" s="41" t="inlineStr">
        <is>
          <t>2023ACT_VDEF</t>
        </is>
      </c>
      <c r="J2930" s="41" t="n">
        <v>2023</v>
      </c>
      <c r="K2930" s="41" t="inlineStr">
        <is>
          <t>EUR</t>
        </is>
      </c>
      <c r="L2930" s="42" t="n">
        <v>15051</v>
      </c>
    </row>
    <row r="2931">
      <c r="B2931" s="39" t="inlineStr">
        <is>
          <t>TUNON_LYO</t>
        </is>
      </c>
      <c r="C2931" s="40" t="inlineStr">
        <is>
          <t>BAC_TOU</t>
        </is>
      </c>
      <c r="D2931" s="40" t="inlineStr">
        <is>
          <t>B3</t>
        </is>
      </c>
      <c r="E2931" s="40" t="inlineStr">
        <is>
          <t>ALT</t>
        </is>
      </c>
      <c r="F2931" s="40" t="inlineStr">
        <is>
          <t>622600</t>
        </is>
      </c>
      <c r="G2931" s="39" t="inlineStr">
        <is>
          <t>Honoraires &amp; frais de siège (structure groupe)</t>
        </is>
      </c>
      <c r="H2931" s="40" t="inlineStr">
        <is>
          <t>COMPTABLE</t>
        </is>
      </c>
      <c r="I2931" s="41" t="inlineStr">
        <is>
          <t>2024ACT_VDEF</t>
        </is>
      </c>
      <c r="J2931" s="41" t="n">
        <v>2024</v>
      </c>
      <c r="K2931" s="41" t="inlineStr">
        <is>
          <t>EUR</t>
        </is>
      </c>
      <c r="L2931" s="42" t="n">
        <v>15887</v>
      </c>
    </row>
    <row r="2932">
      <c r="B2932" s="39" t="inlineStr">
        <is>
          <t>TUNON_LYO</t>
        </is>
      </c>
      <c r="C2932" s="40" t="inlineStr">
        <is>
          <t>BAC_TOU</t>
        </is>
      </c>
      <c r="D2932" s="40" t="inlineStr">
        <is>
          <t>B3</t>
        </is>
      </c>
      <c r="E2932" s="40" t="inlineStr">
        <is>
          <t>ALT</t>
        </is>
      </c>
      <c r="F2932" s="40" t="inlineStr">
        <is>
          <t>622600</t>
        </is>
      </c>
      <c r="G2932" s="39" t="inlineStr">
        <is>
          <t>Honoraires &amp; frais de siège (structure groupe)</t>
        </is>
      </c>
      <c r="H2932" s="40" t="inlineStr">
        <is>
          <t>COMPTABLE</t>
        </is>
      </c>
      <c r="I2932" s="41" t="inlineStr">
        <is>
          <t>2025FCST_V4</t>
        </is>
      </c>
      <c r="J2932" s="41" t="n">
        <v>2025</v>
      </c>
      <c r="K2932" s="41" t="inlineStr">
        <is>
          <t>EUR</t>
        </is>
      </c>
      <c r="L2932" s="42" t="n">
        <v>16723</v>
      </c>
    </row>
    <row r="2933">
      <c r="B2933" s="39" t="inlineStr">
        <is>
          <t>TUNON_LYO</t>
        </is>
      </c>
      <c r="C2933" s="40" t="inlineStr">
        <is>
          <t>BAC_TOU</t>
        </is>
      </c>
      <c r="D2933" s="40" t="inlineStr">
        <is>
          <t>B3</t>
        </is>
      </c>
      <c r="E2933" s="40" t="inlineStr">
        <is>
          <t>ALT</t>
        </is>
      </c>
      <c r="F2933" s="40" t="inlineStr">
        <is>
          <t>606800</t>
        </is>
      </c>
      <c r="G2933" s="39" t="inlineStr">
        <is>
          <t>Autres achats &amp; charges externes</t>
        </is>
      </c>
      <c r="H2933" s="40" t="inlineStr">
        <is>
          <t>COMPTABLE</t>
        </is>
      </c>
      <c r="I2933" s="41" t="inlineStr">
        <is>
          <t>2023ACT_VDEF</t>
        </is>
      </c>
      <c r="J2933" s="41" t="n">
        <v>2023</v>
      </c>
      <c r="K2933" s="41" t="inlineStr">
        <is>
          <t>EUR</t>
        </is>
      </c>
      <c r="L2933" s="42" t="n">
        <v>25218</v>
      </c>
    </row>
    <row r="2934">
      <c r="B2934" s="39" t="inlineStr">
        <is>
          <t>TUNON_LYO</t>
        </is>
      </c>
      <c r="C2934" s="40" t="inlineStr">
        <is>
          <t>BAC_TOU</t>
        </is>
      </c>
      <c r="D2934" s="40" t="inlineStr">
        <is>
          <t>B3</t>
        </is>
      </c>
      <c r="E2934" s="40" t="inlineStr">
        <is>
          <t>ALT</t>
        </is>
      </c>
      <c r="F2934" s="40" t="inlineStr">
        <is>
          <t>606800</t>
        </is>
      </c>
      <c r="G2934" s="39" t="inlineStr">
        <is>
          <t>Autres achats &amp; charges externes</t>
        </is>
      </c>
      <c r="H2934" s="40" t="inlineStr">
        <is>
          <t>COMPTABLE</t>
        </is>
      </c>
      <c r="I2934" s="41" t="inlineStr">
        <is>
          <t>2024ACT_VDEF</t>
        </is>
      </c>
      <c r="J2934" s="41" t="n">
        <v>2024</v>
      </c>
      <c r="K2934" s="41" t="inlineStr">
        <is>
          <t>EUR</t>
        </is>
      </c>
      <c r="L2934" s="42" t="n">
        <v>26619</v>
      </c>
    </row>
    <row r="2935">
      <c r="B2935" s="39" t="inlineStr">
        <is>
          <t>TUNON_LYO</t>
        </is>
      </c>
      <c r="C2935" s="40" t="inlineStr">
        <is>
          <t>BAC_TOU</t>
        </is>
      </c>
      <c r="D2935" s="40" t="inlineStr">
        <is>
          <t>B3</t>
        </is>
      </c>
      <c r="E2935" s="40" t="inlineStr">
        <is>
          <t>ALT</t>
        </is>
      </c>
      <c r="F2935" s="40" t="inlineStr">
        <is>
          <t>606800</t>
        </is>
      </c>
      <c r="G2935" s="39" t="inlineStr">
        <is>
          <t>Autres achats &amp; charges externes</t>
        </is>
      </c>
      <c r="H2935" s="40" t="inlineStr">
        <is>
          <t>COMPTABLE</t>
        </is>
      </c>
      <c r="I2935" s="41" t="inlineStr">
        <is>
          <t>2025FCST_V4</t>
        </is>
      </c>
      <c r="J2935" s="41" t="n">
        <v>2025</v>
      </c>
      <c r="K2935" s="41" t="inlineStr">
        <is>
          <t>EUR</t>
        </is>
      </c>
      <c r="L2935" s="42" t="n">
        <v>28020</v>
      </c>
    </row>
    <row r="2936">
      <c r="B2936" s="39" t="inlineStr">
        <is>
          <t>TUNON_LYO</t>
        </is>
      </c>
      <c r="C2936" s="40" t="inlineStr">
        <is>
          <t>BAC_TOU</t>
        </is>
      </c>
      <c r="D2936" s="40" t="inlineStr">
        <is>
          <t>B3</t>
        </is>
      </c>
      <c r="E2936" s="40" t="inlineStr">
        <is>
          <t>ALT</t>
        </is>
      </c>
      <c r="F2936" s="40" t="inlineStr">
        <is>
          <t>681100</t>
        </is>
      </c>
      <c r="G2936" s="39" t="inlineStr">
        <is>
          <t>Dotations aux amortissements</t>
        </is>
      </c>
      <c r="H2936" s="40" t="inlineStr">
        <is>
          <t>COMPTABLE</t>
        </is>
      </c>
      <c r="I2936" s="41" t="inlineStr">
        <is>
          <t>2023ACT_VDEF</t>
        </is>
      </c>
      <c r="J2936" s="41" t="n">
        <v>2023</v>
      </c>
      <c r="K2936" s="41" t="inlineStr">
        <is>
          <t>EUR</t>
        </is>
      </c>
      <c r="L2936" s="42" t="n">
        <v>9000</v>
      </c>
    </row>
    <row r="2937">
      <c r="B2937" s="39" t="inlineStr">
        <is>
          <t>TUNON_LYO</t>
        </is>
      </c>
      <c r="C2937" s="40" t="inlineStr">
        <is>
          <t>BAC_TOU</t>
        </is>
      </c>
      <c r="D2937" s="40" t="inlineStr">
        <is>
          <t>B3</t>
        </is>
      </c>
      <c r="E2937" s="40" t="inlineStr">
        <is>
          <t>ALT</t>
        </is>
      </c>
      <c r="F2937" s="40" t="inlineStr">
        <is>
          <t>681100</t>
        </is>
      </c>
      <c r="G2937" s="39" t="inlineStr">
        <is>
          <t>Dotations aux amortissements</t>
        </is>
      </c>
      <c r="H2937" s="40" t="inlineStr">
        <is>
          <t>COMPTABLE</t>
        </is>
      </c>
      <c r="I2937" s="41" t="inlineStr">
        <is>
          <t>2024ACT_VDEF</t>
        </is>
      </c>
      <c r="J2937" s="41" t="n">
        <v>2024</v>
      </c>
      <c r="K2937" s="41" t="inlineStr">
        <is>
          <t>EUR</t>
        </is>
      </c>
      <c r="L2937" s="42" t="n">
        <v>9500</v>
      </c>
    </row>
    <row r="2938">
      <c r="B2938" s="39" t="inlineStr">
        <is>
          <t>TUNON_LYO</t>
        </is>
      </c>
      <c r="C2938" s="40" t="inlineStr">
        <is>
          <t>BAC_TOU</t>
        </is>
      </c>
      <c r="D2938" s="40" t="inlineStr">
        <is>
          <t>B3</t>
        </is>
      </c>
      <c r="E2938" s="40" t="inlineStr">
        <is>
          <t>ALT</t>
        </is>
      </c>
      <c r="F2938" s="40" t="inlineStr">
        <is>
          <t>681100</t>
        </is>
      </c>
      <c r="G2938" s="39" t="inlineStr">
        <is>
          <t>Dotations aux amortissements</t>
        </is>
      </c>
      <c r="H2938" s="40" t="inlineStr">
        <is>
          <t>COMPTABLE</t>
        </is>
      </c>
      <c r="I2938" s="41" t="inlineStr">
        <is>
          <t>2025FCST_V4</t>
        </is>
      </c>
      <c r="J2938" s="41" t="n">
        <v>2025</v>
      </c>
      <c r="K2938" s="41" t="inlineStr">
        <is>
          <t>EUR</t>
        </is>
      </c>
      <c r="L2938" s="42" t="n">
        <v>10000</v>
      </c>
    </row>
    <row r="2939">
      <c r="B2939" s="39" t="inlineStr">
        <is>
          <t>TUNON_LYO</t>
        </is>
      </c>
      <c r="C2939" s="40" t="inlineStr">
        <is>
          <t>BAC_TOU</t>
        </is>
      </c>
      <c r="D2939" s="40" t="inlineStr">
        <is>
          <t>B3</t>
        </is>
      </c>
      <c r="E2939" s="40" t="inlineStr">
        <is>
          <t>ALT</t>
        </is>
      </c>
      <c r="F2939" s="40" t="inlineStr">
        <is>
          <t>STA_EFF</t>
        </is>
      </c>
      <c r="G2939" s="39" t="inlineStr">
        <is>
          <t>Effectif inscrit</t>
        </is>
      </c>
      <c r="H2939" s="40" t="inlineStr">
        <is>
          <t>TECHNIQUE</t>
        </is>
      </c>
      <c r="I2939" s="41" t="inlineStr">
        <is>
          <t>2023ACT_VDEF</t>
        </is>
      </c>
      <c r="J2939" s="41" t="n">
        <v>2023</v>
      </c>
      <c r="K2939" s="41" t="inlineStr">
        <is>
          <t>NB</t>
        </is>
      </c>
      <c r="L2939" s="43" t="n">
        <v>27</v>
      </c>
    </row>
    <row r="2940">
      <c r="B2940" s="39" t="inlineStr">
        <is>
          <t>TUNON_LYO</t>
        </is>
      </c>
      <c r="C2940" s="40" t="inlineStr">
        <is>
          <t>BAC_TOU</t>
        </is>
      </c>
      <c r="D2940" s="40" t="inlineStr">
        <is>
          <t>B3</t>
        </is>
      </c>
      <c r="E2940" s="40" t="inlineStr">
        <is>
          <t>ALT</t>
        </is>
      </c>
      <c r="F2940" s="40" t="inlineStr">
        <is>
          <t>STA_EFF</t>
        </is>
      </c>
      <c r="G2940" s="39" t="inlineStr">
        <is>
          <t>Effectif inscrit</t>
        </is>
      </c>
      <c r="H2940" s="40" t="inlineStr">
        <is>
          <t>TECHNIQUE</t>
        </is>
      </c>
      <c r="I2940" s="41" t="inlineStr">
        <is>
          <t>2024ACT_VDEF</t>
        </is>
      </c>
      <c r="J2940" s="41" t="n">
        <v>2024</v>
      </c>
      <c r="K2940" s="41" t="inlineStr">
        <is>
          <t>NB</t>
        </is>
      </c>
      <c r="L2940" s="43" t="n">
        <v>28</v>
      </c>
    </row>
    <row r="2941">
      <c r="B2941" s="39" t="inlineStr">
        <is>
          <t>TUNON_LYO</t>
        </is>
      </c>
      <c r="C2941" s="40" t="inlineStr">
        <is>
          <t>BAC_TOU</t>
        </is>
      </c>
      <c r="D2941" s="40" t="inlineStr">
        <is>
          <t>B3</t>
        </is>
      </c>
      <c r="E2941" s="40" t="inlineStr">
        <is>
          <t>ALT</t>
        </is>
      </c>
      <c r="F2941" s="40" t="inlineStr">
        <is>
          <t>STA_EFF</t>
        </is>
      </c>
      <c r="G2941" s="39" t="inlineStr">
        <is>
          <t>Effectif inscrit</t>
        </is>
      </c>
      <c r="H2941" s="40" t="inlineStr">
        <is>
          <t>TECHNIQUE</t>
        </is>
      </c>
      <c r="I2941" s="41" t="inlineStr">
        <is>
          <t>2025FCST_V4</t>
        </is>
      </c>
      <c r="J2941" s="41" t="n">
        <v>2025</v>
      </c>
      <c r="K2941" s="41" t="inlineStr">
        <is>
          <t>NB</t>
        </is>
      </c>
      <c r="L2941" s="43" t="n">
        <v>30</v>
      </c>
    </row>
    <row r="2942">
      <c r="B2942" s="39" t="inlineStr">
        <is>
          <t>TUNON_LYO</t>
        </is>
      </c>
      <c r="C2942" s="40" t="inlineStr">
        <is>
          <t>BAC_TOU</t>
        </is>
      </c>
      <c r="D2942" s="40" t="inlineStr">
        <is>
          <t>B3</t>
        </is>
      </c>
      <c r="E2942" s="40" t="inlineStr">
        <is>
          <t>ALT</t>
        </is>
      </c>
      <c r="F2942" s="40" t="inlineStr">
        <is>
          <t>STA_REINS</t>
        </is>
      </c>
      <c r="G2942" s="39" t="inlineStr">
        <is>
          <t>Réinscrits</t>
        </is>
      </c>
      <c r="H2942" s="40" t="inlineStr">
        <is>
          <t>TECHNIQUE</t>
        </is>
      </c>
      <c r="I2942" s="41" t="inlineStr">
        <is>
          <t>2023ACT_VDEF</t>
        </is>
      </c>
      <c r="J2942" s="41" t="n">
        <v>2023</v>
      </c>
      <c r="K2942" s="41" t="inlineStr">
        <is>
          <t>NB</t>
        </is>
      </c>
      <c r="L2942" s="43" t="n">
        <v>27</v>
      </c>
    </row>
    <row r="2943">
      <c r="B2943" s="39" t="inlineStr">
        <is>
          <t>TUNON_LYO</t>
        </is>
      </c>
      <c r="C2943" s="40" t="inlineStr">
        <is>
          <t>BAC_TOU</t>
        </is>
      </c>
      <c r="D2943" s="40" t="inlineStr">
        <is>
          <t>B3</t>
        </is>
      </c>
      <c r="E2943" s="40" t="inlineStr">
        <is>
          <t>ALT</t>
        </is>
      </c>
      <c r="F2943" s="40" t="inlineStr">
        <is>
          <t>STA_REINS</t>
        </is>
      </c>
      <c r="G2943" s="39" t="inlineStr">
        <is>
          <t>Réinscrits</t>
        </is>
      </c>
      <c r="H2943" s="40" t="inlineStr">
        <is>
          <t>TECHNIQUE</t>
        </is>
      </c>
      <c r="I2943" s="41" t="inlineStr">
        <is>
          <t>2024ACT_VDEF</t>
        </is>
      </c>
      <c r="J2943" s="41" t="n">
        <v>2024</v>
      </c>
      <c r="K2943" s="41" t="inlineStr">
        <is>
          <t>NB</t>
        </is>
      </c>
      <c r="L2943" s="43" t="n">
        <v>28</v>
      </c>
    </row>
    <row r="2944">
      <c r="B2944" s="39" t="inlineStr">
        <is>
          <t>TUNON_LYO</t>
        </is>
      </c>
      <c r="C2944" s="40" t="inlineStr">
        <is>
          <t>BAC_TOU</t>
        </is>
      </c>
      <c r="D2944" s="40" t="inlineStr">
        <is>
          <t>B3</t>
        </is>
      </c>
      <c r="E2944" s="40" t="inlineStr">
        <is>
          <t>ALT</t>
        </is>
      </c>
      <c r="F2944" s="40" t="inlineStr">
        <is>
          <t>STA_REINS</t>
        </is>
      </c>
      <c r="G2944" s="39" t="inlineStr">
        <is>
          <t>Réinscrits</t>
        </is>
      </c>
      <c r="H2944" s="40" t="inlineStr">
        <is>
          <t>TECHNIQUE</t>
        </is>
      </c>
      <c r="I2944" s="41" t="inlineStr">
        <is>
          <t>2025FCST_V4</t>
        </is>
      </c>
      <c r="J2944" s="41" t="n">
        <v>2025</v>
      </c>
      <c r="K2944" s="41" t="inlineStr">
        <is>
          <t>NB</t>
        </is>
      </c>
      <c r="L2944" s="43" t="n">
        <v>30</v>
      </c>
    </row>
    <row r="2945">
      <c r="B2945" s="39" t="inlineStr">
        <is>
          <t>TUNON_LYO</t>
        </is>
      </c>
      <c r="C2945" s="40" t="inlineStr">
        <is>
          <t>BAC_TOU</t>
        </is>
      </c>
      <c r="D2945" s="40" t="inlineStr">
        <is>
          <t>B3</t>
        </is>
      </c>
      <c r="E2945" s="40" t="inlineStr">
        <is>
          <t>ALT</t>
        </is>
      </c>
      <c r="F2945" s="40" t="inlineStr">
        <is>
          <t>STA_CLASS</t>
        </is>
      </c>
      <c r="G2945" s="39" t="inlineStr">
        <is>
          <t>Nombre de classes</t>
        </is>
      </c>
      <c r="H2945" s="40" t="inlineStr">
        <is>
          <t>TECHNIQUE</t>
        </is>
      </c>
      <c r="I2945" s="41" t="inlineStr">
        <is>
          <t>2023ACT_VDEF</t>
        </is>
      </c>
      <c r="J2945" s="41" t="n">
        <v>2023</v>
      </c>
      <c r="K2945" s="41" t="inlineStr">
        <is>
          <t>NB</t>
        </is>
      </c>
      <c r="L2945" s="43" t="n">
        <v>1</v>
      </c>
    </row>
    <row r="2946">
      <c r="B2946" s="39" t="inlineStr">
        <is>
          <t>TUNON_LYO</t>
        </is>
      </c>
      <c r="C2946" s="40" t="inlineStr">
        <is>
          <t>BAC_TOU</t>
        </is>
      </c>
      <c r="D2946" s="40" t="inlineStr">
        <is>
          <t>B3</t>
        </is>
      </c>
      <c r="E2946" s="40" t="inlineStr">
        <is>
          <t>ALT</t>
        </is>
      </c>
      <c r="F2946" s="40" t="inlineStr">
        <is>
          <t>STA_CLASS</t>
        </is>
      </c>
      <c r="G2946" s="39" t="inlineStr">
        <is>
          <t>Nombre de classes</t>
        </is>
      </c>
      <c r="H2946" s="40" t="inlineStr">
        <is>
          <t>TECHNIQUE</t>
        </is>
      </c>
      <c r="I2946" s="41" t="inlineStr">
        <is>
          <t>2024ACT_VDEF</t>
        </is>
      </c>
      <c r="J2946" s="41" t="n">
        <v>2024</v>
      </c>
      <c r="K2946" s="41" t="inlineStr">
        <is>
          <t>NB</t>
        </is>
      </c>
      <c r="L2946" s="43" t="n">
        <v>1</v>
      </c>
    </row>
    <row r="2947">
      <c r="B2947" s="39" t="inlineStr">
        <is>
          <t>TUNON_LYO</t>
        </is>
      </c>
      <c r="C2947" s="40" t="inlineStr">
        <is>
          <t>BAC_TOU</t>
        </is>
      </c>
      <c r="D2947" s="40" t="inlineStr">
        <is>
          <t>B3</t>
        </is>
      </c>
      <c r="E2947" s="40" t="inlineStr">
        <is>
          <t>ALT</t>
        </is>
      </c>
      <c r="F2947" s="40" t="inlineStr">
        <is>
          <t>STA_CLASS</t>
        </is>
      </c>
      <c r="G2947" s="39" t="inlineStr">
        <is>
          <t>Nombre de classes</t>
        </is>
      </c>
      <c r="H2947" s="40" t="inlineStr">
        <is>
          <t>TECHNIQUE</t>
        </is>
      </c>
      <c r="I2947" s="41" t="inlineStr">
        <is>
          <t>2025FCST_V4</t>
        </is>
      </c>
      <c r="J2947" s="41" t="n">
        <v>2025</v>
      </c>
      <c r="K2947" s="41" t="inlineStr">
        <is>
          <t>NB</t>
        </is>
      </c>
      <c r="L2947" s="43" t="n">
        <v>1</v>
      </c>
    </row>
    <row r="2948">
      <c r="B2948" s="39" t="inlineStr">
        <is>
          <t>TUNON_LYO</t>
        </is>
      </c>
      <c r="C2948" s="40" t="inlineStr">
        <is>
          <t>BAC_TOU</t>
        </is>
      </c>
      <c r="D2948" s="40" t="inlineStr">
        <is>
          <t>B3</t>
        </is>
      </c>
      <c r="E2948" s="40" t="inlineStr">
        <is>
          <t>ALT</t>
        </is>
      </c>
      <c r="F2948" s="40" t="inlineStr">
        <is>
          <t>STA_HEURE</t>
        </is>
      </c>
      <c r="G2948" s="39" t="inlineStr">
        <is>
          <t>Heures d'enseignement</t>
        </is>
      </c>
      <c r="H2948" s="40" t="inlineStr">
        <is>
          <t>TECHNIQUE</t>
        </is>
      </c>
      <c r="I2948" s="41" t="inlineStr">
        <is>
          <t>2023ACT_VDEF</t>
        </is>
      </c>
      <c r="J2948" s="41" t="n">
        <v>2023</v>
      </c>
      <c r="K2948" s="41" t="inlineStr">
        <is>
          <t>NB</t>
        </is>
      </c>
      <c r="L2948" s="43" t="n">
        <v>468</v>
      </c>
    </row>
    <row r="2949">
      <c r="B2949" s="39" t="inlineStr">
        <is>
          <t>TUNON_LYO</t>
        </is>
      </c>
      <c r="C2949" s="40" t="inlineStr">
        <is>
          <t>BAC_TOU</t>
        </is>
      </c>
      <c r="D2949" s="40" t="inlineStr">
        <is>
          <t>B3</t>
        </is>
      </c>
      <c r="E2949" s="40" t="inlineStr">
        <is>
          <t>ALT</t>
        </is>
      </c>
      <c r="F2949" s="40" t="inlineStr">
        <is>
          <t>STA_HEURE</t>
        </is>
      </c>
      <c r="G2949" s="39" t="inlineStr">
        <is>
          <t>Heures d'enseignement</t>
        </is>
      </c>
      <c r="H2949" s="40" t="inlineStr">
        <is>
          <t>TECHNIQUE</t>
        </is>
      </c>
      <c r="I2949" s="41" t="inlineStr">
        <is>
          <t>2024ACT_VDEF</t>
        </is>
      </c>
      <c r="J2949" s="41" t="n">
        <v>2024</v>
      </c>
      <c r="K2949" s="41" t="inlineStr">
        <is>
          <t>NB</t>
        </is>
      </c>
      <c r="L2949" s="43" t="n">
        <v>494</v>
      </c>
    </row>
    <row r="2950">
      <c r="B2950" s="39" t="inlineStr">
        <is>
          <t>TUNON_LYO</t>
        </is>
      </c>
      <c r="C2950" s="40" t="inlineStr">
        <is>
          <t>BAC_TOU</t>
        </is>
      </c>
      <c r="D2950" s="40" t="inlineStr">
        <is>
          <t>B3</t>
        </is>
      </c>
      <c r="E2950" s="40" t="inlineStr">
        <is>
          <t>ALT</t>
        </is>
      </c>
      <c r="F2950" s="40" t="inlineStr">
        <is>
          <t>STA_HEURE</t>
        </is>
      </c>
      <c r="G2950" s="39" t="inlineStr">
        <is>
          <t>Heures d'enseignement</t>
        </is>
      </c>
      <c r="H2950" s="40" t="inlineStr">
        <is>
          <t>TECHNIQUE</t>
        </is>
      </c>
      <c r="I2950" s="41" t="inlineStr">
        <is>
          <t>2025FCST_V4</t>
        </is>
      </c>
      <c r="J2950" s="41" t="n">
        <v>2025</v>
      </c>
      <c r="K2950" s="41" t="inlineStr">
        <is>
          <t>NB</t>
        </is>
      </c>
      <c r="L2950" s="43" t="n">
        <v>520</v>
      </c>
    </row>
    <row r="2951">
      <c r="B2951" s="39" t="inlineStr">
        <is>
          <t>TUNON_LYO</t>
        </is>
      </c>
      <c r="C2951" s="40" t="inlineStr">
        <is>
          <t>BAC_TOU</t>
        </is>
      </c>
      <c r="D2951" s="40" t="inlineStr">
        <is>
          <t>B3</t>
        </is>
      </c>
      <c r="E2951" s="40" t="inlineStr">
        <is>
          <t>ALT</t>
        </is>
      </c>
      <c r="F2951" s="40" t="inlineStr">
        <is>
          <t>STA_CAPA</t>
        </is>
      </c>
      <c r="G2951" s="39" t="inlineStr">
        <is>
          <t>Capacité par classe</t>
        </is>
      </c>
      <c r="H2951" s="40" t="inlineStr">
        <is>
          <t>TECHNIQUE</t>
        </is>
      </c>
      <c r="I2951" s="41" t="inlineStr">
        <is>
          <t>2023ACT_VDEF</t>
        </is>
      </c>
      <c r="J2951" s="41" t="n">
        <v>2023</v>
      </c>
      <c r="K2951" s="41" t="inlineStr">
        <is>
          <t>NB</t>
        </is>
      </c>
      <c r="L2951" s="43" t="n">
        <v>32</v>
      </c>
    </row>
    <row r="2952">
      <c r="B2952" s="39" t="inlineStr">
        <is>
          <t>TUNON_LYO</t>
        </is>
      </c>
      <c r="C2952" s="40" t="inlineStr">
        <is>
          <t>BAC_TOU</t>
        </is>
      </c>
      <c r="D2952" s="40" t="inlineStr">
        <is>
          <t>B3</t>
        </is>
      </c>
      <c r="E2952" s="40" t="inlineStr">
        <is>
          <t>ALT</t>
        </is>
      </c>
      <c r="F2952" s="40" t="inlineStr">
        <is>
          <t>STA_CAPA</t>
        </is>
      </c>
      <c r="G2952" s="39" t="inlineStr">
        <is>
          <t>Capacité par classe</t>
        </is>
      </c>
      <c r="H2952" s="40" t="inlineStr">
        <is>
          <t>TECHNIQUE</t>
        </is>
      </c>
      <c r="I2952" s="41" t="inlineStr">
        <is>
          <t>2024ACT_VDEF</t>
        </is>
      </c>
      <c r="J2952" s="41" t="n">
        <v>2024</v>
      </c>
      <c r="K2952" s="41" t="inlineStr">
        <is>
          <t>NB</t>
        </is>
      </c>
      <c r="L2952" s="43" t="n">
        <v>32</v>
      </c>
    </row>
    <row r="2953">
      <c r="B2953" s="39" t="inlineStr">
        <is>
          <t>TUNON_LYO</t>
        </is>
      </c>
      <c r="C2953" s="40" t="inlineStr">
        <is>
          <t>BAC_TOU</t>
        </is>
      </c>
      <c r="D2953" s="40" t="inlineStr">
        <is>
          <t>B3</t>
        </is>
      </c>
      <c r="E2953" s="40" t="inlineStr">
        <is>
          <t>ALT</t>
        </is>
      </c>
      <c r="F2953" s="40" t="inlineStr">
        <is>
          <t>STA_CAPA</t>
        </is>
      </c>
      <c r="G2953" s="39" t="inlineStr">
        <is>
          <t>Capacité par classe</t>
        </is>
      </c>
      <c r="H2953" s="40" t="inlineStr">
        <is>
          <t>TECHNIQUE</t>
        </is>
      </c>
      <c r="I2953" s="41" t="inlineStr">
        <is>
          <t>2025FCST_V4</t>
        </is>
      </c>
      <c r="J2953" s="41" t="n">
        <v>2025</v>
      </c>
      <c r="K2953" s="41" t="inlineStr">
        <is>
          <t>NB</t>
        </is>
      </c>
      <c r="L2953" s="43" t="n">
        <v>32</v>
      </c>
    </row>
    <row r="2954">
      <c r="B2954" s="39" t="inlineStr">
        <is>
          <t>TUNON_LYO</t>
        </is>
      </c>
      <c r="C2954" s="40" t="inlineStr">
        <is>
          <t>BAC_TOU</t>
        </is>
      </c>
      <c r="D2954" s="40" t="inlineStr">
        <is>
          <t>B3</t>
        </is>
      </c>
      <c r="E2954" s="40" t="inlineStr">
        <is>
          <t>ALT</t>
        </is>
      </c>
      <c r="F2954" s="40" t="inlineStr">
        <is>
          <t>DRV_PASS</t>
        </is>
      </c>
      <c r="G2954" s="39" t="inlineStr">
        <is>
          <t>Taux de passage (réinscription)</t>
        </is>
      </c>
      <c r="H2954" s="40" t="inlineStr">
        <is>
          <t>TECHNIQUE</t>
        </is>
      </c>
      <c r="I2954" s="41" t="inlineStr">
        <is>
          <t>2023ACT_VDEF</t>
        </is>
      </c>
      <c r="J2954" s="41" t="n">
        <v>2023</v>
      </c>
      <c r="K2954" s="41" t="inlineStr">
        <is>
          <t>PCT</t>
        </is>
      </c>
      <c r="L2954" s="44" t="n">
        <v>0.95</v>
      </c>
    </row>
    <row r="2955">
      <c r="B2955" s="39" t="inlineStr">
        <is>
          <t>TUNON_LYO</t>
        </is>
      </c>
      <c r="C2955" s="40" t="inlineStr">
        <is>
          <t>BAC_TOU</t>
        </is>
      </c>
      <c r="D2955" s="40" t="inlineStr">
        <is>
          <t>B3</t>
        </is>
      </c>
      <c r="E2955" s="40" t="inlineStr">
        <is>
          <t>ALT</t>
        </is>
      </c>
      <c r="F2955" s="40" t="inlineStr">
        <is>
          <t>DRV_PASS</t>
        </is>
      </c>
      <c r="G2955" s="39" t="inlineStr">
        <is>
          <t>Taux de passage (réinscription)</t>
        </is>
      </c>
      <c r="H2955" s="40" t="inlineStr">
        <is>
          <t>TECHNIQUE</t>
        </is>
      </c>
      <c r="I2955" s="41" t="inlineStr">
        <is>
          <t>2024ACT_VDEF</t>
        </is>
      </c>
      <c r="J2955" s="41" t="n">
        <v>2024</v>
      </c>
      <c r="K2955" s="41" t="inlineStr">
        <is>
          <t>PCT</t>
        </is>
      </c>
      <c r="L2955" s="44" t="n">
        <v>0.95</v>
      </c>
    </row>
    <row r="2956">
      <c r="B2956" s="39" t="inlineStr">
        <is>
          <t>TUNON_LYO</t>
        </is>
      </c>
      <c r="C2956" s="40" t="inlineStr">
        <is>
          <t>BAC_TOU</t>
        </is>
      </c>
      <c r="D2956" s="40" t="inlineStr">
        <is>
          <t>B3</t>
        </is>
      </c>
      <c r="E2956" s="40" t="inlineStr">
        <is>
          <t>ALT</t>
        </is>
      </c>
      <c r="F2956" s="40" t="inlineStr">
        <is>
          <t>DRV_PASS</t>
        </is>
      </c>
      <c r="G2956" s="39" t="inlineStr">
        <is>
          <t>Taux de passage (réinscription)</t>
        </is>
      </c>
      <c r="H2956" s="40" t="inlineStr">
        <is>
          <t>TECHNIQUE</t>
        </is>
      </c>
      <c r="I2956" s="41" t="inlineStr">
        <is>
          <t>2025FCST_V4</t>
        </is>
      </c>
      <c r="J2956" s="41" t="n">
        <v>2025</v>
      </c>
      <c r="K2956" s="41" t="inlineStr">
        <is>
          <t>PCT</t>
        </is>
      </c>
      <c r="L2956" s="44" t="n">
        <v>0.95</v>
      </c>
    </row>
    <row r="2957">
      <c r="B2957" s="39" t="inlineStr">
        <is>
          <t>TUNON_LYO</t>
        </is>
      </c>
      <c r="C2957" s="40" t="inlineStr">
        <is>
          <t>BAC_TOU</t>
        </is>
      </c>
      <c r="D2957" s="40" t="inlineStr">
        <is>
          <t>B3</t>
        </is>
      </c>
      <c r="E2957" s="40" t="inlineStr">
        <is>
          <t>ALT</t>
        </is>
      </c>
      <c r="F2957" s="40" t="inlineStr">
        <is>
          <t>PRX_TARIF</t>
        </is>
      </c>
      <c r="G2957" s="39" t="inlineStr">
        <is>
          <t>Tarif moyen scolarité</t>
        </is>
      </c>
      <c r="H2957" s="40" t="inlineStr">
        <is>
          <t>TECHNIQUE</t>
        </is>
      </c>
      <c r="I2957" s="41" t="inlineStr">
        <is>
          <t>2023ACT_VDEF</t>
        </is>
      </c>
      <c r="J2957" s="41" t="n">
        <v>2023</v>
      </c>
      <c r="K2957" s="41" t="inlineStr">
        <is>
          <t>EUR</t>
        </is>
      </c>
      <c r="L2957" s="42" t="n">
        <v>8000</v>
      </c>
    </row>
    <row r="2958">
      <c r="B2958" s="39" t="inlineStr">
        <is>
          <t>TUNON_LYO</t>
        </is>
      </c>
      <c r="C2958" s="40" t="inlineStr">
        <is>
          <t>BAC_TOU</t>
        </is>
      </c>
      <c r="D2958" s="40" t="inlineStr">
        <is>
          <t>B3</t>
        </is>
      </c>
      <c r="E2958" s="40" t="inlineStr">
        <is>
          <t>ALT</t>
        </is>
      </c>
      <c r="F2958" s="40" t="inlineStr">
        <is>
          <t>PRX_TARIF</t>
        </is>
      </c>
      <c r="G2958" s="39" t="inlineStr">
        <is>
          <t>Tarif moyen scolarité</t>
        </is>
      </c>
      <c r="H2958" s="40" t="inlineStr">
        <is>
          <t>TECHNIQUE</t>
        </is>
      </c>
      <c r="I2958" s="41" t="inlineStr">
        <is>
          <t>2024ACT_VDEF</t>
        </is>
      </c>
      <c r="J2958" s="41" t="n">
        <v>2024</v>
      </c>
      <c r="K2958" s="41" t="inlineStr">
        <is>
          <t>EUR</t>
        </is>
      </c>
      <c r="L2958" s="42" t="n">
        <v>8000</v>
      </c>
    </row>
    <row r="2959">
      <c r="B2959" s="39" t="inlineStr">
        <is>
          <t>TUNON_LYO</t>
        </is>
      </c>
      <c r="C2959" s="40" t="inlineStr">
        <is>
          <t>BAC_TOU</t>
        </is>
      </c>
      <c r="D2959" s="40" t="inlineStr">
        <is>
          <t>B3</t>
        </is>
      </c>
      <c r="E2959" s="40" t="inlineStr">
        <is>
          <t>ALT</t>
        </is>
      </c>
      <c r="F2959" s="40" t="inlineStr">
        <is>
          <t>PRX_TARIF</t>
        </is>
      </c>
      <c r="G2959" s="39" t="inlineStr">
        <is>
          <t>Tarif moyen scolarité</t>
        </is>
      </c>
      <c r="H2959" s="40" t="inlineStr">
        <is>
          <t>TECHNIQUE</t>
        </is>
      </c>
      <c r="I2959" s="41" t="inlineStr">
        <is>
          <t>2025FCST_V4</t>
        </is>
      </c>
      <c r="J2959" s="41" t="n">
        <v>2025</v>
      </c>
      <c r="K2959" s="41" t="inlineStr">
        <is>
          <t>EUR</t>
        </is>
      </c>
      <c r="L2959" s="42" t="n">
        <v>8000</v>
      </c>
    </row>
  </sheetData>
  <mergeCells count="2">
    <mergeCell ref="B2:L2"/>
    <mergeCell ref="B1:L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S32"/>
  <sheetViews>
    <sheetView showGridLines="0" workbookViewId="0">
      <selection activeCell="A1" sqref="A1"/>
    </sheetView>
  </sheetViews>
  <sheetFormatPr baseColWidth="8" defaultRowHeight="15"/>
  <cols>
    <col width="2" customWidth="1" min="1" max="1"/>
    <col width="24" customWidth="1" min="2" max="2"/>
    <col width="16" customWidth="1" min="3" max="3"/>
    <col width="22" customWidth="1" min="4" max="4"/>
    <col width="14" customWidth="1" min="5" max="5"/>
    <col width="12" customWidth="1" min="6" max="6"/>
  </cols>
  <sheetData>
    <row r="1"/>
    <row r="2" ht="26" customHeight="1">
      <c r="B2" s="1" t="inlineStr">
        <is>
          <t>Référentiel — dimensions</t>
        </is>
      </c>
    </row>
    <row r="4" ht="20" customHeight="1">
      <c r="B4" s="3" t="inlineStr">
        <is>
          <t>Entités : Groupe → Marque → Campus</t>
        </is>
      </c>
      <c r="C4" s="4" t="n"/>
      <c r="D4" s="4" t="n"/>
      <c r="E4" s="4" t="n"/>
      <c r="F4" s="4" t="n"/>
    </row>
    <row r="5">
      <c r="B5" s="20" t="inlineStr">
        <is>
          <t>Marque</t>
        </is>
      </c>
      <c r="C5" s="20" t="inlineStr">
        <is>
          <t>Ville</t>
        </is>
      </c>
      <c r="D5" s="20" t="inlineStr">
        <is>
          <t>Domaine</t>
        </is>
      </c>
      <c r="E5" s="20" t="inlineStr">
        <is>
          <t>Niveau</t>
        </is>
      </c>
      <c r="F5" s="20" t="inlineStr">
        <is>
          <t>Devise</t>
        </is>
      </c>
    </row>
    <row r="6">
      <c r="B6" s="45" t="inlineStr">
        <is>
          <t>EDUSERVICES GROUP</t>
        </is>
      </c>
      <c r="C6" s="46" t="inlineStr">
        <is>
          <t>—</t>
        </is>
      </c>
      <c r="D6" s="46" t="inlineStr">
        <is>
          <t>Tous</t>
        </is>
      </c>
      <c r="E6" s="47" t="inlineStr">
        <is>
          <t>Groupe</t>
        </is>
      </c>
      <c r="F6" s="46" t="inlineStr">
        <is>
          <t>EUR</t>
        </is>
      </c>
    </row>
    <row r="7">
      <c r="B7" s="48" t="inlineStr">
        <is>
          <t>MBway</t>
        </is>
      </c>
      <c r="C7" s="7" t="inlineStr">
        <is>
          <t>Paris</t>
        </is>
      </c>
      <c r="D7" s="25" t="inlineStr">
        <is>
          <t>Management</t>
        </is>
      </c>
      <c r="E7" s="25" t="inlineStr">
        <is>
          <t>Campus</t>
        </is>
      </c>
      <c r="F7" s="25" t="inlineStr">
        <is>
          <t>EUR</t>
        </is>
      </c>
    </row>
    <row r="8">
      <c r="B8" s="48" t="inlineStr">
        <is>
          <t>MBway</t>
        </is>
      </c>
      <c r="C8" s="7" t="inlineStr">
        <is>
          <t>Lyon</t>
        </is>
      </c>
      <c r="D8" s="25" t="inlineStr">
        <is>
          <t>Management</t>
        </is>
      </c>
      <c r="E8" s="25" t="inlineStr">
        <is>
          <t>Campus</t>
        </is>
      </c>
      <c r="F8" s="25" t="inlineStr">
        <is>
          <t>EUR</t>
        </is>
      </c>
    </row>
    <row r="9">
      <c r="B9" s="48" t="inlineStr">
        <is>
          <t>MBway</t>
        </is>
      </c>
      <c r="C9" s="7" t="inlineStr">
        <is>
          <t>Nantes</t>
        </is>
      </c>
      <c r="D9" s="25" t="inlineStr">
        <is>
          <t>Management</t>
        </is>
      </c>
      <c r="E9" s="25" t="inlineStr">
        <is>
          <t>Campus</t>
        </is>
      </c>
      <c r="F9" s="25" t="inlineStr">
        <is>
          <t>EUR</t>
        </is>
      </c>
    </row>
    <row r="10">
      <c r="B10" s="48" t="inlineStr">
        <is>
          <t>MBway</t>
        </is>
      </c>
      <c r="C10" s="7" t="inlineStr">
        <is>
          <t>Bordeaux</t>
        </is>
      </c>
      <c r="D10" s="25" t="inlineStr">
        <is>
          <t>Management</t>
        </is>
      </c>
      <c r="E10" s="25" t="inlineStr">
        <is>
          <t>Campus</t>
        </is>
      </c>
      <c r="F10" s="25" t="inlineStr">
        <is>
          <t>EUR</t>
        </is>
      </c>
    </row>
    <row r="11">
      <c r="B11" s="48" t="inlineStr">
        <is>
          <t>ISCOM</t>
        </is>
      </c>
      <c r="C11" s="7" t="inlineStr">
        <is>
          <t>Paris</t>
        </is>
      </c>
      <c r="D11" s="25" t="inlineStr">
        <is>
          <t>Communication</t>
        </is>
      </c>
      <c r="E11" s="25" t="inlineStr">
        <is>
          <t>Campus</t>
        </is>
      </c>
      <c r="F11" s="25" t="inlineStr">
        <is>
          <t>EUR</t>
        </is>
      </c>
    </row>
    <row r="12">
      <c r="B12" s="48" t="inlineStr">
        <is>
          <t>ISCOM</t>
        </is>
      </c>
      <c r="C12" s="7" t="inlineStr">
        <is>
          <t>Lille</t>
        </is>
      </c>
      <c r="D12" s="25" t="inlineStr">
        <is>
          <t>Communication</t>
        </is>
      </c>
      <c r="E12" s="25" t="inlineStr">
        <is>
          <t>Campus</t>
        </is>
      </c>
      <c r="F12" s="25" t="inlineStr">
        <is>
          <t>EUR</t>
        </is>
      </c>
    </row>
    <row r="13">
      <c r="B13" s="48" t="inlineStr">
        <is>
          <t>ISCOM</t>
        </is>
      </c>
      <c r="C13" s="7" t="inlineStr">
        <is>
          <t>Toulouse</t>
        </is>
      </c>
      <c r="D13" s="25" t="inlineStr">
        <is>
          <t>Communication</t>
        </is>
      </c>
      <c r="E13" s="25" t="inlineStr">
        <is>
          <t>Campus</t>
        </is>
      </c>
      <c r="F13" s="25" t="inlineStr">
        <is>
          <t>EUR</t>
        </is>
      </c>
    </row>
    <row r="14">
      <c r="B14" s="48" t="inlineStr">
        <is>
          <t>Ipac Bachelor Factory</t>
        </is>
      </c>
      <c r="C14" s="7" t="inlineStr">
        <is>
          <t>Nantes</t>
        </is>
      </c>
      <c r="D14" s="25" t="inlineStr">
        <is>
          <t>Commerce</t>
        </is>
      </c>
      <c r="E14" s="25" t="inlineStr">
        <is>
          <t>Campus</t>
        </is>
      </c>
      <c r="F14" s="25" t="inlineStr">
        <is>
          <t>EUR</t>
        </is>
      </c>
    </row>
    <row r="15">
      <c r="B15" s="48" t="inlineStr">
        <is>
          <t>Ipac Bachelor Factory</t>
        </is>
      </c>
      <c r="C15" s="7" t="inlineStr">
        <is>
          <t>Rennes</t>
        </is>
      </c>
      <c r="D15" s="25" t="inlineStr">
        <is>
          <t>Commerce</t>
        </is>
      </c>
      <c r="E15" s="25" t="inlineStr">
        <is>
          <t>Campus</t>
        </is>
      </c>
      <c r="F15" s="25" t="inlineStr">
        <is>
          <t>EUR</t>
        </is>
      </c>
    </row>
    <row r="16">
      <c r="B16" s="48" t="inlineStr">
        <is>
          <t>Ipac Bachelor Factory</t>
        </is>
      </c>
      <c r="C16" s="7" t="inlineStr">
        <is>
          <t>Montpellier</t>
        </is>
      </c>
      <c r="D16" s="25" t="inlineStr">
        <is>
          <t>Commerce</t>
        </is>
      </c>
      <c r="E16" s="25" t="inlineStr">
        <is>
          <t>Campus</t>
        </is>
      </c>
      <c r="F16" s="25" t="inlineStr">
        <is>
          <t>EUR</t>
        </is>
      </c>
    </row>
    <row r="17">
      <c r="B17" s="48" t="inlineStr">
        <is>
          <t>Pigier</t>
        </is>
      </c>
      <c r="C17" s="7" t="inlineStr">
        <is>
          <t>Lyon</t>
        </is>
      </c>
      <c r="D17" s="25" t="inlineStr">
        <is>
          <t>Commerce/RH</t>
        </is>
      </c>
      <c r="E17" s="25" t="inlineStr">
        <is>
          <t>Campus</t>
        </is>
      </c>
      <c r="F17" s="25" t="inlineStr">
        <is>
          <t>EUR</t>
        </is>
      </c>
    </row>
    <row r="18">
      <c r="B18" s="48" t="inlineStr">
        <is>
          <t>Pigier</t>
        </is>
      </c>
      <c r="C18" s="7" t="inlineStr">
        <is>
          <t>Bordeaux</t>
        </is>
      </c>
      <c r="D18" s="25" t="inlineStr">
        <is>
          <t>Commerce/RH</t>
        </is>
      </c>
      <c r="E18" s="25" t="inlineStr">
        <is>
          <t>Campus</t>
        </is>
      </c>
      <c r="F18" s="25" t="inlineStr">
        <is>
          <t>EUR</t>
        </is>
      </c>
    </row>
    <row r="19">
      <c r="B19" s="48" t="inlineStr">
        <is>
          <t>Tunon</t>
        </is>
      </c>
      <c r="C19" s="7" t="inlineStr">
        <is>
          <t>Paris</t>
        </is>
      </c>
      <c r="D19" s="25" t="inlineStr">
        <is>
          <t>Tourisme</t>
        </is>
      </c>
      <c r="E19" s="25" t="inlineStr">
        <is>
          <t>Campus</t>
        </is>
      </c>
      <c r="F19" s="25" t="inlineStr">
        <is>
          <t>EUR</t>
        </is>
      </c>
    </row>
    <row r="20">
      <c r="B20" s="48" t="inlineStr">
        <is>
          <t>Tunon</t>
        </is>
      </c>
      <c r="C20" s="7" t="inlineStr">
        <is>
          <t>Lyon</t>
        </is>
      </c>
      <c r="D20" s="25" t="inlineStr">
        <is>
          <t>Tourisme</t>
        </is>
      </c>
      <c r="E20" s="25" t="inlineStr">
        <is>
          <t>Campus</t>
        </is>
      </c>
      <c r="F20" s="25" t="inlineStr">
        <is>
          <t>EUR</t>
        </is>
      </c>
    </row>
    <row r="22" ht="20" customHeight="1">
      <c r="B22" s="3" t="inlineStr">
        <is>
          <t>Comptes (nature fixe/variable)</t>
        </is>
      </c>
      <c r="C22" s="4" t="n"/>
      <c r="D22" s="4" t="n"/>
      <c r="E22" s="4" t="n"/>
      <c r="F22" s="4" t="n"/>
    </row>
    <row r="23">
      <c r="B23" s="20" t="inlineStr">
        <is>
          <t>Compte</t>
        </is>
      </c>
      <c r="C23" s="20" t="inlineStr">
        <is>
          <t>Libellé</t>
        </is>
      </c>
      <c r="D23" s="20" t="inlineStr">
        <is>
          <t>Rubrique</t>
        </is>
      </c>
      <c r="E23" s="20" t="inlineStr">
        <is>
          <t>Nature</t>
        </is>
      </c>
      <c r="F23" s="20" t="inlineStr">
        <is>
          <t>Inducteur</t>
        </is>
      </c>
    </row>
    <row r="24">
      <c r="B24" s="48" t="inlineStr">
        <is>
          <t>70600</t>
        </is>
      </c>
      <c r="C24" s="8" t="inlineStr">
        <is>
          <t>Scolarité</t>
        </is>
      </c>
      <c r="D24" s="25" t="inlineStr">
        <is>
          <t>CA</t>
        </is>
      </c>
      <c r="E24" s="25" t="inlineStr">
        <is>
          <t>—</t>
        </is>
      </c>
      <c r="F24" s="8" t="inlineStr">
        <is>
          <t>Effectif × tarif</t>
        </is>
      </c>
    </row>
    <row r="25">
      <c r="B25" s="48" t="inlineStr">
        <is>
          <t>70800</t>
        </is>
      </c>
      <c r="C25" s="8" t="inlineStr">
        <is>
          <t>Frais de dossier</t>
        </is>
      </c>
      <c r="D25" s="25" t="inlineStr">
        <is>
          <t>CA</t>
        </is>
      </c>
      <c r="E25" s="25" t="inlineStr">
        <is>
          <t>—</t>
        </is>
      </c>
      <c r="F25" s="8" t="inlineStr">
        <is>
          <t>Nouveaux</t>
        </is>
      </c>
    </row>
    <row r="26">
      <c r="B26" s="48" t="inlineStr">
        <is>
          <t>64100</t>
        </is>
      </c>
      <c r="C26" s="8" t="inlineStr">
        <is>
          <t>Enseignement</t>
        </is>
      </c>
      <c r="D26" s="25" t="inlineStr">
        <is>
          <t>Coût direct</t>
        </is>
      </c>
      <c r="E26" s="25" t="inlineStr">
        <is>
          <t>Semi-fixe/classe</t>
        </is>
      </c>
      <c r="F26" s="8" t="inlineStr">
        <is>
          <t>Classes × heures</t>
        </is>
      </c>
    </row>
    <row r="27">
      <c r="B27" s="48" t="inlineStr">
        <is>
          <t>60700</t>
        </is>
      </c>
      <c r="C27" s="8" t="inlineStr">
        <is>
          <t>Pédagogie</t>
        </is>
      </c>
      <c r="D27" s="25" t="inlineStr">
        <is>
          <t>Coût direct</t>
        </is>
      </c>
      <c r="E27" s="25" t="inlineStr">
        <is>
          <t>Variable</t>
        </is>
      </c>
      <c r="F27" s="8" t="inlineStr">
        <is>
          <t>Effectif</t>
        </is>
      </c>
    </row>
    <row r="28">
      <c r="B28" s="48" t="inlineStr">
        <is>
          <t>62300</t>
        </is>
      </c>
      <c r="C28" s="8" t="inlineStr">
        <is>
          <t>Marketing</t>
        </is>
      </c>
      <c r="D28" s="25" t="inlineStr">
        <is>
          <t>Coût direct</t>
        </is>
      </c>
      <c r="E28" s="25" t="inlineStr">
        <is>
          <t>Variable</t>
        </is>
      </c>
      <c r="F28" s="8" t="inlineStr">
        <is>
          <t>Nouveaux / budget</t>
        </is>
      </c>
    </row>
    <row r="29">
      <c r="B29" s="48" t="inlineStr">
        <is>
          <t>61300</t>
        </is>
      </c>
      <c r="C29" s="8" t="inlineStr">
        <is>
          <t>Loyers</t>
        </is>
      </c>
      <c r="D29" s="25" t="inlineStr">
        <is>
          <t>Structure</t>
        </is>
      </c>
      <c r="E29" s="25" t="inlineStr">
        <is>
          <t>Fixe</t>
        </is>
      </c>
      <c r="F29" s="8" t="inlineStr">
        <is>
          <t>Campus</t>
        </is>
      </c>
    </row>
    <row r="30">
      <c r="B30" s="48" t="inlineStr">
        <is>
          <t>64000</t>
        </is>
      </c>
      <c r="C30" s="8" t="inlineStr">
        <is>
          <t>Personnel permanent</t>
        </is>
      </c>
      <c r="D30" s="25" t="inlineStr">
        <is>
          <t>Structure</t>
        </is>
      </c>
      <c r="E30" s="25" t="inlineStr">
        <is>
          <t>Fixe</t>
        </is>
      </c>
      <c r="F30" s="8" t="inlineStr">
        <is>
          <t>ETP</t>
        </is>
      </c>
    </row>
    <row r="31">
      <c r="B31" s="48" t="inlineStr">
        <is>
          <t>65000</t>
        </is>
      </c>
      <c r="C31" s="8" t="inlineStr">
        <is>
          <t>Structure groupe</t>
        </is>
      </c>
      <c r="D31" s="25" t="inlineStr">
        <is>
          <t>Structure</t>
        </is>
      </c>
      <c r="E31" s="25" t="inlineStr">
        <is>
          <t>Fixe (alloué)</t>
        </is>
      </c>
      <c r="F31" s="8" t="inlineStr">
        <is>
          <t>Driver</t>
        </is>
      </c>
    </row>
    <row r="32">
      <c r="B32" s="48" t="inlineStr">
        <is>
          <t>68000</t>
        </is>
      </c>
      <c r="C32" s="8" t="inlineStr">
        <is>
          <t>D&amp;A</t>
        </is>
      </c>
      <c r="D32" s="25" t="inlineStr">
        <is>
          <t>D&amp;A</t>
        </is>
      </c>
      <c r="E32" s="25" t="inlineStr">
        <is>
          <t>Fixe</t>
        </is>
      </c>
      <c r="F32" s="8" t="inlineStr">
        <is>
          <t>Campus</t>
        </is>
      </c>
    </row>
  </sheetData>
  <mergeCells count="3">
    <mergeCell ref="B2:F2"/>
    <mergeCell ref="B4:F4"/>
    <mergeCell ref="B22:F22"/>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S23"/>
  <sheetViews>
    <sheetView showGridLines="0" workbookViewId="0">
      <selection activeCell="A1" sqref="A1"/>
    </sheetView>
  </sheetViews>
  <sheetFormatPr baseColWidth="8" defaultRowHeight="15"/>
  <cols>
    <col width="20" customWidth="1" min="1" max="1"/>
    <col width="20" customWidth="1" min="2" max="2"/>
    <col width="7" customWidth="1" min="3" max="3"/>
    <col width="6" customWidth="1" min="4" max="4"/>
    <col width="10" customWidth="1" min="5" max="5"/>
    <col width="12" customWidth="1" min="6" max="6"/>
    <col width="11" customWidth="1" min="7" max="7"/>
    <col width="13" customWidth="1" min="8" max="8"/>
    <col width="12" customWidth="1" min="9" max="9"/>
    <col width="13" customWidth="1" min="10" max="10"/>
  </cols>
  <sheetData>
    <row r="1" ht="24" customHeight="1">
      <c r="A1" s="1" t="inlineStr">
        <is>
          <t>Données de référence par programme × année (issues du réalisé — à charger)</t>
        </is>
      </c>
    </row>
    <row r="2">
      <c r="A2" s="2" t="inlineStr">
        <is>
          <t>Bleu = saisie. Capacité, heures, taux, pédago, CAC variable et taux de passage varient par programme ET par année.</t>
        </is>
      </c>
    </row>
    <row r="3" ht="30" customHeight="1">
      <c r="A3" s="20" t="inlineStr">
        <is>
          <t>Clé (prog|année)</t>
        </is>
      </c>
      <c r="B3" s="20" t="inlineStr">
        <is>
          <t>Programme</t>
        </is>
      </c>
      <c r="C3" s="20" t="inlineStr">
        <is>
          <t>Année</t>
        </is>
      </c>
      <c r="D3" s="20" t="inlineStr">
        <is>
          <t>Mod.</t>
        </is>
      </c>
      <c r="E3" s="20" t="inlineStr">
        <is>
          <t>Capacité</t>
        </is>
      </c>
      <c r="F3" s="20" t="inlineStr">
        <is>
          <t>Heures/classe</t>
        </is>
      </c>
      <c r="G3" s="20" t="inlineStr">
        <is>
          <t>Taux horaire</t>
        </is>
      </c>
      <c r="H3" s="20" t="inlineStr">
        <is>
          <t>Coût pédago/étu</t>
        </is>
      </c>
      <c r="I3" s="20" t="inlineStr">
        <is>
          <t>CAC variable</t>
        </is>
      </c>
      <c r="J3" s="20" t="inlineStr">
        <is>
          <t>Taux de passage</t>
        </is>
      </c>
    </row>
    <row r="4">
      <c r="A4" s="48" t="inlineStr">
        <is>
          <t>Bachelor Management|B1</t>
        </is>
      </c>
      <c r="B4" s="48" t="inlineStr">
        <is>
          <t>Bachelor Management</t>
        </is>
      </c>
      <c r="C4" s="7" t="inlineStr">
        <is>
          <t>B1</t>
        </is>
      </c>
      <c r="D4" s="7" t="inlineStr">
        <is>
          <t>INIT</t>
        </is>
      </c>
      <c r="E4" s="49" t="n">
        <v>32</v>
      </c>
      <c r="F4" s="49" t="n">
        <v>600</v>
      </c>
      <c r="G4" s="50" t="n">
        <v>58</v>
      </c>
      <c r="H4" s="50" t="n">
        <v>400</v>
      </c>
      <c r="I4" s="50" t="n">
        <v>320</v>
      </c>
      <c r="J4" s="32" t="n"/>
    </row>
    <row r="5">
      <c r="A5" s="48" t="inlineStr">
        <is>
          <t>Bachelor Management|B2</t>
        </is>
      </c>
      <c r="B5" s="48" t="inlineStr">
        <is>
          <t>Bachelor Management</t>
        </is>
      </c>
      <c r="C5" s="7" t="inlineStr">
        <is>
          <t>B2</t>
        </is>
      </c>
      <c r="D5" s="7" t="inlineStr">
        <is>
          <t>ALT</t>
        </is>
      </c>
      <c r="E5" s="49" t="n">
        <v>32</v>
      </c>
      <c r="F5" s="49" t="n">
        <v>560</v>
      </c>
      <c r="G5" s="50" t="n">
        <v>58</v>
      </c>
      <c r="H5" s="50" t="n">
        <v>400</v>
      </c>
      <c r="I5" s="50" t="n">
        <v>0</v>
      </c>
      <c r="J5" s="32" t="n">
        <v>0.93</v>
      </c>
    </row>
    <row r="6">
      <c r="A6" s="48" t="inlineStr">
        <is>
          <t>Bachelor Management|B3</t>
        </is>
      </c>
      <c r="B6" s="48" t="inlineStr">
        <is>
          <t>Bachelor Management</t>
        </is>
      </c>
      <c r="C6" s="7" t="inlineStr">
        <is>
          <t>B3</t>
        </is>
      </c>
      <c r="D6" s="7" t="inlineStr">
        <is>
          <t>ALT</t>
        </is>
      </c>
      <c r="E6" s="49" t="n">
        <v>32</v>
      </c>
      <c r="F6" s="49" t="n">
        <v>520</v>
      </c>
      <c r="G6" s="50" t="n">
        <v>58</v>
      </c>
      <c r="H6" s="50" t="n">
        <v>400</v>
      </c>
      <c r="I6" s="50" t="n">
        <v>0</v>
      </c>
      <c r="J6" s="32" t="n">
        <v>0.95</v>
      </c>
    </row>
    <row r="7">
      <c r="A7" s="48" t="inlineStr">
        <is>
          <t>Mastère Management|M1</t>
        </is>
      </c>
      <c r="B7" s="48" t="inlineStr">
        <is>
          <t>Mastère Management</t>
        </is>
      </c>
      <c r="C7" s="7" t="inlineStr">
        <is>
          <t>M1</t>
        </is>
      </c>
      <c r="D7" s="7" t="inlineStr">
        <is>
          <t>ALT</t>
        </is>
      </c>
      <c r="E7" s="49" t="n">
        <v>26</v>
      </c>
      <c r="F7" s="49" t="n">
        <v>480</v>
      </c>
      <c r="G7" s="50" t="n">
        <v>70</v>
      </c>
      <c r="H7" s="50" t="n">
        <v>520</v>
      </c>
      <c r="I7" s="50" t="n">
        <v>600</v>
      </c>
      <c r="J7" s="32" t="n"/>
    </row>
    <row r="8">
      <c r="A8" s="48" t="inlineStr">
        <is>
          <t>Mastère Management|M2</t>
        </is>
      </c>
      <c r="B8" s="48" t="inlineStr">
        <is>
          <t>Mastère Management</t>
        </is>
      </c>
      <c r="C8" s="7" t="inlineStr">
        <is>
          <t>M2</t>
        </is>
      </c>
      <c r="D8" s="7" t="inlineStr">
        <is>
          <t>ALT</t>
        </is>
      </c>
      <c r="E8" s="49" t="n">
        <v>26</v>
      </c>
      <c r="F8" s="49" t="n">
        <v>440</v>
      </c>
      <c r="G8" s="50" t="n">
        <v>70</v>
      </c>
      <c r="H8" s="50" t="n">
        <v>520</v>
      </c>
      <c r="I8" s="50" t="n">
        <v>0</v>
      </c>
      <c r="J8" s="32" t="n">
        <v>0.96</v>
      </c>
    </row>
    <row r="9">
      <c r="A9" s="48" t="inlineStr">
        <is>
          <t>Bachelor Communication|B1</t>
        </is>
      </c>
      <c r="B9" s="48" t="inlineStr">
        <is>
          <t>Bachelor Communication</t>
        </is>
      </c>
      <c r="C9" s="7" t="inlineStr">
        <is>
          <t>B1</t>
        </is>
      </c>
      <c r="D9" s="7" t="inlineStr">
        <is>
          <t>INIT</t>
        </is>
      </c>
      <c r="E9" s="49" t="n">
        <v>32</v>
      </c>
      <c r="F9" s="49" t="n">
        <v>600</v>
      </c>
      <c r="G9" s="50" t="n">
        <v>62</v>
      </c>
      <c r="H9" s="50" t="n">
        <v>550</v>
      </c>
      <c r="I9" s="50" t="n">
        <v>320</v>
      </c>
      <c r="J9" s="32" t="n"/>
    </row>
    <row r="10">
      <c r="A10" s="48" t="inlineStr">
        <is>
          <t>Bachelor Communication|B2</t>
        </is>
      </c>
      <c r="B10" s="48" t="inlineStr">
        <is>
          <t>Bachelor Communication</t>
        </is>
      </c>
      <c r="C10" s="7" t="inlineStr">
        <is>
          <t>B2</t>
        </is>
      </c>
      <c r="D10" s="7" t="inlineStr">
        <is>
          <t>ALT</t>
        </is>
      </c>
      <c r="E10" s="49" t="n">
        <v>32</v>
      </c>
      <c r="F10" s="49" t="n">
        <v>560</v>
      </c>
      <c r="G10" s="50" t="n">
        <v>62</v>
      </c>
      <c r="H10" s="50" t="n">
        <v>550</v>
      </c>
      <c r="I10" s="50" t="n">
        <v>0</v>
      </c>
      <c r="J10" s="32" t="n">
        <v>0.93</v>
      </c>
    </row>
    <row r="11">
      <c r="A11" s="48" t="inlineStr">
        <is>
          <t>Bachelor Communication|B3</t>
        </is>
      </c>
      <c r="B11" s="48" t="inlineStr">
        <is>
          <t>Bachelor Communication</t>
        </is>
      </c>
      <c r="C11" s="7" t="inlineStr">
        <is>
          <t>B3</t>
        </is>
      </c>
      <c r="D11" s="7" t="inlineStr">
        <is>
          <t>ALT</t>
        </is>
      </c>
      <c r="E11" s="49" t="n">
        <v>32</v>
      </c>
      <c r="F11" s="49" t="n">
        <v>520</v>
      </c>
      <c r="G11" s="50" t="n">
        <v>62</v>
      </c>
      <c r="H11" s="50" t="n">
        <v>550</v>
      </c>
      <c r="I11" s="50" t="n">
        <v>0</v>
      </c>
      <c r="J11" s="32" t="n">
        <v>0.95</v>
      </c>
    </row>
    <row r="12">
      <c r="A12" s="48" t="inlineStr">
        <is>
          <t>Mastère Communication|M1</t>
        </is>
      </c>
      <c r="B12" s="48" t="inlineStr">
        <is>
          <t>Mastère Communication</t>
        </is>
      </c>
      <c r="C12" s="7" t="inlineStr">
        <is>
          <t>M1</t>
        </is>
      </c>
      <c r="D12" s="7" t="inlineStr">
        <is>
          <t>ALT</t>
        </is>
      </c>
      <c r="E12" s="49" t="n">
        <v>26</v>
      </c>
      <c r="F12" s="49" t="n">
        <v>480</v>
      </c>
      <c r="G12" s="50" t="n">
        <v>74</v>
      </c>
      <c r="H12" s="50" t="n">
        <v>670</v>
      </c>
      <c r="I12" s="50" t="n">
        <v>600</v>
      </c>
      <c r="J12" s="32" t="n"/>
    </row>
    <row r="13">
      <c r="A13" s="48" t="inlineStr">
        <is>
          <t>Mastère Communication|M2</t>
        </is>
      </c>
      <c r="B13" s="48" t="inlineStr">
        <is>
          <t>Mastère Communication</t>
        </is>
      </c>
      <c r="C13" s="7" t="inlineStr">
        <is>
          <t>M2</t>
        </is>
      </c>
      <c r="D13" s="7" t="inlineStr">
        <is>
          <t>ALT</t>
        </is>
      </c>
      <c r="E13" s="49" t="n">
        <v>26</v>
      </c>
      <c r="F13" s="49" t="n">
        <v>440</v>
      </c>
      <c r="G13" s="50" t="n">
        <v>74</v>
      </c>
      <c r="H13" s="50" t="n">
        <v>670</v>
      </c>
      <c r="I13" s="50" t="n">
        <v>0</v>
      </c>
      <c r="J13" s="32" t="n">
        <v>0.96</v>
      </c>
    </row>
    <row r="14">
      <c r="A14" s="48" t="inlineStr">
        <is>
          <t>Bachelor Commerce|B1</t>
        </is>
      </c>
      <c r="B14" s="48" t="inlineStr">
        <is>
          <t>Bachelor Commerce</t>
        </is>
      </c>
      <c r="C14" s="7" t="inlineStr">
        <is>
          <t>B1</t>
        </is>
      </c>
      <c r="D14" s="7" t="inlineStr">
        <is>
          <t>ALT</t>
        </is>
      </c>
      <c r="E14" s="49" t="n">
        <v>32</v>
      </c>
      <c r="F14" s="49" t="n">
        <v>600</v>
      </c>
      <c r="G14" s="50" t="n">
        <v>58</v>
      </c>
      <c r="H14" s="50" t="n">
        <v>380</v>
      </c>
      <c r="I14" s="50" t="n">
        <v>320</v>
      </c>
      <c r="J14" s="32" t="n"/>
    </row>
    <row r="15">
      <c r="A15" s="48" t="inlineStr">
        <is>
          <t>Bachelor Commerce|B2</t>
        </is>
      </c>
      <c r="B15" s="48" t="inlineStr">
        <is>
          <t>Bachelor Commerce</t>
        </is>
      </c>
      <c r="C15" s="7" t="inlineStr">
        <is>
          <t>B2</t>
        </is>
      </c>
      <c r="D15" s="7" t="inlineStr">
        <is>
          <t>ALT</t>
        </is>
      </c>
      <c r="E15" s="49" t="n">
        <v>32</v>
      </c>
      <c r="F15" s="49" t="n">
        <v>560</v>
      </c>
      <c r="G15" s="50" t="n">
        <v>58</v>
      </c>
      <c r="H15" s="50" t="n">
        <v>380</v>
      </c>
      <c r="I15" s="50" t="n">
        <v>0</v>
      </c>
      <c r="J15" s="32" t="n">
        <v>0.93</v>
      </c>
    </row>
    <row r="16">
      <c r="A16" s="48" t="inlineStr">
        <is>
          <t>Bachelor Commerce|B3</t>
        </is>
      </c>
      <c r="B16" s="48" t="inlineStr">
        <is>
          <t>Bachelor Commerce</t>
        </is>
      </c>
      <c r="C16" s="7" t="inlineStr">
        <is>
          <t>B3</t>
        </is>
      </c>
      <c r="D16" s="7" t="inlineStr">
        <is>
          <t>ALT</t>
        </is>
      </c>
      <c r="E16" s="49" t="n">
        <v>32</v>
      </c>
      <c r="F16" s="49" t="n">
        <v>520</v>
      </c>
      <c r="G16" s="50" t="n">
        <v>58</v>
      </c>
      <c r="H16" s="50" t="n">
        <v>380</v>
      </c>
      <c r="I16" s="50" t="n">
        <v>0</v>
      </c>
      <c r="J16" s="32" t="n">
        <v>0.95</v>
      </c>
    </row>
    <row r="17">
      <c r="A17" s="48" t="inlineStr">
        <is>
          <t>BTS Gestion|1</t>
        </is>
      </c>
      <c r="B17" s="48" t="inlineStr">
        <is>
          <t>BTS Gestion</t>
        </is>
      </c>
      <c r="C17" s="7" t="inlineStr">
        <is>
          <t>1</t>
        </is>
      </c>
      <c r="D17" s="7" t="inlineStr">
        <is>
          <t>ALT</t>
        </is>
      </c>
      <c r="E17" s="49" t="n">
        <v>30</v>
      </c>
      <c r="F17" s="49" t="n">
        <v>720</v>
      </c>
      <c r="G17" s="50" t="n">
        <v>55</v>
      </c>
      <c r="H17" s="50" t="n">
        <v>350</v>
      </c>
      <c r="I17" s="50" t="n">
        <v>250</v>
      </c>
      <c r="J17" s="32" t="n"/>
    </row>
    <row r="18">
      <c r="A18" s="48" t="inlineStr">
        <is>
          <t>BTS Gestion|2</t>
        </is>
      </c>
      <c r="B18" s="48" t="inlineStr">
        <is>
          <t>BTS Gestion</t>
        </is>
      </c>
      <c r="C18" s="7" t="inlineStr">
        <is>
          <t>2</t>
        </is>
      </c>
      <c r="D18" s="7" t="inlineStr">
        <is>
          <t>ALT</t>
        </is>
      </c>
      <c r="E18" s="49" t="n">
        <v>30</v>
      </c>
      <c r="F18" s="49" t="n">
        <v>680</v>
      </c>
      <c r="G18" s="50" t="n">
        <v>55</v>
      </c>
      <c r="H18" s="50" t="n">
        <v>350</v>
      </c>
      <c r="I18" s="50" t="n">
        <v>0</v>
      </c>
      <c r="J18" s="32" t="n">
        <v>0.9399999999999999</v>
      </c>
    </row>
    <row r="19">
      <c r="A19" s="48" t="inlineStr">
        <is>
          <t>Bachelor RH|B1</t>
        </is>
      </c>
      <c r="B19" s="48" t="inlineStr">
        <is>
          <t>Bachelor RH</t>
        </is>
      </c>
      <c r="C19" s="7" t="inlineStr">
        <is>
          <t>B1</t>
        </is>
      </c>
      <c r="D19" s="7" t="inlineStr">
        <is>
          <t>ALT</t>
        </is>
      </c>
      <c r="E19" s="49" t="n">
        <v>32</v>
      </c>
      <c r="F19" s="49" t="n">
        <v>600</v>
      </c>
      <c r="G19" s="50" t="n">
        <v>58</v>
      </c>
      <c r="H19" s="50" t="n">
        <v>380</v>
      </c>
      <c r="I19" s="50" t="n">
        <v>320</v>
      </c>
      <c r="J19" s="32" t="n"/>
    </row>
    <row r="20">
      <c r="A20" s="48" t="inlineStr">
        <is>
          <t>Bachelor RH|B3</t>
        </is>
      </c>
      <c r="B20" s="48" t="inlineStr">
        <is>
          <t>Bachelor RH</t>
        </is>
      </c>
      <c r="C20" s="7" t="inlineStr">
        <is>
          <t>B3</t>
        </is>
      </c>
      <c r="D20" s="7" t="inlineStr">
        <is>
          <t>ALT</t>
        </is>
      </c>
      <c r="E20" s="49" t="n">
        <v>32</v>
      </c>
      <c r="F20" s="49" t="n">
        <v>520</v>
      </c>
      <c r="G20" s="50" t="n">
        <v>58</v>
      </c>
      <c r="H20" s="50" t="n">
        <v>380</v>
      </c>
      <c r="I20" s="50" t="n">
        <v>0</v>
      </c>
      <c r="J20" s="32" t="n">
        <v>0.95</v>
      </c>
    </row>
    <row r="21">
      <c r="A21" s="48" t="inlineStr">
        <is>
          <t>Bachelor Tourisme|B1</t>
        </is>
      </c>
      <c r="B21" s="48" t="inlineStr">
        <is>
          <t>Bachelor Tourisme</t>
        </is>
      </c>
      <c r="C21" s="7" t="inlineStr">
        <is>
          <t>B1</t>
        </is>
      </c>
      <c r="D21" s="7" t="inlineStr">
        <is>
          <t>ALT</t>
        </is>
      </c>
      <c r="E21" s="49" t="n">
        <v>32</v>
      </c>
      <c r="F21" s="49" t="n">
        <v>600</v>
      </c>
      <c r="G21" s="50" t="n">
        <v>56</v>
      </c>
      <c r="H21" s="50" t="n">
        <v>450</v>
      </c>
      <c r="I21" s="50" t="n">
        <v>320</v>
      </c>
      <c r="J21" s="32" t="n"/>
    </row>
    <row r="22">
      <c r="A22" s="48" t="inlineStr">
        <is>
          <t>Bachelor Tourisme|B2</t>
        </is>
      </c>
      <c r="B22" s="48" t="inlineStr">
        <is>
          <t>Bachelor Tourisme</t>
        </is>
      </c>
      <c r="C22" s="7" t="inlineStr">
        <is>
          <t>B2</t>
        </is>
      </c>
      <c r="D22" s="7" t="inlineStr">
        <is>
          <t>ALT</t>
        </is>
      </c>
      <c r="E22" s="49" t="n">
        <v>32</v>
      </c>
      <c r="F22" s="49" t="n">
        <v>560</v>
      </c>
      <c r="G22" s="50" t="n">
        <v>56</v>
      </c>
      <c r="H22" s="50" t="n">
        <v>450</v>
      </c>
      <c r="I22" s="50" t="n">
        <v>0</v>
      </c>
      <c r="J22" s="32" t="n">
        <v>0.93</v>
      </c>
    </row>
    <row r="23">
      <c r="A23" s="48" t="inlineStr">
        <is>
          <t>Bachelor Tourisme|B3</t>
        </is>
      </c>
      <c r="B23" s="48" t="inlineStr">
        <is>
          <t>Bachelor Tourisme</t>
        </is>
      </c>
      <c r="C23" s="7" t="inlineStr">
        <is>
          <t>B3</t>
        </is>
      </c>
      <c r="D23" s="7" t="inlineStr">
        <is>
          <t>ALT</t>
        </is>
      </c>
      <c r="E23" s="49" t="n">
        <v>32</v>
      </c>
      <c r="F23" s="49" t="n">
        <v>520</v>
      </c>
      <c r="G23" s="50" t="n">
        <v>56</v>
      </c>
      <c r="H23" s="50" t="n">
        <v>450</v>
      </c>
      <c r="I23" s="50" t="n">
        <v>0</v>
      </c>
      <c r="J23" s="32" t="n">
        <v>0.95</v>
      </c>
    </row>
  </sheetData>
  <mergeCells count="2">
    <mergeCell ref="A1:J1"/>
    <mergeCell ref="A2:J2"/>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S73"/>
  <sheetViews>
    <sheetView showGridLines="0" workbookViewId="0">
      <selection activeCell="A1" sqref="A1"/>
    </sheetView>
  </sheetViews>
  <sheetFormatPr baseColWidth="8" defaultRowHeight="15"/>
  <cols>
    <col width="15" customWidth="1" min="1" max="1"/>
    <col width="10" customWidth="1" min="2" max="2"/>
    <col width="18" customWidth="1" min="3" max="3"/>
    <col width="6" customWidth="1" min="4" max="4"/>
    <col width="7" customWidth="1" min="5" max="5"/>
    <col width="6" customWidth="1" min="6" max="6"/>
    <col width="7" customWidth="1" min="7" max="7"/>
    <col width="9" customWidth="1" min="8" max="8"/>
    <col width="9" customWidth="1" min="9" max="9"/>
    <col width="9" customWidth="1" min="10" max="10"/>
    <col width="10" customWidth="1" min="11" max="11"/>
    <col width="13" customWidth="1" min="12" max="12"/>
    <col width="9" customWidth="1" min="13" max="13"/>
    <col width="9" customWidth="1" min="14" max="14"/>
  </cols>
  <sheetData>
    <row r="1" ht="22" customHeight="1">
      <c r="A1" s="1" t="inlineStr">
        <is>
          <t>Réalisé N-1 par cellule (funnel + cohorte)</t>
        </is>
      </c>
    </row>
    <row r="3" ht="30" customHeight="1">
      <c r="A3" s="20" t="inlineStr">
        <is>
          <t>Marque</t>
        </is>
      </c>
      <c r="B3" s="20" t="inlineStr">
        <is>
          <t>Ville</t>
        </is>
      </c>
      <c r="C3" s="20" t="inlineStr">
        <is>
          <t>Programme</t>
        </is>
      </c>
      <c r="D3" s="20" t="inlineStr">
        <is>
          <t>Type</t>
        </is>
      </c>
      <c r="E3" s="20" t="inlineStr">
        <is>
          <t>Année</t>
        </is>
      </c>
      <c r="F3" s="20" t="inlineStr">
        <is>
          <t>Mod.</t>
        </is>
      </c>
      <c r="G3" s="20" t="inlineStr">
        <is>
          <t>Entrée</t>
        </is>
      </c>
      <c r="H3" s="20" t="inlineStr">
        <is>
          <t>Cand N-1</t>
        </is>
      </c>
      <c r="I3" s="20" t="inlineStr">
        <is>
          <t>Nouv N-1</t>
        </is>
      </c>
      <c r="J3" s="20" t="inlineStr">
        <is>
          <t>Réins N-1</t>
        </is>
      </c>
      <c r="K3" s="20" t="inlineStr">
        <is>
          <t>Effectif N-1</t>
        </is>
      </c>
      <c r="L3" s="20" t="inlineStr">
        <is>
          <t>Eff. année inf. N-1</t>
        </is>
      </c>
      <c r="M3" s="20" t="inlineStr">
        <is>
          <t>Tarif N-1</t>
        </is>
      </c>
      <c r="N3" s="20" t="inlineStr">
        <is>
          <t>Classes N-1</t>
        </is>
      </c>
    </row>
    <row r="4">
      <c r="A4" s="48" t="inlineStr">
        <is>
          <t>MBway</t>
        </is>
      </c>
      <c r="B4" s="48" t="inlineStr">
        <is>
          <t>Paris</t>
        </is>
      </c>
      <c r="C4" s="48" t="inlineStr">
        <is>
          <t>Bachelor Management</t>
        </is>
      </c>
      <c r="D4" s="48" t="inlineStr">
        <is>
          <t>BAC</t>
        </is>
      </c>
      <c r="E4" s="7" t="inlineStr">
        <is>
          <t>B1</t>
        </is>
      </c>
      <c r="F4" s="7" t="inlineStr">
        <is>
          <t>INIT</t>
        </is>
      </c>
      <c r="G4" s="7" t="n">
        <v>1</v>
      </c>
      <c r="H4" s="49" t="n">
        <v>210</v>
      </c>
      <c r="I4" s="49" t="n">
        <v>78</v>
      </c>
      <c r="J4" s="49" t="n">
        <v>0</v>
      </c>
      <c r="K4" s="49" t="n">
        <v>78</v>
      </c>
      <c r="L4" s="49" t="n">
        <v>0</v>
      </c>
      <c r="M4" s="50" t="n">
        <v>8500</v>
      </c>
      <c r="N4" s="49" t="n">
        <v>3</v>
      </c>
    </row>
    <row r="5">
      <c r="A5" s="48" t="inlineStr">
        <is>
          <t>MBway</t>
        </is>
      </c>
      <c r="B5" s="48" t="inlineStr">
        <is>
          <t>Paris</t>
        </is>
      </c>
      <c r="C5" s="48" t="inlineStr">
        <is>
          <t>Bachelor Management</t>
        </is>
      </c>
      <c r="D5" s="48" t="inlineStr">
        <is>
          <t>BAC</t>
        </is>
      </c>
      <c r="E5" s="7" t="inlineStr">
        <is>
          <t>B2</t>
        </is>
      </c>
      <c r="F5" s="7" t="inlineStr">
        <is>
          <t>ALT</t>
        </is>
      </c>
      <c r="G5" s="7" t="n">
        <v>0</v>
      </c>
      <c r="H5" s="49" t="n">
        <v>0</v>
      </c>
      <c r="I5" s="49" t="n">
        <v>0</v>
      </c>
      <c r="J5" s="49" t="n">
        <v>66</v>
      </c>
      <c r="K5" s="49" t="n">
        <v>66</v>
      </c>
      <c r="L5" s="49" t="n">
        <v>78</v>
      </c>
      <c r="M5" s="50" t="n">
        <v>8000</v>
      </c>
      <c r="N5" s="49" t="n">
        <v>3</v>
      </c>
    </row>
    <row r="6">
      <c r="A6" s="48" t="inlineStr">
        <is>
          <t>MBway</t>
        </is>
      </c>
      <c r="B6" s="48" t="inlineStr">
        <is>
          <t>Paris</t>
        </is>
      </c>
      <c r="C6" s="48" t="inlineStr">
        <is>
          <t>Bachelor Management</t>
        </is>
      </c>
      <c r="D6" s="48" t="inlineStr">
        <is>
          <t>BAC</t>
        </is>
      </c>
      <c r="E6" s="7" t="inlineStr">
        <is>
          <t>B3</t>
        </is>
      </c>
      <c r="F6" s="7" t="inlineStr">
        <is>
          <t>ALT</t>
        </is>
      </c>
      <c r="G6" s="7" t="n">
        <v>0</v>
      </c>
      <c r="H6" s="49" t="n">
        <v>0</v>
      </c>
      <c r="I6" s="49" t="n">
        <v>0</v>
      </c>
      <c r="J6" s="49" t="n">
        <v>58</v>
      </c>
      <c r="K6" s="49" t="n">
        <v>58</v>
      </c>
      <c r="L6" s="49" t="n">
        <v>66</v>
      </c>
      <c r="M6" s="50" t="n">
        <v>8000</v>
      </c>
      <c r="N6" s="49" t="n">
        <v>2</v>
      </c>
    </row>
    <row r="7">
      <c r="A7" s="48" t="inlineStr">
        <is>
          <t>MBway</t>
        </is>
      </c>
      <c r="B7" s="48" t="inlineStr">
        <is>
          <t>Paris</t>
        </is>
      </c>
      <c r="C7" s="48" t="inlineStr">
        <is>
          <t>Mastère Management</t>
        </is>
      </c>
      <c r="D7" s="48" t="inlineStr">
        <is>
          <t>MAST</t>
        </is>
      </c>
      <c r="E7" s="7" t="inlineStr">
        <is>
          <t>M1</t>
        </is>
      </c>
      <c r="F7" s="7" t="inlineStr">
        <is>
          <t>ALT</t>
        </is>
      </c>
      <c r="G7" s="7" t="n">
        <v>1</v>
      </c>
      <c r="H7" s="49" t="n">
        <v>126</v>
      </c>
      <c r="I7" s="49" t="n">
        <v>47</v>
      </c>
      <c r="J7" s="49" t="n">
        <v>0</v>
      </c>
      <c r="K7" s="49" t="n">
        <v>47</v>
      </c>
      <c r="L7" s="49" t="n">
        <v>0</v>
      </c>
      <c r="M7" s="50" t="n">
        <v>9000</v>
      </c>
      <c r="N7" s="49" t="n">
        <v>2</v>
      </c>
    </row>
    <row r="8">
      <c r="A8" s="48" t="inlineStr">
        <is>
          <t>MBway</t>
        </is>
      </c>
      <c r="B8" s="48" t="inlineStr">
        <is>
          <t>Paris</t>
        </is>
      </c>
      <c r="C8" s="48" t="inlineStr">
        <is>
          <t>Mastère Management</t>
        </is>
      </c>
      <c r="D8" s="48" t="inlineStr">
        <is>
          <t>MAST</t>
        </is>
      </c>
      <c r="E8" s="7" t="inlineStr">
        <is>
          <t>M2</t>
        </is>
      </c>
      <c r="F8" s="7" t="inlineStr">
        <is>
          <t>ALT</t>
        </is>
      </c>
      <c r="G8" s="7" t="n">
        <v>0</v>
      </c>
      <c r="H8" s="49" t="n">
        <v>0</v>
      </c>
      <c r="I8" s="49" t="n">
        <v>0</v>
      </c>
      <c r="J8" s="49" t="n">
        <v>42</v>
      </c>
      <c r="K8" s="49" t="n">
        <v>42</v>
      </c>
      <c r="L8" s="49" t="n">
        <v>47</v>
      </c>
      <c r="M8" s="50" t="n">
        <v>9000</v>
      </c>
      <c r="N8" s="49" t="n">
        <v>2</v>
      </c>
    </row>
    <row r="9">
      <c r="A9" s="48" t="inlineStr">
        <is>
          <t>MBway</t>
        </is>
      </c>
      <c r="B9" s="48" t="inlineStr">
        <is>
          <t>Lyon</t>
        </is>
      </c>
      <c r="C9" s="48" t="inlineStr">
        <is>
          <t>Bachelor Management</t>
        </is>
      </c>
      <c r="D9" s="48" t="inlineStr">
        <is>
          <t>BAC</t>
        </is>
      </c>
      <c r="E9" s="7" t="inlineStr">
        <is>
          <t>B1</t>
        </is>
      </c>
      <c r="F9" s="7" t="inlineStr">
        <is>
          <t>INIT</t>
        </is>
      </c>
      <c r="G9" s="7" t="n">
        <v>1</v>
      </c>
      <c r="H9" s="49" t="n">
        <v>177</v>
      </c>
      <c r="I9" s="49" t="n">
        <v>66</v>
      </c>
      <c r="J9" s="49" t="n">
        <v>0</v>
      </c>
      <c r="K9" s="49" t="n">
        <v>66</v>
      </c>
      <c r="L9" s="49" t="n">
        <v>0</v>
      </c>
      <c r="M9" s="50" t="n">
        <v>8500</v>
      </c>
      <c r="N9" s="49" t="n">
        <v>3</v>
      </c>
    </row>
    <row r="10">
      <c r="A10" s="48" t="inlineStr">
        <is>
          <t>MBway</t>
        </is>
      </c>
      <c r="B10" s="48" t="inlineStr">
        <is>
          <t>Lyon</t>
        </is>
      </c>
      <c r="C10" s="48" t="inlineStr">
        <is>
          <t>Bachelor Management</t>
        </is>
      </c>
      <c r="D10" s="48" t="inlineStr">
        <is>
          <t>BAC</t>
        </is>
      </c>
      <c r="E10" s="7" t="inlineStr">
        <is>
          <t>B2</t>
        </is>
      </c>
      <c r="F10" s="7" t="inlineStr">
        <is>
          <t>ALT</t>
        </is>
      </c>
      <c r="G10" s="7" t="n">
        <v>0</v>
      </c>
      <c r="H10" s="49" t="n">
        <v>0</v>
      </c>
      <c r="I10" s="49" t="n">
        <v>0</v>
      </c>
      <c r="J10" s="49" t="n">
        <v>56</v>
      </c>
      <c r="K10" s="49" t="n">
        <v>56</v>
      </c>
      <c r="L10" s="49" t="n">
        <v>66</v>
      </c>
      <c r="M10" s="50" t="n">
        <v>8000</v>
      </c>
      <c r="N10" s="49" t="n">
        <v>2</v>
      </c>
    </row>
    <row r="11">
      <c r="A11" s="48" t="inlineStr">
        <is>
          <t>MBway</t>
        </is>
      </c>
      <c r="B11" s="48" t="inlineStr">
        <is>
          <t>Lyon</t>
        </is>
      </c>
      <c r="C11" s="48" t="inlineStr">
        <is>
          <t>Bachelor Management</t>
        </is>
      </c>
      <c r="D11" s="48" t="inlineStr">
        <is>
          <t>BAC</t>
        </is>
      </c>
      <c r="E11" s="7" t="inlineStr">
        <is>
          <t>B3</t>
        </is>
      </c>
      <c r="F11" s="7" t="inlineStr">
        <is>
          <t>ALT</t>
        </is>
      </c>
      <c r="G11" s="7" t="n">
        <v>0</v>
      </c>
      <c r="H11" s="49" t="n">
        <v>0</v>
      </c>
      <c r="I11" s="49" t="n">
        <v>0</v>
      </c>
      <c r="J11" s="49" t="n">
        <v>50</v>
      </c>
      <c r="K11" s="49" t="n">
        <v>50</v>
      </c>
      <c r="L11" s="49" t="n">
        <v>56</v>
      </c>
      <c r="M11" s="50" t="n">
        <v>8000</v>
      </c>
      <c r="N11" s="49" t="n">
        <v>2</v>
      </c>
    </row>
    <row r="12">
      <c r="A12" s="48" t="inlineStr">
        <is>
          <t>MBway</t>
        </is>
      </c>
      <c r="B12" s="48" t="inlineStr">
        <is>
          <t>Lyon</t>
        </is>
      </c>
      <c r="C12" s="48" t="inlineStr">
        <is>
          <t>Mastère Management</t>
        </is>
      </c>
      <c r="D12" s="48" t="inlineStr">
        <is>
          <t>MAST</t>
        </is>
      </c>
      <c r="E12" s="7" t="inlineStr">
        <is>
          <t>M1</t>
        </is>
      </c>
      <c r="F12" s="7" t="inlineStr">
        <is>
          <t>ALT</t>
        </is>
      </c>
      <c r="G12" s="7" t="n">
        <v>1</v>
      </c>
      <c r="H12" s="49" t="n">
        <v>108</v>
      </c>
      <c r="I12" s="49" t="n">
        <v>40</v>
      </c>
      <c r="J12" s="49" t="n">
        <v>0</v>
      </c>
      <c r="K12" s="49" t="n">
        <v>40</v>
      </c>
      <c r="L12" s="49" t="n">
        <v>0</v>
      </c>
      <c r="M12" s="50" t="n">
        <v>9000</v>
      </c>
      <c r="N12" s="49" t="n">
        <v>2</v>
      </c>
    </row>
    <row r="13">
      <c r="A13" s="48" t="inlineStr">
        <is>
          <t>MBway</t>
        </is>
      </c>
      <c r="B13" s="48" t="inlineStr">
        <is>
          <t>Lyon</t>
        </is>
      </c>
      <c r="C13" s="48" t="inlineStr">
        <is>
          <t>Mastère Management</t>
        </is>
      </c>
      <c r="D13" s="48" t="inlineStr">
        <is>
          <t>MAST</t>
        </is>
      </c>
      <c r="E13" s="7" t="inlineStr">
        <is>
          <t>M2</t>
        </is>
      </c>
      <c r="F13" s="7" t="inlineStr">
        <is>
          <t>ALT</t>
        </is>
      </c>
      <c r="G13" s="7" t="n">
        <v>0</v>
      </c>
      <c r="H13" s="49" t="n">
        <v>0</v>
      </c>
      <c r="I13" s="49" t="n">
        <v>0</v>
      </c>
      <c r="J13" s="49" t="n">
        <v>36</v>
      </c>
      <c r="K13" s="49" t="n">
        <v>36</v>
      </c>
      <c r="L13" s="49" t="n">
        <v>40</v>
      </c>
      <c r="M13" s="50" t="n">
        <v>9000</v>
      </c>
      <c r="N13" s="49" t="n">
        <v>2</v>
      </c>
    </row>
    <row r="14">
      <c r="A14" s="48" t="inlineStr">
        <is>
          <t>MBway</t>
        </is>
      </c>
      <c r="B14" s="48" t="inlineStr">
        <is>
          <t>Nantes</t>
        </is>
      </c>
      <c r="C14" s="48" t="inlineStr">
        <is>
          <t>Bachelor Management</t>
        </is>
      </c>
      <c r="D14" s="48" t="inlineStr">
        <is>
          <t>BAC</t>
        </is>
      </c>
      <c r="E14" s="7" t="inlineStr">
        <is>
          <t>B1</t>
        </is>
      </c>
      <c r="F14" s="7" t="inlineStr">
        <is>
          <t>INIT</t>
        </is>
      </c>
      <c r="G14" s="7" t="n">
        <v>1</v>
      </c>
      <c r="H14" s="49" t="n">
        <v>161</v>
      </c>
      <c r="I14" s="49" t="n">
        <v>60</v>
      </c>
      <c r="J14" s="49" t="n">
        <v>0</v>
      </c>
      <c r="K14" s="49" t="n">
        <v>60</v>
      </c>
      <c r="L14" s="49" t="n">
        <v>0</v>
      </c>
      <c r="M14" s="50" t="n">
        <v>8500</v>
      </c>
      <c r="N14" s="49" t="n">
        <v>2</v>
      </c>
    </row>
    <row r="15">
      <c r="A15" s="48" t="inlineStr">
        <is>
          <t>MBway</t>
        </is>
      </c>
      <c r="B15" s="48" t="inlineStr">
        <is>
          <t>Nantes</t>
        </is>
      </c>
      <c r="C15" s="48" t="inlineStr">
        <is>
          <t>Bachelor Management</t>
        </is>
      </c>
      <c r="D15" s="48" t="inlineStr">
        <is>
          <t>BAC</t>
        </is>
      </c>
      <c r="E15" s="7" t="inlineStr">
        <is>
          <t>B2</t>
        </is>
      </c>
      <c r="F15" s="7" t="inlineStr">
        <is>
          <t>ALT</t>
        </is>
      </c>
      <c r="G15" s="7" t="n">
        <v>0</v>
      </c>
      <c r="H15" s="49" t="n">
        <v>0</v>
      </c>
      <c r="I15" s="49" t="n">
        <v>0</v>
      </c>
      <c r="J15" s="49" t="n">
        <v>51</v>
      </c>
      <c r="K15" s="49" t="n">
        <v>51</v>
      </c>
      <c r="L15" s="49" t="n">
        <v>60</v>
      </c>
      <c r="M15" s="50" t="n">
        <v>8000</v>
      </c>
      <c r="N15" s="49" t="n">
        <v>2</v>
      </c>
    </row>
    <row r="16">
      <c r="A16" s="48" t="inlineStr">
        <is>
          <t>MBway</t>
        </is>
      </c>
      <c r="B16" s="48" t="inlineStr">
        <is>
          <t>Nantes</t>
        </is>
      </c>
      <c r="C16" s="48" t="inlineStr">
        <is>
          <t>Bachelor Management</t>
        </is>
      </c>
      <c r="D16" s="48" t="inlineStr">
        <is>
          <t>BAC</t>
        </is>
      </c>
      <c r="E16" s="7" t="inlineStr">
        <is>
          <t>B3</t>
        </is>
      </c>
      <c r="F16" s="7" t="inlineStr">
        <is>
          <t>ALT</t>
        </is>
      </c>
      <c r="G16" s="7" t="n">
        <v>0</v>
      </c>
      <c r="H16" s="49" t="n">
        <v>0</v>
      </c>
      <c r="I16" s="49" t="n">
        <v>0</v>
      </c>
      <c r="J16" s="49" t="n">
        <v>45</v>
      </c>
      <c r="K16" s="49" t="n">
        <v>45</v>
      </c>
      <c r="L16" s="49" t="n">
        <v>51</v>
      </c>
      <c r="M16" s="50" t="n">
        <v>8000</v>
      </c>
      <c r="N16" s="49" t="n">
        <v>2</v>
      </c>
    </row>
    <row r="17">
      <c r="A17" s="48" t="inlineStr">
        <is>
          <t>MBway</t>
        </is>
      </c>
      <c r="B17" s="48" t="inlineStr">
        <is>
          <t>Nantes</t>
        </is>
      </c>
      <c r="C17" s="48" t="inlineStr">
        <is>
          <t>Mastère Management</t>
        </is>
      </c>
      <c r="D17" s="48" t="inlineStr">
        <is>
          <t>MAST</t>
        </is>
      </c>
      <c r="E17" s="7" t="inlineStr">
        <is>
          <t>M1</t>
        </is>
      </c>
      <c r="F17" s="7" t="inlineStr">
        <is>
          <t>ALT</t>
        </is>
      </c>
      <c r="G17" s="7" t="n">
        <v>1</v>
      </c>
      <c r="H17" s="49" t="n">
        <v>97</v>
      </c>
      <c r="I17" s="49" t="n">
        <v>36</v>
      </c>
      <c r="J17" s="49" t="n">
        <v>0</v>
      </c>
      <c r="K17" s="49" t="n">
        <v>36</v>
      </c>
      <c r="L17" s="49" t="n">
        <v>0</v>
      </c>
      <c r="M17" s="50" t="n">
        <v>9000</v>
      </c>
      <c r="N17" s="49" t="n">
        <v>2</v>
      </c>
    </row>
    <row r="18">
      <c r="A18" s="48" t="inlineStr">
        <is>
          <t>MBway</t>
        </is>
      </c>
      <c r="B18" s="48" t="inlineStr">
        <is>
          <t>Nantes</t>
        </is>
      </c>
      <c r="C18" s="48" t="inlineStr">
        <is>
          <t>Mastère Management</t>
        </is>
      </c>
      <c r="D18" s="48" t="inlineStr">
        <is>
          <t>MAST</t>
        </is>
      </c>
      <c r="E18" s="7" t="inlineStr">
        <is>
          <t>M2</t>
        </is>
      </c>
      <c r="F18" s="7" t="inlineStr">
        <is>
          <t>ALT</t>
        </is>
      </c>
      <c r="G18" s="7" t="n">
        <v>0</v>
      </c>
      <c r="H18" s="49" t="n">
        <v>0</v>
      </c>
      <c r="I18" s="49" t="n">
        <v>0</v>
      </c>
      <c r="J18" s="49" t="n">
        <v>32</v>
      </c>
      <c r="K18" s="49" t="n">
        <v>32</v>
      </c>
      <c r="L18" s="49" t="n">
        <v>36</v>
      </c>
      <c r="M18" s="50" t="n">
        <v>9000</v>
      </c>
      <c r="N18" s="49" t="n">
        <v>2</v>
      </c>
    </row>
    <row r="19">
      <c r="A19" s="48" t="inlineStr">
        <is>
          <t>MBway</t>
        </is>
      </c>
      <c r="B19" s="48" t="inlineStr">
        <is>
          <t>Bordeaux</t>
        </is>
      </c>
      <c r="C19" s="48" t="inlineStr">
        <is>
          <t>Bachelor Management</t>
        </is>
      </c>
      <c r="D19" s="48" t="inlineStr">
        <is>
          <t>BAC</t>
        </is>
      </c>
      <c r="E19" s="7" t="inlineStr">
        <is>
          <t>B1</t>
        </is>
      </c>
      <c r="F19" s="7" t="inlineStr">
        <is>
          <t>INIT</t>
        </is>
      </c>
      <c r="G19" s="7" t="n">
        <v>1</v>
      </c>
      <c r="H19" s="49" t="n">
        <v>137</v>
      </c>
      <c r="I19" s="49" t="n">
        <v>51</v>
      </c>
      <c r="J19" s="49" t="n">
        <v>0</v>
      </c>
      <c r="K19" s="49" t="n">
        <v>51</v>
      </c>
      <c r="L19" s="49" t="n">
        <v>0</v>
      </c>
      <c r="M19" s="50" t="n">
        <v>8500</v>
      </c>
      <c r="N19" s="49" t="n">
        <v>2</v>
      </c>
    </row>
    <row r="20">
      <c r="A20" s="48" t="inlineStr">
        <is>
          <t>MBway</t>
        </is>
      </c>
      <c r="B20" s="48" t="inlineStr">
        <is>
          <t>Bordeaux</t>
        </is>
      </c>
      <c r="C20" s="48" t="inlineStr">
        <is>
          <t>Bachelor Management</t>
        </is>
      </c>
      <c r="D20" s="48" t="inlineStr">
        <is>
          <t>BAC</t>
        </is>
      </c>
      <c r="E20" s="7" t="inlineStr">
        <is>
          <t>B2</t>
        </is>
      </c>
      <c r="F20" s="7" t="inlineStr">
        <is>
          <t>ALT</t>
        </is>
      </c>
      <c r="G20" s="7" t="n">
        <v>0</v>
      </c>
      <c r="H20" s="49" t="n">
        <v>0</v>
      </c>
      <c r="I20" s="49" t="n">
        <v>0</v>
      </c>
      <c r="J20" s="49" t="n">
        <v>43</v>
      </c>
      <c r="K20" s="49" t="n">
        <v>43</v>
      </c>
      <c r="L20" s="49" t="n">
        <v>51</v>
      </c>
      <c r="M20" s="50" t="n">
        <v>8000</v>
      </c>
      <c r="N20" s="49" t="n">
        <v>2</v>
      </c>
    </row>
    <row r="21">
      <c r="A21" s="48" t="inlineStr">
        <is>
          <t>MBway</t>
        </is>
      </c>
      <c r="B21" s="48" t="inlineStr">
        <is>
          <t>Bordeaux</t>
        </is>
      </c>
      <c r="C21" s="48" t="inlineStr">
        <is>
          <t>Bachelor Management</t>
        </is>
      </c>
      <c r="D21" s="48" t="inlineStr">
        <is>
          <t>BAC</t>
        </is>
      </c>
      <c r="E21" s="7" t="inlineStr">
        <is>
          <t>B3</t>
        </is>
      </c>
      <c r="F21" s="7" t="inlineStr">
        <is>
          <t>ALT</t>
        </is>
      </c>
      <c r="G21" s="7" t="n">
        <v>0</v>
      </c>
      <c r="H21" s="49" t="n">
        <v>0</v>
      </c>
      <c r="I21" s="49" t="n">
        <v>0</v>
      </c>
      <c r="J21" s="49" t="n">
        <v>38</v>
      </c>
      <c r="K21" s="49" t="n">
        <v>38</v>
      </c>
      <c r="L21" s="49" t="n">
        <v>43</v>
      </c>
      <c r="M21" s="50" t="n">
        <v>8000</v>
      </c>
      <c r="N21" s="49" t="n">
        <v>2</v>
      </c>
    </row>
    <row r="22">
      <c r="A22" s="48" t="inlineStr">
        <is>
          <t>MBway</t>
        </is>
      </c>
      <c r="B22" s="48" t="inlineStr">
        <is>
          <t>Bordeaux</t>
        </is>
      </c>
      <c r="C22" s="48" t="inlineStr">
        <is>
          <t>Mastère Management</t>
        </is>
      </c>
      <c r="D22" s="48" t="inlineStr">
        <is>
          <t>MAST</t>
        </is>
      </c>
      <c r="E22" s="7" t="inlineStr">
        <is>
          <t>M1</t>
        </is>
      </c>
      <c r="F22" s="7" t="inlineStr">
        <is>
          <t>ALT</t>
        </is>
      </c>
      <c r="G22" s="7" t="n">
        <v>1</v>
      </c>
      <c r="H22" s="49" t="n">
        <v>83</v>
      </c>
      <c r="I22" s="49" t="n">
        <v>31</v>
      </c>
      <c r="J22" s="49" t="n">
        <v>0</v>
      </c>
      <c r="K22" s="49" t="n">
        <v>31</v>
      </c>
      <c r="L22" s="49" t="n">
        <v>0</v>
      </c>
      <c r="M22" s="50" t="n">
        <v>9000</v>
      </c>
      <c r="N22" s="49" t="n">
        <v>2</v>
      </c>
    </row>
    <row r="23">
      <c r="A23" s="48" t="inlineStr">
        <is>
          <t>MBway</t>
        </is>
      </c>
      <c r="B23" s="48" t="inlineStr">
        <is>
          <t>Bordeaux</t>
        </is>
      </c>
      <c r="C23" s="48" t="inlineStr">
        <is>
          <t>Mastère Management</t>
        </is>
      </c>
      <c r="D23" s="48" t="inlineStr">
        <is>
          <t>MAST</t>
        </is>
      </c>
      <c r="E23" s="7" t="inlineStr">
        <is>
          <t>M2</t>
        </is>
      </c>
      <c r="F23" s="7" t="inlineStr">
        <is>
          <t>ALT</t>
        </is>
      </c>
      <c r="G23" s="7" t="n">
        <v>0</v>
      </c>
      <c r="H23" s="49" t="n">
        <v>0</v>
      </c>
      <c r="I23" s="49" t="n">
        <v>0</v>
      </c>
      <c r="J23" s="49" t="n">
        <v>28</v>
      </c>
      <c r="K23" s="49" t="n">
        <v>28</v>
      </c>
      <c r="L23" s="49" t="n">
        <v>31</v>
      </c>
      <c r="M23" s="50" t="n">
        <v>9000</v>
      </c>
      <c r="N23" s="49" t="n">
        <v>2</v>
      </c>
    </row>
    <row r="24">
      <c r="A24" s="48" t="inlineStr">
        <is>
          <t>ISCOM</t>
        </is>
      </c>
      <c r="B24" s="48" t="inlineStr">
        <is>
          <t>Paris</t>
        </is>
      </c>
      <c r="C24" s="48" t="inlineStr">
        <is>
          <t>Bachelor Communication</t>
        </is>
      </c>
      <c r="D24" s="48" t="inlineStr">
        <is>
          <t>BAC</t>
        </is>
      </c>
      <c r="E24" s="7" t="inlineStr">
        <is>
          <t>B1</t>
        </is>
      </c>
      <c r="F24" s="7" t="inlineStr">
        <is>
          <t>INIT</t>
        </is>
      </c>
      <c r="G24" s="7" t="n">
        <v>1</v>
      </c>
      <c r="H24" s="49" t="n">
        <v>194</v>
      </c>
      <c r="I24" s="49" t="n">
        <v>72</v>
      </c>
      <c r="J24" s="49" t="n">
        <v>0</v>
      </c>
      <c r="K24" s="49" t="n">
        <v>72</v>
      </c>
      <c r="L24" s="49" t="n">
        <v>0</v>
      </c>
      <c r="M24" s="50" t="n">
        <v>8500</v>
      </c>
      <c r="N24" s="49" t="n">
        <v>3</v>
      </c>
    </row>
    <row r="25">
      <c r="A25" s="48" t="inlineStr">
        <is>
          <t>ISCOM</t>
        </is>
      </c>
      <c r="B25" s="48" t="inlineStr">
        <is>
          <t>Paris</t>
        </is>
      </c>
      <c r="C25" s="48" t="inlineStr">
        <is>
          <t>Bachelor Communication</t>
        </is>
      </c>
      <c r="D25" s="48" t="inlineStr">
        <is>
          <t>BAC</t>
        </is>
      </c>
      <c r="E25" s="7" t="inlineStr">
        <is>
          <t>B2</t>
        </is>
      </c>
      <c r="F25" s="7" t="inlineStr">
        <is>
          <t>ALT</t>
        </is>
      </c>
      <c r="G25" s="7" t="n">
        <v>0</v>
      </c>
      <c r="H25" s="49" t="n">
        <v>0</v>
      </c>
      <c r="I25" s="49" t="n">
        <v>0</v>
      </c>
      <c r="J25" s="49" t="n">
        <v>61</v>
      </c>
      <c r="K25" s="49" t="n">
        <v>61</v>
      </c>
      <c r="L25" s="49" t="n">
        <v>72</v>
      </c>
      <c r="M25" s="50" t="n">
        <v>8000</v>
      </c>
      <c r="N25" s="49" t="n">
        <v>2</v>
      </c>
    </row>
    <row r="26">
      <c r="A26" s="48" t="inlineStr">
        <is>
          <t>ISCOM</t>
        </is>
      </c>
      <c r="B26" s="48" t="inlineStr">
        <is>
          <t>Paris</t>
        </is>
      </c>
      <c r="C26" s="48" t="inlineStr">
        <is>
          <t>Bachelor Communication</t>
        </is>
      </c>
      <c r="D26" s="48" t="inlineStr">
        <is>
          <t>BAC</t>
        </is>
      </c>
      <c r="E26" s="7" t="inlineStr">
        <is>
          <t>B3</t>
        </is>
      </c>
      <c r="F26" s="7" t="inlineStr">
        <is>
          <t>ALT</t>
        </is>
      </c>
      <c r="G26" s="7" t="n">
        <v>0</v>
      </c>
      <c r="H26" s="49" t="n">
        <v>0</v>
      </c>
      <c r="I26" s="49" t="n">
        <v>0</v>
      </c>
      <c r="J26" s="49" t="n">
        <v>54</v>
      </c>
      <c r="K26" s="49" t="n">
        <v>54</v>
      </c>
      <c r="L26" s="49" t="n">
        <v>61</v>
      </c>
      <c r="M26" s="50" t="n">
        <v>8000</v>
      </c>
      <c r="N26" s="49" t="n">
        <v>2</v>
      </c>
    </row>
    <row r="27">
      <c r="A27" s="48" t="inlineStr">
        <is>
          <t>ISCOM</t>
        </is>
      </c>
      <c r="B27" s="48" t="inlineStr">
        <is>
          <t>Paris</t>
        </is>
      </c>
      <c r="C27" s="48" t="inlineStr">
        <is>
          <t>Mastère Communication</t>
        </is>
      </c>
      <c r="D27" s="48" t="inlineStr">
        <is>
          <t>MAST</t>
        </is>
      </c>
      <c r="E27" s="7" t="inlineStr">
        <is>
          <t>M1</t>
        </is>
      </c>
      <c r="F27" s="7" t="inlineStr">
        <is>
          <t>ALT</t>
        </is>
      </c>
      <c r="G27" s="7" t="n">
        <v>1</v>
      </c>
      <c r="H27" s="49" t="n">
        <v>116</v>
      </c>
      <c r="I27" s="49" t="n">
        <v>43</v>
      </c>
      <c r="J27" s="49" t="n">
        <v>0</v>
      </c>
      <c r="K27" s="49" t="n">
        <v>43</v>
      </c>
      <c r="L27" s="49" t="n">
        <v>0</v>
      </c>
      <c r="M27" s="50" t="n">
        <v>9000</v>
      </c>
      <c r="N27" s="49" t="n">
        <v>2</v>
      </c>
    </row>
    <row r="28">
      <c r="A28" s="48" t="inlineStr">
        <is>
          <t>ISCOM</t>
        </is>
      </c>
      <c r="B28" s="48" t="inlineStr">
        <is>
          <t>Paris</t>
        </is>
      </c>
      <c r="C28" s="48" t="inlineStr">
        <is>
          <t>Mastère Communication</t>
        </is>
      </c>
      <c r="D28" s="48" t="inlineStr">
        <is>
          <t>MAST</t>
        </is>
      </c>
      <c r="E28" s="7" t="inlineStr">
        <is>
          <t>M2</t>
        </is>
      </c>
      <c r="F28" s="7" t="inlineStr">
        <is>
          <t>ALT</t>
        </is>
      </c>
      <c r="G28" s="7" t="n">
        <v>0</v>
      </c>
      <c r="H28" s="49" t="n">
        <v>0</v>
      </c>
      <c r="I28" s="49" t="n">
        <v>0</v>
      </c>
      <c r="J28" s="49" t="n">
        <v>39</v>
      </c>
      <c r="K28" s="49" t="n">
        <v>39</v>
      </c>
      <c r="L28" s="49" t="n">
        <v>43</v>
      </c>
      <c r="M28" s="50" t="n">
        <v>9000</v>
      </c>
      <c r="N28" s="49" t="n">
        <v>2</v>
      </c>
    </row>
    <row r="29">
      <c r="A29" s="48" t="inlineStr">
        <is>
          <t>ISCOM</t>
        </is>
      </c>
      <c r="B29" s="48" t="inlineStr">
        <is>
          <t>Lille</t>
        </is>
      </c>
      <c r="C29" s="48" t="inlineStr">
        <is>
          <t>Bachelor Communication</t>
        </is>
      </c>
      <c r="D29" s="48" t="inlineStr">
        <is>
          <t>BAC</t>
        </is>
      </c>
      <c r="E29" s="7" t="inlineStr">
        <is>
          <t>B1</t>
        </is>
      </c>
      <c r="F29" s="7" t="inlineStr">
        <is>
          <t>INIT</t>
        </is>
      </c>
      <c r="G29" s="7" t="n">
        <v>1</v>
      </c>
      <c r="H29" s="49" t="n">
        <v>134</v>
      </c>
      <c r="I29" s="49" t="n">
        <v>50</v>
      </c>
      <c r="J29" s="49" t="n">
        <v>0</v>
      </c>
      <c r="K29" s="49" t="n">
        <v>50</v>
      </c>
      <c r="L29" s="49" t="n">
        <v>0</v>
      </c>
      <c r="M29" s="50" t="n">
        <v>8500</v>
      </c>
      <c r="N29" s="49" t="n">
        <v>2</v>
      </c>
    </row>
    <row r="30">
      <c r="A30" s="48" t="inlineStr">
        <is>
          <t>ISCOM</t>
        </is>
      </c>
      <c r="B30" s="48" t="inlineStr">
        <is>
          <t>Lille</t>
        </is>
      </c>
      <c r="C30" s="48" t="inlineStr">
        <is>
          <t>Bachelor Communication</t>
        </is>
      </c>
      <c r="D30" s="48" t="inlineStr">
        <is>
          <t>BAC</t>
        </is>
      </c>
      <c r="E30" s="7" t="inlineStr">
        <is>
          <t>B2</t>
        </is>
      </c>
      <c r="F30" s="7" t="inlineStr">
        <is>
          <t>ALT</t>
        </is>
      </c>
      <c r="G30" s="7" t="n">
        <v>0</v>
      </c>
      <c r="H30" s="49" t="n">
        <v>0</v>
      </c>
      <c r="I30" s="49" t="n">
        <v>0</v>
      </c>
      <c r="J30" s="49" t="n">
        <v>42</v>
      </c>
      <c r="K30" s="49" t="n">
        <v>42</v>
      </c>
      <c r="L30" s="49" t="n">
        <v>50</v>
      </c>
      <c r="M30" s="50" t="n">
        <v>8000</v>
      </c>
      <c r="N30" s="49" t="n">
        <v>2</v>
      </c>
    </row>
    <row r="31">
      <c r="A31" s="48" t="inlineStr">
        <is>
          <t>ISCOM</t>
        </is>
      </c>
      <c r="B31" s="48" t="inlineStr">
        <is>
          <t>Lille</t>
        </is>
      </c>
      <c r="C31" s="48" t="inlineStr">
        <is>
          <t>Bachelor Communication</t>
        </is>
      </c>
      <c r="D31" s="48" t="inlineStr">
        <is>
          <t>BAC</t>
        </is>
      </c>
      <c r="E31" s="7" t="inlineStr">
        <is>
          <t>B3</t>
        </is>
      </c>
      <c r="F31" s="7" t="inlineStr">
        <is>
          <t>ALT</t>
        </is>
      </c>
      <c r="G31" s="7" t="n">
        <v>0</v>
      </c>
      <c r="H31" s="49" t="n">
        <v>0</v>
      </c>
      <c r="I31" s="49" t="n">
        <v>0</v>
      </c>
      <c r="J31" s="49" t="n">
        <v>38</v>
      </c>
      <c r="K31" s="49" t="n">
        <v>38</v>
      </c>
      <c r="L31" s="49" t="n">
        <v>42</v>
      </c>
      <c r="M31" s="50" t="n">
        <v>8000</v>
      </c>
      <c r="N31" s="49" t="n">
        <v>2</v>
      </c>
    </row>
    <row r="32">
      <c r="A32" s="48" t="inlineStr">
        <is>
          <t>ISCOM</t>
        </is>
      </c>
      <c r="B32" s="48" t="inlineStr">
        <is>
          <t>Lille</t>
        </is>
      </c>
      <c r="C32" s="48" t="inlineStr">
        <is>
          <t>Mastère Communication</t>
        </is>
      </c>
      <c r="D32" s="48" t="inlineStr">
        <is>
          <t>MAST</t>
        </is>
      </c>
      <c r="E32" s="7" t="inlineStr">
        <is>
          <t>M1</t>
        </is>
      </c>
      <c r="F32" s="7" t="inlineStr">
        <is>
          <t>ALT</t>
        </is>
      </c>
      <c r="G32" s="7" t="n">
        <v>1</v>
      </c>
      <c r="H32" s="49" t="n">
        <v>81</v>
      </c>
      <c r="I32" s="49" t="n">
        <v>30</v>
      </c>
      <c r="J32" s="49" t="n">
        <v>0</v>
      </c>
      <c r="K32" s="49" t="n">
        <v>30</v>
      </c>
      <c r="L32" s="49" t="n">
        <v>0</v>
      </c>
      <c r="M32" s="50" t="n">
        <v>9000</v>
      </c>
      <c r="N32" s="49" t="n">
        <v>2</v>
      </c>
    </row>
    <row r="33">
      <c r="A33" s="48" t="inlineStr">
        <is>
          <t>ISCOM</t>
        </is>
      </c>
      <c r="B33" s="48" t="inlineStr">
        <is>
          <t>Lille</t>
        </is>
      </c>
      <c r="C33" s="48" t="inlineStr">
        <is>
          <t>Mastère Communication</t>
        </is>
      </c>
      <c r="D33" s="48" t="inlineStr">
        <is>
          <t>MAST</t>
        </is>
      </c>
      <c r="E33" s="7" t="inlineStr">
        <is>
          <t>M2</t>
        </is>
      </c>
      <c r="F33" s="7" t="inlineStr">
        <is>
          <t>ALT</t>
        </is>
      </c>
      <c r="G33" s="7" t="n">
        <v>0</v>
      </c>
      <c r="H33" s="49" t="n">
        <v>0</v>
      </c>
      <c r="I33" s="49" t="n">
        <v>0</v>
      </c>
      <c r="J33" s="49" t="n">
        <v>27</v>
      </c>
      <c r="K33" s="49" t="n">
        <v>27</v>
      </c>
      <c r="L33" s="49" t="n">
        <v>30</v>
      </c>
      <c r="M33" s="50" t="n">
        <v>9000</v>
      </c>
      <c r="N33" s="49" t="n">
        <v>2</v>
      </c>
    </row>
    <row r="34">
      <c r="A34" s="48" t="inlineStr">
        <is>
          <t>ISCOM</t>
        </is>
      </c>
      <c r="B34" s="48" t="inlineStr">
        <is>
          <t>Toulouse</t>
        </is>
      </c>
      <c r="C34" s="48" t="inlineStr">
        <is>
          <t>Bachelor Communication</t>
        </is>
      </c>
      <c r="D34" s="48" t="inlineStr">
        <is>
          <t>BAC</t>
        </is>
      </c>
      <c r="E34" s="7" t="inlineStr">
        <is>
          <t>B1</t>
        </is>
      </c>
      <c r="F34" s="7" t="inlineStr">
        <is>
          <t>INIT</t>
        </is>
      </c>
      <c r="G34" s="7" t="n">
        <v>1</v>
      </c>
      <c r="H34" s="49" t="n">
        <v>126</v>
      </c>
      <c r="I34" s="49" t="n">
        <v>47</v>
      </c>
      <c r="J34" s="49" t="n">
        <v>0</v>
      </c>
      <c r="K34" s="49" t="n">
        <v>47</v>
      </c>
      <c r="L34" s="49" t="n">
        <v>0</v>
      </c>
      <c r="M34" s="50" t="n">
        <v>8500</v>
      </c>
      <c r="N34" s="49" t="n">
        <v>2</v>
      </c>
    </row>
    <row r="35">
      <c r="A35" s="48" t="inlineStr">
        <is>
          <t>ISCOM</t>
        </is>
      </c>
      <c r="B35" s="48" t="inlineStr">
        <is>
          <t>Toulouse</t>
        </is>
      </c>
      <c r="C35" s="48" t="inlineStr">
        <is>
          <t>Bachelor Communication</t>
        </is>
      </c>
      <c r="D35" s="48" t="inlineStr">
        <is>
          <t>BAC</t>
        </is>
      </c>
      <c r="E35" s="7" t="inlineStr">
        <is>
          <t>B2</t>
        </is>
      </c>
      <c r="F35" s="7" t="inlineStr">
        <is>
          <t>ALT</t>
        </is>
      </c>
      <c r="G35" s="7" t="n">
        <v>0</v>
      </c>
      <c r="H35" s="49" t="n">
        <v>0</v>
      </c>
      <c r="I35" s="49" t="n">
        <v>0</v>
      </c>
      <c r="J35" s="49" t="n">
        <v>40</v>
      </c>
      <c r="K35" s="49" t="n">
        <v>40</v>
      </c>
      <c r="L35" s="49" t="n">
        <v>47</v>
      </c>
      <c r="M35" s="50" t="n">
        <v>8000</v>
      </c>
      <c r="N35" s="49" t="n">
        <v>2</v>
      </c>
    </row>
    <row r="36">
      <c r="A36" s="48" t="inlineStr">
        <is>
          <t>ISCOM</t>
        </is>
      </c>
      <c r="B36" s="48" t="inlineStr">
        <is>
          <t>Toulouse</t>
        </is>
      </c>
      <c r="C36" s="48" t="inlineStr">
        <is>
          <t>Bachelor Communication</t>
        </is>
      </c>
      <c r="D36" s="48" t="inlineStr">
        <is>
          <t>BAC</t>
        </is>
      </c>
      <c r="E36" s="7" t="inlineStr">
        <is>
          <t>B3</t>
        </is>
      </c>
      <c r="F36" s="7" t="inlineStr">
        <is>
          <t>ALT</t>
        </is>
      </c>
      <c r="G36" s="7" t="n">
        <v>0</v>
      </c>
      <c r="H36" s="49" t="n">
        <v>0</v>
      </c>
      <c r="I36" s="49" t="n">
        <v>0</v>
      </c>
      <c r="J36" s="49" t="n">
        <v>35</v>
      </c>
      <c r="K36" s="49" t="n">
        <v>35</v>
      </c>
      <c r="L36" s="49" t="n">
        <v>40</v>
      </c>
      <c r="M36" s="50" t="n">
        <v>8000</v>
      </c>
      <c r="N36" s="49" t="n">
        <v>2</v>
      </c>
    </row>
    <row r="37">
      <c r="A37" s="48" t="inlineStr">
        <is>
          <t>ISCOM</t>
        </is>
      </c>
      <c r="B37" s="48" t="inlineStr">
        <is>
          <t>Toulouse</t>
        </is>
      </c>
      <c r="C37" s="48" t="inlineStr">
        <is>
          <t>Mastère Communication</t>
        </is>
      </c>
      <c r="D37" s="48" t="inlineStr">
        <is>
          <t>MAST</t>
        </is>
      </c>
      <c r="E37" s="7" t="inlineStr">
        <is>
          <t>M1</t>
        </is>
      </c>
      <c r="F37" s="7" t="inlineStr">
        <is>
          <t>ALT</t>
        </is>
      </c>
      <c r="G37" s="7" t="n">
        <v>1</v>
      </c>
      <c r="H37" s="49" t="n">
        <v>75</v>
      </c>
      <c r="I37" s="49" t="n">
        <v>28</v>
      </c>
      <c r="J37" s="49" t="n">
        <v>0</v>
      </c>
      <c r="K37" s="49" t="n">
        <v>28</v>
      </c>
      <c r="L37" s="49" t="n">
        <v>0</v>
      </c>
      <c r="M37" s="50" t="n">
        <v>9000</v>
      </c>
      <c r="N37" s="49" t="n">
        <v>2</v>
      </c>
    </row>
    <row r="38">
      <c r="A38" s="48" t="inlineStr">
        <is>
          <t>ISCOM</t>
        </is>
      </c>
      <c r="B38" s="48" t="inlineStr">
        <is>
          <t>Toulouse</t>
        </is>
      </c>
      <c r="C38" s="48" t="inlineStr">
        <is>
          <t>Mastère Communication</t>
        </is>
      </c>
      <c r="D38" s="48" t="inlineStr">
        <is>
          <t>MAST</t>
        </is>
      </c>
      <c r="E38" s="7" t="inlineStr">
        <is>
          <t>M2</t>
        </is>
      </c>
      <c r="F38" s="7" t="inlineStr">
        <is>
          <t>ALT</t>
        </is>
      </c>
      <c r="G38" s="7" t="n">
        <v>0</v>
      </c>
      <c r="H38" s="49" t="n">
        <v>0</v>
      </c>
      <c r="I38" s="49" t="n">
        <v>0</v>
      </c>
      <c r="J38" s="49" t="n">
        <v>25</v>
      </c>
      <c r="K38" s="49" t="n">
        <v>25</v>
      </c>
      <c r="L38" s="49" t="n">
        <v>28</v>
      </c>
      <c r="M38" s="50" t="n">
        <v>9000</v>
      </c>
      <c r="N38" s="49" t="n">
        <v>1</v>
      </c>
    </row>
    <row r="39">
      <c r="A39" s="48" t="inlineStr">
        <is>
          <t>Ipac Bachelor Factory</t>
        </is>
      </c>
      <c r="B39" s="48" t="inlineStr">
        <is>
          <t>Nantes</t>
        </is>
      </c>
      <c r="C39" s="48" t="inlineStr">
        <is>
          <t>Bachelor Commerce</t>
        </is>
      </c>
      <c r="D39" s="48" t="inlineStr">
        <is>
          <t>BAC</t>
        </is>
      </c>
      <c r="E39" s="7" t="inlineStr">
        <is>
          <t>B1</t>
        </is>
      </c>
      <c r="F39" s="7" t="inlineStr">
        <is>
          <t>ALT</t>
        </is>
      </c>
      <c r="G39" s="7" t="n">
        <v>1</v>
      </c>
      <c r="H39" s="49" t="n">
        <v>134</v>
      </c>
      <c r="I39" s="49" t="n">
        <v>50</v>
      </c>
      <c r="J39" s="49" t="n">
        <v>0</v>
      </c>
      <c r="K39" s="49" t="n">
        <v>50</v>
      </c>
      <c r="L39" s="49" t="n">
        <v>0</v>
      </c>
      <c r="M39" s="50" t="n">
        <v>8000</v>
      </c>
      <c r="N39" s="49" t="n">
        <v>2</v>
      </c>
    </row>
    <row r="40">
      <c r="A40" s="48" t="inlineStr">
        <is>
          <t>Ipac Bachelor Factory</t>
        </is>
      </c>
      <c r="B40" s="48" t="inlineStr">
        <is>
          <t>Nantes</t>
        </is>
      </c>
      <c r="C40" s="48" t="inlineStr">
        <is>
          <t>Bachelor Commerce</t>
        </is>
      </c>
      <c r="D40" s="48" t="inlineStr">
        <is>
          <t>BAC</t>
        </is>
      </c>
      <c r="E40" s="7" t="inlineStr">
        <is>
          <t>B2</t>
        </is>
      </c>
      <c r="F40" s="7" t="inlineStr">
        <is>
          <t>ALT</t>
        </is>
      </c>
      <c r="G40" s="7" t="n">
        <v>0</v>
      </c>
      <c r="H40" s="49" t="n">
        <v>0</v>
      </c>
      <c r="I40" s="49" t="n">
        <v>0</v>
      </c>
      <c r="J40" s="49" t="n">
        <v>42</v>
      </c>
      <c r="K40" s="49" t="n">
        <v>42</v>
      </c>
      <c r="L40" s="49" t="n">
        <v>50</v>
      </c>
      <c r="M40" s="50" t="n">
        <v>8000</v>
      </c>
      <c r="N40" s="49" t="n">
        <v>2</v>
      </c>
    </row>
    <row r="41">
      <c r="A41" s="48" t="inlineStr">
        <is>
          <t>Ipac Bachelor Factory</t>
        </is>
      </c>
      <c r="B41" s="48" t="inlineStr">
        <is>
          <t>Nantes</t>
        </is>
      </c>
      <c r="C41" s="48" t="inlineStr">
        <is>
          <t>Bachelor Commerce</t>
        </is>
      </c>
      <c r="D41" s="48" t="inlineStr">
        <is>
          <t>BAC</t>
        </is>
      </c>
      <c r="E41" s="7" t="inlineStr">
        <is>
          <t>B3</t>
        </is>
      </c>
      <c r="F41" s="7" t="inlineStr">
        <is>
          <t>ALT</t>
        </is>
      </c>
      <c r="G41" s="7" t="n">
        <v>0</v>
      </c>
      <c r="H41" s="49" t="n">
        <v>0</v>
      </c>
      <c r="I41" s="49" t="n">
        <v>0</v>
      </c>
      <c r="J41" s="49" t="n">
        <v>38</v>
      </c>
      <c r="K41" s="49" t="n">
        <v>38</v>
      </c>
      <c r="L41" s="49" t="n">
        <v>42</v>
      </c>
      <c r="M41" s="50" t="n">
        <v>8000</v>
      </c>
      <c r="N41" s="49" t="n">
        <v>2</v>
      </c>
    </row>
    <row r="42">
      <c r="A42" s="48" t="inlineStr">
        <is>
          <t>Ipac Bachelor Factory</t>
        </is>
      </c>
      <c r="B42" s="48" t="inlineStr">
        <is>
          <t>Rennes</t>
        </is>
      </c>
      <c r="C42" s="48" t="inlineStr">
        <is>
          <t>Bachelor Commerce</t>
        </is>
      </c>
      <c r="D42" s="48" t="inlineStr">
        <is>
          <t>BAC</t>
        </is>
      </c>
      <c r="E42" s="7" t="inlineStr">
        <is>
          <t>B1</t>
        </is>
      </c>
      <c r="F42" s="7" t="inlineStr">
        <is>
          <t>ALT</t>
        </is>
      </c>
      <c r="G42" s="7" t="n">
        <v>1</v>
      </c>
      <c r="H42" s="49" t="n">
        <v>108</v>
      </c>
      <c r="I42" s="49" t="n">
        <v>40</v>
      </c>
      <c r="J42" s="49" t="n">
        <v>0</v>
      </c>
      <c r="K42" s="49" t="n">
        <v>40</v>
      </c>
      <c r="L42" s="49" t="n">
        <v>0</v>
      </c>
      <c r="M42" s="50" t="n">
        <v>8000</v>
      </c>
      <c r="N42" s="49" t="n">
        <v>2</v>
      </c>
    </row>
    <row r="43">
      <c r="A43" s="48" t="inlineStr">
        <is>
          <t>Ipac Bachelor Factory</t>
        </is>
      </c>
      <c r="B43" s="48" t="inlineStr">
        <is>
          <t>Rennes</t>
        </is>
      </c>
      <c r="C43" s="48" t="inlineStr">
        <is>
          <t>Bachelor Commerce</t>
        </is>
      </c>
      <c r="D43" s="48" t="inlineStr">
        <is>
          <t>BAC</t>
        </is>
      </c>
      <c r="E43" s="7" t="inlineStr">
        <is>
          <t>B2</t>
        </is>
      </c>
      <c r="F43" s="7" t="inlineStr">
        <is>
          <t>ALT</t>
        </is>
      </c>
      <c r="G43" s="7" t="n">
        <v>0</v>
      </c>
      <c r="H43" s="49" t="n">
        <v>0</v>
      </c>
      <c r="I43" s="49" t="n">
        <v>0</v>
      </c>
      <c r="J43" s="49" t="n">
        <v>34</v>
      </c>
      <c r="K43" s="49" t="n">
        <v>34</v>
      </c>
      <c r="L43" s="49" t="n">
        <v>40</v>
      </c>
      <c r="M43" s="50" t="n">
        <v>8000</v>
      </c>
      <c r="N43" s="49" t="n">
        <v>2</v>
      </c>
    </row>
    <row r="44">
      <c r="A44" s="48" t="inlineStr">
        <is>
          <t>Ipac Bachelor Factory</t>
        </is>
      </c>
      <c r="B44" s="48" t="inlineStr">
        <is>
          <t>Rennes</t>
        </is>
      </c>
      <c r="C44" s="48" t="inlineStr">
        <is>
          <t>Bachelor Commerce</t>
        </is>
      </c>
      <c r="D44" s="48" t="inlineStr">
        <is>
          <t>BAC</t>
        </is>
      </c>
      <c r="E44" s="7" t="inlineStr">
        <is>
          <t>B3</t>
        </is>
      </c>
      <c r="F44" s="7" t="inlineStr">
        <is>
          <t>ALT</t>
        </is>
      </c>
      <c r="G44" s="7" t="n">
        <v>0</v>
      </c>
      <c r="H44" s="49" t="n">
        <v>0</v>
      </c>
      <c r="I44" s="49" t="n">
        <v>0</v>
      </c>
      <c r="J44" s="49" t="n">
        <v>30</v>
      </c>
      <c r="K44" s="49" t="n">
        <v>30</v>
      </c>
      <c r="L44" s="49" t="n">
        <v>34</v>
      </c>
      <c r="M44" s="50" t="n">
        <v>8000</v>
      </c>
      <c r="N44" s="49" t="n">
        <v>1</v>
      </c>
    </row>
    <row r="45">
      <c r="A45" s="48" t="inlineStr">
        <is>
          <t>Ipac Bachelor Factory</t>
        </is>
      </c>
      <c r="B45" s="48" t="inlineStr">
        <is>
          <t>Montpellier</t>
        </is>
      </c>
      <c r="C45" s="48" t="inlineStr">
        <is>
          <t>Bachelor Commerce</t>
        </is>
      </c>
      <c r="D45" s="48" t="inlineStr">
        <is>
          <t>BAC</t>
        </is>
      </c>
      <c r="E45" s="7" t="inlineStr">
        <is>
          <t>B1</t>
        </is>
      </c>
      <c r="F45" s="7" t="inlineStr">
        <is>
          <t>ALT</t>
        </is>
      </c>
      <c r="G45" s="7" t="n">
        <v>1</v>
      </c>
      <c r="H45" s="49" t="n">
        <v>108</v>
      </c>
      <c r="I45" s="49" t="n">
        <v>40</v>
      </c>
      <c r="J45" s="49" t="n">
        <v>0</v>
      </c>
      <c r="K45" s="49" t="n">
        <v>40</v>
      </c>
      <c r="L45" s="49" t="n">
        <v>0</v>
      </c>
      <c r="M45" s="50" t="n">
        <v>8000</v>
      </c>
      <c r="N45" s="49" t="n">
        <v>2</v>
      </c>
    </row>
    <row r="46">
      <c r="A46" s="48" t="inlineStr">
        <is>
          <t>Ipac Bachelor Factory</t>
        </is>
      </c>
      <c r="B46" s="48" t="inlineStr">
        <is>
          <t>Montpellier</t>
        </is>
      </c>
      <c r="C46" s="48" t="inlineStr">
        <is>
          <t>Bachelor Commerce</t>
        </is>
      </c>
      <c r="D46" s="48" t="inlineStr">
        <is>
          <t>BAC</t>
        </is>
      </c>
      <c r="E46" s="7" t="inlineStr">
        <is>
          <t>B2</t>
        </is>
      </c>
      <c r="F46" s="7" t="inlineStr">
        <is>
          <t>ALT</t>
        </is>
      </c>
      <c r="G46" s="7" t="n">
        <v>0</v>
      </c>
      <c r="H46" s="49" t="n">
        <v>0</v>
      </c>
      <c r="I46" s="49" t="n">
        <v>0</v>
      </c>
      <c r="J46" s="49" t="n">
        <v>34</v>
      </c>
      <c r="K46" s="49" t="n">
        <v>34</v>
      </c>
      <c r="L46" s="49" t="n">
        <v>40</v>
      </c>
      <c r="M46" s="50" t="n">
        <v>8000</v>
      </c>
      <c r="N46" s="49" t="n">
        <v>2</v>
      </c>
    </row>
    <row r="47">
      <c r="A47" s="48" t="inlineStr">
        <is>
          <t>Ipac Bachelor Factory</t>
        </is>
      </c>
      <c r="B47" s="48" t="inlineStr">
        <is>
          <t>Montpellier</t>
        </is>
      </c>
      <c r="C47" s="48" t="inlineStr">
        <is>
          <t>Bachelor Commerce</t>
        </is>
      </c>
      <c r="D47" s="48" t="inlineStr">
        <is>
          <t>BAC</t>
        </is>
      </c>
      <c r="E47" s="7" t="inlineStr">
        <is>
          <t>B3</t>
        </is>
      </c>
      <c r="F47" s="7" t="inlineStr">
        <is>
          <t>ALT</t>
        </is>
      </c>
      <c r="G47" s="7" t="n">
        <v>0</v>
      </c>
      <c r="H47" s="49" t="n">
        <v>0</v>
      </c>
      <c r="I47" s="49" t="n">
        <v>0</v>
      </c>
      <c r="J47" s="49" t="n">
        <v>30</v>
      </c>
      <c r="K47" s="49" t="n">
        <v>30</v>
      </c>
      <c r="L47" s="49" t="n">
        <v>34</v>
      </c>
      <c r="M47" s="50" t="n">
        <v>8000</v>
      </c>
      <c r="N47" s="49" t="n">
        <v>1</v>
      </c>
    </row>
    <row r="48">
      <c r="A48" s="48" t="inlineStr">
        <is>
          <t>Pigier</t>
        </is>
      </c>
      <c r="B48" s="48" t="inlineStr">
        <is>
          <t>Lyon</t>
        </is>
      </c>
      <c r="C48" s="48" t="inlineStr">
        <is>
          <t>BTS Gestion</t>
        </is>
      </c>
      <c r="D48" s="48" t="inlineStr">
        <is>
          <t>BTS</t>
        </is>
      </c>
      <c r="E48" s="7" t="inlineStr">
        <is>
          <t>1</t>
        </is>
      </c>
      <c r="F48" s="7" t="inlineStr">
        <is>
          <t>ALT</t>
        </is>
      </c>
      <c r="G48" s="7" t="n">
        <v>1</v>
      </c>
      <c r="H48" s="49" t="n">
        <v>99</v>
      </c>
      <c r="I48" s="49" t="n">
        <v>37</v>
      </c>
      <c r="J48" s="49" t="n">
        <v>0</v>
      </c>
      <c r="K48" s="49" t="n">
        <v>37</v>
      </c>
      <c r="L48" s="49" t="n">
        <v>0</v>
      </c>
      <c r="M48" s="50" t="n">
        <v>7000</v>
      </c>
      <c r="N48" s="49" t="n">
        <v>2</v>
      </c>
    </row>
    <row r="49">
      <c r="A49" s="48" t="inlineStr">
        <is>
          <t>Pigier</t>
        </is>
      </c>
      <c r="B49" s="48" t="inlineStr">
        <is>
          <t>Lyon</t>
        </is>
      </c>
      <c r="C49" s="48" t="inlineStr">
        <is>
          <t>BTS Gestion</t>
        </is>
      </c>
      <c r="D49" s="48" t="inlineStr">
        <is>
          <t>BTS</t>
        </is>
      </c>
      <c r="E49" s="7" t="inlineStr">
        <is>
          <t>2</t>
        </is>
      </c>
      <c r="F49" s="7" t="inlineStr">
        <is>
          <t>ALT</t>
        </is>
      </c>
      <c r="G49" s="7" t="n">
        <v>0</v>
      </c>
      <c r="H49" s="49" t="n">
        <v>0</v>
      </c>
      <c r="I49" s="49" t="n">
        <v>0</v>
      </c>
      <c r="J49" s="49" t="n">
        <v>32</v>
      </c>
      <c r="K49" s="49" t="n">
        <v>32</v>
      </c>
      <c r="L49" s="49" t="n">
        <v>37</v>
      </c>
      <c r="M49" s="50" t="n">
        <v>7000</v>
      </c>
      <c r="N49" s="49" t="n">
        <v>2</v>
      </c>
    </row>
    <row r="50">
      <c r="A50" s="48" t="inlineStr">
        <is>
          <t>Pigier</t>
        </is>
      </c>
      <c r="B50" s="48" t="inlineStr">
        <is>
          <t>Lyon</t>
        </is>
      </c>
      <c r="C50" s="48" t="inlineStr">
        <is>
          <t>Bachelor RH</t>
        </is>
      </c>
      <c r="D50" s="48" t="inlineStr">
        <is>
          <t>BAC</t>
        </is>
      </c>
      <c r="E50" s="7" t="inlineStr">
        <is>
          <t>B1</t>
        </is>
      </c>
      <c r="F50" s="7" t="inlineStr">
        <is>
          <t>ALT</t>
        </is>
      </c>
      <c r="G50" s="7" t="n">
        <v>1</v>
      </c>
      <c r="H50" s="49" t="n">
        <v>124</v>
      </c>
      <c r="I50" s="49" t="n">
        <v>46</v>
      </c>
      <c r="J50" s="49" t="n">
        <v>0</v>
      </c>
      <c r="K50" s="49" t="n">
        <v>46</v>
      </c>
      <c r="L50" s="49" t="n">
        <v>0</v>
      </c>
      <c r="M50" s="50" t="n">
        <v>8000</v>
      </c>
      <c r="N50" s="49" t="n">
        <v>2</v>
      </c>
    </row>
    <row r="51">
      <c r="A51" s="48" t="inlineStr">
        <is>
          <t>Pigier</t>
        </is>
      </c>
      <c r="B51" s="48" t="inlineStr">
        <is>
          <t>Lyon</t>
        </is>
      </c>
      <c r="C51" s="48" t="inlineStr">
        <is>
          <t>Bachelor RH</t>
        </is>
      </c>
      <c r="D51" s="48" t="inlineStr">
        <is>
          <t>BAC</t>
        </is>
      </c>
      <c r="E51" s="7" t="inlineStr">
        <is>
          <t>B3</t>
        </is>
      </c>
      <c r="F51" s="7" t="inlineStr">
        <is>
          <t>ALT</t>
        </is>
      </c>
      <c r="G51" s="7" t="n">
        <v>0</v>
      </c>
      <c r="H51" s="49" t="n">
        <v>0</v>
      </c>
      <c r="I51" s="49" t="n">
        <v>0</v>
      </c>
      <c r="J51" s="49" t="n">
        <v>34</v>
      </c>
      <c r="K51" s="49" t="n">
        <v>34</v>
      </c>
      <c r="L51" s="49" t="n">
        <v>0</v>
      </c>
      <c r="M51" s="50" t="n">
        <v>8000</v>
      </c>
      <c r="N51" s="49" t="n">
        <v>2</v>
      </c>
    </row>
    <row r="52">
      <c r="A52" s="48" t="inlineStr">
        <is>
          <t>Pigier</t>
        </is>
      </c>
      <c r="B52" s="48" t="inlineStr">
        <is>
          <t>Bordeaux</t>
        </is>
      </c>
      <c r="C52" s="48" t="inlineStr">
        <is>
          <t>BTS Gestion</t>
        </is>
      </c>
      <c r="D52" s="48" t="inlineStr">
        <is>
          <t>BTS</t>
        </is>
      </c>
      <c r="E52" s="7" t="inlineStr">
        <is>
          <t>1</t>
        </is>
      </c>
      <c r="F52" s="7" t="inlineStr">
        <is>
          <t>ALT</t>
        </is>
      </c>
      <c r="G52" s="7" t="n">
        <v>1</v>
      </c>
      <c r="H52" s="49" t="n">
        <v>78</v>
      </c>
      <c r="I52" s="49" t="n">
        <v>29</v>
      </c>
      <c r="J52" s="49" t="n">
        <v>0</v>
      </c>
      <c r="K52" s="49" t="n">
        <v>29</v>
      </c>
      <c r="L52" s="49" t="n">
        <v>0</v>
      </c>
      <c r="M52" s="50" t="n">
        <v>7000</v>
      </c>
      <c r="N52" s="49" t="n">
        <v>1</v>
      </c>
    </row>
    <row r="53">
      <c r="A53" s="48" t="inlineStr">
        <is>
          <t>Pigier</t>
        </is>
      </c>
      <c r="B53" s="48" t="inlineStr">
        <is>
          <t>Bordeaux</t>
        </is>
      </c>
      <c r="C53" s="48" t="inlineStr">
        <is>
          <t>BTS Gestion</t>
        </is>
      </c>
      <c r="D53" s="48" t="inlineStr">
        <is>
          <t>BTS</t>
        </is>
      </c>
      <c r="E53" s="7" t="inlineStr">
        <is>
          <t>2</t>
        </is>
      </c>
      <c r="F53" s="7" t="inlineStr">
        <is>
          <t>ALT</t>
        </is>
      </c>
      <c r="G53" s="7" t="n">
        <v>0</v>
      </c>
      <c r="H53" s="49" t="n">
        <v>0</v>
      </c>
      <c r="I53" s="49" t="n">
        <v>0</v>
      </c>
      <c r="J53" s="49" t="n">
        <v>25</v>
      </c>
      <c r="K53" s="49" t="n">
        <v>25</v>
      </c>
      <c r="L53" s="49" t="n">
        <v>29</v>
      </c>
      <c r="M53" s="50" t="n">
        <v>7000</v>
      </c>
      <c r="N53" s="49" t="n">
        <v>1</v>
      </c>
    </row>
    <row r="54">
      <c r="A54" s="48" t="inlineStr">
        <is>
          <t>Pigier</t>
        </is>
      </c>
      <c r="B54" s="48" t="inlineStr">
        <is>
          <t>Bordeaux</t>
        </is>
      </c>
      <c r="C54" s="48" t="inlineStr">
        <is>
          <t>Bachelor RH</t>
        </is>
      </c>
      <c r="D54" s="48" t="inlineStr">
        <is>
          <t>BAC</t>
        </is>
      </c>
      <c r="E54" s="7" t="inlineStr">
        <is>
          <t>B1</t>
        </is>
      </c>
      <c r="F54" s="7" t="inlineStr">
        <is>
          <t>ALT</t>
        </is>
      </c>
      <c r="G54" s="7" t="n">
        <v>1</v>
      </c>
      <c r="H54" s="49" t="n">
        <v>97</v>
      </c>
      <c r="I54" s="49" t="n">
        <v>36</v>
      </c>
      <c r="J54" s="49" t="n">
        <v>0</v>
      </c>
      <c r="K54" s="49" t="n">
        <v>36</v>
      </c>
      <c r="L54" s="49" t="n">
        <v>0</v>
      </c>
      <c r="M54" s="50" t="n">
        <v>8000</v>
      </c>
      <c r="N54" s="49" t="n">
        <v>2</v>
      </c>
    </row>
    <row r="55">
      <c r="A55" s="48" t="inlineStr">
        <is>
          <t>Pigier</t>
        </is>
      </c>
      <c r="B55" s="48" t="inlineStr">
        <is>
          <t>Bordeaux</t>
        </is>
      </c>
      <c r="C55" s="48" t="inlineStr">
        <is>
          <t>Bachelor RH</t>
        </is>
      </c>
      <c r="D55" s="48" t="inlineStr">
        <is>
          <t>BAC</t>
        </is>
      </c>
      <c r="E55" s="7" t="inlineStr">
        <is>
          <t>B3</t>
        </is>
      </c>
      <c r="F55" s="7" t="inlineStr">
        <is>
          <t>ALT</t>
        </is>
      </c>
      <c r="G55" s="7" t="n">
        <v>0</v>
      </c>
      <c r="H55" s="49" t="n">
        <v>0</v>
      </c>
      <c r="I55" s="49" t="n">
        <v>0</v>
      </c>
      <c r="J55" s="49" t="n">
        <v>27</v>
      </c>
      <c r="K55" s="49" t="n">
        <v>27</v>
      </c>
      <c r="L55" s="49" t="n">
        <v>0</v>
      </c>
      <c r="M55" s="50" t="n">
        <v>8000</v>
      </c>
      <c r="N55" s="49" t="n">
        <v>1</v>
      </c>
    </row>
    <row r="56">
      <c r="A56" s="48" t="inlineStr">
        <is>
          <t>Tunon</t>
        </is>
      </c>
      <c r="B56" s="48" t="inlineStr">
        <is>
          <t>Paris</t>
        </is>
      </c>
      <c r="C56" s="48" t="inlineStr">
        <is>
          <t>Bachelor Tourisme</t>
        </is>
      </c>
      <c r="D56" s="48" t="inlineStr">
        <is>
          <t>BAC</t>
        </is>
      </c>
      <c r="E56" s="7" t="inlineStr">
        <is>
          <t>B1</t>
        </is>
      </c>
      <c r="F56" s="7" t="inlineStr">
        <is>
          <t>ALT</t>
        </is>
      </c>
      <c r="G56" s="7" t="n">
        <v>1</v>
      </c>
      <c r="H56" s="49" t="n">
        <v>126</v>
      </c>
      <c r="I56" s="49" t="n">
        <v>47</v>
      </c>
      <c r="J56" s="49" t="n">
        <v>0</v>
      </c>
      <c r="K56" s="49" t="n">
        <v>47</v>
      </c>
      <c r="L56" s="49" t="n">
        <v>0</v>
      </c>
      <c r="M56" s="50" t="n">
        <v>8000</v>
      </c>
      <c r="N56" s="49" t="n">
        <v>2</v>
      </c>
    </row>
    <row r="57">
      <c r="A57" s="48" t="inlineStr">
        <is>
          <t>Tunon</t>
        </is>
      </c>
      <c r="B57" s="48" t="inlineStr">
        <is>
          <t>Paris</t>
        </is>
      </c>
      <c r="C57" s="48" t="inlineStr">
        <is>
          <t>Bachelor Tourisme</t>
        </is>
      </c>
      <c r="D57" s="48" t="inlineStr">
        <is>
          <t>BAC</t>
        </is>
      </c>
      <c r="E57" s="7" t="inlineStr">
        <is>
          <t>B2</t>
        </is>
      </c>
      <c r="F57" s="7" t="inlineStr">
        <is>
          <t>ALT</t>
        </is>
      </c>
      <c r="G57" s="7" t="n">
        <v>0</v>
      </c>
      <c r="H57" s="49" t="n">
        <v>0</v>
      </c>
      <c r="I57" s="49" t="n">
        <v>0</v>
      </c>
      <c r="J57" s="49" t="n">
        <v>40</v>
      </c>
      <c r="K57" s="49" t="n">
        <v>40</v>
      </c>
      <c r="L57" s="49" t="n">
        <v>47</v>
      </c>
      <c r="M57" s="50" t="n">
        <v>8000</v>
      </c>
      <c r="N57" s="49" t="n">
        <v>2</v>
      </c>
    </row>
    <row r="58">
      <c r="A58" s="48" t="inlineStr">
        <is>
          <t>Tunon</t>
        </is>
      </c>
      <c r="B58" s="48" t="inlineStr">
        <is>
          <t>Paris</t>
        </is>
      </c>
      <c r="C58" s="48" t="inlineStr">
        <is>
          <t>Bachelor Tourisme</t>
        </is>
      </c>
      <c r="D58" s="48" t="inlineStr">
        <is>
          <t>BAC</t>
        </is>
      </c>
      <c r="E58" s="7" t="inlineStr">
        <is>
          <t>B3</t>
        </is>
      </c>
      <c r="F58" s="7" t="inlineStr">
        <is>
          <t>ALT</t>
        </is>
      </c>
      <c r="G58" s="7" t="n">
        <v>0</v>
      </c>
      <c r="H58" s="49" t="n">
        <v>0</v>
      </c>
      <c r="I58" s="49" t="n">
        <v>0</v>
      </c>
      <c r="J58" s="49" t="n">
        <v>35</v>
      </c>
      <c r="K58" s="49" t="n">
        <v>35</v>
      </c>
      <c r="L58" s="49" t="n">
        <v>40</v>
      </c>
      <c r="M58" s="50" t="n">
        <v>8000</v>
      </c>
      <c r="N58" s="49" t="n">
        <v>2</v>
      </c>
    </row>
    <row r="59">
      <c r="A59" s="48" t="inlineStr">
        <is>
          <t>Tunon</t>
        </is>
      </c>
      <c r="B59" s="48" t="inlineStr">
        <is>
          <t>Lyon</t>
        </is>
      </c>
      <c r="C59" s="48" t="inlineStr">
        <is>
          <t>Bachelor Tourisme</t>
        </is>
      </c>
      <c r="D59" s="48" t="inlineStr">
        <is>
          <t>BAC</t>
        </is>
      </c>
      <c r="E59" s="7" t="inlineStr">
        <is>
          <t>B1</t>
        </is>
      </c>
      <c r="F59" s="7" t="inlineStr">
        <is>
          <t>ALT</t>
        </is>
      </c>
      <c r="G59" s="7" t="n">
        <v>1</v>
      </c>
      <c r="H59" s="49" t="n">
        <v>108</v>
      </c>
      <c r="I59" s="49" t="n">
        <v>40</v>
      </c>
      <c r="J59" s="49" t="n">
        <v>0</v>
      </c>
      <c r="K59" s="49" t="n">
        <v>40</v>
      </c>
      <c r="L59" s="49" t="n">
        <v>0</v>
      </c>
      <c r="M59" s="50" t="n">
        <v>8000</v>
      </c>
      <c r="N59" s="49" t="n">
        <v>2</v>
      </c>
    </row>
    <row r="60">
      <c r="A60" s="48" t="inlineStr">
        <is>
          <t>Tunon</t>
        </is>
      </c>
      <c r="B60" s="48" t="inlineStr">
        <is>
          <t>Lyon</t>
        </is>
      </c>
      <c r="C60" s="48" t="inlineStr">
        <is>
          <t>Bachelor Tourisme</t>
        </is>
      </c>
      <c r="D60" s="48" t="inlineStr">
        <is>
          <t>BAC</t>
        </is>
      </c>
      <c r="E60" s="7" t="inlineStr">
        <is>
          <t>B2</t>
        </is>
      </c>
      <c r="F60" s="7" t="inlineStr">
        <is>
          <t>ALT</t>
        </is>
      </c>
      <c r="G60" s="7" t="n">
        <v>0</v>
      </c>
      <c r="H60" s="49" t="n">
        <v>0</v>
      </c>
      <c r="I60" s="49" t="n">
        <v>0</v>
      </c>
      <c r="J60" s="49" t="n">
        <v>34</v>
      </c>
      <c r="K60" s="49" t="n">
        <v>34</v>
      </c>
      <c r="L60" s="49" t="n">
        <v>40</v>
      </c>
      <c r="M60" s="50" t="n">
        <v>8000</v>
      </c>
      <c r="N60" s="49" t="n">
        <v>2</v>
      </c>
    </row>
    <row r="61">
      <c r="A61" s="48" t="inlineStr">
        <is>
          <t>Tunon</t>
        </is>
      </c>
      <c r="B61" s="48" t="inlineStr">
        <is>
          <t>Lyon</t>
        </is>
      </c>
      <c r="C61" s="48" t="inlineStr">
        <is>
          <t>Bachelor Tourisme</t>
        </is>
      </c>
      <c r="D61" s="48" t="inlineStr">
        <is>
          <t>BAC</t>
        </is>
      </c>
      <c r="E61" s="7" t="inlineStr">
        <is>
          <t>B3</t>
        </is>
      </c>
      <c r="F61" s="7" t="inlineStr">
        <is>
          <t>ALT</t>
        </is>
      </c>
      <c r="G61" s="7" t="n">
        <v>0</v>
      </c>
      <c r="H61" s="49" t="n">
        <v>0</v>
      </c>
      <c r="I61" s="49" t="n">
        <v>0</v>
      </c>
      <c r="J61" s="49" t="n">
        <v>30</v>
      </c>
      <c r="K61" s="49" t="n">
        <v>30</v>
      </c>
      <c r="L61" s="49" t="n">
        <v>34</v>
      </c>
      <c r="M61" s="50" t="n">
        <v>8000</v>
      </c>
      <c r="N61" s="49" t="n">
        <v>1</v>
      </c>
    </row>
    <row r="64">
      <c r="A64" s="51" t="inlineStr">
        <is>
          <t>Historique marketing par programme (issu du réalisé) → élasticité mesurée</t>
        </is>
      </c>
    </row>
    <row r="65">
      <c r="A65" s="20" t="inlineStr">
        <is>
          <t>Programme</t>
        </is>
      </c>
      <c r="B65" s="20" t="inlineStr">
        <is>
          <t>Cand N-2</t>
        </is>
      </c>
      <c r="C65" s="20" t="inlineStr">
        <is>
          <t>Cand N-1</t>
        </is>
      </c>
      <c r="D65" s="20" t="inlineStr">
        <is>
          <t>Marketing N-2</t>
        </is>
      </c>
      <c r="E65" s="20" t="inlineStr">
        <is>
          <t>Marketing N-1</t>
        </is>
      </c>
      <c r="F65" s="20" t="inlineStr">
        <is>
          <t>Élasticité mesurée</t>
        </is>
      </c>
    </row>
    <row r="66">
      <c r="A66" s="48" t="inlineStr">
        <is>
          <t>Bachelor Management</t>
        </is>
      </c>
      <c r="B66" s="49" t="n">
        <v>652</v>
      </c>
      <c r="C66" s="49" t="n">
        <v>685</v>
      </c>
      <c r="D66" s="52" t="n">
        <v>74182</v>
      </c>
      <c r="E66" s="52" t="n">
        <v>81600</v>
      </c>
      <c r="F66" s="18">
        <f>IFERROR((C66/B66-1)/(E66/D66-1),'01_Cadrage'!$H$27)</f>
        <v/>
      </c>
    </row>
    <row r="67">
      <c r="A67" s="48" t="inlineStr">
        <is>
          <t>Mastère Management</t>
        </is>
      </c>
      <c r="B67" s="49" t="n">
        <v>394</v>
      </c>
      <c r="C67" s="49" t="n">
        <v>414</v>
      </c>
      <c r="D67" s="52" t="n">
        <v>84000</v>
      </c>
      <c r="E67" s="52" t="n">
        <v>92400</v>
      </c>
      <c r="F67" s="18">
        <f>IFERROR((C67/B67-1)/(E67/D67-1),'01_Cadrage'!$H$27)</f>
        <v/>
      </c>
    </row>
    <row r="68">
      <c r="A68" s="48" t="inlineStr">
        <is>
          <t>Bachelor Communication</t>
        </is>
      </c>
      <c r="B68" s="49" t="n">
        <v>432</v>
      </c>
      <c r="C68" s="49" t="n">
        <v>454</v>
      </c>
      <c r="D68" s="52" t="n">
        <v>49164</v>
      </c>
      <c r="E68" s="52" t="n">
        <v>54080</v>
      </c>
      <c r="F68" s="18">
        <f>IFERROR((C68/B68-1)/(E68/D68-1),'01_Cadrage'!$H$27)</f>
        <v/>
      </c>
    </row>
    <row r="69">
      <c r="A69" s="48" t="inlineStr">
        <is>
          <t>Mastère Communication</t>
        </is>
      </c>
      <c r="B69" s="49" t="n">
        <v>259</v>
      </c>
      <c r="C69" s="49" t="n">
        <v>272</v>
      </c>
      <c r="D69" s="52" t="n">
        <v>55091</v>
      </c>
      <c r="E69" s="52" t="n">
        <v>60600</v>
      </c>
      <c r="F69" s="18">
        <f>IFERROR((C69/B69-1)/(E69/D69-1),'01_Cadrage'!$H$27)</f>
        <v/>
      </c>
    </row>
    <row r="70">
      <c r="A70" s="48" t="inlineStr">
        <is>
          <t>Bachelor Commerce</t>
        </is>
      </c>
      <c r="B70" s="49" t="n">
        <v>333</v>
      </c>
      <c r="C70" s="49" t="n">
        <v>350</v>
      </c>
      <c r="D70" s="52" t="n">
        <v>37818</v>
      </c>
      <c r="E70" s="52" t="n">
        <v>41600</v>
      </c>
      <c r="F70" s="18">
        <f>IFERROR((C70/B70-1)/(E70/D70-1),'01_Cadrage'!$H$27)</f>
        <v/>
      </c>
    </row>
    <row r="71">
      <c r="A71" s="48" t="inlineStr">
        <is>
          <t>BTS Gestion</t>
        </is>
      </c>
      <c r="B71" s="49" t="n">
        <v>169</v>
      </c>
      <c r="C71" s="49" t="n">
        <v>177</v>
      </c>
      <c r="D71" s="52" t="n">
        <v>15000</v>
      </c>
      <c r="E71" s="52" t="n">
        <v>16500</v>
      </c>
      <c r="F71" s="18">
        <f>IFERROR((C71/B71-1)/(E71/D71-1),'01_Cadrage'!$H$27)</f>
        <v/>
      </c>
    </row>
    <row r="72">
      <c r="A72" s="48" t="inlineStr">
        <is>
          <t>Bachelor RH</t>
        </is>
      </c>
      <c r="B72" s="49" t="n">
        <v>210</v>
      </c>
      <c r="C72" s="49" t="n">
        <v>221</v>
      </c>
      <c r="D72" s="52" t="n">
        <v>23855</v>
      </c>
      <c r="E72" s="52" t="n">
        <v>26240</v>
      </c>
      <c r="F72" s="18">
        <f>IFERROR((C72/B72-1)/(E72/D72-1),'01_Cadrage'!$H$27)</f>
        <v/>
      </c>
    </row>
    <row r="73">
      <c r="A73" s="48" t="inlineStr">
        <is>
          <t>Bachelor Tourisme</t>
        </is>
      </c>
      <c r="B73" s="49" t="n">
        <v>223</v>
      </c>
      <c r="C73" s="49" t="n">
        <v>234</v>
      </c>
      <c r="D73" s="52" t="n">
        <v>25309</v>
      </c>
      <c r="E73" s="52" t="n">
        <v>27840</v>
      </c>
      <c r="F73" s="18">
        <f>IFERROR((C73/B73-1)/(E73/D73-1),'01_Cadrage'!$H$27)</f>
        <v/>
      </c>
    </row>
  </sheetData>
  <mergeCells count="2">
    <mergeCell ref="A64:F64"/>
    <mergeCell ref="A1:N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S18"/>
  <sheetViews>
    <sheetView showGridLines="0" workbookViewId="0">
      <selection activeCell="A1" sqref="A1"/>
    </sheetView>
  </sheetViews>
  <sheetFormatPr baseColWidth="8" defaultRowHeight="15"/>
  <cols>
    <col width="15" customWidth="1" min="1" max="1"/>
    <col width="10" customWidth="1" min="2" max="2"/>
    <col width="11" customWidth="1" min="3" max="3"/>
    <col width="13" customWidth="1" min="4" max="4"/>
    <col width="14" customWidth="1" min="5" max="5"/>
    <col width="12" customWidth="1" min="6" max="6"/>
    <col width="10" customWidth="1" min="7" max="7"/>
    <col width="14" customWidth="1" min="8" max="8"/>
    <col width="11" customWidth="1" min="9" max="9"/>
    <col width="10" customWidth="1" min="10" max="10"/>
    <col width="15" customWidth="1" min="11" max="11"/>
  </cols>
  <sheetData>
    <row r="1" ht="22" customHeight="1">
      <c r="A1" s="1" t="inlineStr">
        <is>
          <t>Réalisé N-1 par campus (structure)</t>
        </is>
      </c>
    </row>
    <row r="3" ht="30" customHeight="1">
      <c r="A3" s="20" t="inlineStr">
        <is>
          <t>Marque</t>
        </is>
      </c>
      <c r="B3" s="20" t="inlineStr">
        <is>
          <t>Ville</t>
        </is>
      </c>
      <c r="C3" s="20" t="inlineStr">
        <is>
          <t>Effectif N-1</t>
        </is>
      </c>
      <c r="D3" s="20" t="inlineStr">
        <is>
          <t>CA N-1</t>
        </is>
      </c>
      <c r="E3" s="20" t="inlineStr">
        <is>
          <t>Contribution N-1</t>
        </is>
      </c>
      <c r="F3" s="20" t="inlineStr">
        <is>
          <t>Loyer N-1</t>
        </is>
      </c>
      <c r="G3" s="20" t="inlineStr">
        <is>
          <t>ETP perm.</t>
        </is>
      </c>
      <c r="H3" s="20" t="inlineStr">
        <is>
          <t>Masse perm. N-1</t>
        </is>
      </c>
      <c r="I3" s="20" t="inlineStr">
        <is>
          <t>D&amp;A N-1</t>
        </is>
      </c>
      <c r="J3" s="20" t="inlineStr">
        <is>
          <t>Surface m²</t>
        </is>
      </c>
      <c r="K3" s="20" t="inlineStr">
        <is>
          <t>EBITDA campus N-1</t>
        </is>
      </c>
    </row>
    <row r="4">
      <c r="A4" s="48" t="inlineStr">
        <is>
          <t>MBway</t>
        </is>
      </c>
      <c r="B4" s="7" t="inlineStr">
        <is>
          <t>Paris</t>
        </is>
      </c>
      <c r="C4" s="49" t="n">
        <v>291</v>
      </c>
      <c r="D4" s="52" t="n">
        <v>2467250</v>
      </c>
      <c r="E4" s="52" t="n">
        <v>1624256</v>
      </c>
      <c r="F4" s="52" t="n">
        <v>271000</v>
      </c>
      <c r="G4" s="49" t="n">
        <v>11</v>
      </c>
      <c r="H4" s="24">
        <f>G4*'01_Cadrage'!$H$23</f>
        <v/>
      </c>
      <c r="I4" s="52" t="n">
        <v>148000</v>
      </c>
      <c r="J4" s="49" t="n">
        <v>2328</v>
      </c>
      <c r="K4" s="24">
        <f>E4-F4-H4</f>
        <v/>
      </c>
    </row>
    <row r="5">
      <c r="A5" s="48" t="inlineStr">
        <is>
          <t>MBway</t>
        </is>
      </c>
      <c r="B5" s="7" t="inlineStr">
        <is>
          <t>Lyon</t>
        </is>
      </c>
      <c r="C5" s="49" t="n">
        <v>248</v>
      </c>
      <c r="D5" s="52" t="n">
        <v>2102540</v>
      </c>
      <c r="E5" s="52" t="n">
        <v>1358988</v>
      </c>
      <c r="F5" s="52" t="n">
        <v>231000</v>
      </c>
      <c r="G5" s="49" t="n">
        <v>9</v>
      </c>
      <c r="H5" s="24">
        <f>G5*'01_Cadrage'!$H$23</f>
        <v/>
      </c>
      <c r="I5" s="52" t="n">
        <v>126000</v>
      </c>
      <c r="J5" s="49" t="n">
        <v>1984</v>
      </c>
      <c r="K5" s="24">
        <f>E5-F5-H5</f>
        <v/>
      </c>
    </row>
    <row r="6">
      <c r="A6" s="48" t="inlineStr">
        <is>
          <t>MBway</t>
        </is>
      </c>
      <c r="B6" s="7" t="inlineStr">
        <is>
          <t>Nantes</t>
        </is>
      </c>
      <c r="C6" s="49" t="n">
        <v>224</v>
      </c>
      <c r="D6" s="52" t="n">
        <v>1898640</v>
      </c>
      <c r="E6" s="52" t="n">
        <v>1227184</v>
      </c>
      <c r="F6" s="52" t="n">
        <v>209000</v>
      </c>
      <c r="G6" s="49" t="n">
        <v>8</v>
      </c>
      <c r="H6" s="24">
        <f>G6*'01_Cadrage'!$H$23</f>
        <v/>
      </c>
      <c r="I6" s="52" t="n">
        <v>114000</v>
      </c>
      <c r="J6" s="49" t="n">
        <v>1792</v>
      </c>
      <c r="K6" s="24">
        <f>E6-F6-H6</f>
        <v/>
      </c>
    </row>
    <row r="7">
      <c r="A7" s="48" t="inlineStr">
        <is>
          <t>MBway</t>
        </is>
      </c>
      <c r="B7" s="7" t="inlineStr">
        <is>
          <t>Bordeaux</t>
        </is>
      </c>
      <c r="C7" s="49" t="n">
        <v>191</v>
      </c>
      <c r="D7" s="52" t="n">
        <v>1619880</v>
      </c>
      <c r="E7" s="52" t="n">
        <v>999406</v>
      </c>
      <c r="F7" s="52" t="n">
        <v>178000</v>
      </c>
      <c r="G7" s="49" t="n">
        <v>7</v>
      </c>
      <c r="H7" s="24">
        <f>G7*'01_Cadrage'!$H$23</f>
        <v/>
      </c>
      <c r="I7" s="52" t="n">
        <v>97000</v>
      </c>
      <c r="J7" s="49" t="n">
        <v>1528</v>
      </c>
      <c r="K7" s="24">
        <f>E7-F7-H7</f>
        <v/>
      </c>
    </row>
    <row r="8">
      <c r="A8" s="48" t="inlineStr">
        <is>
          <t>ISCOM</t>
        </is>
      </c>
      <c r="B8" s="7" t="inlineStr">
        <is>
          <t>Paris</t>
        </is>
      </c>
      <c r="C8" s="49" t="n">
        <v>269</v>
      </c>
      <c r="D8" s="52" t="n">
        <v>2280350</v>
      </c>
      <c r="E8" s="52" t="n">
        <v>1440794</v>
      </c>
      <c r="F8" s="52" t="n">
        <v>251000</v>
      </c>
      <c r="G8" s="49" t="n">
        <v>10</v>
      </c>
      <c r="H8" s="24">
        <f>G8*'01_Cadrage'!$H$23</f>
        <v/>
      </c>
      <c r="I8" s="52" t="n">
        <v>137000</v>
      </c>
      <c r="J8" s="49" t="n">
        <v>2152</v>
      </c>
      <c r="K8" s="24">
        <f>E8-F8-H8</f>
        <v/>
      </c>
    </row>
    <row r="9">
      <c r="A9" s="48" t="inlineStr">
        <is>
          <t>ISCOM</t>
        </is>
      </c>
      <c r="B9" s="7" t="inlineStr">
        <is>
          <t>Lille</t>
        </is>
      </c>
      <c r="C9" s="49" t="n">
        <v>187</v>
      </c>
      <c r="D9" s="52" t="n">
        <v>1585200</v>
      </c>
      <c r="E9" s="52" t="n">
        <v>922372</v>
      </c>
      <c r="F9" s="52" t="n">
        <v>174000</v>
      </c>
      <c r="G9" s="49" t="n">
        <v>7</v>
      </c>
      <c r="H9" s="24">
        <f>G9*'01_Cadrage'!$H$23</f>
        <v/>
      </c>
      <c r="I9" s="52" t="n">
        <v>95000</v>
      </c>
      <c r="J9" s="49" t="n">
        <v>1496</v>
      </c>
      <c r="K9" s="24">
        <f>E9-F9-H9</f>
        <v/>
      </c>
    </row>
    <row r="10">
      <c r="A10" s="48" t="inlineStr">
        <is>
          <t>ISCOM</t>
        </is>
      </c>
      <c r="B10" s="7" t="inlineStr">
        <is>
          <t>Toulouse</t>
        </is>
      </c>
      <c r="C10" s="49" t="n">
        <v>175</v>
      </c>
      <c r="D10" s="52" t="n">
        <v>1483250</v>
      </c>
      <c r="E10" s="52" t="n">
        <v>873430</v>
      </c>
      <c r="F10" s="52" t="n">
        <v>163000</v>
      </c>
      <c r="G10" s="49" t="n">
        <v>7</v>
      </c>
      <c r="H10" s="24">
        <f>G10*'01_Cadrage'!$H$23</f>
        <v/>
      </c>
      <c r="I10" s="52" t="n">
        <v>89000</v>
      </c>
      <c r="J10" s="49" t="n">
        <v>1400</v>
      </c>
      <c r="K10" s="24">
        <f>E10-F10-H10</f>
        <v/>
      </c>
    </row>
    <row r="11">
      <c r="A11" s="48" t="inlineStr">
        <is>
          <t>Ipac Bachelor Factory</t>
        </is>
      </c>
      <c r="B11" s="7" t="inlineStr">
        <is>
          <t>Nantes</t>
        </is>
      </c>
      <c r="C11" s="49" t="n">
        <v>130</v>
      </c>
      <c r="D11" s="52" t="n">
        <v>1044500</v>
      </c>
      <c r="E11" s="52" t="n">
        <v>662800</v>
      </c>
      <c r="F11" s="52" t="n">
        <v>115000</v>
      </c>
      <c r="G11" s="49" t="n">
        <v>5</v>
      </c>
      <c r="H11" s="24">
        <f>G11*'01_Cadrage'!$H$23</f>
        <v/>
      </c>
      <c r="I11" s="52" t="n">
        <v>63000</v>
      </c>
      <c r="J11" s="49" t="n">
        <v>1040</v>
      </c>
      <c r="K11" s="24">
        <f>E11-F11-H11</f>
        <v/>
      </c>
    </row>
    <row r="12">
      <c r="A12" s="48" t="inlineStr">
        <is>
          <t>Ipac Bachelor Factory</t>
        </is>
      </c>
      <c r="B12" s="7" t="inlineStr">
        <is>
          <t>Rennes</t>
        </is>
      </c>
      <c r="C12" s="49" t="n">
        <v>104</v>
      </c>
      <c r="D12" s="52" t="n">
        <v>835600</v>
      </c>
      <c r="E12" s="52" t="n">
        <v>521424</v>
      </c>
      <c r="F12" s="52" t="n">
        <v>92000</v>
      </c>
      <c r="G12" s="49" t="n">
        <v>4</v>
      </c>
      <c r="H12" s="24">
        <f>G12*'01_Cadrage'!$H$23</f>
        <v/>
      </c>
      <c r="I12" s="52" t="n">
        <v>50000</v>
      </c>
      <c r="J12" s="49" t="n">
        <v>832</v>
      </c>
      <c r="K12" s="24">
        <f>E12-F12-H12</f>
        <v/>
      </c>
    </row>
    <row r="13">
      <c r="A13" s="48" t="inlineStr">
        <is>
          <t>Ipac Bachelor Factory</t>
        </is>
      </c>
      <c r="B13" s="7" t="inlineStr">
        <is>
          <t>Montpellier</t>
        </is>
      </c>
      <c r="C13" s="49" t="n">
        <v>104</v>
      </c>
      <c r="D13" s="52" t="n">
        <v>835600</v>
      </c>
      <c r="E13" s="52" t="n">
        <v>521424</v>
      </c>
      <c r="F13" s="52" t="n">
        <v>92000</v>
      </c>
      <c r="G13" s="49" t="n">
        <v>4</v>
      </c>
      <c r="H13" s="24">
        <f>G13*'01_Cadrage'!$H$23</f>
        <v/>
      </c>
      <c r="I13" s="52" t="n">
        <v>50000</v>
      </c>
      <c r="J13" s="49" t="n">
        <v>832</v>
      </c>
      <c r="K13" s="24">
        <f>E13-F13-H13</f>
        <v/>
      </c>
    </row>
    <row r="14">
      <c r="A14" s="48" t="inlineStr">
        <is>
          <t>Pigier</t>
        </is>
      </c>
      <c r="B14" s="7" t="inlineStr">
        <is>
          <t>Lyon</t>
        </is>
      </c>
      <c r="C14" s="49" t="n">
        <v>149</v>
      </c>
      <c r="D14" s="52" t="n">
        <v>1130470</v>
      </c>
      <c r="E14" s="52" t="n">
        <v>628864</v>
      </c>
      <c r="F14" s="52" t="n">
        <v>124000</v>
      </c>
      <c r="G14" s="49" t="n">
        <v>6</v>
      </c>
      <c r="H14" s="24">
        <f>G14*'01_Cadrage'!$H$23</f>
        <v/>
      </c>
      <c r="I14" s="52" t="n">
        <v>68000</v>
      </c>
      <c r="J14" s="49" t="n">
        <v>1192</v>
      </c>
      <c r="K14" s="24">
        <f>E14-F14-H14</f>
        <v/>
      </c>
    </row>
    <row r="15">
      <c r="A15" s="48" t="inlineStr">
        <is>
          <t>Pigier</t>
        </is>
      </c>
      <c r="B15" s="7" t="inlineStr">
        <is>
          <t>Bordeaux</t>
        </is>
      </c>
      <c r="C15" s="49" t="n">
        <v>117</v>
      </c>
      <c r="D15" s="52" t="n">
        <v>887850</v>
      </c>
      <c r="E15" s="52" t="n">
        <v>540202</v>
      </c>
      <c r="F15" s="52" t="n">
        <v>98000</v>
      </c>
      <c r="G15" s="49" t="n">
        <v>5</v>
      </c>
      <c r="H15" s="24">
        <f>G15*'01_Cadrage'!$H$23</f>
        <v/>
      </c>
      <c r="I15" s="52" t="n">
        <v>53000</v>
      </c>
      <c r="J15" s="49" t="n">
        <v>936</v>
      </c>
      <c r="K15" s="24">
        <f>E15-F15-H15</f>
        <v/>
      </c>
    </row>
    <row r="16">
      <c r="A16" s="48" t="inlineStr">
        <is>
          <t>Tunon</t>
        </is>
      </c>
      <c r="B16" s="7" t="inlineStr">
        <is>
          <t>Paris</t>
        </is>
      </c>
      <c r="C16" s="49" t="n">
        <v>122</v>
      </c>
      <c r="D16" s="52" t="n">
        <v>980230</v>
      </c>
      <c r="E16" s="52" t="n">
        <v>608182</v>
      </c>
      <c r="F16" s="52" t="n">
        <v>108000</v>
      </c>
      <c r="G16" s="49" t="n">
        <v>5</v>
      </c>
      <c r="H16" s="24">
        <f>G16*'01_Cadrage'!$H$23</f>
        <v/>
      </c>
      <c r="I16" s="52" t="n">
        <v>59000</v>
      </c>
      <c r="J16" s="49" t="n">
        <v>976</v>
      </c>
      <c r="K16" s="24">
        <f>E16-F16-H16</f>
        <v/>
      </c>
    </row>
    <row r="17">
      <c r="A17" s="48" t="inlineStr">
        <is>
          <t>Tunon</t>
        </is>
      </c>
      <c r="B17" s="7" t="inlineStr">
        <is>
          <t>Lyon</t>
        </is>
      </c>
      <c r="C17" s="49" t="n">
        <v>104</v>
      </c>
      <c r="D17" s="52" t="n">
        <v>835600</v>
      </c>
      <c r="E17" s="52" t="n">
        <v>519824</v>
      </c>
      <c r="F17" s="52" t="n">
        <v>92000</v>
      </c>
      <c r="G17" s="49" t="n">
        <v>4</v>
      </c>
      <c r="H17" s="24">
        <f>G17*'01_Cadrage'!$H$23</f>
        <v/>
      </c>
      <c r="I17" s="52" t="n">
        <v>50000</v>
      </c>
      <c r="J17" s="49" t="n">
        <v>832</v>
      </c>
      <c r="K17" s="24">
        <f>E17-F17-H17</f>
        <v/>
      </c>
    </row>
    <row r="18">
      <c r="A18" s="53" t="inlineStr">
        <is>
          <t>TOTAL</t>
        </is>
      </c>
      <c r="B18" s="54" t="inlineStr">
        <is>
          <t> </t>
        </is>
      </c>
      <c r="C18" s="55">
        <f>SUM(C4:C17)</f>
        <v/>
      </c>
      <c r="D18" s="56">
        <f>SUM(D4:D17)</f>
        <v/>
      </c>
      <c r="E18" s="56">
        <f>SUM(E4:E17)</f>
        <v/>
      </c>
      <c r="F18" s="56">
        <f>SUM(F4:F17)</f>
        <v/>
      </c>
      <c r="G18" s="55">
        <f>SUM(G4:G17)</f>
        <v/>
      </c>
      <c r="H18" s="56">
        <f>SUM(H4:H17)</f>
        <v/>
      </c>
      <c r="I18" s="56">
        <f>SUM(I4:I17)</f>
        <v/>
      </c>
      <c r="J18" s="55">
        <f>SUM(J4:J17)</f>
        <v/>
      </c>
      <c r="K18" s="56">
        <f>SUM(K4:K17)</f>
        <v/>
      </c>
    </row>
  </sheetData>
  <mergeCells count="1">
    <mergeCell ref="A1:K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S71"/>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7" customWidth="1" min="3" max="3"/>
    <col width="6" customWidth="1" min="4" max="4"/>
    <col width="5" customWidth="1" min="5" max="5"/>
    <col width="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s>
  <sheetData>
    <row r="1" ht="22" customHeight="1">
      <c r="A1" s="1" t="inlineStr">
        <is>
          <t>Moteur de budget par cellule (cohortes · marketing→volume mesuré · seuil=point mort)</t>
        </is>
      </c>
    </row>
    <row r="2" ht="28" customHeight="1">
      <c r="A2" s="20" t="inlineStr">
        <is>
          <t>Marque</t>
        </is>
      </c>
      <c r="B2" s="20" t="inlineStr">
        <is>
          <t>Ville</t>
        </is>
      </c>
      <c r="C2" s="20" t="inlineStr">
        <is>
          <t>Programme</t>
        </is>
      </c>
      <c r="D2" s="20" t="inlineStr">
        <is>
          <t>Année</t>
        </is>
      </c>
      <c r="E2" s="20" t="inlineStr">
        <is>
          <t>Mod</t>
        </is>
      </c>
      <c r="F2" s="20" t="inlineStr">
        <is>
          <t>Entrée</t>
        </is>
      </c>
      <c r="G2" s="20" t="inlineStr">
        <is>
          <t>Eff N-1</t>
        </is>
      </c>
      <c r="H2" s="20" t="inlineStr">
        <is>
          <t>Nouv N-1</t>
        </is>
      </c>
      <c r="I2" s="20" t="inlineStr">
        <is>
          <t>Réins N-1</t>
        </is>
      </c>
      <c r="J2" s="20" t="inlineStr">
        <is>
          <t>Cand N-1</t>
        </is>
      </c>
      <c r="K2" s="20" t="inlineStr">
        <is>
          <t>EffInf N-1</t>
        </is>
      </c>
      <c r="L2" s="20" t="inlineStr">
        <is>
          <t>Tarif N-1</t>
        </is>
      </c>
      <c r="M2" s="20" t="inlineStr">
        <is>
          <t>Cl N-1</t>
        </is>
      </c>
      <c r="N2" s="20" t="inlineStr">
        <is>
          <t>clé</t>
        </is>
      </c>
      <c r="O2" s="20" t="inlineStr">
        <is>
          <t>Cap</t>
        </is>
      </c>
      <c r="P2" s="20" t="inlineStr">
        <is>
          <t>Heures</t>
        </is>
      </c>
      <c r="Q2" s="20" t="inlineStr">
        <is>
          <t>Taux</t>
        </is>
      </c>
      <c r="R2" s="20" t="inlineStr">
        <is>
          <t>Pédago</t>
        </is>
      </c>
      <c r="S2" s="20" t="inlineStr">
        <is>
          <t>CACvar</t>
        </is>
      </c>
      <c r="T2" s="20" t="inlineStr">
        <is>
          <t>Passage</t>
        </is>
      </c>
      <c r="U2" s="20" t="inlineStr">
        <is>
          <t>Coût/cl</t>
        </is>
      </c>
      <c r="V2" s="20" t="inlineStr">
        <is>
          <t>cMkt</t>
        </is>
      </c>
      <c r="W2" s="20" t="inlineStr">
        <is>
          <t>cPrix</t>
        </is>
      </c>
      <c r="X2" s="20" t="inlineStr">
        <is>
          <t>Élast</t>
        </is>
      </c>
      <c r="Y2" s="20" t="inlineStr">
        <is>
          <t>Effort</t>
        </is>
      </c>
      <c r="Z2" s="20" t="inlineStr">
        <is>
          <t>Cand Bud</t>
        </is>
      </c>
      <c r="AA2" s="20" t="inlineStr">
        <is>
          <t>Conv</t>
        </is>
      </c>
      <c r="AB2" s="20" t="inlineStr">
        <is>
          <t>Nouv Bud</t>
        </is>
      </c>
      <c r="AC2" s="20" t="inlineStr">
        <is>
          <t>Réins Bud</t>
        </is>
      </c>
      <c r="AD2" s="20" t="inlineStr">
        <is>
          <t>Effectif Bud</t>
        </is>
      </c>
      <c r="AE2" s="20" t="inlineStr">
        <is>
          <t>Tarif Bud</t>
        </is>
      </c>
      <c r="AF2" s="20" t="inlineStr">
        <is>
          <t>(réservé)</t>
        </is>
      </c>
      <c r="AG2" s="20" t="inlineStr">
        <is>
          <t>(réservé2)</t>
        </is>
      </c>
      <c r="AH2" s="20" t="inlineStr">
        <is>
          <t>CA Bud</t>
        </is>
      </c>
      <c r="AI2" s="20" t="inlineStr">
        <is>
          <t>Cl besoin</t>
        </is>
      </c>
      <c r="AJ2" s="20" t="inlineStr">
        <is>
          <t>Enseign</t>
        </is>
      </c>
      <c r="AK2" s="20" t="inlineStr">
        <is>
          <t>Pédago€</t>
        </is>
      </c>
      <c r="AL2" s="20" t="inlineStr">
        <is>
          <t>Mktg</t>
        </is>
      </c>
      <c r="AM2" s="20" t="inlineStr">
        <is>
          <t>Contrib</t>
        </is>
      </c>
      <c r="AN2" s="20" t="inlineStr">
        <is>
          <t>Rempl</t>
        </is>
      </c>
      <c r="AO2" s="20" t="inlineStr">
        <is>
          <t>Contr/étu</t>
        </is>
      </c>
      <c r="AP2" s="20" t="inlineStr">
        <is>
          <t>Pt mort</t>
        </is>
      </c>
    </row>
    <row r="3">
      <c r="A3" s="57">
        <f>'06_Historique'!A4</f>
        <v/>
      </c>
      <c r="B3" s="10">
        <f>'06_Historique'!B4</f>
        <v/>
      </c>
      <c r="C3" s="57">
        <f>'06_Historique'!C4</f>
        <v/>
      </c>
      <c r="D3" s="10">
        <f>'06_Historique'!E4</f>
        <v/>
      </c>
      <c r="E3" s="10">
        <f>'06_Historique'!F4</f>
        <v/>
      </c>
      <c r="F3" s="58">
        <f>'06_Historique'!G4</f>
        <v/>
      </c>
      <c r="G3" s="58">
        <f>'06_Historique'!K4</f>
        <v/>
      </c>
      <c r="H3" s="58">
        <f>'06_Historique'!I4</f>
        <v/>
      </c>
      <c r="I3" s="58">
        <f>'06_Historique'!J4</f>
        <v/>
      </c>
      <c r="J3" s="58">
        <f>'06_Historique'!H4</f>
        <v/>
      </c>
      <c r="K3" s="58">
        <f>'06_Historique'!L4</f>
        <v/>
      </c>
      <c r="L3" s="59">
        <f>'06_Historique'!M4</f>
        <v/>
      </c>
      <c r="M3" s="58">
        <f>'06_Historique'!N4</f>
        <v/>
      </c>
      <c r="N3" s="9">
        <f>C3&amp;"|"&amp;D3</f>
        <v/>
      </c>
      <c r="O3" s="60">
        <f>INDEX('05_Param_Prog_Annee'!$E$4:$E$23,MATCH(N3,'05_Param_Prog_Annee'!$A$4:$A$23,0))</f>
        <v/>
      </c>
      <c r="P3" s="60">
        <f>INDEX('05_Param_Prog_Annee'!$F$4:$F$23,MATCH(N3,'05_Param_Prog_Annee'!$A$4:$A$23,0))</f>
        <v/>
      </c>
      <c r="Q3" s="61">
        <f>INDEX('05_Param_Prog_Annee'!$G$4:$G$23,MATCH(N3,'05_Param_Prog_Annee'!$A$4:$A$23,0))</f>
        <v/>
      </c>
      <c r="R3" s="61">
        <f>INDEX('05_Param_Prog_Annee'!$H$4:$H$23,MATCH(N3,'05_Param_Prog_Annee'!$A$4:$A$23,0))</f>
        <v/>
      </c>
      <c r="S3" s="61">
        <f>INDEX('05_Param_Prog_Annee'!$I$4:$I$23,MATCH(N3,'05_Param_Prog_Annee'!$A$4:$A$23,0))</f>
        <v/>
      </c>
      <c r="T3" s="62">
        <f>IFERROR(INDEX('05_Param_Prog_Annee'!$J$4:$J$23,MATCH(N3,'05_Param_Prog_Annee'!$A$4:$A$23,0)),0)</f>
        <v/>
      </c>
      <c r="U3" s="61">
        <f>P3*Q3*(1+'01_Cadrage'!$H$21)</f>
        <v/>
      </c>
      <c r="V3" s="18">
        <f>INDEX('01_Cadrage'!$L$7:$L$20,MATCH(A3&amp;"|"&amp;B3,'01_Cadrage'!$O$7:$O$20,0))</f>
        <v/>
      </c>
      <c r="W3" s="18">
        <f>INDEX('01_Cadrage'!$M$7:$M$20,MATCH(A3&amp;"|"&amp;B3,'01_Cadrage'!$O$7:$O$20,0))</f>
        <v/>
      </c>
      <c r="X3" s="18">
        <f>IFERROR(INDEX('06_Historique'!$F$66:$F$73,MATCH(C3,'06_Historique'!$A$66:$A$73,0)),'01_Cadrage'!$H$27)</f>
        <v/>
      </c>
      <c r="Y3" s="62">
        <f>'01_Cadrage'!$H$16*V3</f>
        <v/>
      </c>
      <c r="Z3" s="60">
        <f>IF(F3=1,J3*(1+X3*Y3),0)</f>
        <v/>
      </c>
      <c r="AA3" s="62">
        <f>IF(F3=1,IFERROR(H3/J3,'01_Cadrage'!$H$28)+'01_Cadrage'!$H$18,0)</f>
        <v/>
      </c>
      <c r="AB3" s="60">
        <f>Z3*AA3</f>
        <v/>
      </c>
      <c r="AC3" s="60">
        <f>IF(F3=1,0,K3*(T3+'01_Cadrage'!$H$19))</f>
        <v/>
      </c>
      <c r="AD3" s="63">
        <f>AB3+AC3</f>
        <v/>
      </c>
      <c r="AE3" s="61">
        <f>L3*(1+'01_Cadrage'!$H$17*W3)</f>
        <v/>
      </c>
      <c r="AF3" s="18">
        <f>1</f>
        <v/>
      </c>
      <c r="AG3" s="18">
        <f>1</f>
        <v/>
      </c>
      <c r="AH3" s="24">
        <f>AD3*AE3*AF3+AB3*'01_Cadrage'!$H$24</f>
        <v/>
      </c>
      <c r="AI3" s="60">
        <f>IF(AD3&lt;=0,0,MAX(1,ROUNDUP(AD3/O3,0)))</f>
        <v/>
      </c>
      <c r="AJ3" s="24">
        <f>AI3*U3</f>
        <v/>
      </c>
      <c r="AK3" s="24">
        <f>AD3*R3*(1+'01_Cadrage'!$H$20)</f>
        <v/>
      </c>
      <c r="AL3" s="24">
        <f>H3*S3*(1+Y3)</f>
        <v/>
      </c>
      <c r="AM3" s="22">
        <f>AH3-AJ3-AK3-AL3-AD3*'01_Cadrage'!$H$26*(1+'01_Cadrage'!$H$20)</f>
        <v/>
      </c>
      <c r="AN3" s="62">
        <f>IFERROR(AD3/(AI3*O3),0)</f>
        <v/>
      </c>
      <c r="AO3" s="61">
        <f>IFERROR(AM3/AD3,0)</f>
        <v/>
      </c>
      <c r="AP3" s="60">
        <f>IFERROR(AI3*U3/(AE3*AF3-R3*(1+'01_Cadrage'!$H$20)),0)</f>
        <v/>
      </c>
    </row>
    <row r="4">
      <c r="A4" s="57">
        <f>'06_Historique'!A5</f>
        <v/>
      </c>
      <c r="B4" s="10">
        <f>'06_Historique'!B5</f>
        <v/>
      </c>
      <c r="C4" s="57">
        <f>'06_Historique'!C5</f>
        <v/>
      </c>
      <c r="D4" s="10">
        <f>'06_Historique'!E5</f>
        <v/>
      </c>
      <c r="E4" s="10">
        <f>'06_Historique'!F5</f>
        <v/>
      </c>
      <c r="F4" s="58">
        <f>'06_Historique'!G5</f>
        <v/>
      </c>
      <c r="G4" s="58">
        <f>'06_Historique'!K5</f>
        <v/>
      </c>
      <c r="H4" s="58">
        <f>'06_Historique'!I5</f>
        <v/>
      </c>
      <c r="I4" s="58">
        <f>'06_Historique'!J5</f>
        <v/>
      </c>
      <c r="J4" s="58">
        <f>'06_Historique'!H5</f>
        <v/>
      </c>
      <c r="K4" s="58">
        <f>'06_Historique'!L5</f>
        <v/>
      </c>
      <c r="L4" s="59">
        <f>'06_Historique'!M5</f>
        <v/>
      </c>
      <c r="M4" s="58">
        <f>'06_Historique'!N5</f>
        <v/>
      </c>
      <c r="N4" s="9">
        <f>C4&amp;"|"&amp;D4</f>
        <v/>
      </c>
      <c r="O4" s="60">
        <f>INDEX('05_Param_Prog_Annee'!$E$4:$E$23,MATCH(N4,'05_Param_Prog_Annee'!$A$4:$A$23,0))</f>
        <v/>
      </c>
      <c r="P4" s="60">
        <f>INDEX('05_Param_Prog_Annee'!$F$4:$F$23,MATCH(N4,'05_Param_Prog_Annee'!$A$4:$A$23,0))</f>
        <v/>
      </c>
      <c r="Q4" s="61">
        <f>INDEX('05_Param_Prog_Annee'!$G$4:$G$23,MATCH(N4,'05_Param_Prog_Annee'!$A$4:$A$23,0))</f>
        <v/>
      </c>
      <c r="R4" s="61">
        <f>INDEX('05_Param_Prog_Annee'!$H$4:$H$23,MATCH(N4,'05_Param_Prog_Annee'!$A$4:$A$23,0))</f>
        <v/>
      </c>
      <c r="S4" s="61">
        <f>INDEX('05_Param_Prog_Annee'!$I$4:$I$23,MATCH(N4,'05_Param_Prog_Annee'!$A$4:$A$23,0))</f>
        <v/>
      </c>
      <c r="T4" s="62">
        <f>IFERROR(INDEX('05_Param_Prog_Annee'!$J$4:$J$23,MATCH(N4,'05_Param_Prog_Annee'!$A$4:$A$23,0)),0)</f>
        <v/>
      </c>
      <c r="U4" s="61">
        <f>P4*Q4*(1+'01_Cadrage'!$H$21)</f>
        <v/>
      </c>
      <c r="V4" s="18">
        <f>INDEX('01_Cadrage'!$L$7:$L$20,MATCH(A4&amp;"|"&amp;B4,'01_Cadrage'!$O$7:$O$20,0))</f>
        <v/>
      </c>
      <c r="W4" s="18">
        <f>INDEX('01_Cadrage'!$M$7:$M$20,MATCH(A4&amp;"|"&amp;B4,'01_Cadrage'!$O$7:$O$20,0))</f>
        <v/>
      </c>
      <c r="X4" s="18">
        <f>IFERROR(INDEX('06_Historique'!$F$66:$F$73,MATCH(C4,'06_Historique'!$A$66:$A$73,0)),'01_Cadrage'!$H$27)</f>
        <v/>
      </c>
      <c r="Y4" s="62">
        <f>'01_Cadrage'!$H$16*V4</f>
        <v/>
      </c>
      <c r="Z4" s="60">
        <f>IF(F4=1,J4*(1+X4*Y4),0)</f>
        <v/>
      </c>
      <c r="AA4" s="62">
        <f>IF(F4=1,IFERROR(H4/J4,'01_Cadrage'!$H$28)+'01_Cadrage'!$H$18,0)</f>
        <v/>
      </c>
      <c r="AB4" s="60">
        <f>Z4*AA4</f>
        <v/>
      </c>
      <c r="AC4" s="60">
        <f>IF(F4=1,0,K4*(T4+'01_Cadrage'!$H$19))</f>
        <v/>
      </c>
      <c r="AD4" s="63">
        <f>AB4+AC4</f>
        <v/>
      </c>
      <c r="AE4" s="61">
        <f>L4*(1+'01_Cadrage'!$H$17*W4)</f>
        <v/>
      </c>
      <c r="AF4" s="18">
        <f>1</f>
        <v/>
      </c>
      <c r="AG4" s="18">
        <f>1</f>
        <v/>
      </c>
      <c r="AH4" s="24">
        <f>AD4*AE4*AF4+AB4*'01_Cadrage'!$H$24</f>
        <v/>
      </c>
      <c r="AI4" s="60">
        <f>IF(AD4&lt;=0,0,MAX(1,ROUNDUP(AD4/O4,0)))</f>
        <v/>
      </c>
      <c r="AJ4" s="24">
        <f>AI4*U4</f>
        <v/>
      </c>
      <c r="AK4" s="24">
        <f>AD4*R4*(1+'01_Cadrage'!$H$20)</f>
        <v/>
      </c>
      <c r="AL4" s="24">
        <f>H4*S4*(1+Y4)</f>
        <v/>
      </c>
      <c r="AM4" s="22">
        <f>AH4-AJ4-AK4-AL4-AD4*'01_Cadrage'!$H$26*(1+'01_Cadrage'!$H$20)</f>
        <v/>
      </c>
      <c r="AN4" s="62">
        <f>IFERROR(AD4/(AI4*O4),0)</f>
        <v/>
      </c>
      <c r="AO4" s="61">
        <f>IFERROR(AM4/AD4,0)</f>
        <v/>
      </c>
      <c r="AP4" s="60">
        <f>IFERROR(AI4*U4/(AE4*AF4-R4*(1+'01_Cadrage'!$H$20)),0)</f>
        <v/>
      </c>
    </row>
    <row r="5">
      <c r="A5" s="57">
        <f>'06_Historique'!A6</f>
        <v/>
      </c>
      <c r="B5" s="10">
        <f>'06_Historique'!B6</f>
        <v/>
      </c>
      <c r="C5" s="57">
        <f>'06_Historique'!C6</f>
        <v/>
      </c>
      <c r="D5" s="10">
        <f>'06_Historique'!E6</f>
        <v/>
      </c>
      <c r="E5" s="10">
        <f>'06_Historique'!F6</f>
        <v/>
      </c>
      <c r="F5" s="58">
        <f>'06_Historique'!G6</f>
        <v/>
      </c>
      <c r="G5" s="58">
        <f>'06_Historique'!K6</f>
        <v/>
      </c>
      <c r="H5" s="58">
        <f>'06_Historique'!I6</f>
        <v/>
      </c>
      <c r="I5" s="58">
        <f>'06_Historique'!J6</f>
        <v/>
      </c>
      <c r="J5" s="58">
        <f>'06_Historique'!H6</f>
        <v/>
      </c>
      <c r="K5" s="58">
        <f>'06_Historique'!L6</f>
        <v/>
      </c>
      <c r="L5" s="59">
        <f>'06_Historique'!M6</f>
        <v/>
      </c>
      <c r="M5" s="58">
        <f>'06_Historique'!N6</f>
        <v/>
      </c>
      <c r="N5" s="9">
        <f>C5&amp;"|"&amp;D5</f>
        <v/>
      </c>
      <c r="O5" s="60">
        <f>INDEX('05_Param_Prog_Annee'!$E$4:$E$23,MATCH(N5,'05_Param_Prog_Annee'!$A$4:$A$23,0))</f>
        <v/>
      </c>
      <c r="P5" s="60">
        <f>INDEX('05_Param_Prog_Annee'!$F$4:$F$23,MATCH(N5,'05_Param_Prog_Annee'!$A$4:$A$23,0))</f>
        <v/>
      </c>
      <c r="Q5" s="61">
        <f>INDEX('05_Param_Prog_Annee'!$G$4:$G$23,MATCH(N5,'05_Param_Prog_Annee'!$A$4:$A$23,0))</f>
        <v/>
      </c>
      <c r="R5" s="61">
        <f>INDEX('05_Param_Prog_Annee'!$H$4:$H$23,MATCH(N5,'05_Param_Prog_Annee'!$A$4:$A$23,0))</f>
        <v/>
      </c>
      <c r="S5" s="61">
        <f>INDEX('05_Param_Prog_Annee'!$I$4:$I$23,MATCH(N5,'05_Param_Prog_Annee'!$A$4:$A$23,0))</f>
        <v/>
      </c>
      <c r="T5" s="62">
        <f>IFERROR(INDEX('05_Param_Prog_Annee'!$J$4:$J$23,MATCH(N5,'05_Param_Prog_Annee'!$A$4:$A$23,0)),0)</f>
        <v/>
      </c>
      <c r="U5" s="61">
        <f>P5*Q5*(1+'01_Cadrage'!$H$21)</f>
        <v/>
      </c>
      <c r="V5" s="18">
        <f>INDEX('01_Cadrage'!$L$7:$L$20,MATCH(A5&amp;"|"&amp;B5,'01_Cadrage'!$O$7:$O$20,0))</f>
        <v/>
      </c>
      <c r="W5" s="18">
        <f>INDEX('01_Cadrage'!$M$7:$M$20,MATCH(A5&amp;"|"&amp;B5,'01_Cadrage'!$O$7:$O$20,0))</f>
        <v/>
      </c>
      <c r="X5" s="18">
        <f>IFERROR(INDEX('06_Historique'!$F$66:$F$73,MATCH(C5,'06_Historique'!$A$66:$A$73,0)),'01_Cadrage'!$H$27)</f>
        <v/>
      </c>
      <c r="Y5" s="62">
        <f>'01_Cadrage'!$H$16*V5</f>
        <v/>
      </c>
      <c r="Z5" s="60">
        <f>IF(F5=1,J5*(1+X5*Y5),0)</f>
        <v/>
      </c>
      <c r="AA5" s="62">
        <f>IF(F5=1,IFERROR(H5/J5,'01_Cadrage'!$H$28)+'01_Cadrage'!$H$18,0)</f>
        <v/>
      </c>
      <c r="AB5" s="60">
        <f>Z5*AA5</f>
        <v/>
      </c>
      <c r="AC5" s="60">
        <f>IF(F5=1,0,K5*(T5+'01_Cadrage'!$H$19))</f>
        <v/>
      </c>
      <c r="AD5" s="63">
        <f>AB5+AC5</f>
        <v/>
      </c>
      <c r="AE5" s="61">
        <f>L5*(1+'01_Cadrage'!$H$17*W5)</f>
        <v/>
      </c>
      <c r="AF5" s="18">
        <f>1</f>
        <v/>
      </c>
      <c r="AG5" s="18">
        <f>1</f>
        <v/>
      </c>
      <c r="AH5" s="24">
        <f>AD5*AE5*AF5+AB5*'01_Cadrage'!$H$24</f>
        <v/>
      </c>
      <c r="AI5" s="60">
        <f>IF(AD5&lt;=0,0,MAX(1,ROUNDUP(AD5/O5,0)))</f>
        <v/>
      </c>
      <c r="AJ5" s="24">
        <f>AI5*U5</f>
        <v/>
      </c>
      <c r="AK5" s="24">
        <f>AD5*R5*(1+'01_Cadrage'!$H$20)</f>
        <v/>
      </c>
      <c r="AL5" s="24">
        <f>H5*S5*(1+Y5)</f>
        <v/>
      </c>
      <c r="AM5" s="22">
        <f>AH5-AJ5-AK5-AL5-AD5*'01_Cadrage'!$H$26*(1+'01_Cadrage'!$H$20)</f>
        <v/>
      </c>
      <c r="AN5" s="62">
        <f>IFERROR(AD5/(AI5*O5),0)</f>
        <v/>
      </c>
      <c r="AO5" s="61">
        <f>IFERROR(AM5/AD5,0)</f>
        <v/>
      </c>
      <c r="AP5" s="60">
        <f>IFERROR(AI5*U5/(AE5*AF5-R5*(1+'01_Cadrage'!$H$20)),0)</f>
        <v/>
      </c>
    </row>
    <row r="6">
      <c r="A6" s="57">
        <f>'06_Historique'!A7</f>
        <v/>
      </c>
      <c r="B6" s="10">
        <f>'06_Historique'!B7</f>
        <v/>
      </c>
      <c r="C6" s="57">
        <f>'06_Historique'!C7</f>
        <v/>
      </c>
      <c r="D6" s="10">
        <f>'06_Historique'!E7</f>
        <v/>
      </c>
      <c r="E6" s="10">
        <f>'06_Historique'!F7</f>
        <v/>
      </c>
      <c r="F6" s="58">
        <f>'06_Historique'!G7</f>
        <v/>
      </c>
      <c r="G6" s="58">
        <f>'06_Historique'!K7</f>
        <v/>
      </c>
      <c r="H6" s="58">
        <f>'06_Historique'!I7</f>
        <v/>
      </c>
      <c r="I6" s="58">
        <f>'06_Historique'!J7</f>
        <v/>
      </c>
      <c r="J6" s="58">
        <f>'06_Historique'!H7</f>
        <v/>
      </c>
      <c r="K6" s="58">
        <f>'06_Historique'!L7</f>
        <v/>
      </c>
      <c r="L6" s="59">
        <f>'06_Historique'!M7</f>
        <v/>
      </c>
      <c r="M6" s="58">
        <f>'06_Historique'!N7</f>
        <v/>
      </c>
      <c r="N6" s="9">
        <f>C6&amp;"|"&amp;D6</f>
        <v/>
      </c>
      <c r="O6" s="60">
        <f>INDEX('05_Param_Prog_Annee'!$E$4:$E$23,MATCH(N6,'05_Param_Prog_Annee'!$A$4:$A$23,0))</f>
        <v/>
      </c>
      <c r="P6" s="60">
        <f>INDEX('05_Param_Prog_Annee'!$F$4:$F$23,MATCH(N6,'05_Param_Prog_Annee'!$A$4:$A$23,0))</f>
        <v/>
      </c>
      <c r="Q6" s="61">
        <f>INDEX('05_Param_Prog_Annee'!$G$4:$G$23,MATCH(N6,'05_Param_Prog_Annee'!$A$4:$A$23,0))</f>
        <v/>
      </c>
      <c r="R6" s="61">
        <f>INDEX('05_Param_Prog_Annee'!$H$4:$H$23,MATCH(N6,'05_Param_Prog_Annee'!$A$4:$A$23,0))</f>
        <v/>
      </c>
      <c r="S6" s="61">
        <f>INDEX('05_Param_Prog_Annee'!$I$4:$I$23,MATCH(N6,'05_Param_Prog_Annee'!$A$4:$A$23,0))</f>
        <v/>
      </c>
      <c r="T6" s="62">
        <f>IFERROR(INDEX('05_Param_Prog_Annee'!$J$4:$J$23,MATCH(N6,'05_Param_Prog_Annee'!$A$4:$A$23,0)),0)</f>
        <v/>
      </c>
      <c r="U6" s="61">
        <f>P6*Q6*(1+'01_Cadrage'!$H$21)</f>
        <v/>
      </c>
      <c r="V6" s="18">
        <f>INDEX('01_Cadrage'!$L$7:$L$20,MATCH(A6&amp;"|"&amp;B6,'01_Cadrage'!$O$7:$O$20,0))</f>
        <v/>
      </c>
      <c r="W6" s="18">
        <f>INDEX('01_Cadrage'!$M$7:$M$20,MATCH(A6&amp;"|"&amp;B6,'01_Cadrage'!$O$7:$O$20,0))</f>
        <v/>
      </c>
      <c r="X6" s="18">
        <f>IFERROR(INDEX('06_Historique'!$F$66:$F$73,MATCH(C6,'06_Historique'!$A$66:$A$73,0)),'01_Cadrage'!$H$27)</f>
        <v/>
      </c>
      <c r="Y6" s="62">
        <f>'01_Cadrage'!$H$16*V6</f>
        <v/>
      </c>
      <c r="Z6" s="60">
        <f>IF(F6=1,J6*(1+X6*Y6),0)</f>
        <v/>
      </c>
      <c r="AA6" s="62">
        <f>IF(F6=1,IFERROR(H6/J6,'01_Cadrage'!$H$28)+'01_Cadrage'!$H$18,0)</f>
        <v/>
      </c>
      <c r="AB6" s="60">
        <f>Z6*AA6</f>
        <v/>
      </c>
      <c r="AC6" s="60">
        <f>IF(F6=1,0,K6*(T6+'01_Cadrage'!$H$19))</f>
        <v/>
      </c>
      <c r="AD6" s="63">
        <f>AB6+AC6</f>
        <v/>
      </c>
      <c r="AE6" s="61">
        <f>L6*(1+'01_Cadrage'!$H$17*W6)</f>
        <v/>
      </c>
      <c r="AF6" s="18">
        <f>1</f>
        <v/>
      </c>
      <c r="AG6" s="18">
        <f>1</f>
        <v/>
      </c>
      <c r="AH6" s="24">
        <f>AD6*AE6*AF6+AB6*'01_Cadrage'!$H$24</f>
        <v/>
      </c>
      <c r="AI6" s="60">
        <f>IF(AD6&lt;=0,0,MAX(1,ROUNDUP(AD6/O6,0)))</f>
        <v/>
      </c>
      <c r="AJ6" s="24">
        <f>AI6*U6</f>
        <v/>
      </c>
      <c r="AK6" s="24">
        <f>AD6*R6*(1+'01_Cadrage'!$H$20)</f>
        <v/>
      </c>
      <c r="AL6" s="24">
        <f>H6*S6*(1+Y6)</f>
        <v/>
      </c>
      <c r="AM6" s="22">
        <f>AH6-AJ6-AK6-AL6-AD6*'01_Cadrage'!$H$26*(1+'01_Cadrage'!$H$20)</f>
        <v/>
      </c>
      <c r="AN6" s="62">
        <f>IFERROR(AD6/(AI6*O6),0)</f>
        <v/>
      </c>
      <c r="AO6" s="61">
        <f>IFERROR(AM6/AD6,0)</f>
        <v/>
      </c>
      <c r="AP6" s="60">
        <f>IFERROR(AI6*U6/(AE6*AF6-R6*(1+'01_Cadrage'!$H$20)),0)</f>
        <v/>
      </c>
    </row>
    <row r="7">
      <c r="A7" s="57">
        <f>'06_Historique'!A8</f>
        <v/>
      </c>
      <c r="B7" s="10">
        <f>'06_Historique'!B8</f>
        <v/>
      </c>
      <c r="C7" s="57">
        <f>'06_Historique'!C8</f>
        <v/>
      </c>
      <c r="D7" s="10">
        <f>'06_Historique'!E8</f>
        <v/>
      </c>
      <c r="E7" s="10">
        <f>'06_Historique'!F8</f>
        <v/>
      </c>
      <c r="F7" s="58">
        <f>'06_Historique'!G8</f>
        <v/>
      </c>
      <c r="G7" s="58">
        <f>'06_Historique'!K8</f>
        <v/>
      </c>
      <c r="H7" s="58">
        <f>'06_Historique'!I8</f>
        <v/>
      </c>
      <c r="I7" s="58">
        <f>'06_Historique'!J8</f>
        <v/>
      </c>
      <c r="J7" s="58">
        <f>'06_Historique'!H8</f>
        <v/>
      </c>
      <c r="K7" s="58">
        <f>'06_Historique'!L8</f>
        <v/>
      </c>
      <c r="L7" s="59">
        <f>'06_Historique'!M8</f>
        <v/>
      </c>
      <c r="M7" s="58">
        <f>'06_Historique'!N8</f>
        <v/>
      </c>
      <c r="N7" s="9">
        <f>C7&amp;"|"&amp;D7</f>
        <v/>
      </c>
      <c r="O7" s="60">
        <f>INDEX('05_Param_Prog_Annee'!$E$4:$E$23,MATCH(N7,'05_Param_Prog_Annee'!$A$4:$A$23,0))</f>
        <v/>
      </c>
      <c r="P7" s="60">
        <f>INDEX('05_Param_Prog_Annee'!$F$4:$F$23,MATCH(N7,'05_Param_Prog_Annee'!$A$4:$A$23,0))</f>
        <v/>
      </c>
      <c r="Q7" s="61">
        <f>INDEX('05_Param_Prog_Annee'!$G$4:$G$23,MATCH(N7,'05_Param_Prog_Annee'!$A$4:$A$23,0))</f>
        <v/>
      </c>
      <c r="R7" s="61">
        <f>INDEX('05_Param_Prog_Annee'!$H$4:$H$23,MATCH(N7,'05_Param_Prog_Annee'!$A$4:$A$23,0))</f>
        <v/>
      </c>
      <c r="S7" s="61">
        <f>INDEX('05_Param_Prog_Annee'!$I$4:$I$23,MATCH(N7,'05_Param_Prog_Annee'!$A$4:$A$23,0))</f>
        <v/>
      </c>
      <c r="T7" s="62">
        <f>IFERROR(INDEX('05_Param_Prog_Annee'!$J$4:$J$23,MATCH(N7,'05_Param_Prog_Annee'!$A$4:$A$23,0)),0)</f>
        <v/>
      </c>
      <c r="U7" s="61">
        <f>P7*Q7*(1+'01_Cadrage'!$H$21)</f>
        <v/>
      </c>
      <c r="V7" s="18">
        <f>INDEX('01_Cadrage'!$L$7:$L$20,MATCH(A7&amp;"|"&amp;B7,'01_Cadrage'!$O$7:$O$20,0))</f>
        <v/>
      </c>
      <c r="W7" s="18">
        <f>INDEX('01_Cadrage'!$M$7:$M$20,MATCH(A7&amp;"|"&amp;B7,'01_Cadrage'!$O$7:$O$20,0))</f>
        <v/>
      </c>
      <c r="X7" s="18">
        <f>IFERROR(INDEX('06_Historique'!$F$66:$F$73,MATCH(C7,'06_Historique'!$A$66:$A$73,0)),'01_Cadrage'!$H$27)</f>
        <v/>
      </c>
      <c r="Y7" s="62">
        <f>'01_Cadrage'!$H$16*V7</f>
        <v/>
      </c>
      <c r="Z7" s="60">
        <f>IF(F7=1,J7*(1+X7*Y7),0)</f>
        <v/>
      </c>
      <c r="AA7" s="62">
        <f>IF(F7=1,IFERROR(H7/J7,'01_Cadrage'!$H$28)+'01_Cadrage'!$H$18,0)</f>
        <v/>
      </c>
      <c r="AB7" s="60">
        <f>Z7*AA7</f>
        <v/>
      </c>
      <c r="AC7" s="60">
        <f>IF(F7=1,0,K7*(T7+'01_Cadrage'!$H$19))</f>
        <v/>
      </c>
      <c r="AD7" s="63">
        <f>AB7+AC7</f>
        <v/>
      </c>
      <c r="AE7" s="61">
        <f>L7*(1+'01_Cadrage'!$H$17*W7)</f>
        <v/>
      </c>
      <c r="AF7" s="18">
        <f>1</f>
        <v/>
      </c>
      <c r="AG7" s="18">
        <f>1</f>
        <v/>
      </c>
      <c r="AH7" s="24">
        <f>AD7*AE7*AF7+AB7*'01_Cadrage'!$H$24</f>
        <v/>
      </c>
      <c r="AI7" s="60">
        <f>IF(AD7&lt;=0,0,MAX(1,ROUNDUP(AD7/O7,0)))</f>
        <v/>
      </c>
      <c r="AJ7" s="24">
        <f>AI7*U7</f>
        <v/>
      </c>
      <c r="AK7" s="24">
        <f>AD7*R7*(1+'01_Cadrage'!$H$20)</f>
        <v/>
      </c>
      <c r="AL7" s="24">
        <f>H7*S7*(1+Y7)</f>
        <v/>
      </c>
      <c r="AM7" s="22">
        <f>AH7-AJ7-AK7-AL7-AD7*'01_Cadrage'!$H$26*(1+'01_Cadrage'!$H$20)</f>
        <v/>
      </c>
      <c r="AN7" s="62">
        <f>IFERROR(AD7/(AI7*O7),0)</f>
        <v/>
      </c>
      <c r="AO7" s="61">
        <f>IFERROR(AM7/AD7,0)</f>
        <v/>
      </c>
      <c r="AP7" s="60">
        <f>IFERROR(AI7*U7/(AE7*AF7-R7*(1+'01_Cadrage'!$H$20)),0)</f>
        <v/>
      </c>
    </row>
    <row r="8">
      <c r="A8" s="57">
        <f>'06_Historique'!A9</f>
        <v/>
      </c>
      <c r="B8" s="10">
        <f>'06_Historique'!B9</f>
        <v/>
      </c>
      <c r="C8" s="57">
        <f>'06_Historique'!C9</f>
        <v/>
      </c>
      <c r="D8" s="10">
        <f>'06_Historique'!E9</f>
        <v/>
      </c>
      <c r="E8" s="10">
        <f>'06_Historique'!F9</f>
        <v/>
      </c>
      <c r="F8" s="58">
        <f>'06_Historique'!G9</f>
        <v/>
      </c>
      <c r="G8" s="58">
        <f>'06_Historique'!K9</f>
        <v/>
      </c>
      <c r="H8" s="58">
        <f>'06_Historique'!I9</f>
        <v/>
      </c>
      <c r="I8" s="58">
        <f>'06_Historique'!J9</f>
        <v/>
      </c>
      <c r="J8" s="58">
        <f>'06_Historique'!H9</f>
        <v/>
      </c>
      <c r="K8" s="58">
        <f>'06_Historique'!L9</f>
        <v/>
      </c>
      <c r="L8" s="59">
        <f>'06_Historique'!M9</f>
        <v/>
      </c>
      <c r="M8" s="58">
        <f>'06_Historique'!N9</f>
        <v/>
      </c>
      <c r="N8" s="9">
        <f>C8&amp;"|"&amp;D8</f>
        <v/>
      </c>
      <c r="O8" s="60">
        <f>INDEX('05_Param_Prog_Annee'!$E$4:$E$23,MATCH(N8,'05_Param_Prog_Annee'!$A$4:$A$23,0))</f>
        <v/>
      </c>
      <c r="P8" s="60">
        <f>INDEX('05_Param_Prog_Annee'!$F$4:$F$23,MATCH(N8,'05_Param_Prog_Annee'!$A$4:$A$23,0))</f>
        <v/>
      </c>
      <c r="Q8" s="61">
        <f>INDEX('05_Param_Prog_Annee'!$G$4:$G$23,MATCH(N8,'05_Param_Prog_Annee'!$A$4:$A$23,0))</f>
        <v/>
      </c>
      <c r="R8" s="61">
        <f>INDEX('05_Param_Prog_Annee'!$H$4:$H$23,MATCH(N8,'05_Param_Prog_Annee'!$A$4:$A$23,0))</f>
        <v/>
      </c>
      <c r="S8" s="61">
        <f>INDEX('05_Param_Prog_Annee'!$I$4:$I$23,MATCH(N8,'05_Param_Prog_Annee'!$A$4:$A$23,0))</f>
        <v/>
      </c>
      <c r="T8" s="62">
        <f>IFERROR(INDEX('05_Param_Prog_Annee'!$J$4:$J$23,MATCH(N8,'05_Param_Prog_Annee'!$A$4:$A$23,0)),0)</f>
        <v/>
      </c>
      <c r="U8" s="61">
        <f>P8*Q8*(1+'01_Cadrage'!$H$21)</f>
        <v/>
      </c>
      <c r="V8" s="18">
        <f>INDEX('01_Cadrage'!$L$7:$L$20,MATCH(A8&amp;"|"&amp;B8,'01_Cadrage'!$O$7:$O$20,0))</f>
        <v/>
      </c>
      <c r="W8" s="18">
        <f>INDEX('01_Cadrage'!$M$7:$M$20,MATCH(A8&amp;"|"&amp;B8,'01_Cadrage'!$O$7:$O$20,0))</f>
        <v/>
      </c>
      <c r="X8" s="18">
        <f>IFERROR(INDEX('06_Historique'!$F$66:$F$73,MATCH(C8,'06_Historique'!$A$66:$A$73,0)),'01_Cadrage'!$H$27)</f>
        <v/>
      </c>
      <c r="Y8" s="62">
        <f>'01_Cadrage'!$H$16*V8</f>
        <v/>
      </c>
      <c r="Z8" s="60">
        <f>IF(F8=1,J8*(1+X8*Y8),0)</f>
        <v/>
      </c>
      <c r="AA8" s="62">
        <f>IF(F8=1,IFERROR(H8/J8,'01_Cadrage'!$H$28)+'01_Cadrage'!$H$18,0)</f>
        <v/>
      </c>
      <c r="AB8" s="60">
        <f>Z8*AA8</f>
        <v/>
      </c>
      <c r="AC8" s="60">
        <f>IF(F8=1,0,K8*(T8+'01_Cadrage'!$H$19))</f>
        <v/>
      </c>
      <c r="AD8" s="63">
        <f>AB8+AC8</f>
        <v/>
      </c>
      <c r="AE8" s="61">
        <f>L8*(1+'01_Cadrage'!$H$17*W8)</f>
        <v/>
      </c>
      <c r="AF8" s="18">
        <f>1</f>
        <v/>
      </c>
      <c r="AG8" s="18">
        <f>1</f>
        <v/>
      </c>
      <c r="AH8" s="24">
        <f>AD8*AE8*AF8+AB8*'01_Cadrage'!$H$24</f>
        <v/>
      </c>
      <c r="AI8" s="60">
        <f>IF(AD8&lt;=0,0,MAX(1,ROUNDUP(AD8/O8,0)))</f>
        <v/>
      </c>
      <c r="AJ8" s="24">
        <f>AI8*U8</f>
        <v/>
      </c>
      <c r="AK8" s="24">
        <f>AD8*R8*(1+'01_Cadrage'!$H$20)</f>
        <v/>
      </c>
      <c r="AL8" s="24">
        <f>H8*S8*(1+Y8)</f>
        <v/>
      </c>
      <c r="AM8" s="22">
        <f>AH8-AJ8-AK8-AL8-AD8*'01_Cadrage'!$H$26*(1+'01_Cadrage'!$H$20)</f>
        <v/>
      </c>
      <c r="AN8" s="62">
        <f>IFERROR(AD8/(AI8*O8),0)</f>
        <v/>
      </c>
      <c r="AO8" s="61">
        <f>IFERROR(AM8/AD8,0)</f>
        <v/>
      </c>
      <c r="AP8" s="60">
        <f>IFERROR(AI8*U8/(AE8*AF8-R8*(1+'01_Cadrage'!$H$20)),0)</f>
        <v/>
      </c>
    </row>
    <row r="9">
      <c r="A9" s="57">
        <f>'06_Historique'!A10</f>
        <v/>
      </c>
      <c r="B9" s="10">
        <f>'06_Historique'!B10</f>
        <v/>
      </c>
      <c r="C9" s="57">
        <f>'06_Historique'!C10</f>
        <v/>
      </c>
      <c r="D9" s="10">
        <f>'06_Historique'!E10</f>
        <v/>
      </c>
      <c r="E9" s="10">
        <f>'06_Historique'!F10</f>
        <v/>
      </c>
      <c r="F9" s="58">
        <f>'06_Historique'!G10</f>
        <v/>
      </c>
      <c r="G9" s="58">
        <f>'06_Historique'!K10</f>
        <v/>
      </c>
      <c r="H9" s="58">
        <f>'06_Historique'!I10</f>
        <v/>
      </c>
      <c r="I9" s="58">
        <f>'06_Historique'!J10</f>
        <v/>
      </c>
      <c r="J9" s="58">
        <f>'06_Historique'!H10</f>
        <v/>
      </c>
      <c r="K9" s="58">
        <f>'06_Historique'!L10</f>
        <v/>
      </c>
      <c r="L9" s="59">
        <f>'06_Historique'!M10</f>
        <v/>
      </c>
      <c r="M9" s="58">
        <f>'06_Historique'!N10</f>
        <v/>
      </c>
      <c r="N9" s="9">
        <f>C9&amp;"|"&amp;D9</f>
        <v/>
      </c>
      <c r="O9" s="60">
        <f>INDEX('05_Param_Prog_Annee'!$E$4:$E$23,MATCH(N9,'05_Param_Prog_Annee'!$A$4:$A$23,0))</f>
        <v/>
      </c>
      <c r="P9" s="60">
        <f>INDEX('05_Param_Prog_Annee'!$F$4:$F$23,MATCH(N9,'05_Param_Prog_Annee'!$A$4:$A$23,0))</f>
        <v/>
      </c>
      <c r="Q9" s="61">
        <f>INDEX('05_Param_Prog_Annee'!$G$4:$G$23,MATCH(N9,'05_Param_Prog_Annee'!$A$4:$A$23,0))</f>
        <v/>
      </c>
      <c r="R9" s="61">
        <f>INDEX('05_Param_Prog_Annee'!$H$4:$H$23,MATCH(N9,'05_Param_Prog_Annee'!$A$4:$A$23,0))</f>
        <v/>
      </c>
      <c r="S9" s="61">
        <f>INDEX('05_Param_Prog_Annee'!$I$4:$I$23,MATCH(N9,'05_Param_Prog_Annee'!$A$4:$A$23,0))</f>
        <v/>
      </c>
      <c r="T9" s="62">
        <f>IFERROR(INDEX('05_Param_Prog_Annee'!$J$4:$J$23,MATCH(N9,'05_Param_Prog_Annee'!$A$4:$A$23,0)),0)</f>
        <v/>
      </c>
      <c r="U9" s="61">
        <f>P9*Q9*(1+'01_Cadrage'!$H$21)</f>
        <v/>
      </c>
      <c r="V9" s="18">
        <f>INDEX('01_Cadrage'!$L$7:$L$20,MATCH(A9&amp;"|"&amp;B9,'01_Cadrage'!$O$7:$O$20,0))</f>
        <v/>
      </c>
      <c r="W9" s="18">
        <f>INDEX('01_Cadrage'!$M$7:$M$20,MATCH(A9&amp;"|"&amp;B9,'01_Cadrage'!$O$7:$O$20,0))</f>
        <v/>
      </c>
      <c r="X9" s="18">
        <f>IFERROR(INDEX('06_Historique'!$F$66:$F$73,MATCH(C9,'06_Historique'!$A$66:$A$73,0)),'01_Cadrage'!$H$27)</f>
        <v/>
      </c>
      <c r="Y9" s="62">
        <f>'01_Cadrage'!$H$16*V9</f>
        <v/>
      </c>
      <c r="Z9" s="60">
        <f>IF(F9=1,J9*(1+X9*Y9),0)</f>
        <v/>
      </c>
      <c r="AA9" s="62">
        <f>IF(F9=1,IFERROR(H9/J9,'01_Cadrage'!$H$28)+'01_Cadrage'!$H$18,0)</f>
        <v/>
      </c>
      <c r="AB9" s="60">
        <f>Z9*AA9</f>
        <v/>
      </c>
      <c r="AC9" s="60">
        <f>IF(F9=1,0,K9*(T9+'01_Cadrage'!$H$19))</f>
        <v/>
      </c>
      <c r="AD9" s="63">
        <f>AB9+AC9</f>
        <v/>
      </c>
      <c r="AE9" s="61">
        <f>L9*(1+'01_Cadrage'!$H$17*W9)</f>
        <v/>
      </c>
      <c r="AF9" s="18">
        <f>1</f>
        <v/>
      </c>
      <c r="AG9" s="18">
        <f>1</f>
        <v/>
      </c>
      <c r="AH9" s="24">
        <f>AD9*AE9*AF9+AB9*'01_Cadrage'!$H$24</f>
        <v/>
      </c>
      <c r="AI9" s="60">
        <f>IF(AD9&lt;=0,0,MAX(1,ROUNDUP(AD9/O9,0)))</f>
        <v/>
      </c>
      <c r="AJ9" s="24">
        <f>AI9*U9</f>
        <v/>
      </c>
      <c r="AK9" s="24">
        <f>AD9*R9*(1+'01_Cadrage'!$H$20)</f>
        <v/>
      </c>
      <c r="AL9" s="24">
        <f>H9*S9*(1+Y9)</f>
        <v/>
      </c>
      <c r="AM9" s="22">
        <f>AH9-AJ9-AK9-AL9-AD9*'01_Cadrage'!$H$26*(1+'01_Cadrage'!$H$20)</f>
        <v/>
      </c>
      <c r="AN9" s="62">
        <f>IFERROR(AD9/(AI9*O9),0)</f>
        <v/>
      </c>
      <c r="AO9" s="61">
        <f>IFERROR(AM9/AD9,0)</f>
        <v/>
      </c>
      <c r="AP9" s="60">
        <f>IFERROR(AI9*U9/(AE9*AF9-R9*(1+'01_Cadrage'!$H$20)),0)</f>
        <v/>
      </c>
    </row>
    <row r="10">
      <c r="A10" s="57">
        <f>'06_Historique'!A11</f>
        <v/>
      </c>
      <c r="B10" s="10">
        <f>'06_Historique'!B11</f>
        <v/>
      </c>
      <c r="C10" s="57">
        <f>'06_Historique'!C11</f>
        <v/>
      </c>
      <c r="D10" s="10">
        <f>'06_Historique'!E11</f>
        <v/>
      </c>
      <c r="E10" s="10">
        <f>'06_Historique'!F11</f>
        <v/>
      </c>
      <c r="F10" s="58">
        <f>'06_Historique'!G11</f>
        <v/>
      </c>
      <c r="G10" s="58">
        <f>'06_Historique'!K11</f>
        <v/>
      </c>
      <c r="H10" s="58">
        <f>'06_Historique'!I11</f>
        <v/>
      </c>
      <c r="I10" s="58">
        <f>'06_Historique'!J11</f>
        <v/>
      </c>
      <c r="J10" s="58">
        <f>'06_Historique'!H11</f>
        <v/>
      </c>
      <c r="K10" s="58">
        <f>'06_Historique'!L11</f>
        <v/>
      </c>
      <c r="L10" s="59">
        <f>'06_Historique'!M11</f>
        <v/>
      </c>
      <c r="M10" s="58">
        <f>'06_Historique'!N11</f>
        <v/>
      </c>
      <c r="N10" s="9">
        <f>C10&amp;"|"&amp;D10</f>
        <v/>
      </c>
      <c r="O10" s="60">
        <f>INDEX('05_Param_Prog_Annee'!$E$4:$E$23,MATCH(N10,'05_Param_Prog_Annee'!$A$4:$A$23,0))</f>
        <v/>
      </c>
      <c r="P10" s="60">
        <f>INDEX('05_Param_Prog_Annee'!$F$4:$F$23,MATCH(N10,'05_Param_Prog_Annee'!$A$4:$A$23,0))</f>
        <v/>
      </c>
      <c r="Q10" s="61">
        <f>INDEX('05_Param_Prog_Annee'!$G$4:$G$23,MATCH(N10,'05_Param_Prog_Annee'!$A$4:$A$23,0))</f>
        <v/>
      </c>
      <c r="R10" s="61">
        <f>INDEX('05_Param_Prog_Annee'!$H$4:$H$23,MATCH(N10,'05_Param_Prog_Annee'!$A$4:$A$23,0))</f>
        <v/>
      </c>
      <c r="S10" s="61">
        <f>INDEX('05_Param_Prog_Annee'!$I$4:$I$23,MATCH(N10,'05_Param_Prog_Annee'!$A$4:$A$23,0))</f>
        <v/>
      </c>
      <c r="T10" s="62">
        <f>IFERROR(INDEX('05_Param_Prog_Annee'!$J$4:$J$23,MATCH(N10,'05_Param_Prog_Annee'!$A$4:$A$23,0)),0)</f>
        <v/>
      </c>
      <c r="U10" s="61">
        <f>P10*Q10*(1+'01_Cadrage'!$H$21)</f>
        <v/>
      </c>
      <c r="V10" s="18">
        <f>INDEX('01_Cadrage'!$L$7:$L$20,MATCH(A10&amp;"|"&amp;B10,'01_Cadrage'!$O$7:$O$20,0))</f>
        <v/>
      </c>
      <c r="W10" s="18">
        <f>INDEX('01_Cadrage'!$M$7:$M$20,MATCH(A10&amp;"|"&amp;B10,'01_Cadrage'!$O$7:$O$20,0))</f>
        <v/>
      </c>
      <c r="X10" s="18">
        <f>IFERROR(INDEX('06_Historique'!$F$66:$F$73,MATCH(C10,'06_Historique'!$A$66:$A$73,0)),'01_Cadrage'!$H$27)</f>
        <v/>
      </c>
      <c r="Y10" s="62">
        <f>'01_Cadrage'!$H$16*V10</f>
        <v/>
      </c>
      <c r="Z10" s="60">
        <f>IF(F10=1,J10*(1+X10*Y10),0)</f>
        <v/>
      </c>
      <c r="AA10" s="62">
        <f>IF(F10=1,IFERROR(H10/J10,'01_Cadrage'!$H$28)+'01_Cadrage'!$H$18,0)</f>
        <v/>
      </c>
      <c r="AB10" s="60">
        <f>Z10*AA10</f>
        <v/>
      </c>
      <c r="AC10" s="60">
        <f>IF(F10=1,0,K10*(T10+'01_Cadrage'!$H$19))</f>
        <v/>
      </c>
      <c r="AD10" s="63">
        <f>AB10+AC10</f>
        <v/>
      </c>
      <c r="AE10" s="61">
        <f>L10*(1+'01_Cadrage'!$H$17*W10)</f>
        <v/>
      </c>
      <c r="AF10" s="18">
        <f>1</f>
        <v/>
      </c>
      <c r="AG10" s="18">
        <f>1</f>
        <v/>
      </c>
      <c r="AH10" s="24">
        <f>AD10*AE10*AF10+AB10*'01_Cadrage'!$H$24</f>
        <v/>
      </c>
      <c r="AI10" s="60">
        <f>IF(AD10&lt;=0,0,MAX(1,ROUNDUP(AD10/O10,0)))</f>
        <v/>
      </c>
      <c r="AJ10" s="24">
        <f>AI10*U10</f>
        <v/>
      </c>
      <c r="AK10" s="24">
        <f>AD10*R10*(1+'01_Cadrage'!$H$20)</f>
        <v/>
      </c>
      <c r="AL10" s="24">
        <f>H10*S10*(1+Y10)</f>
        <v/>
      </c>
      <c r="AM10" s="22">
        <f>AH10-AJ10-AK10-AL10-AD10*'01_Cadrage'!$H$26*(1+'01_Cadrage'!$H$20)</f>
        <v/>
      </c>
      <c r="AN10" s="62">
        <f>IFERROR(AD10/(AI10*O10),0)</f>
        <v/>
      </c>
      <c r="AO10" s="61">
        <f>IFERROR(AM10/AD10,0)</f>
        <v/>
      </c>
      <c r="AP10" s="60">
        <f>IFERROR(AI10*U10/(AE10*AF10-R10*(1+'01_Cadrage'!$H$20)),0)</f>
        <v/>
      </c>
    </row>
    <row r="11">
      <c r="A11" s="57">
        <f>'06_Historique'!A12</f>
        <v/>
      </c>
      <c r="B11" s="10">
        <f>'06_Historique'!B12</f>
        <v/>
      </c>
      <c r="C11" s="57">
        <f>'06_Historique'!C12</f>
        <v/>
      </c>
      <c r="D11" s="10">
        <f>'06_Historique'!E12</f>
        <v/>
      </c>
      <c r="E11" s="10">
        <f>'06_Historique'!F12</f>
        <v/>
      </c>
      <c r="F11" s="58">
        <f>'06_Historique'!G12</f>
        <v/>
      </c>
      <c r="G11" s="58">
        <f>'06_Historique'!K12</f>
        <v/>
      </c>
      <c r="H11" s="58">
        <f>'06_Historique'!I12</f>
        <v/>
      </c>
      <c r="I11" s="58">
        <f>'06_Historique'!J12</f>
        <v/>
      </c>
      <c r="J11" s="58">
        <f>'06_Historique'!H12</f>
        <v/>
      </c>
      <c r="K11" s="58">
        <f>'06_Historique'!L12</f>
        <v/>
      </c>
      <c r="L11" s="59">
        <f>'06_Historique'!M12</f>
        <v/>
      </c>
      <c r="M11" s="58">
        <f>'06_Historique'!N12</f>
        <v/>
      </c>
      <c r="N11" s="9">
        <f>C11&amp;"|"&amp;D11</f>
        <v/>
      </c>
      <c r="O11" s="60">
        <f>INDEX('05_Param_Prog_Annee'!$E$4:$E$23,MATCH(N11,'05_Param_Prog_Annee'!$A$4:$A$23,0))</f>
        <v/>
      </c>
      <c r="P11" s="60">
        <f>INDEX('05_Param_Prog_Annee'!$F$4:$F$23,MATCH(N11,'05_Param_Prog_Annee'!$A$4:$A$23,0))</f>
        <v/>
      </c>
      <c r="Q11" s="61">
        <f>INDEX('05_Param_Prog_Annee'!$G$4:$G$23,MATCH(N11,'05_Param_Prog_Annee'!$A$4:$A$23,0))</f>
        <v/>
      </c>
      <c r="R11" s="61">
        <f>INDEX('05_Param_Prog_Annee'!$H$4:$H$23,MATCH(N11,'05_Param_Prog_Annee'!$A$4:$A$23,0))</f>
        <v/>
      </c>
      <c r="S11" s="61">
        <f>INDEX('05_Param_Prog_Annee'!$I$4:$I$23,MATCH(N11,'05_Param_Prog_Annee'!$A$4:$A$23,0))</f>
        <v/>
      </c>
      <c r="T11" s="62">
        <f>IFERROR(INDEX('05_Param_Prog_Annee'!$J$4:$J$23,MATCH(N11,'05_Param_Prog_Annee'!$A$4:$A$23,0)),0)</f>
        <v/>
      </c>
      <c r="U11" s="61">
        <f>P11*Q11*(1+'01_Cadrage'!$H$21)</f>
        <v/>
      </c>
      <c r="V11" s="18">
        <f>INDEX('01_Cadrage'!$L$7:$L$20,MATCH(A11&amp;"|"&amp;B11,'01_Cadrage'!$O$7:$O$20,0))</f>
        <v/>
      </c>
      <c r="W11" s="18">
        <f>INDEX('01_Cadrage'!$M$7:$M$20,MATCH(A11&amp;"|"&amp;B11,'01_Cadrage'!$O$7:$O$20,0))</f>
        <v/>
      </c>
      <c r="X11" s="18">
        <f>IFERROR(INDEX('06_Historique'!$F$66:$F$73,MATCH(C11,'06_Historique'!$A$66:$A$73,0)),'01_Cadrage'!$H$27)</f>
        <v/>
      </c>
      <c r="Y11" s="62">
        <f>'01_Cadrage'!$H$16*V11</f>
        <v/>
      </c>
      <c r="Z11" s="60">
        <f>IF(F11=1,J11*(1+X11*Y11),0)</f>
        <v/>
      </c>
      <c r="AA11" s="62">
        <f>IF(F11=1,IFERROR(H11/J11,'01_Cadrage'!$H$28)+'01_Cadrage'!$H$18,0)</f>
        <v/>
      </c>
      <c r="AB11" s="60">
        <f>Z11*AA11</f>
        <v/>
      </c>
      <c r="AC11" s="60">
        <f>IF(F11=1,0,K11*(T11+'01_Cadrage'!$H$19))</f>
        <v/>
      </c>
      <c r="AD11" s="63">
        <f>AB11+AC11</f>
        <v/>
      </c>
      <c r="AE11" s="61">
        <f>L11*(1+'01_Cadrage'!$H$17*W11)</f>
        <v/>
      </c>
      <c r="AF11" s="18">
        <f>1</f>
        <v/>
      </c>
      <c r="AG11" s="18">
        <f>1</f>
        <v/>
      </c>
      <c r="AH11" s="24">
        <f>AD11*AE11*AF11+AB11*'01_Cadrage'!$H$24</f>
        <v/>
      </c>
      <c r="AI11" s="60">
        <f>IF(AD11&lt;=0,0,MAX(1,ROUNDUP(AD11/O11,0)))</f>
        <v/>
      </c>
      <c r="AJ11" s="24">
        <f>AI11*U11</f>
        <v/>
      </c>
      <c r="AK11" s="24">
        <f>AD11*R11*(1+'01_Cadrage'!$H$20)</f>
        <v/>
      </c>
      <c r="AL11" s="24">
        <f>H11*S11*(1+Y11)</f>
        <v/>
      </c>
      <c r="AM11" s="22">
        <f>AH11-AJ11-AK11-AL11-AD11*'01_Cadrage'!$H$26*(1+'01_Cadrage'!$H$20)</f>
        <v/>
      </c>
      <c r="AN11" s="62">
        <f>IFERROR(AD11/(AI11*O11),0)</f>
        <v/>
      </c>
      <c r="AO11" s="61">
        <f>IFERROR(AM11/AD11,0)</f>
        <v/>
      </c>
      <c r="AP11" s="60">
        <f>IFERROR(AI11*U11/(AE11*AF11-R11*(1+'01_Cadrage'!$H$20)),0)</f>
        <v/>
      </c>
    </row>
    <row r="12">
      <c r="A12" s="57">
        <f>'06_Historique'!A13</f>
        <v/>
      </c>
      <c r="B12" s="10">
        <f>'06_Historique'!B13</f>
        <v/>
      </c>
      <c r="C12" s="57">
        <f>'06_Historique'!C13</f>
        <v/>
      </c>
      <c r="D12" s="10">
        <f>'06_Historique'!E13</f>
        <v/>
      </c>
      <c r="E12" s="10">
        <f>'06_Historique'!F13</f>
        <v/>
      </c>
      <c r="F12" s="58">
        <f>'06_Historique'!G13</f>
        <v/>
      </c>
      <c r="G12" s="58">
        <f>'06_Historique'!K13</f>
        <v/>
      </c>
      <c r="H12" s="58">
        <f>'06_Historique'!I13</f>
        <v/>
      </c>
      <c r="I12" s="58">
        <f>'06_Historique'!J13</f>
        <v/>
      </c>
      <c r="J12" s="58">
        <f>'06_Historique'!H13</f>
        <v/>
      </c>
      <c r="K12" s="58">
        <f>'06_Historique'!L13</f>
        <v/>
      </c>
      <c r="L12" s="59">
        <f>'06_Historique'!M13</f>
        <v/>
      </c>
      <c r="M12" s="58">
        <f>'06_Historique'!N13</f>
        <v/>
      </c>
      <c r="N12" s="9">
        <f>C12&amp;"|"&amp;D12</f>
        <v/>
      </c>
      <c r="O12" s="60">
        <f>INDEX('05_Param_Prog_Annee'!$E$4:$E$23,MATCH(N12,'05_Param_Prog_Annee'!$A$4:$A$23,0))</f>
        <v/>
      </c>
      <c r="P12" s="60">
        <f>INDEX('05_Param_Prog_Annee'!$F$4:$F$23,MATCH(N12,'05_Param_Prog_Annee'!$A$4:$A$23,0))</f>
        <v/>
      </c>
      <c r="Q12" s="61">
        <f>INDEX('05_Param_Prog_Annee'!$G$4:$G$23,MATCH(N12,'05_Param_Prog_Annee'!$A$4:$A$23,0))</f>
        <v/>
      </c>
      <c r="R12" s="61">
        <f>INDEX('05_Param_Prog_Annee'!$H$4:$H$23,MATCH(N12,'05_Param_Prog_Annee'!$A$4:$A$23,0))</f>
        <v/>
      </c>
      <c r="S12" s="61">
        <f>INDEX('05_Param_Prog_Annee'!$I$4:$I$23,MATCH(N12,'05_Param_Prog_Annee'!$A$4:$A$23,0))</f>
        <v/>
      </c>
      <c r="T12" s="62">
        <f>IFERROR(INDEX('05_Param_Prog_Annee'!$J$4:$J$23,MATCH(N12,'05_Param_Prog_Annee'!$A$4:$A$23,0)),0)</f>
        <v/>
      </c>
      <c r="U12" s="61">
        <f>P12*Q12*(1+'01_Cadrage'!$H$21)</f>
        <v/>
      </c>
      <c r="V12" s="18">
        <f>INDEX('01_Cadrage'!$L$7:$L$20,MATCH(A12&amp;"|"&amp;B12,'01_Cadrage'!$O$7:$O$20,0))</f>
        <v/>
      </c>
      <c r="W12" s="18">
        <f>INDEX('01_Cadrage'!$M$7:$M$20,MATCH(A12&amp;"|"&amp;B12,'01_Cadrage'!$O$7:$O$20,0))</f>
        <v/>
      </c>
      <c r="X12" s="18">
        <f>IFERROR(INDEX('06_Historique'!$F$66:$F$73,MATCH(C12,'06_Historique'!$A$66:$A$73,0)),'01_Cadrage'!$H$27)</f>
        <v/>
      </c>
      <c r="Y12" s="62">
        <f>'01_Cadrage'!$H$16*V12</f>
        <v/>
      </c>
      <c r="Z12" s="60">
        <f>IF(F12=1,J12*(1+X12*Y12),0)</f>
        <v/>
      </c>
      <c r="AA12" s="62">
        <f>IF(F12=1,IFERROR(H12/J12,'01_Cadrage'!$H$28)+'01_Cadrage'!$H$18,0)</f>
        <v/>
      </c>
      <c r="AB12" s="60">
        <f>Z12*AA12</f>
        <v/>
      </c>
      <c r="AC12" s="60">
        <f>IF(F12=1,0,K12*(T12+'01_Cadrage'!$H$19))</f>
        <v/>
      </c>
      <c r="AD12" s="63">
        <f>AB12+AC12</f>
        <v/>
      </c>
      <c r="AE12" s="61">
        <f>L12*(1+'01_Cadrage'!$H$17*W12)</f>
        <v/>
      </c>
      <c r="AF12" s="18">
        <f>1</f>
        <v/>
      </c>
      <c r="AG12" s="18">
        <f>1</f>
        <v/>
      </c>
      <c r="AH12" s="24">
        <f>AD12*AE12*AF12+AB12*'01_Cadrage'!$H$24</f>
        <v/>
      </c>
      <c r="AI12" s="60">
        <f>IF(AD12&lt;=0,0,MAX(1,ROUNDUP(AD12/O12,0)))</f>
        <v/>
      </c>
      <c r="AJ12" s="24">
        <f>AI12*U12</f>
        <v/>
      </c>
      <c r="AK12" s="24">
        <f>AD12*R12*(1+'01_Cadrage'!$H$20)</f>
        <v/>
      </c>
      <c r="AL12" s="24">
        <f>H12*S12*(1+Y12)</f>
        <v/>
      </c>
      <c r="AM12" s="22">
        <f>AH12-AJ12-AK12-AL12-AD12*'01_Cadrage'!$H$26*(1+'01_Cadrage'!$H$20)</f>
        <v/>
      </c>
      <c r="AN12" s="62">
        <f>IFERROR(AD12/(AI12*O12),0)</f>
        <v/>
      </c>
      <c r="AO12" s="61">
        <f>IFERROR(AM12/AD12,0)</f>
        <v/>
      </c>
      <c r="AP12" s="60">
        <f>IFERROR(AI12*U12/(AE12*AF12-R12*(1+'01_Cadrage'!$H$20)),0)</f>
        <v/>
      </c>
    </row>
    <row r="13">
      <c r="A13" s="57">
        <f>'06_Historique'!A14</f>
        <v/>
      </c>
      <c r="B13" s="10">
        <f>'06_Historique'!B14</f>
        <v/>
      </c>
      <c r="C13" s="57">
        <f>'06_Historique'!C14</f>
        <v/>
      </c>
      <c r="D13" s="10">
        <f>'06_Historique'!E14</f>
        <v/>
      </c>
      <c r="E13" s="10">
        <f>'06_Historique'!F14</f>
        <v/>
      </c>
      <c r="F13" s="58">
        <f>'06_Historique'!G14</f>
        <v/>
      </c>
      <c r="G13" s="58">
        <f>'06_Historique'!K14</f>
        <v/>
      </c>
      <c r="H13" s="58">
        <f>'06_Historique'!I14</f>
        <v/>
      </c>
      <c r="I13" s="58">
        <f>'06_Historique'!J14</f>
        <v/>
      </c>
      <c r="J13" s="58">
        <f>'06_Historique'!H14</f>
        <v/>
      </c>
      <c r="K13" s="58">
        <f>'06_Historique'!L14</f>
        <v/>
      </c>
      <c r="L13" s="59">
        <f>'06_Historique'!M14</f>
        <v/>
      </c>
      <c r="M13" s="58">
        <f>'06_Historique'!N14</f>
        <v/>
      </c>
      <c r="N13" s="9">
        <f>C13&amp;"|"&amp;D13</f>
        <v/>
      </c>
      <c r="O13" s="60">
        <f>INDEX('05_Param_Prog_Annee'!$E$4:$E$23,MATCH(N13,'05_Param_Prog_Annee'!$A$4:$A$23,0))</f>
        <v/>
      </c>
      <c r="P13" s="60">
        <f>INDEX('05_Param_Prog_Annee'!$F$4:$F$23,MATCH(N13,'05_Param_Prog_Annee'!$A$4:$A$23,0))</f>
        <v/>
      </c>
      <c r="Q13" s="61">
        <f>INDEX('05_Param_Prog_Annee'!$G$4:$G$23,MATCH(N13,'05_Param_Prog_Annee'!$A$4:$A$23,0))</f>
        <v/>
      </c>
      <c r="R13" s="61">
        <f>INDEX('05_Param_Prog_Annee'!$H$4:$H$23,MATCH(N13,'05_Param_Prog_Annee'!$A$4:$A$23,0))</f>
        <v/>
      </c>
      <c r="S13" s="61">
        <f>INDEX('05_Param_Prog_Annee'!$I$4:$I$23,MATCH(N13,'05_Param_Prog_Annee'!$A$4:$A$23,0))</f>
        <v/>
      </c>
      <c r="T13" s="62">
        <f>IFERROR(INDEX('05_Param_Prog_Annee'!$J$4:$J$23,MATCH(N13,'05_Param_Prog_Annee'!$A$4:$A$23,0)),0)</f>
        <v/>
      </c>
      <c r="U13" s="61">
        <f>P13*Q13*(1+'01_Cadrage'!$H$21)</f>
        <v/>
      </c>
      <c r="V13" s="18">
        <f>INDEX('01_Cadrage'!$L$7:$L$20,MATCH(A13&amp;"|"&amp;B13,'01_Cadrage'!$O$7:$O$20,0))</f>
        <v/>
      </c>
      <c r="W13" s="18">
        <f>INDEX('01_Cadrage'!$M$7:$M$20,MATCH(A13&amp;"|"&amp;B13,'01_Cadrage'!$O$7:$O$20,0))</f>
        <v/>
      </c>
      <c r="X13" s="18">
        <f>IFERROR(INDEX('06_Historique'!$F$66:$F$73,MATCH(C13,'06_Historique'!$A$66:$A$73,0)),'01_Cadrage'!$H$27)</f>
        <v/>
      </c>
      <c r="Y13" s="62">
        <f>'01_Cadrage'!$H$16*V13</f>
        <v/>
      </c>
      <c r="Z13" s="60">
        <f>IF(F13=1,J13*(1+X13*Y13),0)</f>
        <v/>
      </c>
      <c r="AA13" s="62">
        <f>IF(F13=1,IFERROR(H13/J13,'01_Cadrage'!$H$28)+'01_Cadrage'!$H$18,0)</f>
        <v/>
      </c>
      <c r="AB13" s="60">
        <f>Z13*AA13</f>
        <v/>
      </c>
      <c r="AC13" s="60">
        <f>IF(F13=1,0,K13*(T13+'01_Cadrage'!$H$19))</f>
        <v/>
      </c>
      <c r="AD13" s="63">
        <f>AB13+AC13</f>
        <v/>
      </c>
      <c r="AE13" s="61">
        <f>L13*(1+'01_Cadrage'!$H$17*W13)</f>
        <v/>
      </c>
      <c r="AF13" s="18">
        <f>1</f>
        <v/>
      </c>
      <c r="AG13" s="18">
        <f>1</f>
        <v/>
      </c>
      <c r="AH13" s="24">
        <f>AD13*AE13*AF13+AB13*'01_Cadrage'!$H$24</f>
        <v/>
      </c>
      <c r="AI13" s="60">
        <f>IF(AD13&lt;=0,0,MAX(1,ROUNDUP(AD13/O13,0)))</f>
        <v/>
      </c>
      <c r="AJ13" s="24">
        <f>AI13*U13</f>
        <v/>
      </c>
      <c r="AK13" s="24">
        <f>AD13*R13*(1+'01_Cadrage'!$H$20)</f>
        <v/>
      </c>
      <c r="AL13" s="24">
        <f>H13*S13*(1+Y13)</f>
        <v/>
      </c>
      <c r="AM13" s="22">
        <f>AH13-AJ13-AK13-AL13-AD13*'01_Cadrage'!$H$26*(1+'01_Cadrage'!$H$20)</f>
        <v/>
      </c>
      <c r="AN13" s="62">
        <f>IFERROR(AD13/(AI13*O13),0)</f>
        <v/>
      </c>
      <c r="AO13" s="61">
        <f>IFERROR(AM13/AD13,0)</f>
        <v/>
      </c>
      <c r="AP13" s="60">
        <f>IFERROR(AI13*U13/(AE13*AF13-R13*(1+'01_Cadrage'!$H$20)),0)</f>
        <v/>
      </c>
    </row>
    <row r="14">
      <c r="A14" s="57">
        <f>'06_Historique'!A15</f>
        <v/>
      </c>
      <c r="B14" s="10">
        <f>'06_Historique'!B15</f>
        <v/>
      </c>
      <c r="C14" s="57">
        <f>'06_Historique'!C15</f>
        <v/>
      </c>
      <c r="D14" s="10">
        <f>'06_Historique'!E15</f>
        <v/>
      </c>
      <c r="E14" s="10">
        <f>'06_Historique'!F15</f>
        <v/>
      </c>
      <c r="F14" s="58">
        <f>'06_Historique'!G15</f>
        <v/>
      </c>
      <c r="G14" s="58">
        <f>'06_Historique'!K15</f>
        <v/>
      </c>
      <c r="H14" s="58">
        <f>'06_Historique'!I15</f>
        <v/>
      </c>
      <c r="I14" s="58">
        <f>'06_Historique'!J15</f>
        <v/>
      </c>
      <c r="J14" s="58">
        <f>'06_Historique'!H15</f>
        <v/>
      </c>
      <c r="K14" s="58">
        <f>'06_Historique'!L15</f>
        <v/>
      </c>
      <c r="L14" s="59">
        <f>'06_Historique'!M15</f>
        <v/>
      </c>
      <c r="M14" s="58">
        <f>'06_Historique'!N15</f>
        <v/>
      </c>
      <c r="N14" s="9">
        <f>C14&amp;"|"&amp;D14</f>
        <v/>
      </c>
      <c r="O14" s="60">
        <f>INDEX('05_Param_Prog_Annee'!$E$4:$E$23,MATCH(N14,'05_Param_Prog_Annee'!$A$4:$A$23,0))</f>
        <v/>
      </c>
      <c r="P14" s="60">
        <f>INDEX('05_Param_Prog_Annee'!$F$4:$F$23,MATCH(N14,'05_Param_Prog_Annee'!$A$4:$A$23,0))</f>
        <v/>
      </c>
      <c r="Q14" s="61">
        <f>INDEX('05_Param_Prog_Annee'!$G$4:$G$23,MATCH(N14,'05_Param_Prog_Annee'!$A$4:$A$23,0))</f>
        <v/>
      </c>
      <c r="R14" s="61">
        <f>INDEX('05_Param_Prog_Annee'!$H$4:$H$23,MATCH(N14,'05_Param_Prog_Annee'!$A$4:$A$23,0))</f>
        <v/>
      </c>
      <c r="S14" s="61">
        <f>INDEX('05_Param_Prog_Annee'!$I$4:$I$23,MATCH(N14,'05_Param_Prog_Annee'!$A$4:$A$23,0))</f>
        <v/>
      </c>
      <c r="T14" s="62">
        <f>IFERROR(INDEX('05_Param_Prog_Annee'!$J$4:$J$23,MATCH(N14,'05_Param_Prog_Annee'!$A$4:$A$23,0)),0)</f>
        <v/>
      </c>
      <c r="U14" s="61">
        <f>P14*Q14*(1+'01_Cadrage'!$H$21)</f>
        <v/>
      </c>
      <c r="V14" s="18">
        <f>INDEX('01_Cadrage'!$L$7:$L$20,MATCH(A14&amp;"|"&amp;B14,'01_Cadrage'!$O$7:$O$20,0))</f>
        <v/>
      </c>
      <c r="W14" s="18">
        <f>INDEX('01_Cadrage'!$M$7:$M$20,MATCH(A14&amp;"|"&amp;B14,'01_Cadrage'!$O$7:$O$20,0))</f>
        <v/>
      </c>
      <c r="X14" s="18">
        <f>IFERROR(INDEX('06_Historique'!$F$66:$F$73,MATCH(C14,'06_Historique'!$A$66:$A$73,0)),'01_Cadrage'!$H$27)</f>
        <v/>
      </c>
      <c r="Y14" s="62">
        <f>'01_Cadrage'!$H$16*V14</f>
        <v/>
      </c>
      <c r="Z14" s="60">
        <f>IF(F14=1,J14*(1+X14*Y14),0)</f>
        <v/>
      </c>
      <c r="AA14" s="62">
        <f>IF(F14=1,IFERROR(H14/J14,'01_Cadrage'!$H$28)+'01_Cadrage'!$H$18,0)</f>
        <v/>
      </c>
      <c r="AB14" s="60">
        <f>Z14*AA14</f>
        <v/>
      </c>
      <c r="AC14" s="60">
        <f>IF(F14=1,0,K14*(T14+'01_Cadrage'!$H$19))</f>
        <v/>
      </c>
      <c r="AD14" s="63">
        <f>AB14+AC14</f>
        <v/>
      </c>
      <c r="AE14" s="61">
        <f>L14*(1+'01_Cadrage'!$H$17*W14)</f>
        <v/>
      </c>
      <c r="AF14" s="18">
        <f>1</f>
        <v/>
      </c>
      <c r="AG14" s="18">
        <f>1</f>
        <v/>
      </c>
      <c r="AH14" s="24">
        <f>AD14*AE14*AF14+AB14*'01_Cadrage'!$H$24</f>
        <v/>
      </c>
      <c r="AI14" s="60">
        <f>IF(AD14&lt;=0,0,MAX(1,ROUNDUP(AD14/O14,0)))</f>
        <v/>
      </c>
      <c r="AJ14" s="24">
        <f>AI14*U14</f>
        <v/>
      </c>
      <c r="AK14" s="24">
        <f>AD14*R14*(1+'01_Cadrage'!$H$20)</f>
        <v/>
      </c>
      <c r="AL14" s="24">
        <f>H14*S14*(1+Y14)</f>
        <v/>
      </c>
      <c r="AM14" s="22">
        <f>AH14-AJ14-AK14-AL14-AD14*'01_Cadrage'!$H$26*(1+'01_Cadrage'!$H$20)</f>
        <v/>
      </c>
      <c r="AN14" s="62">
        <f>IFERROR(AD14/(AI14*O14),0)</f>
        <v/>
      </c>
      <c r="AO14" s="61">
        <f>IFERROR(AM14/AD14,0)</f>
        <v/>
      </c>
      <c r="AP14" s="60">
        <f>IFERROR(AI14*U14/(AE14*AF14-R14*(1+'01_Cadrage'!$H$20)),0)</f>
        <v/>
      </c>
    </row>
    <row r="15">
      <c r="A15" s="57">
        <f>'06_Historique'!A16</f>
        <v/>
      </c>
      <c r="B15" s="10">
        <f>'06_Historique'!B16</f>
        <v/>
      </c>
      <c r="C15" s="57">
        <f>'06_Historique'!C16</f>
        <v/>
      </c>
      <c r="D15" s="10">
        <f>'06_Historique'!E16</f>
        <v/>
      </c>
      <c r="E15" s="10">
        <f>'06_Historique'!F16</f>
        <v/>
      </c>
      <c r="F15" s="58">
        <f>'06_Historique'!G16</f>
        <v/>
      </c>
      <c r="G15" s="58">
        <f>'06_Historique'!K16</f>
        <v/>
      </c>
      <c r="H15" s="58">
        <f>'06_Historique'!I16</f>
        <v/>
      </c>
      <c r="I15" s="58">
        <f>'06_Historique'!J16</f>
        <v/>
      </c>
      <c r="J15" s="58">
        <f>'06_Historique'!H16</f>
        <v/>
      </c>
      <c r="K15" s="58">
        <f>'06_Historique'!L16</f>
        <v/>
      </c>
      <c r="L15" s="59">
        <f>'06_Historique'!M16</f>
        <v/>
      </c>
      <c r="M15" s="58">
        <f>'06_Historique'!N16</f>
        <v/>
      </c>
      <c r="N15" s="9">
        <f>C15&amp;"|"&amp;D15</f>
        <v/>
      </c>
      <c r="O15" s="60">
        <f>INDEX('05_Param_Prog_Annee'!$E$4:$E$23,MATCH(N15,'05_Param_Prog_Annee'!$A$4:$A$23,0))</f>
        <v/>
      </c>
      <c r="P15" s="60">
        <f>INDEX('05_Param_Prog_Annee'!$F$4:$F$23,MATCH(N15,'05_Param_Prog_Annee'!$A$4:$A$23,0))</f>
        <v/>
      </c>
      <c r="Q15" s="61">
        <f>INDEX('05_Param_Prog_Annee'!$G$4:$G$23,MATCH(N15,'05_Param_Prog_Annee'!$A$4:$A$23,0))</f>
        <v/>
      </c>
      <c r="R15" s="61">
        <f>INDEX('05_Param_Prog_Annee'!$H$4:$H$23,MATCH(N15,'05_Param_Prog_Annee'!$A$4:$A$23,0))</f>
        <v/>
      </c>
      <c r="S15" s="61">
        <f>INDEX('05_Param_Prog_Annee'!$I$4:$I$23,MATCH(N15,'05_Param_Prog_Annee'!$A$4:$A$23,0))</f>
        <v/>
      </c>
      <c r="T15" s="62">
        <f>IFERROR(INDEX('05_Param_Prog_Annee'!$J$4:$J$23,MATCH(N15,'05_Param_Prog_Annee'!$A$4:$A$23,0)),0)</f>
        <v/>
      </c>
      <c r="U15" s="61">
        <f>P15*Q15*(1+'01_Cadrage'!$H$21)</f>
        <v/>
      </c>
      <c r="V15" s="18">
        <f>INDEX('01_Cadrage'!$L$7:$L$20,MATCH(A15&amp;"|"&amp;B15,'01_Cadrage'!$O$7:$O$20,0))</f>
        <v/>
      </c>
      <c r="W15" s="18">
        <f>INDEX('01_Cadrage'!$M$7:$M$20,MATCH(A15&amp;"|"&amp;B15,'01_Cadrage'!$O$7:$O$20,0))</f>
        <v/>
      </c>
      <c r="X15" s="18">
        <f>IFERROR(INDEX('06_Historique'!$F$66:$F$73,MATCH(C15,'06_Historique'!$A$66:$A$73,0)),'01_Cadrage'!$H$27)</f>
        <v/>
      </c>
      <c r="Y15" s="62">
        <f>'01_Cadrage'!$H$16*V15</f>
        <v/>
      </c>
      <c r="Z15" s="60">
        <f>IF(F15=1,J15*(1+X15*Y15),0)</f>
        <v/>
      </c>
      <c r="AA15" s="62">
        <f>IF(F15=1,IFERROR(H15/J15,'01_Cadrage'!$H$28)+'01_Cadrage'!$H$18,0)</f>
        <v/>
      </c>
      <c r="AB15" s="60">
        <f>Z15*AA15</f>
        <v/>
      </c>
      <c r="AC15" s="60">
        <f>IF(F15=1,0,K15*(T15+'01_Cadrage'!$H$19))</f>
        <v/>
      </c>
      <c r="AD15" s="63">
        <f>AB15+AC15</f>
        <v/>
      </c>
      <c r="AE15" s="61">
        <f>L15*(1+'01_Cadrage'!$H$17*W15)</f>
        <v/>
      </c>
      <c r="AF15" s="18">
        <f>1</f>
        <v/>
      </c>
      <c r="AG15" s="18">
        <f>1</f>
        <v/>
      </c>
      <c r="AH15" s="24">
        <f>AD15*AE15*AF15+AB15*'01_Cadrage'!$H$24</f>
        <v/>
      </c>
      <c r="AI15" s="60">
        <f>IF(AD15&lt;=0,0,MAX(1,ROUNDUP(AD15/O15,0)))</f>
        <v/>
      </c>
      <c r="AJ15" s="24">
        <f>AI15*U15</f>
        <v/>
      </c>
      <c r="AK15" s="24">
        <f>AD15*R15*(1+'01_Cadrage'!$H$20)</f>
        <v/>
      </c>
      <c r="AL15" s="24">
        <f>H15*S15*(1+Y15)</f>
        <v/>
      </c>
      <c r="AM15" s="22">
        <f>AH15-AJ15-AK15-AL15-AD15*'01_Cadrage'!$H$26*(1+'01_Cadrage'!$H$20)</f>
        <v/>
      </c>
      <c r="AN15" s="62">
        <f>IFERROR(AD15/(AI15*O15),0)</f>
        <v/>
      </c>
      <c r="AO15" s="61">
        <f>IFERROR(AM15/AD15,0)</f>
        <v/>
      </c>
      <c r="AP15" s="60">
        <f>IFERROR(AI15*U15/(AE15*AF15-R15*(1+'01_Cadrage'!$H$20)),0)</f>
        <v/>
      </c>
    </row>
    <row r="16">
      <c r="A16" s="57">
        <f>'06_Historique'!A17</f>
        <v/>
      </c>
      <c r="B16" s="10">
        <f>'06_Historique'!B17</f>
        <v/>
      </c>
      <c r="C16" s="57">
        <f>'06_Historique'!C17</f>
        <v/>
      </c>
      <c r="D16" s="10">
        <f>'06_Historique'!E17</f>
        <v/>
      </c>
      <c r="E16" s="10">
        <f>'06_Historique'!F17</f>
        <v/>
      </c>
      <c r="F16" s="58">
        <f>'06_Historique'!G17</f>
        <v/>
      </c>
      <c r="G16" s="58">
        <f>'06_Historique'!K17</f>
        <v/>
      </c>
      <c r="H16" s="58">
        <f>'06_Historique'!I17</f>
        <v/>
      </c>
      <c r="I16" s="58">
        <f>'06_Historique'!J17</f>
        <v/>
      </c>
      <c r="J16" s="58">
        <f>'06_Historique'!H17</f>
        <v/>
      </c>
      <c r="K16" s="58">
        <f>'06_Historique'!L17</f>
        <v/>
      </c>
      <c r="L16" s="59">
        <f>'06_Historique'!M17</f>
        <v/>
      </c>
      <c r="M16" s="58">
        <f>'06_Historique'!N17</f>
        <v/>
      </c>
      <c r="N16" s="9">
        <f>C16&amp;"|"&amp;D16</f>
        <v/>
      </c>
      <c r="O16" s="60">
        <f>INDEX('05_Param_Prog_Annee'!$E$4:$E$23,MATCH(N16,'05_Param_Prog_Annee'!$A$4:$A$23,0))</f>
        <v/>
      </c>
      <c r="P16" s="60">
        <f>INDEX('05_Param_Prog_Annee'!$F$4:$F$23,MATCH(N16,'05_Param_Prog_Annee'!$A$4:$A$23,0))</f>
        <v/>
      </c>
      <c r="Q16" s="61">
        <f>INDEX('05_Param_Prog_Annee'!$G$4:$G$23,MATCH(N16,'05_Param_Prog_Annee'!$A$4:$A$23,0))</f>
        <v/>
      </c>
      <c r="R16" s="61">
        <f>INDEX('05_Param_Prog_Annee'!$H$4:$H$23,MATCH(N16,'05_Param_Prog_Annee'!$A$4:$A$23,0))</f>
        <v/>
      </c>
      <c r="S16" s="61">
        <f>INDEX('05_Param_Prog_Annee'!$I$4:$I$23,MATCH(N16,'05_Param_Prog_Annee'!$A$4:$A$23,0))</f>
        <v/>
      </c>
      <c r="T16" s="62">
        <f>IFERROR(INDEX('05_Param_Prog_Annee'!$J$4:$J$23,MATCH(N16,'05_Param_Prog_Annee'!$A$4:$A$23,0)),0)</f>
        <v/>
      </c>
      <c r="U16" s="61">
        <f>P16*Q16*(1+'01_Cadrage'!$H$21)</f>
        <v/>
      </c>
      <c r="V16" s="18">
        <f>INDEX('01_Cadrage'!$L$7:$L$20,MATCH(A16&amp;"|"&amp;B16,'01_Cadrage'!$O$7:$O$20,0))</f>
        <v/>
      </c>
      <c r="W16" s="18">
        <f>INDEX('01_Cadrage'!$M$7:$M$20,MATCH(A16&amp;"|"&amp;B16,'01_Cadrage'!$O$7:$O$20,0))</f>
        <v/>
      </c>
      <c r="X16" s="18">
        <f>IFERROR(INDEX('06_Historique'!$F$66:$F$73,MATCH(C16,'06_Historique'!$A$66:$A$73,0)),'01_Cadrage'!$H$27)</f>
        <v/>
      </c>
      <c r="Y16" s="62">
        <f>'01_Cadrage'!$H$16*V16</f>
        <v/>
      </c>
      <c r="Z16" s="60">
        <f>IF(F16=1,J16*(1+X16*Y16),0)</f>
        <v/>
      </c>
      <c r="AA16" s="62">
        <f>IF(F16=1,IFERROR(H16/J16,'01_Cadrage'!$H$28)+'01_Cadrage'!$H$18,0)</f>
        <v/>
      </c>
      <c r="AB16" s="60">
        <f>Z16*AA16</f>
        <v/>
      </c>
      <c r="AC16" s="60">
        <f>IF(F16=1,0,K16*(T16+'01_Cadrage'!$H$19))</f>
        <v/>
      </c>
      <c r="AD16" s="63">
        <f>AB16+AC16</f>
        <v/>
      </c>
      <c r="AE16" s="61">
        <f>L16*(1+'01_Cadrage'!$H$17*W16)</f>
        <v/>
      </c>
      <c r="AF16" s="18">
        <f>1</f>
        <v/>
      </c>
      <c r="AG16" s="18">
        <f>1</f>
        <v/>
      </c>
      <c r="AH16" s="24">
        <f>AD16*AE16*AF16+AB16*'01_Cadrage'!$H$24</f>
        <v/>
      </c>
      <c r="AI16" s="60">
        <f>IF(AD16&lt;=0,0,MAX(1,ROUNDUP(AD16/O16,0)))</f>
        <v/>
      </c>
      <c r="AJ16" s="24">
        <f>AI16*U16</f>
        <v/>
      </c>
      <c r="AK16" s="24">
        <f>AD16*R16*(1+'01_Cadrage'!$H$20)</f>
        <v/>
      </c>
      <c r="AL16" s="24">
        <f>H16*S16*(1+Y16)</f>
        <v/>
      </c>
      <c r="AM16" s="22">
        <f>AH16-AJ16-AK16-AL16-AD16*'01_Cadrage'!$H$26*(1+'01_Cadrage'!$H$20)</f>
        <v/>
      </c>
      <c r="AN16" s="62">
        <f>IFERROR(AD16/(AI16*O16),0)</f>
        <v/>
      </c>
      <c r="AO16" s="61">
        <f>IFERROR(AM16/AD16,0)</f>
        <v/>
      </c>
      <c r="AP16" s="60">
        <f>IFERROR(AI16*U16/(AE16*AF16-R16*(1+'01_Cadrage'!$H$20)),0)</f>
        <v/>
      </c>
    </row>
    <row r="17">
      <c r="A17" s="57">
        <f>'06_Historique'!A18</f>
        <v/>
      </c>
      <c r="B17" s="10">
        <f>'06_Historique'!B18</f>
        <v/>
      </c>
      <c r="C17" s="57">
        <f>'06_Historique'!C18</f>
        <v/>
      </c>
      <c r="D17" s="10">
        <f>'06_Historique'!E18</f>
        <v/>
      </c>
      <c r="E17" s="10">
        <f>'06_Historique'!F18</f>
        <v/>
      </c>
      <c r="F17" s="58">
        <f>'06_Historique'!G18</f>
        <v/>
      </c>
      <c r="G17" s="58">
        <f>'06_Historique'!K18</f>
        <v/>
      </c>
      <c r="H17" s="58">
        <f>'06_Historique'!I18</f>
        <v/>
      </c>
      <c r="I17" s="58">
        <f>'06_Historique'!J18</f>
        <v/>
      </c>
      <c r="J17" s="58">
        <f>'06_Historique'!H18</f>
        <v/>
      </c>
      <c r="K17" s="58">
        <f>'06_Historique'!L18</f>
        <v/>
      </c>
      <c r="L17" s="59">
        <f>'06_Historique'!M18</f>
        <v/>
      </c>
      <c r="M17" s="58">
        <f>'06_Historique'!N18</f>
        <v/>
      </c>
      <c r="N17" s="9">
        <f>C17&amp;"|"&amp;D17</f>
        <v/>
      </c>
      <c r="O17" s="60">
        <f>INDEX('05_Param_Prog_Annee'!$E$4:$E$23,MATCH(N17,'05_Param_Prog_Annee'!$A$4:$A$23,0))</f>
        <v/>
      </c>
      <c r="P17" s="60">
        <f>INDEX('05_Param_Prog_Annee'!$F$4:$F$23,MATCH(N17,'05_Param_Prog_Annee'!$A$4:$A$23,0))</f>
        <v/>
      </c>
      <c r="Q17" s="61">
        <f>INDEX('05_Param_Prog_Annee'!$G$4:$G$23,MATCH(N17,'05_Param_Prog_Annee'!$A$4:$A$23,0))</f>
        <v/>
      </c>
      <c r="R17" s="61">
        <f>INDEX('05_Param_Prog_Annee'!$H$4:$H$23,MATCH(N17,'05_Param_Prog_Annee'!$A$4:$A$23,0))</f>
        <v/>
      </c>
      <c r="S17" s="61">
        <f>INDEX('05_Param_Prog_Annee'!$I$4:$I$23,MATCH(N17,'05_Param_Prog_Annee'!$A$4:$A$23,0))</f>
        <v/>
      </c>
      <c r="T17" s="62">
        <f>IFERROR(INDEX('05_Param_Prog_Annee'!$J$4:$J$23,MATCH(N17,'05_Param_Prog_Annee'!$A$4:$A$23,0)),0)</f>
        <v/>
      </c>
      <c r="U17" s="61">
        <f>P17*Q17*(1+'01_Cadrage'!$H$21)</f>
        <v/>
      </c>
      <c r="V17" s="18">
        <f>INDEX('01_Cadrage'!$L$7:$L$20,MATCH(A17&amp;"|"&amp;B17,'01_Cadrage'!$O$7:$O$20,0))</f>
        <v/>
      </c>
      <c r="W17" s="18">
        <f>INDEX('01_Cadrage'!$M$7:$M$20,MATCH(A17&amp;"|"&amp;B17,'01_Cadrage'!$O$7:$O$20,0))</f>
        <v/>
      </c>
      <c r="X17" s="18">
        <f>IFERROR(INDEX('06_Historique'!$F$66:$F$73,MATCH(C17,'06_Historique'!$A$66:$A$73,0)),'01_Cadrage'!$H$27)</f>
        <v/>
      </c>
      <c r="Y17" s="62">
        <f>'01_Cadrage'!$H$16*V17</f>
        <v/>
      </c>
      <c r="Z17" s="60">
        <f>IF(F17=1,J17*(1+X17*Y17),0)</f>
        <v/>
      </c>
      <c r="AA17" s="62">
        <f>IF(F17=1,IFERROR(H17/J17,'01_Cadrage'!$H$28)+'01_Cadrage'!$H$18,0)</f>
        <v/>
      </c>
      <c r="AB17" s="60">
        <f>Z17*AA17</f>
        <v/>
      </c>
      <c r="AC17" s="60">
        <f>IF(F17=1,0,K17*(T17+'01_Cadrage'!$H$19))</f>
        <v/>
      </c>
      <c r="AD17" s="63">
        <f>AB17+AC17</f>
        <v/>
      </c>
      <c r="AE17" s="61">
        <f>L17*(1+'01_Cadrage'!$H$17*W17)</f>
        <v/>
      </c>
      <c r="AF17" s="18">
        <f>1</f>
        <v/>
      </c>
      <c r="AG17" s="18">
        <f>1</f>
        <v/>
      </c>
      <c r="AH17" s="24">
        <f>AD17*AE17*AF17+AB17*'01_Cadrage'!$H$24</f>
        <v/>
      </c>
      <c r="AI17" s="60">
        <f>IF(AD17&lt;=0,0,MAX(1,ROUNDUP(AD17/O17,0)))</f>
        <v/>
      </c>
      <c r="AJ17" s="24">
        <f>AI17*U17</f>
        <v/>
      </c>
      <c r="AK17" s="24">
        <f>AD17*R17*(1+'01_Cadrage'!$H$20)</f>
        <v/>
      </c>
      <c r="AL17" s="24">
        <f>H17*S17*(1+Y17)</f>
        <v/>
      </c>
      <c r="AM17" s="22">
        <f>AH17-AJ17-AK17-AL17-AD17*'01_Cadrage'!$H$26*(1+'01_Cadrage'!$H$20)</f>
        <v/>
      </c>
      <c r="AN17" s="62">
        <f>IFERROR(AD17/(AI17*O17),0)</f>
        <v/>
      </c>
      <c r="AO17" s="61">
        <f>IFERROR(AM17/AD17,0)</f>
        <v/>
      </c>
      <c r="AP17" s="60">
        <f>IFERROR(AI17*U17/(AE17*AF17-R17*(1+'01_Cadrage'!$H$20)),0)</f>
        <v/>
      </c>
    </row>
    <row r="18">
      <c r="A18" s="57">
        <f>'06_Historique'!A19</f>
        <v/>
      </c>
      <c r="B18" s="10">
        <f>'06_Historique'!B19</f>
        <v/>
      </c>
      <c r="C18" s="57">
        <f>'06_Historique'!C19</f>
        <v/>
      </c>
      <c r="D18" s="10">
        <f>'06_Historique'!E19</f>
        <v/>
      </c>
      <c r="E18" s="10">
        <f>'06_Historique'!F19</f>
        <v/>
      </c>
      <c r="F18" s="58">
        <f>'06_Historique'!G19</f>
        <v/>
      </c>
      <c r="G18" s="58">
        <f>'06_Historique'!K19</f>
        <v/>
      </c>
      <c r="H18" s="58">
        <f>'06_Historique'!I19</f>
        <v/>
      </c>
      <c r="I18" s="58">
        <f>'06_Historique'!J19</f>
        <v/>
      </c>
      <c r="J18" s="58">
        <f>'06_Historique'!H19</f>
        <v/>
      </c>
      <c r="K18" s="58">
        <f>'06_Historique'!L19</f>
        <v/>
      </c>
      <c r="L18" s="59">
        <f>'06_Historique'!M19</f>
        <v/>
      </c>
      <c r="M18" s="58">
        <f>'06_Historique'!N19</f>
        <v/>
      </c>
      <c r="N18" s="9">
        <f>C18&amp;"|"&amp;D18</f>
        <v/>
      </c>
      <c r="O18" s="60">
        <f>INDEX('05_Param_Prog_Annee'!$E$4:$E$23,MATCH(N18,'05_Param_Prog_Annee'!$A$4:$A$23,0))</f>
        <v/>
      </c>
      <c r="P18" s="60">
        <f>INDEX('05_Param_Prog_Annee'!$F$4:$F$23,MATCH(N18,'05_Param_Prog_Annee'!$A$4:$A$23,0))</f>
        <v/>
      </c>
      <c r="Q18" s="61">
        <f>INDEX('05_Param_Prog_Annee'!$G$4:$G$23,MATCH(N18,'05_Param_Prog_Annee'!$A$4:$A$23,0))</f>
        <v/>
      </c>
      <c r="R18" s="61">
        <f>INDEX('05_Param_Prog_Annee'!$H$4:$H$23,MATCH(N18,'05_Param_Prog_Annee'!$A$4:$A$23,0))</f>
        <v/>
      </c>
      <c r="S18" s="61">
        <f>INDEX('05_Param_Prog_Annee'!$I$4:$I$23,MATCH(N18,'05_Param_Prog_Annee'!$A$4:$A$23,0))</f>
        <v/>
      </c>
      <c r="T18" s="62">
        <f>IFERROR(INDEX('05_Param_Prog_Annee'!$J$4:$J$23,MATCH(N18,'05_Param_Prog_Annee'!$A$4:$A$23,0)),0)</f>
        <v/>
      </c>
      <c r="U18" s="61">
        <f>P18*Q18*(1+'01_Cadrage'!$H$21)</f>
        <v/>
      </c>
      <c r="V18" s="18">
        <f>INDEX('01_Cadrage'!$L$7:$L$20,MATCH(A18&amp;"|"&amp;B18,'01_Cadrage'!$O$7:$O$20,0))</f>
        <v/>
      </c>
      <c r="W18" s="18">
        <f>INDEX('01_Cadrage'!$M$7:$M$20,MATCH(A18&amp;"|"&amp;B18,'01_Cadrage'!$O$7:$O$20,0))</f>
        <v/>
      </c>
      <c r="X18" s="18">
        <f>IFERROR(INDEX('06_Historique'!$F$66:$F$73,MATCH(C18,'06_Historique'!$A$66:$A$73,0)),'01_Cadrage'!$H$27)</f>
        <v/>
      </c>
      <c r="Y18" s="62">
        <f>'01_Cadrage'!$H$16*V18</f>
        <v/>
      </c>
      <c r="Z18" s="60">
        <f>IF(F18=1,J18*(1+X18*Y18),0)</f>
        <v/>
      </c>
      <c r="AA18" s="62">
        <f>IF(F18=1,IFERROR(H18/J18,'01_Cadrage'!$H$28)+'01_Cadrage'!$H$18,0)</f>
        <v/>
      </c>
      <c r="AB18" s="60">
        <f>Z18*AA18</f>
        <v/>
      </c>
      <c r="AC18" s="60">
        <f>IF(F18=1,0,K18*(T18+'01_Cadrage'!$H$19))</f>
        <v/>
      </c>
      <c r="AD18" s="63">
        <f>AB18+AC18</f>
        <v/>
      </c>
      <c r="AE18" s="61">
        <f>L18*(1+'01_Cadrage'!$H$17*W18)</f>
        <v/>
      </c>
      <c r="AF18" s="18">
        <f>1</f>
        <v/>
      </c>
      <c r="AG18" s="18">
        <f>1</f>
        <v/>
      </c>
      <c r="AH18" s="24">
        <f>AD18*AE18*AF18+AB18*'01_Cadrage'!$H$24</f>
        <v/>
      </c>
      <c r="AI18" s="60">
        <f>IF(AD18&lt;=0,0,MAX(1,ROUNDUP(AD18/O18,0)))</f>
        <v/>
      </c>
      <c r="AJ18" s="24">
        <f>AI18*U18</f>
        <v/>
      </c>
      <c r="AK18" s="24">
        <f>AD18*R18*(1+'01_Cadrage'!$H$20)</f>
        <v/>
      </c>
      <c r="AL18" s="24">
        <f>H18*S18*(1+Y18)</f>
        <v/>
      </c>
      <c r="AM18" s="22">
        <f>AH18-AJ18-AK18-AL18-AD18*'01_Cadrage'!$H$26*(1+'01_Cadrage'!$H$20)</f>
        <v/>
      </c>
      <c r="AN18" s="62">
        <f>IFERROR(AD18/(AI18*O18),0)</f>
        <v/>
      </c>
      <c r="AO18" s="61">
        <f>IFERROR(AM18/AD18,0)</f>
        <v/>
      </c>
      <c r="AP18" s="60">
        <f>IFERROR(AI18*U18/(AE18*AF18-R18*(1+'01_Cadrage'!$H$20)),0)</f>
        <v/>
      </c>
    </row>
    <row r="19">
      <c r="A19" s="57">
        <f>'06_Historique'!A20</f>
        <v/>
      </c>
      <c r="B19" s="10">
        <f>'06_Historique'!B20</f>
        <v/>
      </c>
      <c r="C19" s="57">
        <f>'06_Historique'!C20</f>
        <v/>
      </c>
      <c r="D19" s="10">
        <f>'06_Historique'!E20</f>
        <v/>
      </c>
      <c r="E19" s="10">
        <f>'06_Historique'!F20</f>
        <v/>
      </c>
      <c r="F19" s="58">
        <f>'06_Historique'!G20</f>
        <v/>
      </c>
      <c r="G19" s="58">
        <f>'06_Historique'!K20</f>
        <v/>
      </c>
      <c r="H19" s="58">
        <f>'06_Historique'!I20</f>
        <v/>
      </c>
      <c r="I19" s="58">
        <f>'06_Historique'!J20</f>
        <v/>
      </c>
      <c r="J19" s="58">
        <f>'06_Historique'!H20</f>
        <v/>
      </c>
      <c r="K19" s="58">
        <f>'06_Historique'!L20</f>
        <v/>
      </c>
      <c r="L19" s="59">
        <f>'06_Historique'!M20</f>
        <v/>
      </c>
      <c r="M19" s="58">
        <f>'06_Historique'!N20</f>
        <v/>
      </c>
      <c r="N19" s="9">
        <f>C19&amp;"|"&amp;D19</f>
        <v/>
      </c>
      <c r="O19" s="60">
        <f>INDEX('05_Param_Prog_Annee'!$E$4:$E$23,MATCH(N19,'05_Param_Prog_Annee'!$A$4:$A$23,0))</f>
        <v/>
      </c>
      <c r="P19" s="60">
        <f>INDEX('05_Param_Prog_Annee'!$F$4:$F$23,MATCH(N19,'05_Param_Prog_Annee'!$A$4:$A$23,0))</f>
        <v/>
      </c>
      <c r="Q19" s="61">
        <f>INDEX('05_Param_Prog_Annee'!$G$4:$G$23,MATCH(N19,'05_Param_Prog_Annee'!$A$4:$A$23,0))</f>
        <v/>
      </c>
      <c r="R19" s="61">
        <f>INDEX('05_Param_Prog_Annee'!$H$4:$H$23,MATCH(N19,'05_Param_Prog_Annee'!$A$4:$A$23,0))</f>
        <v/>
      </c>
      <c r="S19" s="61">
        <f>INDEX('05_Param_Prog_Annee'!$I$4:$I$23,MATCH(N19,'05_Param_Prog_Annee'!$A$4:$A$23,0))</f>
        <v/>
      </c>
      <c r="T19" s="62">
        <f>IFERROR(INDEX('05_Param_Prog_Annee'!$J$4:$J$23,MATCH(N19,'05_Param_Prog_Annee'!$A$4:$A$23,0)),0)</f>
        <v/>
      </c>
      <c r="U19" s="61">
        <f>P19*Q19*(1+'01_Cadrage'!$H$21)</f>
        <v/>
      </c>
      <c r="V19" s="18">
        <f>INDEX('01_Cadrage'!$L$7:$L$20,MATCH(A19&amp;"|"&amp;B19,'01_Cadrage'!$O$7:$O$20,0))</f>
        <v/>
      </c>
      <c r="W19" s="18">
        <f>INDEX('01_Cadrage'!$M$7:$M$20,MATCH(A19&amp;"|"&amp;B19,'01_Cadrage'!$O$7:$O$20,0))</f>
        <v/>
      </c>
      <c r="X19" s="18">
        <f>IFERROR(INDEX('06_Historique'!$F$66:$F$73,MATCH(C19,'06_Historique'!$A$66:$A$73,0)),'01_Cadrage'!$H$27)</f>
        <v/>
      </c>
      <c r="Y19" s="62">
        <f>'01_Cadrage'!$H$16*V19</f>
        <v/>
      </c>
      <c r="Z19" s="60">
        <f>IF(F19=1,J19*(1+X19*Y19),0)</f>
        <v/>
      </c>
      <c r="AA19" s="62">
        <f>IF(F19=1,IFERROR(H19/J19,'01_Cadrage'!$H$28)+'01_Cadrage'!$H$18,0)</f>
        <v/>
      </c>
      <c r="AB19" s="60">
        <f>Z19*AA19</f>
        <v/>
      </c>
      <c r="AC19" s="60">
        <f>IF(F19=1,0,K19*(T19+'01_Cadrage'!$H$19))</f>
        <v/>
      </c>
      <c r="AD19" s="63">
        <f>AB19+AC19</f>
        <v/>
      </c>
      <c r="AE19" s="61">
        <f>L19*(1+'01_Cadrage'!$H$17*W19)</f>
        <v/>
      </c>
      <c r="AF19" s="18">
        <f>1</f>
        <v/>
      </c>
      <c r="AG19" s="18">
        <f>1</f>
        <v/>
      </c>
      <c r="AH19" s="24">
        <f>AD19*AE19*AF19+AB19*'01_Cadrage'!$H$24</f>
        <v/>
      </c>
      <c r="AI19" s="60">
        <f>IF(AD19&lt;=0,0,MAX(1,ROUNDUP(AD19/O19,0)))</f>
        <v/>
      </c>
      <c r="AJ19" s="24">
        <f>AI19*U19</f>
        <v/>
      </c>
      <c r="AK19" s="24">
        <f>AD19*R19*(1+'01_Cadrage'!$H$20)</f>
        <v/>
      </c>
      <c r="AL19" s="24">
        <f>H19*S19*(1+Y19)</f>
        <v/>
      </c>
      <c r="AM19" s="22">
        <f>AH19-AJ19-AK19-AL19-AD19*'01_Cadrage'!$H$26*(1+'01_Cadrage'!$H$20)</f>
        <v/>
      </c>
      <c r="AN19" s="62">
        <f>IFERROR(AD19/(AI19*O19),0)</f>
        <v/>
      </c>
      <c r="AO19" s="61">
        <f>IFERROR(AM19/AD19,0)</f>
        <v/>
      </c>
      <c r="AP19" s="60">
        <f>IFERROR(AI19*U19/(AE19*AF19-R19*(1+'01_Cadrage'!$H$20)),0)</f>
        <v/>
      </c>
    </row>
    <row r="20">
      <c r="A20" s="57">
        <f>'06_Historique'!A21</f>
        <v/>
      </c>
      <c r="B20" s="10">
        <f>'06_Historique'!B21</f>
        <v/>
      </c>
      <c r="C20" s="57">
        <f>'06_Historique'!C21</f>
        <v/>
      </c>
      <c r="D20" s="10">
        <f>'06_Historique'!E21</f>
        <v/>
      </c>
      <c r="E20" s="10">
        <f>'06_Historique'!F21</f>
        <v/>
      </c>
      <c r="F20" s="58">
        <f>'06_Historique'!G21</f>
        <v/>
      </c>
      <c r="G20" s="58">
        <f>'06_Historique'!K21</f>
        <v/>
      </c>
      <c r="H20" s="58">
        <f>'06_Historique'!I21</f>
        <v/>
      </c>
      <c r="I20" s="58">
        <f>'06_Historique'!J21</f>
        <v/>
      </c>
      <c r="J20" s="58">
        <f>'06_Historique'!H21</f>
        <v/>
      </c>
      <c r="K20" s="58">
        <f>'06_Historique'!L21</f>
        <v/>
      </c>
      <c r="L20" s="59">
        <f>'06_Historique'!M21</f>
        <v/>
      </c>
      <c r="M20" s="58">
        <f>'06_Historique'!N21</f>
        <v/>
      </c>
      <c r="N20" s="9">
        <f>C20&amp;"|"&amp;D20</f>
        <v/>
      </c>
      <c r="O20" s="60">
        <f>INDEX('05_Param_Prog_Annee'!$E$4:$E$23,MATCH(N20,'05_Param_Prog_Annee'!$A$4:$A$23,0))</f>
        <v/>
      </c>
      <c r="P20" s="60">
        <f>INDEX('05_Param_Prog_Annee'!$F$4:$F$23,MATCH(N20,'05_Param_Prog_Annee'!$A$4:$A$23,0))</f>
        <v/>
      </c>
      <c r="Q20" s="61">
        <f>INDEX('05_Param_Prog_Annee'!$G$4:$G$23,MATCH(N20,'05_Param_Prog_Annee'!$A$4:$A$23,0))</f>
        <v/>
      </c>
      <c r="R20" s="61">
        <f>INDEX('05_Param_Prog_Annee'!$H$4:$H$23,MATCH(N20,'05_Param_Prog_Annee'!$A$4:$A$23,0))</f>
        <v/>
      </c>
      <c r="S20" s="61">
        <f>INDEX('05_Param_Prog_Annee'!$I$4:$I$23,MATCH(N20,'05_Param_Prog_Annee'!$A$4:$A$23,0))</f>
        <v/>
      </c>
      <c r="T20" s="62">
        <f>IFERROR(INDEX('05_Param_Prog_Annee'!$J$4:$J$23,MATCH(N20,'05_Param_Prog_Annee'!$A$4:$A$23,0)),0)</f>
        <v/>
      </c>
      <c r="U20" s="61">
        <f>P20*Q20*(1+'01_Cadrage'!$H$21)</f>
        <v/>
      </c>
      <c r="V20" s="18">
        <f>INDEX('01_Cadrage'!$L$7:$L$20,MATCH(A20&amp;"|"&amp;B20,'01_Cadrage'!$O$7:$O$20,0))</f>
        <v/>
      </c>
      <c r="W20" s="18">
        <f>INDEX('01_Cadrage'!$M$7:$M$20,MATCH(A20&amp;"|"&amp;B20,'01_Cadrage'!$O$7:$O$20,0))</f>
        <v/>
      </c>
      <c r="X20" s="18">
        <f>IFERROR(INDEX('06_Historique'!$F$66:$F$73,MATCH(C20,'06_Historique'!$A$66:$A$73,0)),'01_Cadrage'!$H$27)</f>
        <v/>
      </c>
      <c r="Y20" s="62">
        <f>'01_Cadrage'!$H$16*V20</f>
        <v/>
      </c>
      <c r="Z20" s="60">
        <f>IF(F20=1,J20*(1+X20*Y20),0)</f>
        <v/>
      </c>
      <c r="AA20" s="62">
        <f>IF(F20=1,IFERROR(H20/J20,'01_Cadrage'!$H$28)+'01_Cadrage'!$H$18,0)</f>
        <v/>
      </c>
      <c r="AB20" s="60">
        <f>Z20*AA20</f>
        <v/>
      </c>
      <c r="AC20" s="60">
        <f>IF(F20=1,0,K20*(T20+'01_Cadrage'!$H$19))</f>
        <v/>
      </c>
      <c r="AD20" s="63">
        <f>AB20+AC20</f>
        <v/>
      </c>
      <c r="AE20" s="61">
        <f>L20*(1+'01_Cadrage'!$H$17*W20)</f>
        <v/>
      </c>
      <c r="AF20" s="18">
        <f>1</f>
        <v/>
      </c>
      <c r="AG20" s="18">
        <f>1</f>
        <v/>
      </c>
      <c r="AH20" s="24">
        <f>AD20*AE20*AF20+AB20*'01_Cadrage'!$H$24</f>
        <v/>
      </c>
      <c r="AI20" s="60">
        <f>IF(AD20&lt;=0,0,MAX(1,ROUNDUP(AD20/O20,0)))</f>
        <v/>
      </c>
      <c r="AJ20" s="24">
        <f>AI20*U20</f>
        <v/>
      </c>
      <c r="AK20" s="24">
        <f>AD20*R20*(1+'01_Cadrage'!$H$20)</f>
        <v/>
      </c>
      <c r="AL20" s="24">
        <f>H20*S20*(1+Y20)</f>
        <v/>
      </c>
      <c r="AM20" s="22">
        <f>AH20-AJ20-AK20-AL20-AD20*'01_Cadrage'!$H$26*(1+'01_Cadrage'!$H$20)</f>
        <v/>
      </c>
      <c r="AN20" s="62">
        <f>IFERROR(AD20/(AI20*O20),0)</f>
        <v/>
      </c>
      <c r="AO20" s="61">
        <f>IFERROR(AM20/AD20,0)</f>
        <v/>
      </c>
      <c r="AP20" s="60">
        <f>IFERROR(AI20*U20/(AE20*AF20-R20*(1+'01_Cadrage'!$H$20)),0)</f>
        <v/>
      </c>
    </row>
    <row r="21">
      <c r="A21" s="57">
        <f>'06_Historique'!A22</f>
        <v/>
      </c>
      <c r="B21" s="10">
        <f>'06_Historique'!B22</f>
        <v/>
      </c>
      <c r="C21" s="57">
        <f>'06_Historique'!C22</f>
        <v/>
      </c>
      <c r="D21" s="10">
        <f>'06_Historique'!E22</f>
        <v/>
      </c>
      <c r="E21" s="10">
        <f>'06_Historique'!F22</f>
        <v/>
      </c>
      <c r="F21" s="58">
        <f>'06_Historique'!G22</f>
        <v/>
      </c>
      <c r="G21" s="58">
        <f>'06_Historique'!K22</f>
        <v/>
      </c>
      <c r="H21" s="58">
        <f>'06_Historique'!I22</f>
        <v/>
      </c>
      <c r="I21" s="58">
        <f>'06_Historique'!J22</f>
        <v/>
      </c>
      <c r="J21" s="58">
        <f>'06_Historique'!H22</f>
        <v/>
      </c>
      <c r="K21" s="58">
        <f>'06_Historique'!L22</f>
        <v/>
      </c>
      <c r="L21" s="59">
        <f>'06_Historique'!M22</f>
        <v/>
      </c>
      <c r="M21" s="58">
        <f>'06_Historique'!N22</f>
        <v/>
      </c>
      <c r="N21" s="9">
        <f>C21&amp;"|"&amp;D21</f>
        <v/>
      </c>
      <c r="O21" s="60">
        <f>INDEX('05_Param_Prog_Annee'!$E$4:$E$23,MATCH(N21,'05_Param_Prog_Annee'!$A$4:$A$23,0))</f>
        <v/>
      </c>
      <c r="P21" s="60">
        <f>INDEX('05_Param_Prog_Annee'!$F$4:$F$23,MATCH(N21,'05_Param_Prog_Annee'!$A$4:$A$23,0))</f>
        <v/>
      </c>
      <c r="Q21" s="61">
        <f>INDEX('05_Param_Prog_Annee'!$G$4:$G$23,MATCH(N21,'05_Param_Prog_Annee'!$A$4:$A$23,0))</f>
        <v/>
      </c>
      <c r="R21" s="61">
        <f>INDEX('05_Param_Prog_Annee'!$H$4:$H$23,MATCH(N21,'05_Param_Prog_Annee'!$A$4:$A$23,0))</f>
        <v/>
      </c>
      <c r="S21" s="61">
        <f>INDEX('05_Param_Prog_Annee'!$I$4:$I$23,MATCH(N21,'05_Param_Prog_Annee'!$A$4:$A$23,0))</f>
        <v/>
      </c>
      <c r="T21" s="62">
        <f>IFERROR(INDEX('05_Param_Prog_Annee'!$J$4:$J$23,MATCH(N21,'05_Param_Prog_Annee'!$A$4:$A$23,0)),0)</f>
        <v/>
      </c>
      <c r="U21" s="61">
        <f>P21*Q21*(1+'01_Cadrage'!$H$21)</f>
        <v/>
      </c>
      <c r="V21" s="18">
        <f>INDEX('01_Cadrage'!$L$7:$L$20,MATCH(A21&amp;"|"&amp;B21,'01_Cadrage'!$O$7:$O$20,0))</f>
        <v/>
      </c>
      <c r="W21" s="18">
        <f>INDEX('01_Cadrage'!$M$7:$M$20,MATCH(A21&amp;"|"&amp;B21,'01_Cadrage'!$O$7:$O$20,0))</f>
        <v/>
      </c>
      <c r="X21" s="18">
        <f>IFERROR(INDEX('06_Historique'!$F$66:$F$73,MATCH(C21,'06_Historique'!$A$66:$A$73,0)),'01_Cadrage'!$H$27)</f>
        <v/>
      </c>
      <c r="Y21" s="62">
        <f>'01_Cadrage'!$H$16*V21</f>
        <v/>
      </c>
      <c r="Z21" s="60">
        <f>IF(F21=1,J21*(1+X21*Y21),0)</f>
        <v/>
      </c>
      <c r="AA21" s="62">
        <f>IF(F21=1,IFERROR(H21/J21,'01_Cadrage'!$H$28)+'01_Cadrage'!$H$18,0)</f>
        <v/>
      </c>
      <c r="AB21" s="60">
        <f>Z21*AA21</f>
        <v/>
      </c>
      <c r="AC21" s="60">
        <f>IF(F21=1,0,K21*(T21+'01_Cadrage'!$H$19))</f>
        <v/>
      </c>
      <c r="AD21" s="63">
        <f>AB21+AC21</f>
        <v/>
      </c>
      <c r="AE21" s="61">
        <f>L21*(1+'01_Cadrage'!$H$17*W21)</f>
        <v/>
      </c>
      <c r="AF21" s="18">
        <f>1</f>
        <v/>
      </c>
      <c r="AG21" s="18">
        <f>1</f>
        <v/>
      </c>
      <c r="AH21" s="24">
        <f>AD21*AE21*AF21+AB21*'01_Cadrage'!$H$24</f>
        <v/>
      </c>
      <c r="AI21" s="60">
        <f>IF(AD21&lt;=0,0,MAX(1,ROUNDUP(AD21/O21,0)))</f>
        <v/>
      </c>
      <c r="AJ21" s="24">
        <f>AI21*U21</f>
        <v/>
      </c>
      <c r="AK21" s="24">
        <f>AD21*R21*(1+'01_Cadrage'!$H$20)</f>
        <v/>
      </c>
      <c r="AL21" s="24">
        <f>H21*S21*(1+Y21)</f>
        <v/>
      </c>
      <c r="AM21" s="22">
        <f>AH21-AJ21-AK21-AL21-AD21*'01_Cadrage'!$H$26*(1+'01_Cadrage'!$H$20)</f>
        <v/>
      </c>
      <c r="AN21" s="62">
        <f>IFERROR(AD21/(AI21*O21),0)</f>
        <v/>
      </c>
      <c r="AO21" s="61">
        <f>IFERROR(AM21/AD21,0)</f>
        <v/>
      </c>
      <c r="AP21" s="60">
        <f>IFERROR(AI21*U21/(AE21*AF21-R21*(1+'01_Cadrage'!$H$20)),0)</f>
        <v/>
      </c>
    </row>
    <row r="22">
      <c r="A22" s="57">
        <f>'06_Historique'!A23</f>
        <v/>
      </c>
      <c r="B22" s="10">
        <f>'06_Historique'!B23</f>
        <v/>
      </c>
      <c r="C22" s="57">
        <f>'06_Historique'!C23</f>
        <v/>
      </c>
      <c r="D22" s="10">
        <f>'06_Historique'!E23</f>
        <v/>
      </c>
      <c r="E22" s="10">
        <f>'06_Historique'!F23</f>
        <v/>
      </c>
      <c r="F22" s="58">
        <f>'06_Historique'!G23</f>
        <v/>
      </c>
      <c r="G22" s="58">
        <f>'06_Historique'!K23</f>
        <v/>
      </c>
      <c r="H22" s="58">
        <f>'06_Historique'!I23</f>
        <v/>
      </c>
      <c r="I22" s="58">
        <f>'06_Historique'!J23</f>
        <v/>
      </c>
      <c r="J22" s="58">
        <f>'06_Historique'!H23</f>
        <v/>
      </c>
      <c r="K22" s="58">
        <f>'06_Historique'!L23</f>
        <v/>
      </c>
      <c r="L22" s="59">
        <f>'06_Historique'!M23</f>
        <v/>
      </c>
      <c r="M22" s="58">
        <f>'06_Historique'!N23</f>
        <v/>
      </c>
      <c r="N22" s="9">
        <f>C22&amp;"|"&amp;D22</f>
        <v/>
      </c>
      <c r="O22" s="60">
        <f>INDEX('05_Param_Prog_Annee'!$E$4:$E$23,MATCH(N22,'05_Param_Prog_Annee'!$A$4:$A$23,0))</f>
        <v/>
      </c>
      <c r="P22" s="60">
        <f>INDEX('05_Param_Prog_Annee'!$F$4:$F$23,MATCH(N22,'05_Param_Prog_Annee'!$A$4:$A$23,0))</f>
        <v/>
      </c>
      <c r="Q22" s="61">
        <f>INDEX('05_Param_Prog_Annee'!$G$4:$G$23,MATCH(N22,'05_Param_Prog_Annee'!$A$4:$A$23,0))</f>
        <v/>
      </c>
      <c r="R22" s="61">
        <f>INDEX('05_Param_Prog_Annee'!$H$4:$H$23,MATCH(N22,'05_Param_Prog_Annee'!$A$4:$A$23,0))</f>
        <v/>
      </c>
      <c r="S22" s="61">
        <f>INDEX('05_Param_Prog_Annee'!$I$4:$I$23,MATCH(N22,'05_Param_Prog_Annee'!$A$4:$A$23,0))</f>
        <v/>
      </c>
      <c r="T22" s="62">
        <f>IFERROR(INDEX('05_Param_Prog_Annee'!$J$4:$J$23,MATCH(N22,'05_Param_Prog_Annee'!$A$4:$A$23,0)),0)</f>
        <v/>
      </c>
      <c r="U22" s="61">
        <f>P22*Q22*(1+'01_Cadrage'!$H$21)</f>
        <v/>
      </c>
      <c r="V22" s="18">
        <f>INDEX('01_Cadrage'!$L$7:$L$20,MATCH(A22&amp;"|"&amp;B22,'01_Cadrage'!$O$7:$O$20,0))</f>
        <v/>
      </c>
      <c r="W22" s="18">
        <f>INDEX('01_Cadrage'!$M$7:$M$20,MATCH(A22&amp;"|"&amp;B22,'01_Cadrage'!$O$7:$O$20,0))</f>
        <v/>
      </c>
      <c r="X22" s="18">
        <f>IFERROR(INDEX('06_Historique'!$F$66:$F$73,MATCH(C22,'06_Historique'!$A$66:$A$73,0)),'01_Cadrage'!$H$27)</f>
        <v/>
      </c>
      <c r="Y22" s="62">
        <f>'01_Cadrage'!$H$16*V22</f>
        <v/>
      </c>
      <c r="Z22" s="60">
        <f>IF(F22=1,J22*(1+X22*Y22),0)</f>
        <v/>
      </c>
      <c r="AA22" s="62">
        <f>IF(F22=1,IFERROR(H22/J22,'01_Cadrage'!$H$28)+'01_Cadrage'!$H$18,0)</f>
        <v/>
      </c>
      <c r="AB22" s="60">
        <f>Z22*AA22</f>
        <v/>
      </c>
      <c r="AC22" s="60">
        <f>IF(F22=1,0,K22*(T22+'01_Cadrage'!$H$19))</f>
        <v/>
      </c>
      <c r="AD22" s="63">
        <f>AB22+AC22</f>
        <v/>
      </c>
      <c r="AE22" s="61">
        <f>L22*(1+'01_Cadrage'!$H$17*W22)</f>
        <v/>
      </c>
      <c r="AF22" s="18">
        <f>1</f>
        <v/>
      </c>
      <c r="AG22" s="18">
        <f>1</f>
        <v/>
      </c>
      <c r="AH22" s="24">
        <f>AD22*AE22*AF22+AB22*'01_Cadrage'!$H$24</f>
        <v/>
      </c>
      <c r="AI22" s="60">
        <f>IF(AD22&lt;=0,0,MAX(1,ROUNDUP(AD22/O22,0)))</f>
        <v/>
      </c>
      <c r="AJ22" s="24">
        <f>AI22*U22</f>
        <v/>
      </c>
      <c r="AK22" s="24">
        <f>AD22*R22*(1+'01_Cadrage'!$H$20)</f>
        <v/>
      </c>
      <c r="AL22" s="24">
        <f>H22*S22*(1+Y22)</f>
        <v/>
      </c>
      <c r="AM22" s="22">
        <f>AH22-AJ22-AK22-AL22-AD22*'01_Cadrage'!$H$26*(1+'01_Cadrage'!$H$20)</f>
        <v/>
      </c>
      <c r="AN22" s="62">
        <f>IFERROR(AD22/(AI22*O22),0)</f>
        <v/>
      </c>
      <c r="AO22" s="61">
        <f>IFERROR(AM22/AD22,0)</f>
        <v/>
      </c>
      <c r="AP22" s="60">
        <f>IFERROR(AI22*U22/(AE22*AF22-R22*(1+'01_Cadrage'!$H$20)),0)</f>
        <v/>
      </c>
    </row>
    <row r="23">
      <c r="A23" s="57">
        <f>'06_Historique'!A24</f>
        <v/>
      </c>
      <c r="B23" s="10">
        <f>'06_Historique'!B24</f>
        <v/>
      </c>
      <c r="C23" s="57">
        <f>'06_Historique'!C24</f>
        <v/>
      </c>
      <c r="D23" s="10">
        <f>'06_Historique'!E24</f>
        <v/>
      </c>
      <c r="E23" s="10">
        <f>'06_Historique'!F24</f>
        <v/>
      </c>
      <c r="F23" s="58">
        <f>'06_Historique'!G24</f>
        <v/>
      </c>
      <c r="G23" s="58">
        <f>'06_Historique'!K24</f>
        <v/>
      </c>
      <c r="H23" s="58">
        <f>'06_Historique'!I24</f>
        <v/>
      </c>
      <c r="I23" s="58">
        <f>'06_Historique'!J24</f>
        <v/>
      </c>
      <c r="J23" s="58">
        <f>'06_Historique'!H24</f>
        <v/>
      </c>
      <c r="K23" s="58">
        <f>'06_Historique'!L24</f>
        <v/>
      </c>
      <c r="L23" s="59">
        <f>'06_Historique'!M24</f>
        <v/>
      </c>
      <c r="M23" s="58">
        <f>'06_Historique'!N24</f>
        <v/>
      </c>
      <c r="N23" s="9">
        <f>C23&amp;"|"&amp;D23</f>
        <v/>
      </c>
      <c r="O23" s="60">
        <f>INDEX('05_Param_Prog_Annee'!$E$4:$E$23,MATCH(N23,'05_Param_Prog_Annee'!$A$4:$A$23,0))</f>
        <v/>
      </c>
      <c r="P23" s="60">
        <f>INDEX('05_Param_Prog_Annee'!$F$4:$F$23,MATCH(N23,'05_Param_Prog_Annee'!$A$4:$A$23,0))</f>
        <v/>
      </c>
      <c r="Q23" s="61">
        <f>INDEX('05_Param_Prog_Annee'!$G$4:$G$23,MATCH(N23,'05_Param_Prog_Annee'!$A$4:$A$23,0))</f>
        <v/>
      </c>
      <c r="R23" s="61">
        <f>INDEX('05_Param_Prog_Annee'!$H$4:$H$23,MATCH(N23,'05_Param_Prog_Annee'!$A$4:$A$23,0))</f>
        <v/>
      </c>
      <c r="S23" s="61">
        <f>INDEX('05_Param_Prog_Annee'!$I$4:$I$23,MATCH(N23,'05_Param_Prog_Annee'!$A$4:$A$23,0))</f>
        <v/>
      </c>
      <c r="T23" s="62">
        <f>IFERROR(INDEX('05_Param_Prog_Annee'!$J$4:$J$23,MATCH(N23,'05_Param_Prog_Annee'!$A$4:$A$23,0)),0)</f>
        <v/>
      </c>
      <c r="U23" s="61">
        <f>P23*Q23*(1+'01_Cadrage'!$H$21)</f>
        <v/>
      </c>
      <c r="V23" s="18">
        <f>INDEX('01_Cadrage'!$L$7:$L$20,MATCH(A23&amp;"|"&amp;B23,'01_Cadrage'!$O$7:$O$20,0))</f>
        <v/>
      </c>
      <c r="W23" s="18">
        <f>INDEX('01_Cadrage'!$M$7:$M$20,MATCH(A23&amp;"|"&amp;B23,'01_Cadrage'!$O$7:$O$20,0))</f>
        <v/>
      </c>
      <c r="X23" s="18">
        <f>IFERROR(INDEX('06_Historique'!$F$66:$F$73,MATCH(C23,'06_Historique'!$A$66:$A$73,0)),'01_Cadrage'!$H$27)</f>
        <v/>
      </c>
      <c r="Y23" s="62">
        <f>'01_Cadrage'!$H$16*V23</f>
        <v/>
      </c>
      <c r="Z23" s="60">
        <f>IF(F23=1,J23*(1+X23*Y23),0)</f>
        <v/>
      </c>
      <c r="AA23" s="62">
        <f>IF(F23=1,IFERROR(H23/J23,'01_Cadrage'!$H$28)+'01_Cadrage'!$H$18,0)</f>
        <v/>
      </c>
      <c r="AB23" s="60">
        <f>Z23*AA23</f>
        <v/>
      </c>
      <c r="AC23" s="60">
        <f>IF(F23=1,0,K23*(T23+'01_Cadrage'!$H$19))</f>
        <v/>
      </c>
      <c r="AD23" s="63">
        <f>AB23+AC23</f>
        <v/>
      </c>
      <c r="AE23" s="61">
        <f>L23*(1+'01_Cadrage'!$H$17*W23)</f>
        <v/>
      </c>
      <c r="AF23" s="18">
        <f>1</f>
        <v/>
      </c>
      <c r="AG23" s="18">
        <f>1</f>
        <v/>
      </c>
      <c r="AH23" s="24">
        <f>AD23*AE23*AF23+AB23*'01_Cadrage'!$H$24</f>
        <v/>
      </c>
      <c r="AI23" s="60">
        <f>IF(AD23&lt;=0,0,MAX(1,ROUNDUP(AD23/O23,0)))</f>
        <v/>
      </c>
      <c r="AJ23" s="24">
        <f>AI23*U23</f>
        <v/>
      </c>
      <c r="AK23" s="24">
        <f>AD23*R23*(1+'01_Cadrage'!$H$20)</f>
        <v/>
      </c>
      <c r="AL23" s="24">
        <f>H23*S23*(1+Y23)</f>
        <v/>
      </c>
      <c r="AM23" s="22">
        <f>AH23-AJ23-AK23-AL23-AD23*'01_Cadrage'!$H$26*(1+'01_Cadrage'!$H$20)</f>
        <v/>
      </c>
      <c r="AN23" s="62">
        <f>IFERROR(AD23/(AI23*O23),0)</f>
        <v/>
      </c>
      <c r="AO23" s="61">
        <f>IFERROR(AM23/AD23,0)</f>
        <v/>
      </c>
      <c r="AP23" s="60">
        <f>IFERROR(AI23*U23/(AE23*AF23-R23*(1+'01_Cadrage'!$H$20)),0)</f>
        <v/>
      </c>
    </row>
    <row r="24">
      <c r="A24" s="57">
        <f>'06_Historique'!A25</f>
        <v/>
      </c>
      <c r="B24" s="10">
        <f>'06_Historique'!B25</f>
        <v/>
      </c>
      <c r="C24" s="57">
        <f>'06_Historique'!C25</f>
        <v/>
      </c>
      <c r="D24" s="10">
        <f>'06_Historique'!E25</f>
        <v/>
      </c>
      <c r="E24" s="10">
        <f>'06_Historique'!F25</f>
        <v/>
      </c>
      <c r="F24" s="58">
        <f>'06_Historique'!G25</f>
        <v/>
      </c>
      <c r="G24" s="58">
        <f>'06_Historique'!K25</f>
        <v/>
      </c>
      <c r="H24" s="58">
        <f>'06_Historique'!I25</f>
        <v/>
      </c>
      <c r="I24" s="58">
        <f>'06_Historique'!J25</f>
        <v/>
      </c>
      <c r="J24" s="58">
        <f>'06_Historique'!H25</f>
        <v/>
      </c>
      <c r="K24" s="58">
        <f>'06_Historique'!L25</f>
        <v/>
      </c>
      <c r="L24" s="59">
        <f>'06_Historique'!M25</f>
        <v/>
      </c>
      <c r="M24" s="58">
        <f>'06_Historique'!N25</f>
        <v/>
      </c>
      <c r="N24" s="9">
        <f>C24&amp;"|"&amp;D24</f>
        <v/>
      </c>
      <c r="O24" s="60">
        <f>INDEX('05_Param_Prog_Annee'!$E$4:$E$23,MATCH(N24,'05_Param_Prog_Annee'!$A$4:$A$23,0))</f>
        <v/>
      </c>
      <c r="P24" s="60">
        <f>INDEX('05_Param_Prog_Annee'!$F$4:$F$23,MATCH(N24,'05_Param_Prog_Annee'!$A$4:$A$23,0))</f>
        <v/>
      </c>
      <c r="Q24" s="61">
        <f>INDEX('05_Param_Prog_Annee'!$G$4:$G$23,MATCH(N24,'05_Param_Prog_Annee'!$A$4:$A$23,0))</f>
        <v/>
      </c>
      <c r="R24" s="61">
        <f>INDEX('05_Param_Prog_Annee'!$H$4:$H$23,MATCH(N24,'05_Param_Prog_Annee'!$A$4:$A$23,0))</f>
        <v/>
      </c>
      <c r="S24" s="61">
        <f>INDEX('05_Param_Prog_Annee'!$I$4:$I$23,MATCH(N24,'05_Param_Prog_Annee'!$A$4:$A$23,0))</f>
        <v/>
      </c>
      <c r="T24" s="62">
        <f>IFERROR(INDEX('05_Param_Prog_Annee'!$J$4:$J$23,MATCH(N24,'05_Param_Prog_Annee'!$A$4:$A$23,0)),0)</f>
        <v/>
      </c>
      <c r="U24" s="61">
        <f>P24*Q24*(1+'01_Cadrage'!$H$21)</f>
        <v/>
      </c>
      <c r="V24" s="18">
        <f>INDEX('01_Cadrage'!$L$7:$L$20,MATCH(A24&amp;"|"&amp;B24,'01_Cadrage'!$O$7:$O$20,0))</f>
        <v/>
      </c>
      <c r="W24" s="18">
        <f>INDEX('01_Cadrage'!$M$7:$M$20,MATCH(A24&amp;"|"&amp;B24,'01_Cadrage'!$O$7:$O$20,0))</f>
        <v/>
      </c>
      <c r="X24" s="18">
        <f>IFERROR(INDEX('06_Historique'!$F$66:$F$73,MATCH(C24,'06_Historique'!$A$66:$A$73,0)),'01_Cadrage'!$H$27)</f>
        <v/>
      </c>
      <c r="Y24" s="62">
        <f>'01_Cadrage'!$H$16*V24</f>
        <v/>
      </c>
      <c r="Z24" s="60">
        <f>IF(F24=1,J24*(1+X24*Y24),0)</f>
        <v/>
      </c>
      <c r="AA24" s="62">
        <f>IF(F24=1,IFERROR(H24/J24,'01_Cadrage'!$H$28)+'01_Cadrage'!$H$18,0)</f>
        <v/>
      </c>
      <c r="AB24" s="60">
        <f>Z24*AA24</f>
        <v/>
      </c>
      <c r="AC24" s="60">
        <f>IF(F24=1,0,K24*(T24+'01_Cadrage'!$H$19))</f>
        <v/>
      </c>
      <c r="AD24" s="63">
        <f>AB24+AC24</f>
        <v/>
      </c>
      <c r="AE24" s="61">
        <f>L24*(1+'01_Cadrage'!$H$17*W24)</f>
        <v/>
      </c>
      <c r="AF24" s="18">
        <f>1</f>
        <v/>
      </c>
      <c r="AG24" s="18">
        <f>1</f>
        <v/>
      </c>
      <c r="AH24" s="24">
        <f>AD24*AE24*AF24+AB24*'01_Cadrage'!$H$24</f>
        <v/>
      </c>
      <c r="AI24" s="60">
        <f>IF(AD24&lt;=0,0,MAX(1,ROUNDUP(AD24/O24,0)))</f>
        <v/>
      </c>
      <c r="AJ24" s="24">
        <f>AI24*U24</f>
        <v/>
      </c>
      <c r="AK24" s="24">
        <f>AD24*R24*(1+'01_Cadrage'!$H$20)</f>
        <v/>
      </c>
      <c r="AL24" s="24">
        <f>H24*S24*(1+Y24)</f>
        <v/>
      </c>
      <c r="AM24" s="22">
        <f>AH24-AJ24-AK24-AL24-AD24*'01_Cadrage'!$H$26*(1+'01_Cadrage'!$H$20)</f>
        <v/>
      </c>
      <c r="AN24" s="62">
        <f>IFERROR(AD24/(AI24*O24),0)</f>
        <v/>
      </c>
      <c r="AO24" s="61">
        <f>IFERROR(AM24/AD24,0)</f>
        <v/>
      </c>
      <c r="AP24" s="60">
        <f>IFERROR(AI24*U24/(AE24*AF24-R24*(1+'01_Cadrage'!$H$20)),0)</f>
        <v/>
      </c>
    </row>
    <row r="25">
      <c r="A25" s="57">
        <f>'06_Historique'!A26</f>
        <v/>
      </c>
      <c r="B25" s="10">
        <f>'06_Historique'!B26</f>
        <v/>
      </c>
      <c r="C25" s="57">
        <f>'06_Historique'!C26</f>
        <v/>
      </c>
      <c r="D25" s="10">
        <f>'06_Historique'!E26</f>
        <v/>
      </c>
      <c r="E25" s="10">
        <f>'06_Historique'!F26</f>
        <v/>
      </c>
      <c r="F25" s="58">
        <f>'06_Historique'!G26</f>
        <v/>
      </c>
      <c r="G25" s="58">
        <f>'06_Historique'!K26</f>
        <v/>
      </c>
      <c r="H25" s="58">
        <f>'06_Historique'!I26</f>
        <v/>
      </c>
      <c r="I25" s="58">
        <f>'06_Historique'!J26</f>
        <v/>
      </c>
      <c r="J25" s="58">
        <f>'06_Historique'!H26</f>
        <v/>
      </c>
      <c r="K25" s="58">
        <f>'06_Historique'!L26</f>
        <v/>
      </c>
      <c r="L25" s="59">
        <f>'06_Historique'!M26</f>
        <v/>
      </c>
      <c r="M25" s="58">
        <f>'06_Historique'!N26</f>
        <v/>
      </c>
      <c r="N25" s="9">
        <f>C25&amp;"|"&amp;D25</f>
        <v/>
      </c>
      <c r="O25" s="60">
        <f>INDEX('05_Param_Prog_Annee'!$E$4:$E$23,MATCH(N25,'05_Param_Prog_Annee'!$A$4:$A$23,0))</f>
        <v/>
      </c>
      <c r="P25" s="60">
        <f>INDEX('05_Param_Prog_Annee'!$F$4:$F$23,MATCH(N25,'05_Param_Prog_Annee'!$A$4:$A$23,0))</f>
        <v/>
      </c>
      <c r="Q25" s="61">
        <f>INDEX('05_Param_Prog_Annee'!$G$4:$G$23,MATCH(N25,'05_Param_Prog_Annee'!$A$4:$A$23,0))</f>
        <v/>
      </c>
      <c r="R25" s="61">
        <f>INDEX('05_Param_Prog_Annee'!$H$4:$H$23,MATCH(N25,'05_Param_Prog_Annee'!$A$4:$A$23,0))</f>
        <v/>
      </c>
      <c r="S25" s="61">
        <f>INDEX('05_Param_Prog_Annee'!$I$4:$I$23,MATCH(N25,'05_Param_Prog_Annee'!$A$4:$A$23,0))</f>
        <v/>
      </c>
      <c r="T25" s="62">
        <f>IFERROR(INDEX('05_Param_Prog_Annee'!$J$4:$J$23,MATCH(N25,'05_Param_Prog_Annee'!$A$4:$A$23,0)),0)</f>
        <v/>
      </c>
      <c r="U25" s="61">
        <f>P25*Q25*(1+'01_Cadrage'!$H$21)</f>
        <v/>
      </c>
      <c r="V25" s="18">
        <f>INDEX('01_Cadrage'!$L$7:$L$20,MATCH(A25&amp;"|"&amp;B25,'01_Cadrage'!$O$7:$O$20,0))</f>
        <v/>
      </c>
      <c r="W25" s="18">
        <f>INDEX('01_Cadrage'!$M$7:$M$20,MATCH(A25&amp;"|"&amp;B25,'01_Cadrage'!$O$7:$O$20,0))</f>
        <v/>
      </c>
      <c r="X25" s="18">
        <f>IFERROR(INDEX('06_Historique'!$F$66:$F$73,MATCH(C25,'06_Historique'!$A$66:$A$73,0)),'01_Cadrage'!$H$27)</f>
        <v/>
      </c>
      <c r="Y25" s="62">
        <f>'01_Cadrage'!$H$16*V25</f>
        <v/>
      </c>
      <c r="Z25" s="60">
        <f>IF(F25=1,J25*(1+X25*Y25),0)</f>
        <v/>
      </c>
      <c r="AA25" s="62">
        <f>IF(F25=1,IFERROR(H25/J25,'01_Cadrage'!$H$28)+'01_Cadrage'!$H$18,0)</f>
        <v/>
      </c>
      <c r="AB25" s="60">
        <f>Z25*AA25</f>
        <v/>
      </c>
      <c r="AC25" s="60">
        <f>IF(F25=1,0,K25*(T25+'01_Cadrage'!$H$19))</f>
        <v/>
      </c>
      <c r="AD25" s="63">
        <f>AB25+AC25</f>
        <v/>
      </c>
      <c r="AE25" s="61">
        <f>L25*(1+'01_Cadrage'!$H$17*W25)</f>
        <v/>
      </c>
      <c r="AF25" s="18">
        <f>1</f>
        <v/>
      </c>
      <c r="AG25" s="18">
        <f>1</f>
        <v/>
      </c>
      <c r="AH25" s="24">
        <f>AD25*AE25*AF25+AB25*'01_Cadrage'!$H$24</f>
        <v/>
      </c>
      <c r="AI25" s="60">
        <f>IF(AD25&lt;=0,0,MAX(1,ROUNDUP(AD25/O25,0)))</f>
        <v/>
      </c>
      <c r="AJ25" s="24">
        <f>AI25*U25</f>
        <v/>
      </c>
      <c r="AK25" s="24">
        <f>AD25*R25*(1+'01_Cadrage'!$H$20)</f>
        <v/>
      </c>
      <c r="AL25" s="24">
        <f>H25*S25*(1+Y25)</f>
        <v/>
      </c>
      <c r="AM25" s="22">
        <f>AH25-AJ25-AK25-AL25-AD25*'01_Cadrage'!$H$26*(1+'01_Cadrage'!$H$20)</f>
        <v/>
      </c>
      <c r="AN25" s="62">
        <f>IFERROR(AD25/(AI25*O25),0)</f>
        <v/>
      </c>
      <c r="AO25" s="61">
        <f>IFERROR(AM25/AD25,0)</f>
        <v/>
      </c>
      <c r="AP25" s="60">
        <f>IFERROR(AI25*U25/(AE25*AF25-R25*(1+'01_Cadrage'!$H$20)),0)</f>
        <v/>
      </c>
    </row>
    <row r="26">
      <c r="A26" s="57">
        <f>'06_Historique'!A27</f>
        <v/>
      </c>
      <c r="B26" s="10">
        <f>'06_Historique'!B27</f>
        <v/>
      </c>
      <c r="C26" s="57">
        <f>'06_Historique'!C27</f>
        <v/>
      </c>
      <c r="D26" s="10">
        <f>'06_Historique'!E27</f>
        <v/>
      </c>
      <c r="E26" s="10">
        <f>'06_Historique'!F27</f>
        <v/>
      </c>
      <c r="F26" s="58">
        <f>'06_Historique'!G27</f>
        <v/>
      </c>
      <c r="G26" s="58">
        <f>'06_Historique'!K27</f>
        <v/>
      </c>
      <c r="H26" s="58">
        <f>'06_Historique'!I27</f>
        <v/>
      </c>
      <c r="I26" s="58">
        <f>'06_Historique'!J27</f>
        <v/>
      </c>
      <c r="J26" s="58">
        <f>'06_Historique'!H27</f>
        <v/>
      </c>
      <c r="K26" s="58">
        <f>'06_Historique'!L27</f>
        <v/>
      </c>
      <c r="L26" s="59">
        <f>'06_Historique'!M27</f>
        <v/>
      </c>
      <c r="M26" s="58">
        <f>'06_Historique'!N27</f>
        <v/>
      </c>
      <c r="N26" s="9">
        <f>C26&amp;"|"&amp;D26</f>
        <v/>
      </c>
      <c r="O26" s="60">
        <f>INDEX('05_Param_Prog_Annee'!$E$4:$E$23,MATCH(N26,'05_Param_Prog_Annee'!$A$4:$A$23,0))</f>
        <v/>
      </c>
      <c r="P26" s="60">
        <f>INDEX('05_Param_Prog_Annee'!$F$4:$F$23,MATCH(N26,'05_Param_Prog_Annee'!$A$4:$A$23,0))</f>
        <v/>
      </c>
      <c r="Q26" s="61">
        <f>INDEX('05_Param_Prog_Annee'!$G$4:$G$23,MATCH(N26,'05_Param_Prog_Annee'!$A$4:$A$23,0))</f>
        <v/>
      </c>
      <c r="R26" s="61">
        <f>INDEX('05_Param_Prog_Annee'!$H$4:$H$23,MATCH(N26,'05_Param_Prog_Annee'!$A$4:$A$23,0))</f>
        <v/>
      </c>
      <c r="S26" s="61">
        <f>INDEX('05_Param_Prog_Annee'!$I$4:$I$23,MATCH(N26,'05_Param_Prog_Annee'!$A$4:$A$23,0))</f>
        <v/>
      </c>
      <c r="T26" s="62">
        <f>IFERROR(INDEX('05_Param_Prog_Annee'!$J$4:$J$23,MATCH(N26,'05_Param_Prog_Annee'!$A$4:$A$23,0)),0)</f>
        <v/>
      </c>
      <c r="U26" s="61">
        <f>P26*Q26*(1+'01_Cadrage'!$H$21)</f>
        <v/>
      </c>
      <c r="V26" s="18">
        <f>INDEX('01_Cadrage'!$L$7:$L$20,MATCH(A26&amp;"|"&amp;B26,'01_Cadrage'!$O$7:$O$20,0))</f>
        <v/>
      </c>
      <c r="W26" s="18">
        <f>INDEX('01_Cadrage'!$M$7:$M$20,MATCH(A26&amp;"|"&amp;B26,'01_Cadrage'!$O$7:$O$20,0))</f>
        <v/>
      </c>
      <c r="X26" s="18">
        <f>IFERROR(INDEX('06_Historique'!$F$66:$F$73,MATCH(C26,'06_Historique'!$A$66:$A$73,0)),'01_Cadrage'!$H$27)</f>
        <v/>
      </c>
      <c r="Y26" s="62">
        <f>'01_Cadrage'!$H$16*V26</f>
        <v/>
      </c>
      <c r="Z26" s="60">
        <f>IF(F26=1,J26*(1+X26*Y26),0)</f>
        <v/>
      </c>
      <c r="AA26" s="62">
        <f>IF(F26=1,IFERROR(H26/J26,'01_Cadrage'!$H$28)+'01_Cadrage'!$H$18,0)</f>
        <v/>
      </c>
      <c r="AB26" s="60">
        <f>Z26*AA26</f>
        <v/>
      </c>
      <c r="AC26" s="60">
        <f>IF(F26=1,0,K26*(T26+'01_Cadrage'!$H$19))</f>
        <v/>
      </c>
      <c r="AD26" s="63">
        <f>AB26+AC26</f>
        <v/>
      </c>
      <c r="AE26" s="61">
        <f>L26*(1+'01_Cadrage'!$H$17*W26)</f>
        <v/>
      </c>
      <c r="AF26" s="18">
        <f>1</f>
        <v/>
      </c>
      <c r="AG26" s="18">
        <f>1</f>
        <v/>
      </c>
      <c r="AH26" s="24">
        <f>AD26*AE26*AF26+AB26*'01_Cadrage'!$H$24</f>
        <v/>
      </c>
      <c r="AI26" s="60">
        <f>IF(AD26&lt;=0,0,MAX(1,ROUNDUP(AD26/O26,0)))</f>
        <v/>
      </c>
      <c r="AJ26" s="24">
        <f>AI26*U26</f>
        <v/>
      </c>
      <c r="AK26" s="24">
        <f>AD26*R26*(1+'01_Cadrage'!$H$20)</f>
        <v/>
      </c>
      <c r="AL26" s="24">
        <f>H26*S26*(1+Y26)</f>
        <v/>
      </c>
      <c r="AM26" s="22">
        <f>AH26-AJ26-AK26-AL26-AD26*'01_Cadrage'!$H$26*(1+'01_Cadrage'!$H$20)</f>
        <v/>
      </c>
      <c r="AN26" s="62">
        <f>IFERROR(AD26/(AI26*O26),0)</f>
        <v/>
      </c>
      <c r="AO26" s="61">
        <f>IFERROR(AM26/AD26,0)</f>
        <v/>
      </c>
      <c r="AP26" s="60">
        <f>IFERROR(AI26*U26/(AE26*AF26-R26*(1+'01_Cadrage'!$H$20)),0)</f>
        <v/>
      </c>
    </row>
    <row r="27">
      <c r="A27" s="57">
        <f>'06_Historique'!A28</f>
        <v/>
      </c>
      <c r="B27" s="10">
        <f>'06_Historique'!B28</f>
        <v/>
      </c>
      <c r="C27" s="57">
        <f>'06_Historique'!C28</f>
        <v/>
      </c>
      <c r="D27" s="10">
        <f>'06_Historique'!E28</f>
        <v/>
      </c>
      <c r="E27" s="10">
        <f>'06_Historique'!F28</f>
        <v/>
      </c>
      <c r="F27" s="58">
        <f>'06_Historique'!G28</f>
        <v/>
      </c>
      <c r="G27" s="58">
        <f>'06_Historique'!K28</f>
        <v/>
      </c>
      <c r="H27" s="58">
        <f>'06_Historique'!I28</f>
        <v/>
      </c>
      <c r="I27" s="58">
        <f>'06_Historique'!J28</f>
        <v/>
      </c>
      <c r="J27" s="58">
        <f>'06_Historique'!H28</f>
        <v/>
      </c>
      <c r="K27" s="58">
        <f>'06_Historique'!L28</f>
        <v/>
      </c>
      <c r="L27" s="59">
        <f>'06_Historique'!M28</f>
        <v/>
      </c>
      <c r="M27" s="58">
        <f>'06_Historique'!N28</f>
        <v/>
      </c>
      <c r="N27" s="9">
        <f>C27&amp;"|"&amp;D27</f>
        <v/>
      </c>
      <c r="O27" s="60">
        <f>INDEX('05_Param_Prog_Annee'!$E$4:$E$23,MATCH(N27,'05_Param_Prog_Annee'!$A$4:$A$23,0))</f>
        <v/>
      </c>
      <c r="P27" s="60">
        <f>INDEX('05_Param_Prog_Annee'!$F$4:$F$23,MATCH(N27,'05_Param_Prog_Annee'!$A$4:$A$23,0))</f>
        <v/>
      </c>
      <c r="Q27" s="61">
        <f>INDEX('05_Param_Prog_Annee'!$G$4:$G$23,MATCH(N27,'05_Param_Prog_Annee'!$A$4:$A$23,0))</f>
        <v/>
      </c>
      <c r="R27" s="61">
        <f>INDEX('05_Param_Prog_Annee'!$H$4:$H$23,MATCH(N27,'05_Param_Prog_Annee'!$A$4:$A$23,0))</f>
        <v/>
      </c>
      <c r="S27" s="61">
        <f>INDEX('05_Param_Prog_Annee'!$I$4:$I$23,MATCH(N27,'05_Param_Prog_Annee'!$A$4:$A$23,0))</f>
        <v/>
      </c>
      <c r="T27" s="62">
        <f>IFERROR(INDEX('05_Param_Prog_Annee'!$J$4:$J$23,MATCH(N27,'05_Param_Prog_Annee'!$A$4:$A$23,0)),0)</f>
        <v/>
      </c>
      <c r="U27" s="61">
        <f>P27*Q27*(1+'01_Cadrage'!$H$21)</f>
        <v/>
      </c>
      <c r="V27" s="18">
        <f>INDEX('01_Cadrage'!$L$7:$L$20,MATCH(A27&amp;"|"&amp;B27,'01_Cadrage'!$O$7:$O$20,0))</f>
        <v/>
      </c>
      <c r="W27" s="18">
        <f>INDEX('01_Cadrage'!$M$7:$M$20,MATCH(A27&amp;"|"&amp;B27,'01_Cadrage'!$O$7:$O$20,0))</f>
        <v/>
      </c>
      <c r="X27" s="18">
        <f>IFERROR(INDEX('06_Historique'!$F$66:$F$73,MATCH(C27,'06_Historique'!$A$66:$A$73,0)),'01_Cadrage'!$H$27)</f>
        <v/>
      </c>
      <c r="Y27" s="62">
        <f>'01_Cadrage'!$H$16*V27</f>
        <v/>
      </c>
      <c r="Z27" s="60">
        <f>IF(F27=1,J27*(1+X27*Y27),0)</f>
        <v/>
      </c>
      <c r="AA27" s="62">
        <f>IF(F27=1,IFERROR(H27/J27,'01_Cadrage'!$H$28)+'01_Cadrage'!$H$18,0)</f>
        <v/>
      </c>
      <c r="AB27" s="60">
        <f>Z27*AA27</f>
        <v/>
      </c>
      <c r="AC27" s="60">
        <f>IF(F27=1,0,K27*(T27+'01_Cadrage'!$H$19))</f>
        <v/>
      </c>
      <c r="AD27" s="63">
        <f>AB27+AC27</f>
        <v/>
      </c>
      <c r="AE27" s="61">
        <f>L27*(1+'01_Cadrage'!$H$17*W27)</f>
        <v/>
      </c>
      <c r="AF27" s="18">
        <f>1</f>
        <v/>
      </c>
      <c r="AG27" s="18">
        <f>1</f>
        <v/>
      </c>
      <c r="AH27" s="24">
        <f>AD27*AE27*AF27+AB27*'01_Cadrage'!$H$24</f>
        <v/>
      </c>
      <c r="AI27" s="60">
        <f>IF(AD27&lt;=0,0,MAX(1,ROUNDUP(AD27/O27,0)))</f>
        <v/>
      </c>
      <c r="AJ27" s="24">
        <f>AI27*U27</f>
        <v/>
      </c>
      <c r="AK27" s="24">
        <f>AD27*R27*(1+'01_Cadrage'!$H$20)</f>
        <v/>
      </c>
      <c r="AL27" s="24">
        <f>H27*S27*(1+Y27)</f>
        <v/>
      </c>
      <c r="AM27" s="22">
        <f>AH27-AJ27-AK27-AL27-AD27*'01_Cadrage'!$H$26*(1+'01_Cadrage'!$H$20)</f>
        <v/>
      </c>
      <c r="AN27" s="62">
        <f>IFERROR(AD27/(AI27*O27),0)</f>
        <v/>
      </c>
      <c r="AO27" s="61">
        <f>IFERROR(AM27/AD27,0)</f>
        <v/>
      </c>
      <c r="AP27" s="60">
        <f>IFERROR(AI27*U27/(AE27*AF27-R27*(1+'01_Cadrage'!$H$20)),0)</f>
        <v/>
      </c>
    </row>
    <row r="28">
      <c r="A28" s="57">
        <f>'06_Historique'!A29</f>
        <v/>
      </c>
      <c r="B28" s="10">
        <f>'06_Historique'!B29</f>
        <v/>
      </c>
      <c r="C28" s="57">
        <f>'06_Historique'!C29</f>
        <v/>
      </c>
      <c r="D28" s="10">
        <f>'06_Historique'!E29</f>
        <v/>
      </c>
      <c r="E28" s="10">
        <f>'06_Historique'!F29</f>
        <v/>
      </c>
      <c r="F28" s="58">
        <f>'06_Historique'!G29</f>
        <v/>
      </c>
      <c r="G28" s="58">
        <f>'06_Historique'!K29</f>
        <v/>
      </c>
      <c r="H28" s="58">
        <f>'06_Historique'!I29</f>
        <v/>
      </c>
      <c r="I28" s="58">
        <f>'06_Historique'!J29</f>
        <v/>
      </c>
      <c r="J28" s="58">
        <f>'06_Historique'!H29</f>
        <v/>
      </c>
      <c r="K28" s="58">
        <f>'06_Historique'!L29</f>
        <v/>
      </c>
      <c r="L28" s="59">
        <f>'06_Historique'!M29</f>
        <v/>
      </c>
      <c r="M28" s="58">
        <f>'06_Historique'!N29</f>
        <v/>
      </c>
      <c r="N28" s="9">
        <f>C28&amp;"|"&amp;D28</f>
        <v/>
      </c>
      <c r="O28" s="60">
        <f>INDEX('05_Param_Prog_Annee'!$E$4:$E$23,MATCH(N28,'05_Param_Prog_Annee'!$A$4:$A$23,0))</f>
        <v/>
      </c>
      <c r="P28" s="60">
        <f>INDEX('05_Param_Prog_Annee'!$F$4:$F$23,MATCH(N28,'05_Param_Prog_Annee'!$A$4:$A$23,0))</f>
        <v/>
      </c>
      <c r="Q28" s="61">
        <f>INDEX('05_Param_Prog_Annee'!$G$4:$G$23,MATCH(N28,'05_Param_Prog_Annee'!$A$4:$A$23,0))</f>
        <v/>
      </c>
      <c r="R28" s="61">
        <f>INDEX('05_Param_Prog_Annee'!$H$4:$H$23,MATCH(N28,'05_Param_Prog_Annee'!$A$4:$A$23,0))</f>
        <v/>
      </c>
      <c r="S28" s="61">
        <f>INDEX('05_Param_Prog_Annee'!$I$4:$I$23,MATCH(N28,'05_Param_Prog_Annee'!$A$4:$A$23,0))</f>
        <v/>
      </c>
      <c r="T28" s="62">
        <f>IFERROR(INDEX('05_Param_Prog_Annee'!$J$4:$J$23,MATCH(N28,'05_Param_Prog_Annee'!$A$4:$A$23,0)),0)</f>
        <v/>
      </c>
      <c r="U28" s="61">
        <f>P28*Q28*(1+'01_Cadrage'!$H$21)</f>
        <v/>
      </c>
      <c r="V28" s="18">
        <f>INDEX('01_Cadrage'!$L$7:$L$20,MATCH(A28&amp;"|"&amp;B28,'01_Cadrage'!$O$7:$O$20,0))</f>
        <v/>
      </c>
      <c r="W28" s="18">
        <f>INDEX('01_Cadrage'!$M$7:$M$20,MATCH(A28&amp;"|"&amp;B28,'01_Cadrage'!$O$7:$O$20,0))</f>
        <v/>
      </c>
      <c r="X28" s="18">
        <f>IFERROR(INDEX('06_Historique'!$F$66:$F$73,MATCH(C28,'06_Historique'!$A$66:$A$73,0)),'01_Cadrage'!$H$27)</f>
        <v/>
      </c>
      <c r="Y28" s="62">
        <f>'01_Cadrage'!$H$16*V28</f>
        <v/>
      </c>
      <c r="Z28" s="60">
        <f>IF(F28=1,J28*(1+X28*Y28),0)</f>
        <v/>
      </c>
      <c r="AA28" s="62">
        <f>IF(F28=1,IFERROR(H28/J28,'01_Cadrage'!$H$28)+'01_Cadrage'!$H$18,0)</f>
        <v/>
      </c>
      <c r="AB28" s="60">
        <f>Z28*AA28</f>
        <v/>
      </c>
      <c r="AC28" s="60">
        <f>IF(F28=1,0,K28*(T28+'01_Cadrage'!$H$19))</f>
        <v/>
      </c>
      <c r="AD28" s="63">
        <f>AB28+AC28</f>
        <v/>
      </c>
      <c r="AE28" s="61">
        <f>L28*(1+'01_Cadrage'!$H$17*W28)</f>
        <v/>
      </c>
      <c r="AF28" s="18">
        <f>1</f>
        <v/>
      </c>
      <c r="AG28" s="18">
        <f>1</f>
        <v/>
      </c>
      <c r="AH28" s="24">
        <f>AD28*AE28*AF28+AB28*'01_Cadrage'!$H$24</f>
        <v/>
      </c>
      <c r="AI28" s="60">
        <f>IF(AD28&lt;=0,0,MAX(1,ROUNDUP(AD28/O28,0)))</f>
        <v/>
      </c>
      <c r="AJ28" s="24">
        <f>AI28*U28</f>
        <v/>
      </c>
      <c r="AK28" s="24">
        <f>AD28*R28*(1+'01_Cadrage'!$H$20)</f>
        <v/>
      </c>
      <c r="AL28" s="24">
        <f>H28*S28*(1+Y28)</f>
        <v/>
      </c>
      <c r="AM28" s="22">
        <f>AH28-AJ28-AK28-AL28-AD28*'01_Cadrage'!$H$26*(1+'01_Cadrage'!$H$20)</f>
        <v/>
      </c>
      <c r="AN28" s="62">
        <f>IFERROR(AD28/(AI28*O28),0)</f>
        <v/>
      </c>
      <c r="AO28" s="61">
        <f>IFERROR(AM28/AD28,0)</f>
        <v/>
      </c>
      <c r="AP28" s="60">
        <f>IFERROR(AI28*U28/(AE28*AF28-R28*(1+'01_Cadrage'!$H$20)),0)</f>
        <v/>
      </c>
    </row>
    <row r="29">
      <c r="A29" s="57">
        <f>'06_Historique'!A30</f>
        <v/>
      </c>
      <c r="B29" s="10">
        <f>'06_Historique'!B30</f>
        <v/>
      </c>
      <c r="C29" s="57">
        <f>'06_Historique'!C30</f>
        <v/>
      </c>
      <c r="D29" s="10">
        <f>'06_Historique'!E30</f>
        <v/>
      </c>
      <c r="E29" s="10">
        <f>'06_Historique'!F30</f>
        <v/>
      </c>
      <c r="F29" s="58">
        <f>'06_Historique'!G30</f>
        <v/>
      </c>
      <c r="G29" s="58">
        <f>'06_Historique'!K30</f>
        <v/>
      </c>
      <c r="H29" s="58">
        <f>'06_Historique'!I30</f>
        <v/>
      </c>
      <c r="I29" s="58">
        <f>'06_Historique'!J30</f>
        <v/>
      </c>
      <c r="J29" s="58">
        <f>'06_Historique'!H30</f>
        <v/>
      </c>
      <c r="K29" s="58">
        <f>'06_Historique'!L30</f>
        <v/>
      </c>
      <c r="L29" s="59">
        <f>'06_Historique'!M30</f>
        <v/>
      </c>
      <c r="M29" s="58">
        <f>'06_Historique'!N30</f>
        <v/>
      </c>
      <c r="N29" s="9">
        <f>C29&amp;"|"&amp;D29</f>
        <v/>
      </c>
      <c r="O29" s="60">
        <f>INDEX('05_Param_Prog_Annee'!$E$4:$E$23,MATCH(N29,'05_Param_Prog_Annee'!$A$4:$A$23,0))</f>
        <v/>
      </c>
      <c r="P29" s="60">
        <f>INDEX('05_Param_Prog_Annee'!$F$4:$F$23,MATCH(N29,'05_Param_Prog_Annee'!$A$4:$A$23,0))</f>
        <v/>
      </c>
      <c r="Q29" s="61">
        <f>INDEX('05_Param_Prog_Annee'!$G$4:$G$23,MATCH(N29,'05_Param_Prog_Annee'!$A$4:$A$23,0))</f>
        <v/>
      </c>
      <c r="R29" s="61">
        <f>INDEX('05_Param_Prog_Annee'!$H$4:$H$23,MATCH(N29,'05_Param_Prog_Annee'!$A$4:$A$23,0))</f>
        <v/>
      </c>
      <c r="S29" s="61">
        <f>INDEX('05_Param_Prog_Annee'!$I$4:$I$23,MATCH(N29,'05_Param_Prog_Annee'!$A$4:$A$23,0))</f>
        <v/>
      </c>
      <c r="T29" s="62">
        <f>IFERROR(INDEX('05_Param_Prog_Annee'!$J$4:$J$23,MATCH(N29,'05_Param_Prog_Annee'!$A$4:$A$23,0)),0)</f>
        <v/>
      </c>
      <c r="U29" s="61">
        <f>P29*Q29*(1+'01_Cadrage'!$H$21)</f>
        <v/>
      </c>
      <c r="V29" s="18">
        <f>INDEX('01_Cadrage'!$L$7:$L$20,MATCH(A29&amp;"|"&amp;B29,'01_Cadrage'!$O$7:$O$20,0))</f>
        <v/>
      </c>
      <c r="W29" s="18">
        <f>INDEX('01_Cadrage'!$M$7:$M$20,MATCH(A29&amp;"|"&amp;B29,'01_Cadrage'!$O$7:$O$20,0))</f>
        <v/>
      </c>
      <c r="X29" s="18">
        <f>IFERROR(INDEX('06_Historique'!$F$66:$F$73,MATCH(C29,'06_Historique'!$A$66:$A$73,0)),'01_Cadrage'!$H$27)</f>
        <v/>
      </c>
      <c r="Y29" s="62">
        <f>'01_Cadrage'!$H$16*V29</f>
        <v/>
      </c>
      <c r="Z29" s="60">
        <f>IF(F29=1,J29*(1+X29*Y29),0)</f>
        <v/>
      </c>
      <c r="AA29" s="62">
        <f>IF(F29=1,IFERROR(H29/J29,'01_Cadrage'!$H$28)+'01_Cadrage'!$H$18,0)</f>
        <v/>
      </c>
      <c r="AB29" s="60">
        <f>Z29*AA29</f>
        <v/>
      </c>
      <c r="AC29" s="60">
        <f>IF(F29=1,0,K29*(T29+'01_Cadrage'!$H$19))</f>
        <v/>
      </c>
      <c r="AD29" s="63">
        <f>AB29+AC29</f>
        <v/>
      </c>
      <c r="AE29" s="61">
        <f>L29*(1+'01_Cadrage'!$H$17*W29)</f>
        <v/>
      </c>
      <c r="AF29" s="18">
        <f>1</f>
        <v/>
      </c>
      <c r="AG29" s="18">
        <f>1</f>
        <v/>
      </c>
      <c r="AH29" s="24">
        <f>AD29*AE29*AF29+AB29*'01_Cadrage'!$H$24</f>
        <v/>
      </c>
      <c r="AI29" s="60">
        <f>IF(AD29&lt;=0,0,MAX(1,ROUNDUP(AD29/O29,0)))</f>
        <v/>
      </c>
      <c r="AJ29" s="24">
        <f>AI29*U29</f>
        <v/>
      </c>
      <c r="AK29" s="24">
        <f>AD29*R29*(1+'01_Cadrage'!$H$20)</f>
        <v/>
      </c>
      <c r="AL29" s="24">
        <f>H29*S29*(1+Y29)</f>
        <v/>
      </c>
      <c r="AM29" s="22">
        <f>AH29-AJ29-AK29-AL29-AD29*'01_Cadrage'!$H$26*(1+'01_Cadrage'!$H$20)</f>
        <v/>
      </c>
      <c r="AN29" s="62">
        <f>IFERROR(AD29/(AI29*O29),0)</f>
        <v/>
      </c>
      <c r="AO29" s="61">
        <f>IFERROR(AM29/AD29,0)</f>
        <v/>
      </c>
      <c r="AP29" s="60">
        <f>IFERROR(AI29*U29/(AE29*AF29-R29*(1+'01_Cadrage'!$H$20)),0)</f>
        <v/>
      </c>
    </row>
    <row r="30">
      <c r="A30" s="57">
        <f>'06_Historique'!A31</f>
        <v/>
      </c>
      <c r="B30" s="10">
        <f>'06_Historique'!B31</f>
        <v/>
      </c>
      <c r="C30" s="57">
        <f>'06_Historique'!C31</f>
        <v/>
      </c>
      <c r="D30" s="10">
        <f>'06_Historique'!E31</f>
        <v/>
      </c>
      <c r="E30" s="10">
        <f>'06_Historique'!F31</f>
        <v/>
      </c>
      <c r="F30" s="58">
        <f>'06_Historique'!G31</f>
        <v/>
      </c>
      <c r="G30" s="58">
        <f>'06_Historique'!K31</f>
        <v/>
      </c>
      <c r="H30" s="58">
        <f>'06_Historique'!I31</f>
        <v/>
      </c>
      <c r="I30" s="58">
        <f>'06_Historique'!J31</f>
        <v/>
      </c>
      <c r="J30" s="58">
        <f>'06_Historique'!H31</f>
        <v/>
      </c>
      <c r="K30" s="58">
        <f>'06_Historique'!L31</f>
        <v/>
      </c>
      <c r="L30" s="59">
        <f>'06_Historique'!M31</f>
        <v/>
      </c>
      <c r="M30" s="58">
        <f>'06_Historique'!N31</f>
        <v/>
      </c>
      <c r="N30" s="9">
        <f>C30&amp;"|"&amp;D30</f>
        <v/>
      </c>
      <c r="O30" s="60">
        <f>INDEX('05_Param_Prog_Annee'!$E$4:$E$23,MATCH(N30,'05_Param_Prog_Annee'!$A$4:$A$23,0))</f>
        <v/>
      </c>
      <c r="P30" s="60">
        <f>INDEX('05_Param_Prog_Annee'!$F$4:$F$23,MATCH(N30,'05_Param_Prog_Annee'!$A$4:$A$23,0))</f>
        <v/>
      </c>
      <c r="Q30" s="61">
        <f>INDEX('05_Param_Prog_Annee'!$G$4:$G$23,MATCH(N30,'05_Param_Prog_Annee'!$A$4:$A$23,0))</f>
        <v/>
      </c>
      <c r="R30" s="61">
        <f>INDEX('05_Param_Prog_Annee'!$H$4:$H$23,MATCH(N30,'05_Param_Prog_Annee'!$A$4:$A$23,0))</f>
        <v/>
      </c>
      <c r="S30" s="61">
        <f>INDEX('05_Param_Prog_Annee'!$I$4:$I$23,MATCH(N30,'05_Param_Prog_Annee'!$A$4:$A$23,0))</f>
        <v/>
      </c>
      <c r="T30" s="62">
        <f>IFERROR(INDEX('05_Param_Prog_Annee'!$J$4:$J$23,MATCH(N30,'05_Param_Prog_Annee'!$A$4:$A$23,0)),0)</f>
        <v/>
      </c>
      <c r="U30" s="61">
        <f>P30*Q30*(1+'01_Cadrage'!$H$21)</f>
        <v/>
      </c>
      <c r="V30" s="18">
        <f>INDEX('01_Cadrage'!$L$7:$L$20,MATCH(A30&amp;"|"&amp;B30,'01_Cadrage'!$O$7:$O$20,0))</f>
        <v/>
      </c>
      <c r="W30" s="18">
        <f>INDEX('01_Cadrage'!$M$7:$M$20,MATCH(A30&amp;"|"&amp;B30,'01_Cadrage'!$O$7:$O$20,0))</f>
        <v/>
      </c>
      <c r="X30" s="18">
        <f>IFERROR(INDEX('06_Historique'!$F$66:$F$73,MATCH(C30,'06_Historique'!$A$66:$A$73,0)),'01_Cadrage'!$H$27)</f>
        <v/>
      </c>
      <c r="Y30" s="62">
        <f>'01_Cadrage'!$H$16*V30</f>
        <v/>
      </c>
      <c r="Z30" s="60">
        <f>IF(F30=1,J30*(1+X30*Y30),0)</f>
        <v/>
      </c>
      <c r="AA30" s="62">
        <f>IF(F30=1,IFERROR(H30/J30,'01_Cadrage'!$H$28)+'01_Cadrage'!$H$18,0)</f>
        <v/>
      </c>
      <c r="AB30" s="60">
        <f>Z30*AA30</f>
        <v/>
      </c>
      <c r="AC30" s="60">
        <f>IF(F30=1,0,K30*(T30+'01_Cadrage'!$H$19))</f>
        <v/>
      </c>
      <c r="AD30" s="63">
        <f>AB30+AC30</f>
        <v/>
      </c>
      <c r="AE30" s="61">
        <f>L30*(1+'01_Cadrage'!$H$17*W30)</f>
        <v/>
      </c>
      <c r="AF30" s="18">
        <f>1</f>
        <v/>
      </c>
      <c r="AG30" s="18">
        <f>1</f>
        <v/>
      </c>
      <c r="AH30" s="24">
        <f>AD30*AE30*AF30+AB30*'01_Cadrage'!$H$24</f>
        <v/>
      </c>
      <c r="AI30" s="60">
        <f>IF(AD30&lt;=0,0,MAX(1,ROUNDUP(AD30/O30,0)))</f>
        <v/>
      </c>
      <c r="AJ30" s="24">
        <f>AI30*U30</f>
        <v/>
      </c>
      <c r="AK30" s="24">
        <f>AD30*R30*(1+'01_Cadrage'!$H$20)</f>
        <v/>
      </c>
      <c r="AL30" s="24">
        <f>H30*S30*(1+Y30)</f>
        <v/>
      </c>
      <c r="AM30" s="22">
        <f>AH30-AJ30-AK30-AL30-AD30*'01_Cadrage'!$H$26*(1+'01_Cadrage'!$H$20)</f>
        <v/>
      </c>
      <c r="AN30" s="62">
        <f>IFERROR(AD30/(AI30*O30),0)</f>
        <v/>
      </c>
      <c r="AO30" s="61">
        <f>IFERROR(AM30/AD30,0)</f>
        <v/>
      </c>
      <c r="AP30" s="60">
        <f>IFERROR(AI30*U30/(AE30*AF30-R30*(1+'01_Cadrage'!$H$20)),0)</f>
        <v/>
      </c>
    </row>
    <row r="31">
      <c r="A31" s="57">
        <f>'06_Historique'!A32</f>
        <v/>
      </c>
      <c r="B31" s="10">
        <f>'06_Historique'!B32</f>
        <v/>
      </c>
      <c r="C31" s="57">
        <f>'06_Historique'!C32</f>
        <v/>
      </c>
      <c r="D31" s="10">
        <f>'06_Historique'!E32</f>
        <v/>
      </c>
      <c r="E31" s="10">
        <f>'06_Historique'!F32</f>
        <v/>
      </c>
      <c r="F31" s="58">
        <f>'06_Historique'!G32</f>
        <v/>
      </c>
      <c r="G31" s="58">
        <f>'06_Historique'!K32</f>
        <v/>
      </c>
      <c r="H31" s="58">
        <f>'06_Historique'!I32</f>
        <v/>
      </c>
      <c r="I31" s="58">
        <f>'06_Historique'!J32</f>
        <v/>
      </c>
      <c r="J31" s="58">
        <f>'06_Historique'!H32</f>
        <v/>
      </c>
      <c r="K31" s="58">
        <f>'06_Historique'!L32</f>
        <v/>
      </c>
      <c r="L31" s="59">
        <f>'06_Historique'!M32</f>
        <v/>
      </c>
      <c r="M31" s="58">
        <f>'06_Historique'!N32</f>
        <v/>
      </c>
      <c r="N31" s="9">
        <f>C31&amp;"|"&amp;D31</f>
        <v/>
      </c>
      <c r="O31" s="60">
        <f>INDEX('05_Param_Prog_Annee'!$E$4:$E$23,MATCH(N31,'05_Param_Prog_Annee'!$A$4:$A$23,0))</f>
        <v/>
      </c>
      <c r="P31" s="60">
        <f>INDEX('05_Param_Prog_Annee'!$F$4:$F$23,MATCH(N31,'05_Param_Prog_Annee'!$A$4:$A$23,0))</f>
        <v/>
      </c>
      <c r="Q31" s="61">
        <f>INDEX('05_Param_Prog_Annee'!$G$4:$G$23,MATCH(N31,'05_Param_Prog_Annee'!$A$4:$A$23,0))</f>
        <v/>
      </c>
      <c r="R31" s="61">
        <f>INDEX('05_Param_Prog_Annee'!$H$4:$H$23,MATCH(N31,'05_Param_Prog_Annee'!$A$4:$A$23,0))</f>
        <v/>
      </c>
      <c r="S31" s="61">
        <f>INDEX('05_Param_Prog_Annee'!$I$4:$I$23,MATCH(N31,'05_Param_Prog_Annee'!$A$4:$A$23,0))</f>
        <v/>
      </c>
      <c r="T31" s="62">
        <f>IFERROR(INDEX('05_Param_Prog_Annee'!$J$4:$J$23,MATCH(N31,'05_Param_Prog_Annee'!$A$4:$A$23,0)),0)</f>
        <v/>
      </c>
      <c r="U31" s="61">
        <f>P31*Q31*(1+'01_Cadrage'!$H$21)</f>
        <v/>
      </c>
      <c r="V31" s="18">
        <f>INDEX('01_Cadrage'!$L$7:$L$20,MATCH(A31&amp;"|"&amp;B31,'01_Cadrage'!$O$7:$O$20,0))</f>
        <v/>
      </c>
      <c r="W31" s="18">
        <f>INDEX('01_Cadrage'!$M$7:$M$20,MATCH(A31&amp;"|"&amp;B31,'01_Cadrage'!$O$7:$O$20,0))</f>
        <v/>
      </c>
      <c r="X31" s="18">
        <f>IFERROR(INDEX('06_Historique'!$F$66:$F$73,MATCH(C31,'06_Historique'!$A$66:$A$73,0)),'01_Cadrage'!$H$27)</f>
        <v/>
      </c>
      <c r="Y31" s="62">
        <f>'01_Cadrage'!$H$16*V31</f>
        <v/>
      </c>
      <c r="Z31" s="60">
        <f>IF(F31=1,J31*(1+X31*Y31),0)</f>
        <v/>
      </c>
      <c r="AA31" s="62">
        <f>IF(F31=1,IFERROR(H31/J31,'01_Cadrage'!$H$28)+'01_Cadrage'!$H$18,0)</f>
        <v/>
      </c>
      <c r="AB31" s="60">
        <f>Z31*AA31</f>
        <v/>
      </c>
      <c r="AC31" s="60">
        <f>IF(F31=1,0,K31*(T31+'01_Cadrage'!$H$19))</f>
        <v/>
      </c>
      <c r="AD31" s="63">
        <f>AB31+AC31</f>
        <v/>
      </c>
      <c r="AE31" s="61">
        <f>L31*(1+'01_Cadrage'!$H$17*W31)</f>
        <v/>
      </c>
      <c r="AF31" s="18">
        <f>1</f>
        <v/>
      </c>
      <c r="AG31" s="18">
        <f>1</f>
        <v/>
      </c>
      <c r="AH31" s="24">
        <f>AD31*AE31*AF31+AB31*'01_Cadrage'!$H$24</f>
        <v/>
      </c>
      <c r="AI31" s="60">
        <f>IF(AD31&lt;=0,0,MAX(1,ROUNDUP(AD31/O31,0)))</f>
        <v/>
      </c>
      <c r="AJ31" s="24">
        <f>AI31*U31</f>
        <v/>
      </c>
      <c r="AK31" s="24">
        <f>AD31*R31*(1+'01_Cadrage'!$H$20)</f>
        <v/>
      </c>
      <c r="AL31" s="24">
        <f>H31*S31*(1+Y31)</f>
        <v/>
      </c>
      <c r="AM31" s="22">
        <f>AH31-AJ31-AK31-AL31-AD31*'01_Cadrage'!$H$26*(1+'01_Cadrage'!$H$20)</f>
        <v/>
      </c>
      <c r="AN31" s="62">
        <f>IFERROR(AD31/(AI31*O31),0)</f>
        <v/>
      </c>
      <c r="AO31" s="61">
        <f>IFERROR(AM31/AD31,0)</f>
        <v/>
      </c>
      <c r="AP31" s="60">
        <f>IFERROR(AI31*U31/(AE31*AF31-R31*(1+'01_Cadrage'!$H$20)),0)</f>
        <v/>
      </c>
    </row>
    <row r="32">
      <c r="A32" s="57">
        <f>'06_Historique'!A33</f>
        <v/>
      </c>
      <c r="B32" s="10">
        <f>'06_Historique'!B33</f>
        <v/>
      </c>
      <c r="C32" s="57">
        <f>'06_Historique'!C33</f>
        <v/>
      </c>
      <c r="D32" s="10">
        <f>'06_Historique'!E33</f>
        <v/>
      </c>
      <c r="E32" s="10">
        <f>'06_Historique'!F33</f>
        <v/>
      </c>
      <c r="F32" s="58">
        <f>'06_Historique'!G33</f>
        <v/>
      </c>
      <c r="G32" s="58">
        <f>'06_Historique'!K33</f>
        <v/>
      </c>
      <c r="H32" s="58">
        <f>'06_Historique'!I33</f>
        <v/>
      </c>
      <c r="I32" s="58">
        <f>'06_Historique'!J33</f>
        <v/>
      </c>
      <c r="J32" s="58">
        <f>'06_Historique'!H33</f>
        <v/>
      </c>
      <c r="K32" s="58">
        <f>'06_Historique'!L33</f>
        <v/>
      </c>
      <c r="L32" s="59">
        <f>'06_Historique'!M33</f>
        <v/>
      </c>
      <c r="M32" s="58">
        <f>'06_Historique'!N33</f>
        <v/>
      </c>
      <c r="N32" s="9">
        <f>C32&amp;"|"&amp;D32</f>
        <v/>
      </c>
      <c r="O32" s="60">
        <f>INDEX('05_Param_Prog_Annee'!$E$4:$E$23,MATCH(N32,'05_Param_Prog_Annee'!$A$4:$A$23,0))</f>
        <v/>
      </c>
      <c r="P32" s="60">
        <f>INDEX('05_Param_Prog_Annee'!$F$4:$F$23,MATCH(N32,'05_Param_Prog_Annee'!$A$4:$A$23,0))</f>
        <v/>
      </c>
      <c r="Q32" s="61">
        <f>INDEX('05_Param_Prog_Annee'!$G$4:$G$23,MATCH(N32,'05_Param_Prog_Annee'!$A$4:$A$23,0))</f>
        <v/>
      </c>
      <c r="R32" s="61">
        <f>INDEX('05_Param_Prog_Annee'!$H$4:$H$23,MATCH(N32,'05_Param_Prog_Annee'!$A$4:$A$23,0))</f>
        <v/>
      </c>
      <c r="S32" s="61">
        <f>INDEX('05_Param_Prog_Annee'!$I$4:$I$23,MATCH(N32,'05_Param_Prog_Annee'!$A$4:$A$23,0))</f>
        <v/>
      </c>
      <c r="T32" s="62">
        <f>IFERROR(INDEX('05_Param_Prog_Annee'!$J$4:$J$23,MATCH(N32,'05_Param_Prog_Annee'!$A$4:$A$23,0)),0)</f>
        <v/>
      </c>
      <c r="U32" s="61">
        <f>P32*Q32*(1+'01_Cadrage'!$H$21)</f>
        <v/>
      </c>
      <c r="V32" s="18">
        <f>INDEX('01_Cadrage'!$L$7:$L$20,MATCH(A32&amp;"|"&amp;B32,'01_Cadrage'!$O$7:$O$20,0))</f>
        <v/>
      </c>
      <c r="W32" s="18">
        <f>INDEX('01_Cadrage'!$M$7:$M$20,MATCH(A32&amp;"|"&amp;B32,'01_Cadrage'!$O$7:$O$20,0))</f>
        <v/>
      </c>
      <c r="X32" s="18">
        <f>IFERROR(INDEX('06_Historique'!$F$66:$F$73,MATCH(C32,'06_Historique'!$A$66:$A$73,0)),'01_Cadrage'!$H$27)</f>
        <v/>
      </c>
      <c r="Y32" s="62">
        <f>'01_Cadrage'!$H$16*V32</f>
        <v/>
      </c>
      <c r="Z32" s="60">
        <f>IF(F32=1,J32*(1+X32*Y32),0)</f>
        <v/>
      </c>
      <c r="AA32" s="62">
        <f>IF(F32=1,IFERROR(H32/J32,'01_Cadrage'!$H$28)+'01_Cadrage'!$H$18,0)</f>
        <v/>
      </c>
      <c r="AB32" s="60">
        <f>Z32*AA32</f>
        <v/>
      </c>
      <c r="AC32" s="60">
        <f>IF(F32=1,0,K32*(T32+'01_Cadrage'!$H$19))</f>
        <v/>
      </c>
      <c r="AD32" s="63">
        <f>AB32+AC32</f>
        <v/>
      </c>
      <c r="AE32" s="61">
        <f>L32*(1+'01_Cadrage'!$H$17*W32)</f>
        <v/>
      </c>
      <c r="AF32" s="18">
        <f>1</f>
        <v/>
      </c>
      <c r="AG32" s="18">
        <f>1</f>
        <v/>
      </c>
      <c r="AH32" s="24">
        <f>AD32*AE32*AF32+AB32*'01_Cadrage'!$H$24</f>
        <v/>
      </c>
      <c r="AI32" s="60">
        <f>IF(AD32&lt;=0,0,MAX(1,ROUNDUP(AD32/O32,0)))</f>
        <v/>
      </c>
      <c r="AJ32" s="24">
        <f>AI32*U32</f>
        <v/>
      </c>
      <c r="AK32" s="24">
        <f>AD32*R32*(1+'01_Cadrage'!$H$20)</f>
        <v/>
      </c>
      <c r="AL32" s="24">
        <f>H32*S32*(1+Y32)</f>
        <v/>
      </c>
      <c r="AM32" s="22">
        <f>AH32-AJ32-AK32-AL32-AD32*'01_Cadrage'!$H$26*(1+'01_Cadrage'!$H$20)</f>
        <v/>
      </c>
      <c r="AN32" s="62">
        <f>IFERROR(AD32/(AI32*O32),0)</f>
        <v/>
      </c>
      <c r="AO32" s="61">
        <f>IFERROR(AM32/AD32,0)</f>
        <v/>
      </c>
      <c r="AP32" s="60">
        <f>IFERROR(AI32*U32/(AE32*AF32-R32*(1+'01_Cadrage'!$H$20)),0)</f>
        <v/>
      </c>
    </row>
    <row r="33">
      <c r="A33" s="57">
        <f>'06_Historique'!A34</f>
        <v/>
      </c>
      <c r="B33" s="10">
        <f>'06_Historique'!B34</f>
        <v/>
      </c>
      <c r="C33" s="57">
        <f>'06_Historique'!C34</f>
        <v/>
      </c>
      <c r="D33" s="10">
        <f>'06_Historique'!E34</f>
        <v/>
      </c>
      <c r="E33" s="10">
        <f>'06_Historique'!F34</f>
        <v/>
      </c>
      <c r="F33" s="58">
        <f>'06_Historique'!G34</f>
        <v/>
      </c>
      <c r="G33" s="58">
        <f>'06_Historique'!K34</f>
        <v/>
      </c>
      <c r="H33" s="58">
        <f>'06_Historique'!I34</f>
        <v/>
      </c>
      <c r="I33" s="58">
        <f>'06_Historique'!J34</f>
        <v/>
      </c>
      <c r="J33" s="58">
        <f>'06_Historique'!H34</f>
        <v/>
      </c>
      <c r="K33" s="58">
        <f>'06_Historique'!L34</f>
        <v/>
      </c>
      <c r="L33" s="59">
        <f>'06_Historique'!M34</f>
        <v/>
      </c>
      <c r="M33" s="58">
        <f>'06_Historique'!N34</f>
        <v/>
      </c>
      <c r="N33" s="9">
        <f>C33&amp;"|"&amp;D33</f>
        <v/>
      </c>
      <c r="O33" s="60">
        <f>INDEX('05_Param_Prog_Annee'!$E$4:$E$23,MATCH(N33,'05_Param_Prog_Annee'!$A$4:$A$23,0))</f>
        <v/>
      </c>
      <c r="P33" s="60">
        <f>INDEX('05_Param_Prog_Annee'!$F$4:$F$23,MATCH(N33,'05_Param_Prog_Annee'!$A$4:$A$23,0))</f>
        <v/>
      </c>
      <c r="Q33" s="61">
        <f>INDEX('05_Param_Prog_Annee'!$G$4:$G$23,MATCH(N33,'05_Param_Prog_Annee'!$A$4:$A$23,0))</f>
        <v/>
      </c>
      <c r="R33" s="61">
        <f>INDEX('05_Param_Prog_Annee'!$H$4:$H$23,MATCH(N33,'05_Param_Prog_Annee'!$A$4:$A$23,0))</f>
        <v/>
      </c>
      <c r="S33" s="61">
        <f>INDEX('05_Param_Prog_Annee'!$I$4:$I$23,MATCH(N33,'05_Param_Prog_Annee'!$A$4:$A$23,0))</f>
        <v/>
      </c>
      <c r="T33" s="62">
        <f>IFERROR(INDEX('05_Param_Prog_Annee'!$J$4:$J$23,MATCH(N33,'05_Param_Prog_Annee'!$A$4:$A$23,0)),0)</f>
        <v/>
      </c>
      <c r="U33" s="61">
        <f>P33*Q33*(1+'01_Cadrage'!$H$21)</f>
        <v/>
      </c>
      <c r="V33" s="18">
        <f>INDEX('01_Cadrage'!$L$7:$L$20,MATCH(A33&amp;"|"&amp;B33,'01_Cadrage'!$O$7:$O$20,0))</f>
        <v/>
      </c>
      <c r="W33" s="18">
        <f>INDEX('01_Cadrage'!$M$7:$M$20,MATCH(A33&amp;"|"&amp;B33,'01_Cadrage'!$O$7:$O$20,0))</f>
        <v/>
      </c>
      <c r="X33" s="18">
        <f>IFERROR(INDEX('06_Historique'!$F$66:$F$73,MATCH(C33,'06_Historique'!$A$66:$A$73,0)),'01_Cadrage'!$H$27)</f>
        <v/>
      </c>
      <c r="Y33" s="62">
        <f>'01_Cadrage'!$H$16*V33</f>
        <v/>
      </c>
      <c r="Z33" s="60">
        <f>IF(F33=1,J33*(1+X33*Y33),0)</f>
        <v/>
      </c>
      <c r="AA33" s="62">
        <f>IF(F33=1,IFERROR(H33/J33,'01_Cadrage'!$H$28)+'01_Cadrage'!$H$18,0)</f>
        <v/>
      </c>
      <c r="AB33" s="60">
        <f>Z33*AA33</f>
        <v/>
      </c>
      <c r="AC33" s="60">
        <f>IF(F33=1,0,K33*(T33+'01_Cadrage'!$H$19))</f>
        <v/>
      </c>
      <c r="AD33" s="63">
        <f>AB33+AC33</f>
        <v/>
      </c>
      <c r="AE33" s="61">
        <f>L33*(1+'01_Cadrage'!$H$17*W33)</f>
        <v/>
      </c>
      <c r="AF33" s="18">
        <f>1</f>
        <v/>
      </c>
      <c r="AG33" s="18">
        <f>1</f>
        <v/>
      </c>
      <c r="AH33" s="24">
        <f>AD33*AE33*AF33+AB33*'01_Cadrage'!$H$24</f>
        <v/>
      </c>
      <c r="AI33" s="60">
        <f>IF(AD33&lt;=0,0,MAX(1,ROUNDUP(AD33/O33,0)))</f>
        <v/>
      </c>
      <c r="AJ33" s="24">
        <f>AI33*U33</f>
        <v/>
      </c>
      <c r="AK33" s="24">
        <f>AD33*R33*(1+'01_Cadrage'!$H$20)</f>
        <v/>
      </c>
      <c r="AL33" s="24">
        <f>H33*S33*(1+Y33)</f>
        <v/>
      </c>
      <c r="AM33" s="22">
        <f>AH33-AJ33-AK33-AL33-AD33*'01_Cadrage'!$H$26*(1+'01_Cadrage'!$H$20)</f>
        <v/>
      </c>
      <c r="AN33" s="62">
        <f>IFERROR(AD33/(AI33*O33),0)</f>
        <v/>
      </c>
      <c r="AO33" s="61">
        <f>IFERROR(AM33/AD33,0)</f>
        <v/>
      </c>
      <c r="AP33" s="60">
        <f>IFERROR(AI33*U33/(AE33*AF33-R33*(1+'01_Cadrage'!$H$20)),0)</f>
        <v/>
      </c>
    </row>
    <row r="34">
      <c r="A34" s="57">
        <f>'06_Historique'!A35</f>
        <v/>
      </c>
      <c r="B34" s="10">
        <f>'06_Historique'!B35</f>
        <v/>
      </c>
      <c r="C34" s="57">
        <f>'06_Historique'!C35</f>
        <v/>
      </c>
      <c r="D34" s="10">
        <f>'06_Historique'!E35</f>
        <v/>
      </c>
      <c r="E34" s="10">
        <f>'06_Historique'!F35</f>
        <v/>
      </c>
      <c r="F34" s="58">
        <f>'06_Historique'!G35</f>
        <v/>
      </c>
      <c r="G34" s="58">
        <f>'06_Historique'!K35</f>
        <v/>
      </c>
      <c r="H34" s="58">
        <f>'06_Historique'!I35</f>
        <v/>
      </c>
      <c r="I34" s="58">
        <f>'06_Historique'!J35</f>
        <v/>
      </c>
      <c r="J34" s="58">
        <f>'06_Historique'!H35</f>
        <v/>
      </c>
      <c r="K34" s="58">
        <f>'06_Historique'!L35</f>
        <v/>
      </c>
      <c r="L34" s="59">
        <f>'06_Historique'!M35</f>
        <v/>
      </c>
      <c r="M34" s="58">
        <f>'06_Historique'!N35</f>
        <v/>
      </c>
      <c r="N34" s="9">
        <f>C34&amp;"|"&amp;D34</f>
        <v/>
      </c>
      <c r="O34" s="60">
        <f>INDEX('05_Param_Prog_Annee'!$E$4:$E$23,MATCH(N34,'05_Param_Prog_Annee'!$A$4:$A$23,0))</f>
        <v/>
      </c>
      <c r="P34" s="60">
        <f>INDEX('05_Param_Prog_Annee'!$F$4:$F$23,MATCH(N34,'05_Param_Prog_Annee'!$A$4:$A$23,0))</f>
        <v/>
      </c>
      <c r="Q34" s="61">
        <f>INDEX('05_Param_Prog_Annee'!$G$4:$G$23,MATCH(N34,'05_Param_Prog_Annee'!$A$4:$A$23,0))</f>
        <v/>
      </c>
      <c r="R34" s="61">
        <f>INDEX('05_Param_Prog_Annee'!$H$4:$H$23,MATCH(N34,'05_Param_Prog_Annee'!$A$4:$A$23,0))</f>
        <v/>
      </c>
      <c r="S34" s="61">
        <f>INDEX('05_Param_Prog_Annee'!$I$4:$I$23,MATCH(N34,'05_Param_Prog_Annee'!$A$4:$A$23,0))</f>
        <v/>
      </c>
      <c r="T34" s="62">
        <f>IFERROR(INDEX('05_Param_Prog_Annee'!$J$4:$J$23,MATCH(N34,'05_Param_Prog_Annee'!$A$4:$A$23,0)),0)</f>
        <v/>
      </c>
      <c r="U34" s="61">
        <f>P34*Q34*(1+'01_Cadrage'!$H$21)</f>
        <v/>
      </c>
      <c r="V34" s="18">
        <f>INDEX('01_Cadrage'!$L$7:$L$20,MATCH(A34&amp;"|"&amp;B34,'01_Cadrage'!$O$7:$O$20,0))</f>
        <v/>
      </c>
      <c r="W34" s="18">
        <f>INDEX('01_Cadrage'!$M$7:$M$20,MATCH(A34&amp;"|"&amp;B34,'01_Cadrage'!$O$7:$O$20,0))</f>
        <v/>
      </c>
      <c r="X34" s="18">
        <f>IFERROR(INDEX('06_Historique'!$F$66:$F$73,MATCH(C34,'06_Historique'!$A$66:$A$73,0)),'01_Cadrage'!$H$27)</f>
        <v/>
      </c>
      <c r="Y34" s="62">
        <f>'01_Cadrage'!$H$16*V34</f>
        <v/>
      </c>
      <c r="Z34" s="60">
        <f>IF(F34=1,J34*(1+X34*Y34),0)</f>
        <v/>
      </c>
      <c r="AA34" s="62">
        <f>IF(F34=1,IFERROR(H34/J34,'01_Cadrage'!$H$28)+'01_Cadrage'!$H$18,0)</f>
        <v/>
      </c>
      <c r="AB34" s="60">
        <f>Z34*AA34</f>
        <v/>
      </c>
      <c r="AC34" s="60">
        <f>IF(F34=1,0,K34*(T34+'01_Cadrage'!$H$19))</f>
        <v/>
      </c>
      <c r="AD34" s="63">
        <f>AB34+AC34</f>
        <v/>
      </c>
      <c r="AE34" s="61">
        <f>L34*(1+'01_Cadrage'!$H$17*W34)</f>
        <v/>
      </c>
      <c r="AF34" s="18">
        <f>1</f>
        <v/>
      </c>
      <c r="AG34" s="18">
        <f>1</f>
        <v/>
      </c>
      <c r="AH34" s="24">
        <f>AD34*AE34*AF34+AB34*'01_Cadrage'!$H$24</f>
        <v/>
      </c>
      <c r="AI34" s="60">
        <f>IF(AD34&lt;=0,0,MAX(1,ROUNDUP(AD34/O34,0)))</f>
        <v/>
      </c>
      <c r="AJ34" s="24">
        <f>AI34*U34</f>
        <v/>
      </c>
      <c r="AK34" s="24">
        <f>AD34*R34*(1+'01_Cadrage'!$H$20)</f>
        <v/>
      </c>
      <c r="AL34" s="24">
        <f>H34*S34*(1+Y34)</f>
        <v/>
      </c>
      <c r="AM34" s="22">
        <f>AH34-AJ34-AK34-AL34-AD34*'01_Cadrage'!$H$26*(1+'01_Cadrage'!$H$20)</f>
        <v/>
      </c>
      <c r="AN34" s="62">
        <f>IFERROR(AD34/(AI34*O34),0)</f>
        <v/>
      </c>
      <c r="AO34" s="61">
        <f>IFERROR(AM34/AD34,0)</f>
        <v/>
      </c>
      <c r="AP34" s="60">
        <f>IFERROR(AI34*U34/(AE34*AF34-R34*(1+'01_Cadrage'!$H$20)),0)</f>
        <v/>
      </c>
    </row>
    <row r="35">
      <c r="A35" s="57">
        <f>'06_Historique'!A36</f>
        <v/>
      </c>
      <c r="B35" s="10">
        <f>'06_Historique'!B36</f>
        <v/>
      </c>
      <c r="C35" s="57">
        <f>'06_Historique'!C36</f>
        <v/>
      </c>
      <c r="D35" s="10">
        <f>'06_Historique'!E36</f>
        <v/>
      </c>
      <c r="E35" s="10">
        <f>'06_Historique'!F36</f>
        <v/>
      </c>
      <c r="F35" s="58">
        <f>'06_Historique'!G36</f>
        <v/>
      </c>
      <c r="G35" s="58">
        <f>'06_Historique'!K36</f>
        <v/>
      </c>
      <c r="H35" s="58">
        <f>'06_Historique'!I36</f>
        <v/>
      </c>
      <c r="I35" s="58">
        <f>'06_Historique'!J36</f>
        <v/>
      </c>
      <c r="J35" s="58">
        <f>'06_Historique'!H36</f>
        <v/>
      </c>
      <c r="K35" s="58">
        <f>'06_Historique'!L36</f>
        <v/>
      </c>
      <c r="L35" s="59">
        <f>'06_Historique'!M36</f>
        <v/>
      </c>
      <c r="M35" s="58">
        <f>'06_Historique'!N36</f>
        <v/>
      </c>
      <c r="N35" s="9">
        <f>C35&amp;"|"&amp;D35</f>
        <v/>
      </c>
      <c r="O35" s="60">
        <f>INDEX('05_Param_Prog_Annee'!$E$4:$E$23,MATCH(N35,'05_Param_Prog_Annee'!$A$4:$A$23,0))</f>
        <v/>
      </c>
      <c r="P35" s="60">
        <f>INDEX('05_Param_Prog_Annee'!$F$4:$F$23,MATCH(N35,'05_Param_Prog_Annee'!$A$4:$A$23,0))</f>
        <v/>
      </c>
      <c r="Q35" s="61">
        <f>INDEX('05_Param_Prog_Annee'!$G$4:$G$23,MATCH(N35,'05_Param_Prog_Annee'!$A$4:$A$23,0))</f>
        <v/>
      </c>
      <c r="R35" s="61">
        <f>INDEX('05_Param_Prog_Annee'!$H$4:$H$23,MATCH(N35,'05_Param_Prog_Annee'!$A$4:$A$23,0))</f>
        <v/>
      </c>
      <c r="S35" s="61">
        <f>INDEX('05_Param_Prog_Annee'!$I$4:$I$23,MATCH(N35,'05_Param_Prog_Annee'!$A$4:$A$23,0))</f>
        <v/>
      </c>
      <c r="T35" s="62">
        <f>IFERROR(INDEX('05_Param_Prog_Annee'!$J$4:$J$23,MATCH(N35,'05_Param_Prog_Annee'!$A$4:$A$23,0)),0)</f>
        <v/>
      </c>
      <c r="U35" s="61">
        <f>P35*Q35*(1+'01_Cadrage'!$H$21)</f>
        <v/>
      </c>
      <c r="V35" s="18">
        <f>INDEX('01_Cadrage'!$L$7:$L$20,MATCH(A35&amp;"|"&amp;B35,'01_Cadrage'!$O$7:$O$20,0))</f>
        <v/>
      </c>
      <c r="W35" s="18">
        <f>INDEX('01_Cadrage'!$M$7:$M$20,MATCH(A35&amp;"|"&amp;B35,'01_Cadrage'!$O$7:$O$20,0))</f>
        <v/>
      </c>
      <c r="X35" s="18">
        <f>IFERROR(INDEX('06_Historique'!$F$66:$F$73,MATCH(C35,'06_Historique'!$A$66:$A$73,0)),'01_Cadrage'!$H$27)</f>
        <v/>
      </c>
      <c r="Y35" s="62">
        <f>'01_Cadrage'!$H$16*V35</f>
        <v/>
      </c>
      <c r="Z35" s="60">
        <f>IF(F35=1,J35*(1+X35*Y35),0)</f>
        <v/>
      </c>
      <c r="AA35" s="62">
        <f>IF(F35=1,IFERROR(H35/J35,'01_Cadrage'!$H$28)+'01_Cadrage'!$H$18,0)</f>
        <v/>
      </c>
      <c r="AB35" s="60">
        <f>Z35*AA35</f>
        <v/>
      </c>
      <c r="AC35" s="60">
        <f>IF(F35=1,0,K35*(T35+'01_Cadrage'!$H$19))</f>
        <v/>
      </c>
      <c r="AD35" s="63">
        <f>AB35+AC35</f>
        <v/>
      </c>
      <c r="AE35" s="61">
        <f>L35*(1+'01_Cadrage'!$H$17*W35)</f>
        <v/>
      </c>
      <c r="AF35" s="18">
        <f>1</f>
        <v/>
      </c>
      <c r="AG35" s="18">
        <f>1</f>
        <v/>
      </c>
      <c r="AH35" s="24">
        <f>AD35*AE35*AF35+AB35*'01_Cadrage'!$H$24</f>
        <v/>
      </c>
      <c r="AI35" s="60">
        <f>IF(AD35&lt;=0,0,MAX(1,ROUNDUP(AD35/O35,0)))</f>
        <v/>
      </c>
      <c r="AJ35" s="24">
        <f>AI35*U35</f>
        <v/>
      </c>
      <c r="AK35" s="24">
        <f>AD35*R35*(1+'01_Cadrage'!$H$20)</f>
        <v/>
      </c>
      <c r="AL35" s="24">
        <f>H35*S35*(1+Y35)</f>
        <v/>
      </c>
      <c r="AM35" s="22">
        <f>AH35-AJ35-AK35-AL35-AD35*'01_Cadrage'!$H$26*(1+'01_Cadrage'!$H$20)</f>
        <v/>
      </c>
      <c r="AN35" s="62">
        <f>IFERROR(AD35/(AI35*O35),0)</f>
        <v/>
      </c>
      <c r="AO35" s="61">
        <f>IFERROR(AM35/AD35,0)</f>
        <v/>
      </c>
      <c r="AP35" s="60">
        <f>IFERROR(AI35*U35/(AE35*AF35-R35*(1+'01_Cadrage'!$H$20)),0)</f>
        <v/>
      </c>
    </row>
    <row r="36">
      <c r="A36" s="57">
        <f>'06_Historique'!A37</f>
        <v/>
      </c>
      <c r="B36" s="10">
        <f>'06_Historique'!B37</f>
        <v/>
      </c>
      <c r="C36" s="57">
        <f>'06_Historique'!C37</f>
        <v/>
      </c>
      <c r="D36" s="10">
        <f>'06_Historique'!E37</f>
        <v/>
      </c>
      <c r="E36" s="10">
        <f>'06_Historique'!F37</f>
        <v/>
      </c>
      <c r="F36" s="58">
        <f>'06_Historique'!G37</f>
        <v/>
      </c>
      <c r="G36" s="58">
        <f>'06_Historique'!K37</f>
        <v/>
      </c>
      <c r="H36" s="58">
        <f>'06_Historique'!I37</f>
        <v/>
      </c>
      <c r="I36" s="58">
        <f>'06_Historique'!J37</f>
        <v/>
      </c>
      <c r="J36" s="58">
        <f>'06_Historique'!H37</f>
        <v/>
      </c>
      <c r="K36" s="58">
        <f>'06_Historique'!L37</f>
        <v/>
      </c>
      <c r="L36" s="59">
        <f>'06_Historique'!M37</f>
        <v/>
      </c>
      <c r="M36" s="58">
        <f>'06_Historique'!N37</f>
        <v/>
      </c>
      <c r="N36" s="9">
        <f>C36&amp;"|"&amp;D36</f>
        <v/>
      </c>
      <c r="O36" s="60">
        <f>INDEX('05_Param_Prog_Annee'!$E$4:$E$23,MATCH(N36,'05_Param_Prog_Annee'!$A$4:$A$23,0))</f>
        <v/>
      </c>
      <c r="P36" s="60">
        <f>INDEX('05_Param_Prog_Annee'!$F$4:$F$23,MATCH(N36,'05_Param_Prog_Annee'!$A$4:$A$23,0))</f>
        <v/>
      </c>
      <c r="Q36" s="61">
        <f>INDEX('05_Param_Prog_Annee'!$G$4:$G$23,MATCH(N36,'05_Param_Prog_Annee'!$A$4:$A$23,0))</f>
        <v/>
      </c>
      <c r="R36" s="61">
        <f>INDEX('05_Param_Prog_Annee'!$H$4:$H$23,MATCH(N36,'05_Param_Prog_Annee'!$A$4:$A$23,0))</f>
        <v/>
      </c>
      <c r="S36" s="61">
        <f>INDEX('05_Param_Prog_Annee'!$I$4:$I$23,MATCH(N36,'05_Param_Prog_Annee'!$A$4:$A$23,0))</f>
        <v/>
      </c>
      <c r="T36" s="62">
        <f>IFERROR(INDEX('05_Param_Prog_Annee'!$J$4:$J$23,MATCH(N36,'05_Param_Prog_Annee'!$A$4:$A$23,0)),0)</f>
        <v/>
      </c>
      <c r="U36" s="61">
        <f>P36*Q36*(1+'01_Cadrage'!$H$21)</f>
        <v/>
      </c>
      <c r="V36" s="18">
        <f>INDEX('01_Cadrage'!$L$7:$L$20,MATCH(A36&amp;"|"&amp;B36,'01_Cadrage'!$O$7:$O$20,0))</f>
        <v/>
      </c>
      <c r="W36" s="18">
        <f>INDEX('01_Cadrage'!$M$7:$M$20,MATCH(A36&amp;"|"&amp;B36,'01_Cadrage'!$O$7:$O$20,0))</f>
        <v/>
      </c>
      <c r="X36" s="18">
        <f>IFERROR(INDEX('06_Historique'!$F$66:$F$73,MATCH(C36,'06_Historique'!$A$66:$A$73,0)),'01_Cadrage'!$H$27)</f>
        <v/>
      </c>
      <c r="Y36" s="62">
        <f>'01_Cadrage'!$H$16*V36</f>
        <v/>
      </c>
      <c r="Z36" s="60">
        <f>IF(F36=1,J36*(1+X36*Y36),0)</f>
        <v/>
      </c>
      <c r="AA36" s="62">
        <f>IF(F36=1,IFERROR(H36/J36,'01_Cadrage'!$H$28)+'01_Cadrage'!$H$18,0)</f>
        <v/>
      </c>
      <c r="AB36" s="60">
        <f>Z36*AA36</f>
        <v/>
      </c>
      <c r="AC36" s="60">
        <f>IF(F36=1,0,K36*(T36+'01_Cadrage'!$H$19))</f>
        <v/>
      </c>
      <c r="AD36" s="63">
        <f>AB36+AC36</f>
        <v/>
      </c>
      <c r="AE36" s="61">
        <f>L36*(1+'01_Cadrage'!$H$17*W36)</f>
        <v/>
      </c>
      <c r="AF36" s="18">
        <f>1</f>
        <v/>
      </c>
      <c r="AG36" s="18">
        <f>1</f>
        <v/>
      </c>
      <c r="AH36" s="24">
        <f>AD36*AE36*AF36+AB36*'01_Cadrage'!$H$24</f>
        <v/>
      </c>
      <c r="AI36" s="60">
        <f>IF(AD36&lt;=0,0,MAX(1,ROUNDUP(AD36/O36,0)))</f>
        <v/>
      </c>
      <c r="AJ36" s="24">
        <f>AI36*U36</f>
        <v/>
      </c>
      <c r="AK36" s="24">
        <f>AD36*R36*(1+'01_Cadrage'!$H$20)</f>
        <v/>
      </c>
      <c r="AL36" s="24">
        <f>H36*S36*(1+Y36)</f>
        <v/>
      </c>
      <c r="AM36" s="22">
        <f>AH36-AJ36-AK36-AL36-AD36*'01_Cadrage'!$H$26*(1+'01_Cadrage'!$H$20)</f>
        <v/>
      </c>
      <c r="AN36" s="62">
        <f>IFERROR(AD36/(AI36*O36),0)</f>
        <v/>
      </c>
      <c r="AO36" s="61">
        <f>IFERROR(AM36/AD36,0)</f>
        <v/>
      </c>
      <c r="AP36" s="60">
        <f>IFERROR(AI36*U36/(AE36*AF36-R36*(1+'01_Cadrage'!$H$20)),0)</f>
        <v/>
      </c>
    </row>
    <row r="37">
      <c r="A37" s="57">
        <f>'06_Historique'!A38</f>
        <v/>
      </c>
      <c r="B37" s="10">
        <f>'06_Historique'!B38</f>
        <v/>
      </c>
      <c r="C37" s="57">
        <f>'06_Historique'!C38</f>
        <v/>
      </c>
      <c r="D37" s="10">
        <f>'06_Historique'!E38</f>
        <v/>
      </c>
      <c r="E37" s="10">
        <f>'06_Historique'!F38</f>
        <v/>
      </c>
      <c r="F37" s="58">
        <f>'06_Historique'!G38</f>
        <v/>
      </c>
      <c r="G37" s="58">
        <f>'06_Historique'!K38</f>
        <v/>
      </c>
      <c r="H37" s="58">
        <f>'06_Historique'!I38</f>
        <v/>
      </c>
      <c r="I37" s="58">
        <f>'06_Historique'!J38</f>
        <v/>
      </c>
      <c r="J37" s="58">
        <f>'06_Historique'!H38</f>
        <v/>
      </c>
      <c r="K37" s="58">
        <f>'06_Historique'!L38</f>
        <v/>
      </c>
      <c r="L37" s="59">
        <f>'06_Historique'!M38</f>
        <v/>
      </c>
      <c r="M37" s="58">
        <f>'06_Historique'!N38</f>
        <v/>
      </c>
      <c r="N37" s="9">
        <f>C37&amp;"|"&amp;D37</f>
        <v/>
      </c>
      <c r="O37" s="60">
        <f>INDEX('05_Param_Prog_Annee'!$E$4:$E$23,MATCH(N37,'05_Param_Prog_Annee'!$A$4:$A$23,0))</f>
        <v/>
      </c>
      <c r="P37" s="60">
        <f>INDEX('05_Param_Prog_Annee'!$F$4:$F$23,MATCH(N37,'05_Param_Prog_Annee'!$A$4:$A$23,0))</f>
        <v/>
      </c>
      <c r="Q37" s="61">
        <f>INDEX('05_Param_Prog_Annee'!$G$4:$G$23,MATCH(N37,'05_Param_Prog_Annee'!$A$4:$A$23,0))</f>
        <v/>
      </c>
      <c r="R37" s="61">
        <f>INDEX('05_Param_Prog_Annee'!$H$4:$H$23,MATCH(N37,'05_Param_Prog_Annee'!$A$4:$A$23,0))</f>
        <v/>
      </c>
      <c r="S37" s="61">
        <f>INDEX('05_Param_Prog_Annee'!$I$4:$I$23,MATCH(N37,'05_Param_Prog_Annee'!$A$4:$A$23,0))</f>
        <v/>
      </c>
      <c r="T37" s="62">
        <f>IFERROR(INDEX('05_Param_Prog_Annee'!$J$4:$J$23,MATCH(N37,'05_Param_Prog_Annee'!$A$4:$A$23,0)),0)</f>
        <v/>
      </c>
      <c r="U37" s="61">
        <f>P37*Q37*(1+'01_Cadrage'!$H$21)</f>
        <v/>
      </c>
      <c r="V37" s="18">
        <f>INDEX('01_Cadrage'!$L$7:$L$20,MATCH(A37&amp;"|"&amp;B37,'01_Cadrage'!$O$7:$O$20,0))</f>
        <v/>
      </c>
      <c r="W37" s="18">
        <f>INDEX('01_Cadrage'!$M$7:$M$20,MATCH(A37&amp;"|"&amp;B37,'01_Cadrage'!$O$7:$O$20,0))</f>
        <v/>
      </c>
      <c r="X37" s="18">
        <f>IFERROR(INDEX('06_Historique'!$F$66:$F$73,MATCH(C37,'06_Historique'!$A$66:$A$73,0)),'01_Cadrage'!$H$27)</f>
        <v/>
      </c>
      <c r="Y37" s="62">
        <f>'01_Cadrage'!$H$16*V37</f>
        <v/>
      </c>
      <c r="Z37" s="60">
        <f>IF(F37=1,J37*(1+X37*Y37),0)</f>
        <v/>
      </c>
      <c r="AA37" s="62">
        <f>IF(F37=1,IFERROR(H37/J37,'01_Cadrage'!$H$28)+'01_Cadrage'!$H$18,0)</f>
        <v/>
      </c>
      <c r="AB37" s="60">
        <f>Z37*AA37</f>
        <v/>
      </c>
      <c r="AC37" s="60">
        <f>IF(F37=1,0,K37*(T37+'01_Cadrage'!$H$19))</f>
        <v/>
      </c>
      <c r="AD37" s="63">
        <f>AB37+AC37</f>
        <v/>
      </c>
      <c r="AE37" s="61">
        <f>L37*(1+'01_Cadrage'!$H$17*W37)</f>
        <v/>
      </c>
      <c r="AF37" s="18">
        <f>1</f>
        <v/>
      </c>
      <c r="AG37" s="18">
        <f>1</f>
        <v/>
      </c>
      <c r="AH37" s="24">
        <f>AD37*AE37*AF37+AB37*'01_Cadrage'!$H$24</f>
        <v/>
      </c>
      <c r="AI37" s="60">
        <f>IF(AD37&lt;=0,0,MAX(1,ROUNDUP(AD37/O37,0)))</f>
        <v/>
      </c>
      <c r="AJ37" s="24">
        <f>AI37*U37</f>
        <v/>
      </c>
      <c r="AK37" s="24">
        <f>AD37*R37*(1+'01_Cadrage'!$H$20)</f>
        <v/>
      </c>
      <c r="AL37" s="24">
        <f>H37*S37*(1+Y37)</f>
        <v/>
      </c>
      <c r="AM37" s="22">
        <f>AH37-AJ37-AK37-AL37-AD37*'01_Cadrage'!$H$26*(1+'01_Cadrage'!$H$20)</f>
        <v/>
      </c>
      <c r="AN37" s="62">
        <f>IFERROR(AD37/(AI37*O37),0)</f>
        <v/>
      </c>
      <c r="AO37" s="61">
        <f>IFERROR(AM37/AD37,0)</f>
        <v/>
      </c>
      <c r="AP37" s="60">
        <f>IFERROR(AI37*U37/(AE37*AF37-R37*(1+'01_Cadrage'!$H$20)),0)</f>
        <v/>
      </c>
    </row>
    <row r="38">
      <c r="A38" s="57">
        <f>'06_Historique'!A39</f>
        <v/>
      </c>
      <c r="B38" s="10">
        <f>'06_Historique'!B39</f>
        <v/>
      </c>
      <c r="C38" s="57">
        <f>'06_Historique'!C39</f>
        <v/>
      </c>
      <c r="D38" s="10">
        <f>'06_Historique'!E39</f>
        <v/>
      </c>
      <c r="E38" s="10">
        <f>'06_Historique'!F39</f>
        <v/>
      </c>
      <c r="F38" s="58">
        <f>'06_Historique'!G39</f>
        <v/>
      </c>
      <c r="G38" s="58">
        <f>'06_Historique'!K39</f>
        <v/>
      </c>
      <c r="H38" s="58">
        <f>'06_Historique'!I39</f>
        <v/>
      </c>
      <c r="I38" s="58">
        <f>'06_Historique'!J39</f>
        <v/>
      </c>
      <c r="J38" s="58">
        <f>'06_Historique'!H39</f>
        <v/>
      </c>
      <c r="K38" s="58">
        <f>'06_Historique'!L39</f>
        <v/>
      </c>
      <c r="L38" s="59">
        <f>'06_Historique'!M39</f>
        <v/>
      </c>
      <c r="M38" s="58">
        <f>'06_Historique'!N39</f>
        <v/>
      </c>
      <c r="N38" s="9">
        <f>C38&amp;"|"&amp;D38</f>
        <v/>
      </c>
      <c r="O38" s="60">
        <f>INDEX('05_Param_Prog_Annee'!$E$4:$E$23,MATCH(N38,'05_Param_Prog_Annee'!$A$4:$A$23,0))</f>
        <v/>
      </c>
      <c r="P38" s="60">
        <f>INDEX('05_Param_Prog_Annee'!$F$4:$F$23,MATCH(N38,'05_Param_Prog_Annee'!$A$4:$A$23,0))</f>
        <v/>
      </c>
      <c r="Q38" s="61">
        <f>INDEX('05_Param_Prog_Annee'!$G$4:$G$23,MATCH(N38,'05_Param_Prog_Annee'!$A$4:$A$23,0))</f>
        <v/>
      </c>
      <c r="R38" s="61">
        <f>INDEX('05_Param_Prog_Annee'!$H$4:$H$23,MATCH(N38,'05_Param_Prog_Annee'!$A$4:$A$23,0))</f>
        <v/>
      </c>
      <c r="S38" s="61">
        <f>INDEX('05_Param_Prog_Annee'!$I$4:$I$23,MATCH(N38,'05_Param_Prog_Annee'!$A$4:$A$23,0))</f>
        <v/>
      </c>
      <c r="T38" s="62">
        <f>IFERROR(INDEX('05_Param_Prog_Annee'!$J$4:$J$23,MATCH(N38,'05_Param_Prog_Annee'!$A$4:$A$23,0)),0)</f>
        <v/>
      </c>
      <c r="U38" s="61">
        <f>P38*Q38*(1+'01_Cadrage'!$H$21)</f>
        <v/>
      </c>
      <c r="V38" s="18">
        <f>INDEX('01_Cadrage'!$L$7:$L$20,MATCH(A38&amp;"|"&amp;B38,'01_Cadrage'!$O$7:$O$20,0))</f>
        <v/>
      </c>
      <c r="W38" s="18">
        <f>INDEX('01_Cadrage'!$M$7:$M$20,MATCH(A38&amp;"|"&amp;B38,'01_Cadrage'!$O$7:$O$20,0))</f>
        <v/>
      </c>
      <c r="X38" s="18">
        <f>IFERROR(INDEX('06_Historique'!$F$66:$F$73,MATCH(C38,'06_Historique'!$A$66:$A$73,0)),'01_Cadrage'!$H$27)</f>
        <v/>
      </c>
      <c r="Y38" s="62">
        <f>'01_Cadrage'!$H$16*V38</f>
        <v/>
      </c>
      <c r="Z38" s="60">
        <f>IF(F38=1,J38*(1+X38*Y38),0)</f>
        <v/>
      </c>
      <c r="AA38" s="62">
        <f>IF(F38=1,IFERROR(H38/J38,'01_Cadrage'!$H$28)+'01_Cadrage'!$H$18,0)</f>
        <v/>
      </c>
      <c r="AB38" s="60">
        <f>Z38*AA38</f>
        <v/>
      </c>
      <c r="AC38" s="60">
        <f>IF(F38=1,0,K38*(T38+'01_Cadrage'!$H$19))</f>
        <v/>
      </c>
      <c r="AD38" s="63">
        <f>AB38+AC38</f>
        <v/>
      </c>
      <c r="AE38" s="61">
        <f>L38*(1+'01_Cadrage'!$H$17*W38)</f>
        <v/>
      </c>
      <c r="AF38" s="18">
        <f>1</f>
        <v/>
      </c>
      <c r="AG38" s="18">
        <f>1</f>
        <v/>
      </c>
      <c r="AH38" s="24">
        <f>AD38*AE38*AF38+AB38*'01_Cadrage'!$H$24</f>
        <v/>
      </c>
      <c r="AI38" s="60">
        <f>IF(AD38&lt;=0,0,MAX(1,ROUNDUP(AD38/O38,0)))</f>
        <v/>
      </c>
      <c r="AJ38" s="24">
        <f>AI38*U38</f>
        <v/>
      </c>
      <c r="AK38" s="24">
        <f>AD38*R38*(1+'01_Cadrage'!$H$20)</f>
        <v/>
      </c>
      <c r="AL38" s="24">
        <f>H38*S38*(1+Y38)</f>
        <v/>
      </c>
      <c r="AM38" s="22">
        <f>AH38-AJ38-AK38-AL38-AD38*'01_Cadrage'!$H$26*(1+'01_Cadrage'!$H$20)</f>
        <v/>
      </c>
      <c r="AN38" s="62">
        <f>IFERROR(AD38/(AI38*O38),0)</f>
        <v/>
      </c>
      <c r="AO38" s="61">
        <f>IFERROR(AM38/AD38,0)</f>
        <v/>
      </c>
      <c r="AP38" s="60">
        <f>IFERROR(AI38*U38/(AE38*AF38-R38*(1+'01_Cadrage'!$H$20)),0)</f>
        <v/>
      </c>
    </row>
    <row r="39">
      <c r="A39" s="57">
        <f>'06_Historique'!A40</f>
        <v/>
      </c>
      <c r="B39" s="10">
        <f>'06_Historique'!B40</f>
        <v/>
      </c>
      <c r="C39" s="57">
        <f>'06_Historique'!C40</f>
        <v/>
      </c>
      <c r="D39" s="10">
        <f>'06_Historique'!E40</f>
        <v/>
      </c>
      <c r="E39" s="10">
        <f>'06_Historique'!F40</f>
        <v/>
      </c>
      <c r="F39" s="58">
        <f>'06_Historique'!G40</f>
        <v/>
      </c>
      <c r="G39" s="58">
        <f>'06_Historique'!K40</f>
        <v/>
      </c>
      <c r="H39" s="58">
        <f>'06_Historique'!I40</f>
        <v/>
      </c>
      <c r="I39" s="58">
        <f>'06_Historique'!J40</f>
        <v/>
      </c>
      <c r="J39" s="58">
        <f>'06_Historique'!H40</f>
        <v/>
      </c>
      <c r="K39" s="58">
        <f>'06_Historique'!L40</f>
        <v/>
      </c>
      <c r="L39" s="59">
        <f>'06_Historique'!M40</f>
        <v/>
      </c>
      <c r="M39" s="58">
        <f>'06_Historique'!N40</f>
        <v/>
      </c>
      <c r="N39" s="9">
        <f>C39&amp;"|"&amp;D39</f>
        <v/>
      </c>
      <c r="O39" s="60">
        <f>INDEX('05_Param_Prog_Annee'!$E$4:$E$23,MATCH(N39,'05_Param_Prog_Annee'!$A$4:$A$23,0))</f>
        <v/>
      </c>
      <c r="P39" s="60">
        <f>INDEX('05_Param_Prog_Annee'!$F$4:$F$23,MATCH(N39,'05_Param_Prog_Annee'!$A$4:$A$23,0))</f>
        <v/>
      </c>
      <c r="Q39" s="61">
        <f>INDEX('05_Param_Prog_Annee'!$G$4:$G$23,MATCH(N39,'05_Param_Prog_Annee'!$A$4:$A$23,0))</f>
        <v/>
      </c>
      <c r="R39" s="61">
        <f>INDEX('05_Param_Prog_Annee'!$H$4:$H$23,MATCH(N39,'05_Param_Prog_Annee'!$A$4:$A$23,0))</f>
        <v/>
      </c>
      <c r="S39" s="61">
        <f>INDEX('05_Param_Prog_Annee'!$I$4:$I$23,MATCH(N39,'05_Param_Prog_Annee'!$A$4:$A$23,0))</f>
        <v/>
      </c>
      <c r="T39" s="62">
        <f>IFERROR(INDEX('05_Param_Prog_Annee'!$J$4:$J$23,MATCH(N39,'05_Param_Prog_Annee'!$A$4:$A$23,0)),0)</f>
        <v/>
      </c>
      <c r="U39" s="61">
        <f>P39*Q39*(1+'01_Cadrage'!$H$21)</f>
        <v/>
      </c>
      <c r="V39" s="18">
        <f>INDEX('01_Cadrage'!$L$7:$L$20,MATCH(A39&amp;"|"&amp;B39,'01_Cadrage'!$O$7:$O$20,0))</f>
        <v/>
      </c>
      <c r="W39" s="18">
        <f>INDEX('01_Cadrage'!$M$7:$M$20,MATCH(A39&amp;"|"&amp;B39,'01_Cadrage'!$O$7:$O$20,0))</f>
        <v/>
      </c>
      <c r="X39" s="18">
        <f>IFERROR(INDEX('06_Historique'!$F$66:$F$73,MATCH(C39,'06_Historique'!$A$66:$A$73,0)),'01_Cadrage'!$H$27)</f>
        <v/>
      </c>
      <c r="Y39" s="62">
        <f>'01_Cadrage'!$H$16*V39</f>
        <v/>
      </c>
      <c r="Z39" s="60">
        <f>IF(F39=1,J39*(1+X39*Y39),0)</f>
        <v/>
      </c>
      <c r="AA39" s="62">
        <f>IF(F39=1,IFERROR(H39/J39,'01_Cadrage'!$H$28)+'01_Cadrage'!$H$18,0)</f>
        <v/>
      </c>
      <c r="AB39" s="60">
        <f>Z39*AA39</f>
        <v/>
      </c>
      <c r="AC39" s="60">
        <f>IF(F39=1,0,K39*(T39+'01_Cadrage'!$H$19))</f>
        <v/>
      </c>
      <c r="AD39" s="63">
        <f>AB39+AC39</f>
        <v/>
      </c>
      <c r="AE39" s="61">
        <f>L39*(1+'01_Cadrage'!$H$17*W39)</f>
        <v/>
      </c>
      <c r="AF39" s="18">
        <f>1</f>
        <v/>
      </c>
      <c r="AG39" s="18">
        <f>1</f>
        <v/>
      </c>
      <c r="AH39" s="24">
        <f>AD39*AE39*AF39+AB39*'01_Cadrage'!$H$24</f>
        <v/>
      </c>
      <c r="AI39" s="60">
        <f>IF(AD39&lt;=0,0,MAX(1,ROUNDUP(AD39/O39,0)))</f>
        <v/>
      </c>
      <c r="AJ39" s="24">
        <f>AI39*U39</f>
        <v/>
      </c>
      <c r="AK39" s="24">
        <f>AD39*R39*(1+'01_Cadrage'!$H$20)</f>
        <v/>
      </c>
      <c r="AL39" s="24">
        <f>H39*S39*(1+Y39)</f>
        <v/>
      </c>
      <c r="AM39" s="22">
        <f>AH39-AJ39-AK39-AL39-AD39*'01_Cadrage'!$H$26*(1+'01_Cadrage'!$H$20)</f>
        <v/>
      </c>
      <c r="AN39" s="62">
        <f>IFERROR(AD39/(AI39*O39),0)</f>
        <v/>
      </c>
      <c r="AO39" s="61">
        <f>IFERROR(AM39/AD39,0)</f>
        <v/>
      </c>
      <c r="AP39" s="60">
        <f>IFERROR(AI39*U39/(AE39*AF39-R39*(1+'01_Cadrage'!$H$20)),0)</f>
        <v/>
      </c>
    </row>
    <row r="40">
      <c r="A40" s="57">
        <f>'06_Historique'!A41</f>
        <v/>
      </c>
      <c r="B40" s="10">
        <f>'06_Historique'!B41</f>
        <v/>
      </c>
      <c r="C40" s="57">
        <f>'06_Historique'!C41</f>
        <v/>
      </c>
      <c r="D40" s="10">
        <f>'06_Historique'!E41</f>
        <v/>
      </c>
      <c r="E40" s="10">
        <f>'06_Historique'!F41</f>
        <v/>
      </c>
      <c r="F40" s="58">
        <f>'06_Historique'!G41</f>
        <v/>
      </c>
      <c r="G40" s="58">
        <f>'06_Historique'!K41</f>
        <v/>
      </c>
      <c r="H40" s="58">
        <f>'06_Historique'!I41</f>
        <v/>
      </c>
      <c r="I40" s="58">
        <f>'06_Historique'!J41</f>
        <v/>
      </c>
      <c r="J40" s="58">
        <f>'06_Historique'!H41</f>
        <v/>
      </c>
      <c r="K40" s="58">
        <f>'06_Historique'!L41</f>
        <v/>
      </c>
      <c r="L40" s="59">
        <f>'06_Historique'!M41</f>
        <v/>
      </c>
      <c r="M40" s="58">
        <f>'06_Historique'!N41</f>
        <v/>
      </c>
      <c r="N40" s="9">
        <f>C40&amp;"|"&amp;D40</f>
        <v/>
      </c>
      <c r="O40" s="60">
        <f>INDEX('05_Param_Prog_Annee'!$E$4:$E$23,MATCH(N40,'05_Param_Prog_Annee'!$A$4:$A$23,0))</f>
        <v/>
      </c>
      <c r="P40" s="60">
        <f>INDEX('05_Param_Prog_Annee'!$F$4:$F$23,MATCH(N40,'05_Param_Prog_Annee'!$A$4:$A$23,0))</f>
        <v/>
      </c>
      <c r="Q40" s="61">
        <f>INDEX('05_Param_Prog_Annee'!$G$4:$G$23,MATCH(N40,'05_Param_Prog_Annee'!$A$4:$A$23,0))</f>
        <v/>
      </c>
      <c r="R40" s="61">
        <f>INDEX('05_Param_Prog_Annee'!$H$4:$H$23,MATCH(N40,'05_Param_Prog_Annee'!$A$4:$A$23,0))</f>
        <v/>
      </c>
      <c r="S40" s="61">
        <f>INDEX('05_Param_Prog_Annee'!$I$4:$I$23,MATCH(N40,'05_Param_Prog_Annee'!$A$4:$A$23,0))</f>
        <v/>
      </c>
      <c r="T40" s="62">
        <f>IFERROR(INDEX('05_Param_Prog_Annee'!$J$4:$J$23,MATCH(N40,'05_Param_Prog_Annee'!$A$4:$A$23,0)),0)</f>
        <v/>
      </c>
      <c r="U40" s="61">
        <f>P40*Q40*(1+'01_Cadrage'!$H$21)</f>
        <v/>
      </c>
      <c r="V40" s="18">
        <f>INDEX('01_Cadrage'!$L$7:$L$20,MATCH(A40&amp;"|"&amp;B40,'01_Cadrage'!$O$7:$O$20,0))</f>
        <v/>
      </c>
      <c r="W40" s="18">
        <f>INDEX('01_Cadrage'!$M$7:$M$20,MATCH(A40&amp;"|"&amp;B40,'01_Cadrage'!$O$7:$O$20,0))</f>
        <v/>
      </c>
      <c r="X40" s="18">
        <f>IFERROR(INDEX('06_Historique'!$F$66:$F$73,MATCH(C40,'06_Historique'!$A$66:$A$73,0)),'01_Cadrage'!$H$27)</f>
        <v/>
      </c>
      <c r="Y40" s="62">
        <f>'01_Cadrage'!$H$16*V40</f>
        <v/>
      </c>
      <c r="Z40" s="60">
        <f>IF(F40=1,J40*(1+X40*Y40),0)</f>
        <v/>
      </c>
      <c r="AA40" s="62">
        <f>IF(F40=1,IFERROR(H40/J40,'01_Cadrage'!$H$28)+'01_Cadrage'!$H$18,0)</f>
        <v/>
      </c>
      <c r="AB40" s="60">
        <f>Z40*AA40</f>
        <v/>
      </c>
      <c r="AC40" s="60">
        <f>IF(F40=1,0,K40*(T40+'01_Cadrage'!$H$19))</f>
        <v/>
      </c>
      <c r="AD40" s="63">
        <f>AB40+AC40</f>
        <v/>
      </c>
      <c r="AE40" s="61">
        <f>L40*(1+'01_Cadrage'!$H$17*W40)</f>
        <v/>
      </c>
      <c r="AF40" s="18">
        <f>1</f>
        <v/>
      </c>
      <c r="AG40" s="18">
        <f>1</f>
        <v/>
      </c>
      <c r="AH40" s="24">
        <f>AD40*AE40*AF40+AB40*'01_Cadrage'!$H$24</f>
        <v/>
      </c>
      <c r="AI40" s="60">
        <f>IF(AD40&lt;=0,0,MAX(1,ROUNDUP(AD40/O40,0)))</f>
        <v/>
      </c>
      <c r="AJ40" s="24">
        <f>AI40*U40</f>
        <v/>
      </c>
      <c r="AK40" s="24">
        <f>AD40*R40*(1+'01_Cadrage'!$H$20)</f>
        <v/>
      </c>
      <c r="AL40" s="24">
        <f>H40*S40*(1+Y40)</f>
        <v/>
      </c>
      <c r="AM40" s="22">
        <f>AH40-AJ40-AK40-AL40-AD40*'01_Cadrage'!$H$26*(1+'01_Cadrage'!$H$20)</f>
        <v/>
      </c>
      <c r="AN40" s="62">
        <f>IFERROR(AD40/(AI40*O40),0)</f>
        <v/>
      </c>
      <c r="AO40" s="61">
        <f>IFERROR(AM40/AD40,0)</f>
        <v/>
      </c>
      <c r="AP40" s="60">
        <f>IFERROR(AI40*U40/(AE40*AF40-R40*(1+'01_Cadrage'!$H$20)),0)</f>
        <v/>
      </c>
    </row>
    <row r="41">
      <c r="A41" s="57">
        <f>'06_Historique'!A42</f>
        <v/>
      </c>
      <c r="B41" s="10">
        <f>'06_Historique'!B42</f>
        <v/>
      </c>
      <c r="C41" s="57">
        <f>'06_Historique'!C42</f>
        <v/>
      </c>
      <c r="D41" s="10">
        <f>'06_Historique'!E42</f>
        <v/>
      </c>
      <c r="E41" s="10">
        <f>'06_Historique'!F42</f>
        <v/>
      </c>
      <c r="F41" s="58">
        <f>'06_Historique'!G42</f>
        <v/>
      </c>
      <c r="G41" s="58">
        <f>'06_Historique'!K42</f>
        <v/>
      </c>
      <c r="H41" s="58">
        <f>'06_Historique'!I42</f>
        <v/>
      </c>
      <c r="I41" s="58">
        <f>'06_Historique'!J42</f>
        <v/>
      </c>
      <c r="J41" s="58">
        <f>'06_Historique'!H42</f>
        <v/>
      </c>
      <c r="K41" s="58">
        <f>'06_Historique'!L42</f>
        <v/>
      </c>
      <c r="L41" s="59">
        <f>'06_Historique'!M42</f>
        <v/>
      </c>
      <c r="M41" s="58">
        <f>'06_Historique'!N42</f>
        <v/>
      </c>
      <c r="N41" s="9">
        <f>C41&amp;"|"&amp;D41</f>
        <v/>
      </c>
      <c r="O41" s="60">
        <f>INDEX('05_Param_Prog_Annee'!$E$4:$E$23,MATCH(N41,'05_Param_Prog_Annee'!$A$4:$A$23,0))</f>
        <v/>
      </c>
      <c r="P41" s="60">
        <f>INDEX('05_Param_Prog_Annee'!$F$4:$F$23,MATCH(N41,'05_Param_Prog_Annee'!$A$4:$A$23,0))</f>
        <v/>
      </c>
      <c r="Q41" s="61">
        <f>INDEX('05_Param_Prog_Annee'!$G$4:$G$23,MATCH(N41,'05_Param_Prog_Annee'!$A$4:$A$23,0))</f>
        <v/>
      </c>
      <c r="R41" s="61">
        <f>INDEX('05_Param_Prog_Annee'!$H$4:$H$23,MATCH(N41,'05_Param_Prog_Annee'!$A$4:$A$23,0))</f>
        <v/>
      </c>
      <c r="S41" s="61">
        <f>INDEX('05_Param_Prog_Annee'!$I$4:$I$23,MATCH(N41,'05_Param_Prog_Annee'!$A$4:$A$23,0))</f>
        <v/>
      </c>
      <c r="T41" s="62">
        <f>IFERROR(INDEX('05_Param_Prog_Annee'!$J$4:$J$23,MATCH(N41,'05_Param_Prog_Annee'!$A$4:$A$23,0)),0)</f>
        <v/>
      </c>
      <c r="U41" s="61">
        <f>P41*Q41*(1+'01_Cadrage'!$H$21)</f>
        <v/>
      </c>
      <c r="V41" s="18">
        <f>INDEX('01_Cadrage'!$L$7:$L$20,MATCH(A41&amp;"|"&amp;B41,'01_Cadrage'!$O$7:$O$20,0))</f>
        <v/>
      </c>
      <c r="W41" s="18">
        <f>INDEX('01_Cadrage'!$M$7:$M$20,MATCH(A41&amp;"|"&amp;B41,'01_Cadrage'!$O$7:$O$20,0))</f>
        <v/>
      </c>
      <c r="X41" s="18">
        <f>IFERROR(INDEX('06_Historique'!$F$66:$F$73,MATCH(C41,'06_Historique'!$A$66:$A$73,0)),'01_Cadrage'!$H$27)</f>
        <v/>
      </c>
      <c r="Y41" s="62">
        <f>'01_Cadrage'!$H$16*V41</f>
        <v/>
      </c>
      <c r="Z41" s="60">
        <f>IF(F41=1,J41*(1+X41*Y41),0)</f>
        <v/>
      </c>
      <c r="AA41" s="62">
        <f>IF(F41=1,IFERROR(H41/J41,'01_Cadrage'!$H$28)+'01_Cadrage'!$H$18,0)</f>
        <v/>
      </c>
      <c r="AB41" s="60">
        <f>Z41*AA41</f>
        <v/>
      </c>
      <c r="AC41" s="60">
        <f>IF(F41=1,0,K41*(T41+'01_Cadrage'!$H$19))</f>
        <v/>
      </c>
      <c r="AD41" s="63">
        <f>AB41+AC41</f>
        <v/>
      </c>
      <c r="AE41" s="61">
        <f>L41*(1+'01_Cadrage'!$H$17*W41)</f>
        <v/>
      </c>
      <c r="AF41" s="18">
        <f>1</f>
        <v/>
      </c>
      <c r="AG41" s="18">
        <f>1</f>
        <v/>
      </c>
      <c r="AH41" s="24">
        <f>AD41*AE41*AF41+AB41*'01_Cadrage'!$H$24</f>
        <v/>
      </c>
      <c r="AI41" s="60">
        <f>IF(AD41&lt;=0,0,MAX(1,ROUNDUP(AD41/O41,0)))</f>
        <v/>
      </c>
      <c r="AJ41" s="24">
        <f>AI41*U41</f>
        <v/>
      </c>
      <c r="AK41" s="24">
        <f>AD41*R41*(1+'01_Cadrage'!$H$20)</f>
        <v/>
      </c>
      <c r="AL41" s="24">
        <f>H41*S41*(1+Y41)</f>
        <v/>
      </c>
      <c r="AM41" s="22">
        <f>AH41-AJ41-AK41-AL41-AD41*'01_Cadrage'!$H$26*(1+'01_Cadrage'!$H$20)</f>
        <v/>
      </c>
      <c r="AN41" s="62">
        <f>IFERROR(AD41/(AI41*O41),0)</f>
        <v/>
      </c>
      <c r="AO41" s="61">
        <f>IFERROR(AM41/AD41,0)</f>
        <v/>
      </c>
      <c r="AP41" s="60">
        <f>IFERROR(AI41*U41/(AE41*AF41-R41*(1+'01_Cadrage'!$H$20)),0)</f>
        <v/>
      </c>
    </row>
    <row r="42">
      <c r="A42" s="57">
        <f>'06_Historique'!A43</f>
        <v/>
      </c>
      <c r="B42" s="10">
        <f>'06_Historique'!B43</f>
        <v/>
      </c>
      <c r="C42" s="57">
        <f>'06_Historique'!C43</f>
        <v/>
      </c>
      <c r="D42" s="10">
        <f>'06_Historique'!E43</f>
        <v/>
      </c>
      <c r="E42" s="10">
        <f>'06_Historique'!F43</f>
        <v/>
      </c>
      <c r="F42" s="58">
        <f>'06_Historique'!G43</f>
        <v/>
      </c>
      <c r="G42" s="58">
        <f>'06_Historique'!K43</f>
        <v/>
      </c>
      <c r="H42" s="58">
        <f>'06_Historique'!I43</f>
        <v/>
      </c>
      <c r="I42" s="58">
        <f>'06_Historique'!J43</f>
        <v/>
      </c>
      <c r="J42" s="58">
        <f>'06_Historique'!H43</f>
        <v/>
      </c>
      <c r="K42" s="58">
        <f>'06_Historique'!L43</f>
        <v/>
      </c>
      <c r="L42" s="59">
        <f>'06_Historique'!M43</f>
        <v/>
      </c>
      <c r="M42" s="58">
        <f>'06_Historique'!N43</f>
        <v/>
      </c>
      <c r="N42" s="9">
        <f>C42&amp;"|"&amp;D42</f>
        <v/>
      </c>
      <c r="O42" s="60">
        <f>INDEX('05_Param_Prog_Annee'!$E$4:$E$23,MATCH(N42,'05_Param_Prog_Annee'!$A$4:$A$23,0))</f>
        <v/>
      </c>
      <c r="P42" s="60">
        <f>INDEX('05_Param_Prog_Annee'!$F$4:$F$23,MATCH(N42,'05_Param_Prog_Annee'!$A$4:$A$23,0))</f>
        <v/>
      </c>
      <c r="Q42" s="61">
        <f>INDEX('05_Param_Prog_Annee'!$G$4:$G$23,MATCH(N42,'05_Param_Prog_Annee'!$A$4:$A$23,0))</f>
        <v/>
      </c>
      <c r="R42" s="61">
        <f>INDEX('05_Param_Prog_Annee'!$H$4:$H$23,MATCH(N42,'05_Param_Prog_Annee'!$A$4:$A$23,0))</f>
        <v/>
      </c>
      <c r="S42" s="61">
        <f>INDEX('05_Param_Prog_Annee'!$I$4:$I$23,MATCH(N42,'05_Param_Prog_Annee'!$A$4:$A$23,0))</f>
        <v/>
      </c>
      <c r="T42" s="62">
        <f>IFERROR(INDEX('05_Param_Prog_Annee'!$J$4:$J$23,MATCH(N42,'05_Param_Prog_Annee'!$A$4:$A$23,0)),0)</f>
        <v/>
      </c>
      <c r="U42" s="61">
        <f>P42*Q42*(1+'01_Cadrage'!$H$21)</f>
        <v/>
      </c>
      <c r="V42" s="18">
        <f>INDEX('01_Cadrage'!$L$7:$L$20,MATCH(A42&amp;"|"&amp;B42,'01_Cadrage'!$O$7:$O$20,0))</f>
        <v/>
      </c>
      <c r="W42" s="18">
        <f>INDEX('01_Cadrage'!$M$7:$M$20,MATCH(A42&amp;"|"&amp;B42,'01_Cadrage'!$O$7:$O$20,0))</f>
        <v/>
      </c>
      <c r="X42" s="18">
        <f>IFERROR(INDEX('06_Historique'!$F$66:$F$73,MATCH(C42,'06_Historique'!$A$66:$A$73,0)),'01_Cadrage'!$H$27)</f>
        <v/>
      </c>
      <c r="Y42" s="62">
        <f>'01_Cadrage'!$H$16*V42</f>
        <v/>
      </c>
      <c r="Z42" s="60">
        <f>IF(F42=1,J42*(1+X42*Y42),0)</f>
        <v/>
      </c>
      <c r="AA42" s="62">
        <f>IF(F42=1,IFERROR(H42/J42,'01_Cadrage'!$H$28)+'01_Cadrage'!$H$18,0)</f>
        <v/>
      </c>
      <c r="AB42" s="60">
        <f>Z42*AA42</f>
        <v/>
      </c>
      <c r="AC42" s="60">
        <f>IF(F42=1,0,K42*(T42+'01_Cadrage'!$H$19))</f>
        <v/>
      </c>
      <c r="AD42" s="63">
        <f>AB42+AC42</f>
        <v/>
      </c>
      <c r="AE42" s="61">
        <f>L42*(1+'01_Cadrage'!$H$17*W42)</f>
        <v/>
      </c>
      <c r="AF42" s="18">
        <f>1</f>
        <v/>
      </c>
      <c r="AG42" s="18">
        <f>1</f>
        <v/>
      </c>
      <c r="AH42" s="24">
        <f>AD42*AE42*AF42+AB42*'01_Cadrage'!$H$24</f>
        <v/>
      </c>
      <c r="AI42" s="60">
        <f>IF(AD42&lt;=0,0,MAX(1,ROUNDUP(AD42/O42,0)))</f>
        <v/>
      </c>
      <c r="AJ42" s="24">
        <f>AI42*U42</f>
        <v/>
      </c>
      <c r="AK42" s="24">
        <f>AD42*R42*(1+'01_Cadrage'!$H$20)</f>
        <v/>
      </c>
      <c r="AL42" s="24">
        <f>H42*S42*(1+Y42)</f>
        <v/>
      </c>
      <c r="AM42" s="22">
        <f>AH42-AJ42-AK42-AL42-AD42*'01_Cadrage'!$H$26*(1+'01_Cadrage'!$H$20)</f>
        <v/>
      </c>
      <c r="AN42" s="62">
        <f>IFERROR(AD42/(AI42*O42),0)</f>
        <v/>
      </c>
      <c r="AO42" s="61">
        <f>IFERROR(AM42/AD42,0)</f>
        <v/>
      </c>
      <c r="AP42" s="60">
        <f>IFERROR(AI42*U42/(AE42*AF42-R42*(1+'01_Cadrage'!$H$20)),0)</f>
        <v/>
      </c>
    </row>
    <row r="43">
      <c r="A43" s="57">
        <f>'06_Historique'!A44</f>
        <v/>
      </c>
      <c r="B43" s="10">
        <f>'06_Historique'!B44</f>
        <v/>
      </c>
      <c r="C43" s="57">
        <f>'06_Historique'!C44</f>
        <v/>
      </c>
      <c r="D43" s="10">
        <f>'06_Historique'!E44</f>
        <v/>
      </c>
      <c r="E43" s="10">
        <f>'06_Historique'!F44</f>
        <v/>
      </c>
      <c r="F43" s="58">
        <f>'06_Historique'!G44</f>
        <v/>
      </c>
      <c r="G43" s="58">
        <f>'06_Historique'!K44</f>
        <v/>
      </c>
      <c r="H43" s="58">
        <f>'06_Historique'!I44</f>
        <v/>
      </c>
      <c r="I43" s="58">
        <f>'06_Historique'!J44</f>
        <v/>
      </c>
      <c r="J43" s="58">
        <f>'06_Historique'!H44</f>
        <v/>
      </c>
      <c r="K43" s="58">
        <f>'06_Historique'!L44</f>
        <v/>
      </c>
      <c r="L43" s="59">
        <f>'06_Historique'!M44</f>
        <v/>
      </c>
      <c r="M43" s="58">
        <f>'06_Historique'!N44</f>
        <v/>
      </c>
      <c r="N43" s="9">
        <f>C43&amp;"|"&amp;D43</f>
        <v/>
      </c>
      <c r="O43" s="60">
        <f>INDEX('05_Param_Prog_Annee'!$E$4:$E$23,MATCH(N43,'05_Param_Prog_Annee'!$A$4:$A$23,0))</f>
        <v/>
      </c>
      <c r="P43" s="60">
        <f>INDEX('05_Param_Prog_Annee'!$F$4:$F$23,MATCH(N43,'05_Param_Prog_Annee'!$A$4:$A$23,0))</f>
        <v/>
      </c>
      <c r="Q43" s="61">
        <f>INDEX('05_Param_Prog_Annee'!$G$4:$G$23,MATCH(N43,'05_Param_Prog_Annee'!$A$4:$A$23,0))</f>
        <v/>
      </c>
      <c r="R43" s="61">
        <f>INDEX('05_Param_Prog_Annee'!$H$4:$H$23,MATCH(N43,'05_Param_Prog_Annee'!$A$4:$A$23,0))</f>
        <v/>
      </c>
      <c r="S43" s="61">
        <f>INDEX('05_Param_Prog_Annee'!$I$4:$I$23,MATCH(N43,'05_Param_Prog_Annee'!$A$4:$A$23,0))</f>
        <v/>
      </c>
      <c r="T43" s="62">
        <f>IFERROR(INDEX('05_Param_Prog_Annee'!$J$4:$J$23,MATCH(N43,'05_Param_Prog_Annee'!$A$4:$A$23,0)),0)</f>
        <v/>
      </c>
      <c r="U43" s="61">
        <f>P43*Q43*(1+'01_Cadrage'!$H$21)</f>
        <v/>
      </c>
      <c r="V43" s="18">
        <f>INDEX('01_Cadrage'!$L$7:$L$20,MATCH(A43&amp;"|"&amp;B43,'01_Cadrage'!$O$7:$O$20,0))</f>
        <v/>
      </c>
      <c r="W43" s="18">
        <f>INDEX('01_Cadrage'!$M$7:$M$20,MATCH(A43&amp;"|"&amp;B43,'01_Cadrage'!$O$7:$O$20,0))</f>
        <v/>
      </c>
      <c r="X43" s="18">
        <f>IFERROR(INDEX('06_Historique'!$F$66:$F$73,MATCH(C43,'06_Historique'!$A$66:$A$73,0)),'01_Cadrage'!$H$27)</f>
        <v/>
      </c>
      <c r="Y43" s="62">
        <f>'01_Cadrage'!$H$16*V43</f>
        <v/>
      </c>
      <c r="Z43" s="60">
        <f>IF(F43=1,J43*(1+X43*Y43),0)</f>
        <v/>
      </c>
      <c r="AA43" s="62">
        <f>IF(F43=1,IFERROR(H43/J43,'01_Cadrage'!$H$28)+'01_Cadrage'!$H$18,0)</f>
        <v/>
      </c>
      <c r="AB43" s="60">
        <f>Z43*AA43</f>
        <v/>
      </c>
      <c r="AC43" s="60">
        <f>IF(F43=1,0,K43*(T43+'01_Cadrage'!$H$19))</f>
        <v/>
      </c>
      <c r="AD43" s="63">
        <f>AB43+AC43</f>
        <v/>
      </c>
      <c r="AE43" s="61">
        <f>L43*(1+'01_Cadrage'!$H$17*W43)</f>
        <v/>
      </c>
      <c r="AF43" s="18">
        <f>1</f>
        <v/>
      </c>
      <c r="AG43" s="18">
        <f>1</f>
        <v/>
      </c>
      <c r="AH43" s="24">
        <f>AD43*AE43*AF43+AB43*'01_Cadrage'!$H$24</f>
        <v/>
      </c>
      <c r="AI43" s="60">
        <f>IF(AD43&lt;=0,0,MAX(1,ROUNDUP(AD43/O43,0)))</f>
        <v/>
      </c>
      <c r="AJ43" s="24">
        <f>AI43*U43</f>
        <v/>
      </c>
      <c r="AK43" s="24">
        <f>AD43*R43*(1+'01_Cadrage'!$H$20)</f>
        <v/>
      </c>
      <c r="AL43" s="24">
        <f>H43*S43*(1+Y43)</f>
        <v/>
      </c>
      <c r="AM43" s="22">
        <f>AH43-AJ43-AK43-AL43-AD43*'01_Cadrage'!$H$26*(1+'01_Cadrage'!$H$20)</f>
        <v/>
      </c>
      <c r="AN43" s="62">
        <f>IFERROR(AD43/(AI43*O43),0)</f>
        <v/>
      </c>
      <c r="AO43" s="61">
        <f>IFERROR(AM43/AD43,0)</f>
        <v/>
      </c>
      <c r="AP43" s="60">
        <f>IFERROR(AI43*U43/(AE43*AF43-R43*(1+'01_Cadrage'!$H$20)),0)</f>
        <v/>
      </c>
    </row>
    <row r="44">
      <c r="A44" s="57">
        <f>'06_Historique'!A45</f>
        <v/>
      </c>
      <c r="B44" s="10">
        <f>'06_Historique'!B45</f>
        <v/>
      </c>
      <c r="C44" s="57">
        <f>'06_Historique'!C45</f>
        <v/>
      </c>
      <c r="D44" s="10">
        <f>'06_Historique'!E45</f>
        <v/>
      </c>
      <c r="E44" s="10">
        <f>'06_Historique'!F45</f>
        <v/>
      </c>
      <c r="F44" s="58">
        <f>'06_Historique'!G45</f>
        <v/>
      </c>
      <c r="G44" s="58">
        <f>'06_Historique'!K45</f>
        <v/>
      </c>
      <c r="H44" s="58">
        <f>'06_Historique'!I45</f>
        <v/>
      </c>
      <c r="I44" s="58">
        <f>'06_Historique'!J45</f>
        <v/>
      </c>
      <c r="J44" s="58">
        <f>'06_Historique'!H45</f>
        <v/>
      </c>
      <c r="K44" s="58">
        <f>'06_Historique'!L45</f>
        <v/>
      </c>
      <c r="L44" s="59">
        <f>'06_Historique'!M45</f>
        <v/>
      </c>
      <c r="M44" s="58">
        <f>'06_Historique'!N45</f>
        <v/>
      </c>
      <c r="N44" s="9">
        <f>C44&amp;"|"&amp;D44</f>
        <v/>
      </c>
      <c r="O44" s="60">
        <f>INDEX('05_Param_Prog_Annee'!$E$4:$E$23,MATCH(N44,'05_Param_Prog_Annee'!$A$4:$A$23,0))</f>
        <v/>
      </c>
      <c r="P44" s="60">
        <f>INDEX('05_Param_Prog_Annee'!$F$4:$F$23,MATCH(N44,'05_Param_Prog_Annee'!$A$4:$A$23,0))</f>
        <v/>
      </c>
      <c r="Q44" s="61">
        <f>INDEX('05_Param_Prog_Annee'!$G$4:$G$23,MATCH(N44,'05_Param_Prog_Annee'!$A$4:$A$23,0))</f>
        <v/>
      </c>
      <c r="R44" s="61">
        <f>INDEX('05_Param_Prog_Annee'!$H$4:$H$23,MATCH(N44,'05_Param_Prog_Annee'!$A$4:$A$23,0))</f>
        <v/>
      </c>
      <c r="S44" s="61">
        <f>INDEX('05_Param_Prog_Annee'!$I$4:$I$23,MATCH(N44,'05_Param_Prog_Annee'!$A$4:$A$23,0))</f>
        <v/>
      </c>
      <c r="T44" s="62">
        <f>IFERROR(INDEX('05_Param_Prog_Annee'!$J$4:$J$23,MATCH(N44,'05_Param_Prog_Annee'!$A$4:$A$23,0)),0)</f>
        <v/>
      </c>
      <c r="U44" s="61">
        <f>P44*Q44*(1+'01_Cadrage'!$H$21)</f>
        <v/>
      </c>
      <c r="V44" s="18">
        <f>INDEX('01_Cadrage'!$L$7:$L$20,MATCH(A44&amp;"|"&amp;B44,'01_Cadrage'!$O$7:$O$20,0))</f>
        <v/>
      </c>
      <c r="W44" s="18">
        <f>INDEX('01_Cadrage'!$M$7:$M$20,MATCH(A44&amp;"|"&amp;B44,'01_Cadrage'!$O$7:$O$20,0))</f>
        <v/>
      </c>
      <c r="X44" s="18">
        <f>IFERROR(INDEX('06_Historique'!$F$66:$F$73,MATCH(C44,'06_Historique'!$A$66:$A$73,0)),'01_Cadrage'!$H$27)</f>
        <v/>
      </c>
      <c r="Y44" s="62">
        <f>'01_Cadrage'!$H$16*V44</f>
        <v/>
      </c>
      <c r="Z44" s="60">
        <f>IF(F44=1,J44*(1+X44*Y44),0)</f>
        <v/>
      </c>
      <c r="AA44" s="62">
        <f>IF(F44=1,IFERROR(H44/J44,'01_Cadrage'!$H$28)+'01_Cadrage'!$H$18,0)</f>
        <v/>
      </c>
      <c r="AB44" s="60">
        <f>Z44*AA44</f>
        <v/>
      </c>
      <c r="AC44" s="60">
        <f>IF(F44=1,0,K44*(T44+'01_Cadrage'!$H$19))</f>
        <v/>
      </c>
      <c r="AD44" s="63">
        <f>AB44+AC44</f>
        <v/>
      </c>
      <c r="AE44" s="61">
        <f>L44*(1+'01_Cadrage'!$H$17*W44)</f>
        <v/>
      </c>
      <c r="AF44" s="18">
        <f>1</f>
        <v/>
      </c>
      <c r="AG44" s="18">
        <f>1</f>
        <v/>
      </c>
      <c r="AH44" s="24">
        <f>AD44*AE44*AF44+AB44*'01_Cadrage'!$H$24</f>
        <v/>
      </c>
      <c r="AI44" s="60">
        <f>IF(AD44&lt;=0,0,MAX(1,ROUNDUP(AD44/O44,0)))</f>
        <v/>
      </c>
      <c r="AJ44" s="24">
        <f>AI44*U44</f>
        <v/>
      </c>
      <c r="AK44" s="24">
        <f>AD44*R44*(1+'01_Cadrage'!$H$20)</f>
        <v/>
      </c>
      <c r="AL44" s="24">
        <f>H44*S44*(1+Y44)</f>
        <v/>
      </c>
      <c r="AM44" s="22">
        <f>AH44-AJ44-AK44-AL44-AD44*'01_Cadrage'!$H$26*(1+'01_Cadrage'!$H$20)</f>
        <v/>
      </c>
      <c r="AN44" s="62">
        <f>IFERROR(AD44/(AI44*O44),0)</f>
        <v/>
      </c>
      <c r="AO44" s="61">
        <f>IFERROR(AM44/AD44,0)</f>
        <v/>
      </c>
      <c r="AP44" s="60">
        <f>IFERROR(AI44*U44/(AE44*AF44-R44*(1+'01_Cadrage'!$H$20)),0)</f>
        <v/>
      </c>
    </row>
    <row r="45">
      <c r="A45" s="57">
        <f>'06_Historique'!A46</f>
        <v/>
      </c>
      <c r="B45" s="10">
        <f>'06_Historique'!B46</f>
        <v/>
      </c>
      <c r="C45" s="57">
        <f>'06_Historique'!C46</f>
        <v/>
      </c>
      <c r="D45" s="10">
        <f>'06_Historique'!E46</f>
        <v/>
      </c>
      <c r="E45" s="10">
        <f>'06_Historique'!F46</f>
        <v/>
      </c>
      <c r="F45" s="58">
        <f>'06_Historique'!G46</f>
        <v/>
      </c>
      <c r="G45" s="58">
        <f>'06_Historique'!K46</f>
        <v/>
      </c>
      <c r="H45" s="58">
        <f>'06_Historique'!I46</f>
        <v/>
      </c>
      <c r="I45" s="58">
        <f>'06_Historique'!J46</f>
        <v/>
      </c>
      <c r="J45" s="58">
        <f>'06_Historique'!H46</f>
        <v/>
      </c>
      <c r="K45" s="58">
        <f>'06_Historique'!L46</f>
        <v/>
      </c>
      <c r="L45" s="59">
        <f>'06_Historique'!M46</f>
        <v/>
      </c>
      <c r="M45" s="58">
        <f>'06_Historique'!N46</f>
        <v/>
      </c>
      <c r="N45" s="9">
        <f>C45&amp;"|"&amp;D45</f>
        <v/>
      </c>
      <c r="O45" s="60">
        <f>INDEX('05_Param_Prog_Annee'!$E$4:$E$23,MATCH(N45,'05_Param_Prog_Annee'!$A$4:$A$23,0))</f>
        <v/>
      </c>
      <c r="P45" s="60">
        <f>INDEX('05_Param_Prog_Annee'!$F$4:$F$23,MATCH(N45,'05_Param_Prog_Annee'!$A$4:$A$23,0))</f>
        <v/>
      </c>
      <c r="Q45" s="61">
        <f>INDEX('05_Param_Prog_Annee'!$G$4:$G$23,MATCH(N45,'05_Param_Prog_Annee'!$A$4:$A$23,0))</f>
        <v/>
      </c>
      <c r="R45" s="61">
        <f>INDEX('05_Param_Prog_Annee'!$H$4:$H$23,MATCH(N45,'05_Param_Prog_Annee'!$A$4:$A$23,0))</f>
        <v/>
      </c>
      <c r="S45" s="61">
        <f>INDEX('05_Param_Prog_Annee'!$I$4:$I$23,MATCH(N45,'05_Param_Prog_Annee'!$A$4:$A$23,0))</f>
        <v/>
      </c>
      <c r="T45" s="62">
        <f>IFERROR(INDEX('05_Param_Prog_Annee'!$J$4:$J$23,MATCH(N45,'05_Param_Prog_Annee'!$A$4:$A$23,0)),0)</f>
        <v/>
      </c>
      <c r="U45" s="61">
        <f>P45*Q45*(1+'01_Cadrage'!$H$21)</f>
        <v/>
      </c>
      <c r="V45" s="18">
        <f>INDEX('01_Cadrage'!$L$7:$L$20,MATCH(A45&amp;"|"&amp;B45,'01_Cadrage'!$O$7:$O$20,0))</f>
        <v/>
      </c>
      <c r="W45" s="18">
        <f>INDEX('01_Cadrage'!$M$7:$M$20,MATCH(A45&amp;"|"&amp;B45,'01_Cadrage'!$O$7:$O$20,0))</f>
        <v/>
      </c>
      <c r="X45" s="18">
        <f>IFERROR(INDEX('06_Historique'!$F$66:$F$73,MATCH(C45,'06_Historique'!$A$66:$A$73,0)),'01_Cadrage'!$H$27)</f>
        <v/>
      </c>
      <c r="Y45" s="62">
        <f>'01_Cadrage'!$H$16*V45</f>
        <v/>
      </c>
      <c r="Z45" s="60">
        <f>IF(F45=1,J45*(1+X45*Y45),0)</f>
        <v/>
      </c>
      <c r="AA45" s="62">
        <f>IF(F45=1,IFERROR(H45/J45,'01_Cadrage'!$H$28)+'01_Cadrage'!$H$18,0)</f>
        <v/>
      </c>
      <c r="AB45" s="60">
        <f>Z45*AA45</f>
        <v/>
      </c>
      <c r="AC45" s="60">
        <f>IF(F45=1,0,K45*(T45+'01_Cadrage'!$H$19))</f>
        <v/>
      </c>
      <c r="AD45" s="63">
        <f>AB45+AC45</f>
        <v/>
      </c>
      <c r="AE45" s="61">
        <f>L45*(1+'01_Cadrage'!$H$17*W45)</f>
        <v/>
      </c>
      <c r="AF45" s="18">
        <f>1</f>
        <v/>
      </c>
      <c r="AG45" s="18">
        <f>1</f>
        <v/>
      </c>
      <c r="AH45" s="24">
        <f>AD45*AE45*AF45+AB45*'01_Cadrage'!$H$24</f>
        <v/>
      </c>
      <c r="AI45" s="60">
        <f>IF(AD45&lt;=0,0,MAX(1,ROUNDUP(AD45/O45,0)))</f>
        <v/>
      </c>
      <c r="AJ45" s="24">
        <f>AI45*U45</f>
        <v/>
      </c>
      <c r="AK45" s="24">
        <f>AD45*R45*(1+'01_Cadrage'!$H$20)</f>
        <v/>
      </c>
      <c r="AL45" s="24">
        <f>H45*S45*(1+Y45)</f>
        <v/>
      </c>
      <c r="AM45" s="22">
        <f>AH45-AJ45-AK45-AL45-AD45*'01_Cadrage'!$H$26*(1+'01_Cadrage'!$H$20)</f>
        <v/>
      </c>
      <c r="AN45" s="62">
        <f>IFERROR(AD45/(AI45*O45),0)</f>
        <v/>
      </c>
      <c r="AO45" s="61">
        <f>IFERROR(AM45/AD45,0)</f>
        <v/>
      </c>
      <c r="AP45" s="60">
        <f>IFERROR(AI45*U45/(AE45*AF45-R45*(1+'01_Cadrage'!$H$20)),0)</f>
        <v/>
      </c>
    </row>
    <row r="46">
      <c r="A46" s="57">
        <f>'06_Historique'!A47</f>
        <v/>
      </c>
      <c r="B46" s="10">
        <f>'06_Historique'!B47</f>
        <v/>
      </c>
      <c r="C46" s="57">
        <f>'06_Historique'!C47</f>
        <v/>
      </c>
      <c r="D46" s="10">
        <f>'06_Historique'!E47</f>
        <v/>
      </c>
      <c r="E46" s="10">
        <f>'06_Historique'!F47</f>
        <v/>
      </c>
      <c r="F46" s="58">
        <f>'06_Historique'!G47</f>
        <v/>
      </c>
      <c r="G46" s="58">
        <f>'06_Historique'!K47</f>
        <v/>
      </c>
      <c r="H46" s="58">
        <f>'06_Historique'!I47</f>
        <v/>
      </c>
      <c r="I46" s="58">
        <f>'06_Historique'!J47</f>
        <v/>
      </c>
      <c r="J46" s="58">
        <f>'06_Historique'!H47</f>
        <v/>
      </c>
      <c r="K46" s="58">
        <f>'06_Historique'!L47</f>
        <v/>
      </c>
      <c r="L46" s="59">
        <f>'06_Historique'!M47</f>
        <v/>
      </c>
      <c r="M46" s="58">
        <f>'06_Historique'!N47</f>
        <v/>
      </c>
      <c r="N46" s="9">
        <f>C46&amp;"|"&amp;D46</f>
        <v/>
      </c>
      <c r="O46" s="60">
        <f>INDEX('05_Param_Prog_Annee'!$E$4:$E$23,MATCH(N46,'05_Param_Prog_Annee'!$A$4:$A$23,0))</f>
        <v/>
      </c>
      <c r="P46" s="60">
        <f>INDEX('05_Param_Prog_Annee'!$F$4:$F$23,MATCH(N46,'05_Param_Prog_Annee'!$A$4:$A$23,0))</f>
        <v/>
      </c>
      <c r="Q46" s="61">
        <f>INDEX('05_Param_Prog_Annee'!$G$4:$G$23,MATCH(N46,'05_Param_Prog_Annee'!$A$4:$A$23,0))</f>
        <v/>
      </c>
      <c r="R46" s="61">
        <f>INDEX('05_Param_Prog_Annee'!$H$4:$H$23,MATCH(N46,'05_Param_Prog_Annee'!$A$4:$A$23,0))</f>
        <v/>
      </c>
      <c r="S46" s="61">
        <f>INDEX('05_Param_Prog_Annee'!$I$4:$I$23,MATCH(N46,'05_Param_Prog_Annee'!$A$4:$A$23,0))</f>
        <v/>
      </c>
      <c r="T46" s="62">
        <f>IFERROR(INDEX('05_Param_Prog_Annee'!$J$4:$J$23,MATCH(N46,'05_Param_Prog_Annee'!$A$4:$A$23,0)),0)</f>
        <v/>
      </c>
      <c r="U46" s="61">
        <f>P46*Q46*(1+'01_Cadrage'!$H$21)</f>
        <v/>
      </c>
      <c r="V46" s="18">
        <f>INDEX('01_Cadrage'!$L$7:$L$20,MATCH(A46&amp;"|"&amp;B46,'01_Cadrage'!$O$7:$O$20,0))</f>
        <v/>
      </c>
      <c r="W46" s="18">
        <f>INDEX('01_Cadrage'!$M$7:$M$20,MATCH(A46&amp;"|"&amp;B46,'01_Cadrage'!$O$7:$O$20,0))</f>
        <v/>
      </c>
      <c r="X46" s="18">
        <f>IFERROR(INDEX('06_Historique'!$F$66:$F$73,MATCH(C46,'06_Historique'!$A$66:$A$73,0)),'01_Cadrage'!$H$27)</f>
        <v/>
      </c>
      <c r="Y46" s="62">
        <f>'01_Cadrage'!$H$16*V46</f>
        <v/>
      </c>
      <c r="Z46" s="60">
        <f>IF(F46=1,J46*(1+X46*Y46),0)</f>
        <v/>
      </c>
      <c r="AA46" s="62">
        <f>IF(F46=1,IFERROR(H46/J46,'01_Cadrage'!$H$28)+'01_Cadrage'!$H$18,0)</f>
        <v/>
      </c>
      <c r="AB46" s="60">
        <f>Z46*AA46</f>
        <v/>
      </c>
      <c r="AC46" s="60">
        <f>IF(F46=1,0,K46*(T46+'01_Cadrage'!$H$19))</f>
        <v/>
      </c>
      <c r="AD46" s="63">
        <f>AB46+AC46</f>
        <v/>
      </c>
      <c r="AE46" s="61">
        <f>L46*(1+'01_Cadrage'!$H$17*W46)</f>
        <v/>
      </c>
      <c r="AF46" s="18">
        <f>1</f>
        <v/>
      </c>
      <c r="AG46" s="18">
        <f>1</f>
        <v/>
      </c>
      <c r="AH46" s="24">
        <f>AD46*AE46*AF46+AB46*'01_Cadrage'!$H$24</f>
        <v/>
      </c>
      <c r="AI46" s="60">
        <f>IF(AD46&lt;=0,0,MAX(1,ROUNDUP(AD46/O46,0)))</f>
        <v/>
      </c>
      <c r="AJ46" s="24">
        <f>AI46*U46</f>
        <v/>
      </c>
      <c r="AK46" s="24">
        <f>AD46*R46*(1+'01_Cadrage'!$H$20)</f>
        <v/>
      </c>
      <c r="AL46" s="24">
        <f>H46*S46*(1+Y46)</f>
        <v/>
      </c>
      <c r="AM46" s="22">
        <f>AH46-AJ46-AK46-AL46-AD46*'01_Cadrage'!$H$26*(1+'01_Cadrage'!$H$20)</f>
        <v/>
      </c>
      <c r="AN46" s="62">
        <f>IFERROR(AD46/(AI46*O46),0)</f>
        <v/>
      </c>
      <c r="AO46" s="61">
        <f>IFERROR(AM46/AD46,0)</f>
        <v/>
      </c>
      <c r="AP46" s="60">
        <f>IFERROR(AI46*U46/(AE46*AF46-R46*(1+'01_Cadrage'!$H$20)),0)</f>
        <v/>
      </c>
    </row>
    <row r="47">
      <c r="A47" s="57">
        <f>'06_Historique'!A48</f>
        <v/>
      </c>
      <c r="B47" s="10">
        <f>'06_Historique'!B48</f>
        <v/>
      </c>
      <c r="C47" s="57">
        <f>'06_Historique'!C48</f>
        <v/>
      </c>
      <c r="D47" s="10">
        <f>'06_Historique'!E48</f>
        <v/>
      </c>
      <c r="E47" s="10">
        <f>'06_Historique'!F48</f>
        <v/>
      </c>
      <c r="F47" s="58">
        <f>'06_Historique'!G48</f>
        <v/>
      </c>
      <c r="G47" s="58">
        <f>'06_Historique'!K48</f>
        <v/>
      </c>
      <c r="H47" s="58">
        <f>'06_Historique'!I48</f>
        <v/>
      </c>
      <c r="I47" s="58">
        <f>'06_Historique'!J48</f>
        <v/>
      </c>
      <c r="J47" s="58">
        <f>'06_Historique'!H48</f>
        <v/>
      </c>
      <c r="K47" s="58">
        <f>'06_Historique'!L48</f>
        <v/>
      </c>
      <c r="L47" s="59">
        <f>'06_Historique'!M48</f>
        <v/>
      </c>
      <c r="M47" s="58">
        <f>'06_Historique'!N48</f>
        <v/>
      </c>
      <c r="N47" s="9">
        <f>C47&amp;"|"&amp;D47</f>
        <v/>
      </c>
      <c r="O47" s="60">
        <f>INDEX('05_Param_Prog_Annee'!$E$4:$E$23,MATCH(N47,'05_Param_Prog_Annee'!$A$4:$A$23,0))</f>
        <v/>
      </c>
      <c r="P47" s="60">
        <f>INDEX('05_Param_Prog_Annee'!$F$4:$F$23,MATCH(N47,'05_Param_Prog_Annee'!$A$4:$A$23,0))</f>
        <v/>
      </c>
      <c r="Q47" s="61">
        <f>INDEX('05_Param_Prog_Annee'!$G$4:$G$23,MATCH(N47,'05_Param_Prog_Annee'!$A$4:$A$23,0))</f>
        <v/>
      </c>
      <c r="R47" s="61">
        <f>INDEX('05_Param_Prog_Annee'!$H$4:$H$23,MATCH(N47,'05_Param_Prog_Annee'!$A$4:$A$23,0))</f>
        <v/>
      </c>
      <c r="S47" s="61">
        <f>INDEX('05_Param_Prog_Annee'!$I$4:$I$23,MATCH(N47,'05_Param_Prog_Annee'!$A$4:$A$23,0))</f>
        <v/>
      </c>
      <c r="T47" s="62">
        <f>IFERROR(INDEX('05_Param_Prog_Annee'!$J$4:$J$23,MATCH(N47,'05_Param_Prog_Annee'!$A$4:$A$23,0)),0)</f>
        <v/>
      </c>
      <c r="U47" s="61">
        <f>P47*Q47*(1+'01_Cadrage'!$H$21)</f>
        <v/>
      </c>
      <c r="V47" s="18">
        <f>INDEX('01_Cadrage'!$L$7:$L$20,MATCH(A47&amp;"|"&amp;B47,'01_Cadrage'!$O$7:$O$20,0))</f>
        <v/>
      </c>
      <c r="W47" s="18">
        <f>INDEX('01_Cadrage'!$M$7:$M$20,MATCH(A47&amp;"|"&amp;B47,'01_Cadrage'!$O$7:$O$20,0))</f>
        <v/>
      </c>
      <c r="X47" s="18">
        <f>IFERROR(INDEX('06_Historique'!$F$66:$F$73,MATCH(C47,'06_Historique'!$A$66:$A$73,0)),'01_Cadrage'!$H$27)</f>
        <v/>
      </c>
      <c r="Y47" s="62">
        <f>'01_Cadrage'!$H$16*V47</f>
        <v/>
      </c>
      <c r="Z47" s="60">
        <f>IF(F47=1,J47*(1+X47*Y47),0)</f>
        <v/>
      </c>
      <c r="AA47" s="62">
        <f>IF(F47=1,IFERROR(H47/J47,'01_Cadrage'!$H$28)+'01_Cadrage'!$H$18,0)</f>
        <v/>
      </c>
      <c r="AB47" s="60">
        <f>Z47*AA47</f>
        <v/>
      </c>
      <c r="AC47" s="60">
        <f>IF(F47=1,0,K47*(T47+'01_Cadrage'!$H$19))</f>
        <v/>
      </c>
      <c r="AD47" s="63">
        <f>AB47+AC47</f>
        <v/>
      </c>
      <c r="AE47" s="61">
        <f>L47*(1+'01_Cadrage'!$H$17*W47)</f>
        <v/>
      </c>
      <c r="AF47" s="18">
        <f>1</f>
        <v/>
      </c>
      <c r="AG47" s="18">
        <f>1</f>
        <v/>
      </c>
      <c r="AH47" s="24">
        <f>AD47*AE47*AF47+AB47*'01_Cadrage'!$H$24</f>
        <v/>
      </c>
      <c r="AI47" s="60">
        <f>IF(AD47&lt;=0,0,MAX(1,ROUNDUP(AD47/O47,0)))</f>
        <v/>
      </c>
      <c r="AJ47" s="24">
        <f>AI47*U47</f>
        <v/>
      </c>
      <c r="AK47" s="24">
        <f>AD47*R47*(1+'01_Cadrage'!$H$20)</f>
        <v/>
      </c>
      <c r="AL47" s="24">
        <f>H47*S47*(1+Y47)</f>
        <v/>
      </c>
      <c r="AM47" s="22">
        <f>AH47-AJ47-AK47-AL47-AD47*'01_Cadrage'!$H$26*(1+'01_Cadrage'!$H$20)</f>
        <v/>
      </c>
      <c r="AN47" s="62">
        <f>IFERROR(AD47/(AI47*O47),0)</f>
        <v/>
      </c>
      <c r="AO47" s="61">
        <f>IFERROR(AM47/AD47,0)</f>
        <v/>
      </c>
      <c r="AP47" s="60">
        <f>IFERROR(AI47*U47/(AE47*AF47-R47*(1+'01_Cadrage'!$H$20)),0)</f>
        <v/>
      </c>
    </row>
    <row r="48">
      <c r="A48" s="57">
        <f>'06_Historique'!A49</f>
        <v/>
      </c>
      <c r="B48" s="10">
        <f>'06_Historique'!B49</f>
        <v/>
      </c>
      <c r="C48" s="57">
        <f>'06_Historique'!C49</f>
        <v/>
      </c>
      <c r="D48" s="10">
        <f>'06_Historique'!E49</f>
        <v/>
      </c>
      <c r="E48" s="10">
        <f>'06_Historique'!F49</f>
        <v/>
      </c>
      <c r="F48" s="58">
        <f>'06_Historique'!G49</f>
        <v/>
      </c>
      <c r="G48" s="58">
        <f>'06_Historique'!K49</f>
        <v/>
      </c>
      <c r="H48" s="58">
        <f>'06_Historique'!I49</f>
        <v/>
      </c>
      <c r="I48" s="58">
        <f>'06_Historique'!J49</f>
        <v/>
      </c>
      <c r="J48" s="58">
        <f>'06_Historique'!H49</f>
        <v/>
      </c>
      <c r="K48" s="58">
        <f>'06_Historique'!L49</f>
        <v/>
      </c>
      <c r="L48" s="59">
        <f>'06_Historique'!M49</f>
        <v/>
      </c>
      <c r="M48" s="58">
        <f>'06_Historique'!N49</f>
        <v/>
      </c>
      <c r="N48" s="9">
        <f>C48&amp;"|"&amp;D48</f>
        <v/>
      </c>
      <c r="O48" s="60">
        <f>INDEX('05_Param_Prog_Annee'!$E$4:$E$23,MATCH(N48,'05_Param_Prog_Annee'!$A$4:$A$23,0))</f>
        <v/>
      </c>
      <c r="P48" s="60">
        <f>INDEX('05_Param_Prog_Annee'!$F$4:$F$23,MATCH(N48,'05_Param_Prog_Annee'!$A$4:$A$23,0))</f>
        <v/>
      </c>
      <c r="Q48" s="61">
        <f>INDEX('05_Param_Prog_Annee'!$G$4:$G$23,MATCH(N48,'05_Param_Prog_Annee'!$A$4:$A$23,0))</f>
        <v/>
      </c>
      <c r="R48" s="61">
        <f>INDEX('05_Param_Prog_Annee'!$H$4:$H$23,MATCH(N48,'05_Param_Prog_Annee'!$A$4:$A$23,0))</f>
        <v/>
      </c>
      <c r="S48" s="61">
        <f>INDEX('05_Param_Prog_Annee'!$I$4:$I$23,MATCH(N48,'05_Param_Prog_Annee'!$A$4:$A$23,0))</f>
        <v/>
      </c>
      <c r="T48" s="62">
        <f>IFERROR(INDEX('05_Param_Prog_Annee'!$J$4:$J$23,MATCH(N48,'05_Param_Prog_Annee'!$A$4:$A$23,0)),0)</f>
        <v/>
      </c>
      <c r="U48" s="61">
        <f>P48*Q48*(1+'01_Cadrage'!$H$21)</f>
        <v/>
      </c>
      <c r="V48" s="18">
        <f>INDEX('01_Cadrage'!$L$7:$L$20,MATCH(A48&amp;"|"&amp;B48,'01_Cadrage'!$O$7:$O$20,0))</f>
        <v/>
      </c>
      <c r="W48" s="18">
        <f>INDEX('01_Cadrage'!$M$7:$M$20,MATCH(A48&amp;"|"&amp;B48,'01_Cadrage'!$O$7:$O$20,0))</f>
        <v/>
      </c>
      <c r="X48" s="18">
        <f>IFERROR(INDEX('06_Historique'!$F$66:$F$73,MATCH(C48,'06_Historique'!$A$66:$A$73,0)),'01_Cadrage'!$H$27)</f>
        <v/>
      </c>
      <c r="Y48" s="62">
        <f>'01_Cadrage'!$H$16*V48</f>
        <v/>
      </c>
      <c r="Z48" s="60">
        <f>IF(F48=1,J48*(1+X48*Y48),0)</f>
        <v/>
      </c>
      <c r="AA48" s="62">
        <f>IF(F48=1,IFERROR(H48/J48,'01_Cadrage'!$H$28)+'01_Cadrage'!$H$18,0)</f>
        <v/>
      </c>
      <c r="AB48" s="60">
        <f>Z48*AA48</f>
        <v/>
      </c>
      <c r="AC48" s="60">
        <f>IF(F48=1,0,K48*(T48+'01_Cadrage'!$H$19))</f>
        <v/>
      </c>
      <c r="AD48" s="63">
        <f>AB48+AC48</f>
        <v/>
      </c>
      <c r="AE48" s="61">
        <f>L48*(1+'01_Cadrage'!$H$17*W48)</f>
        <v/>
      </c>
      <c r="AF48" s="18">
        <f>1</f>
        <v/>
      </c>
      <c r="AG48" s="18">
        <f>1</f>
        <v/>
      </c>
      <c r="AH48" s="24">
        <f>AD48*AE48*AF48+AB48*'01_Cadrage'!$H$24</f>
        <v/>
      </c>
      <c r="AI48" s="60">
        <f>IF(AD48&lt;=0,0,MAX(1,ROUNDUP(AD48/O48,0)))</f>
        <v/>
      </c>
      <c r="AJ48" s="24">
        <f>AI48*U48</f>
        <v/>
      </c>
      <c r="AK48" s="24">
        <f>AD48*R48*(1+'01_Cadrage'!$H$20)</f>
        <v/>
      </c>
      <c r="AL48" s="24">
        <f>H48*S48*(1+Y48)</f>
        <v/>
      </c>
      <c r="AM48" s="22">
        <f>AH48-AJ48-AK48-AL48-AD48*'01_Cadrage'!$H$26*(1+'01_Cadrage'!$H$20)</f>
        <v/>
      </c>
      <c r="AN48" s="62">
        <f>IFERROR(AD48/(AI48*O48),0)</f>
        <v/>
      </c>
      <c r="AO48" s="61">
        <f>IFERROR(AM48/AD48,0)</f>
        <v/>
      </c>
      <c r="AP48" s="60">
        <f>IFERROR(AI48*U48/(AE48*AF48-R48*(1+'01_Cadrage'!$H$20)),0)</f>
        <v/>
      </c>
    </row>
    <row r="49">
      <c r="A49" s="57">
        <f>'06_Historique'!A50</f>
        <v/>
      </c>
      <c r="B49" s="10">
        <f>'06_Historique'!B50</f>
        <v/>
      </c>
      <c r="C49" s="57">
        <f>'06_Historique'!C50</f>
        <v/>
      </c>
      <c r="D49" s="10">
        <f>'06_Historique'!E50</f>
        <v/>
      </c>
      <c r="E49" s="10">
        <f>'06_Historique'!F50</f>
        <v/>
      </c>
      <c r="F49" s="58">
        <f>'06_Historique'!G50</f>
        <v/>
      </c>
      <c r="G49" s="58">
        <f>'06_Historique'!K50</f>
        <v/>
      </c>
      <c r="H49" s="58">
        <f>'06_Historique'!I50</f>
        <v/>
      </c>
      <c r="I49" s="58">
        <f>'06_Historique'!J50</f>
        <v/>
      </c>
      <c r="J49" s="58">
        <f>'06_Historique'!H50</f>
        <v/>
      </c>
      <c r="K49" s="58">
        <f>'06_Historique'!L50</f>
        <v/>
      </c>
      <c r="L49" s="59">
        <f>'06_Historique'!M50</f>
        <v/>
      </c>
      <c r="M49" s="58">
        <f>'06_Historique'!N50</f>
        <v/>
      </c>
      <c r="N49" s="9">
        <f>C49&amp;"|"&amp;D49</f>
        <v/>
      </c>
      <c r="O49" s="60">
        <f>INDEX('05_Param_Prog_Annee'!$E$4:$E$23,MATCH(N49,'05_Param_Prog_Annee'!$A$4:$A$23,0))</f>
        <v/>
      </c>
      <c r="P49" s="60">
        <f>INDEX('05_Param_Prog_Annee'!$F$4:$F$23,MATCH(N49,'05_Param_Prog_Annee'!$A$4:$A$23,0))</f>
        <v/>
      </c>
      <c r="Q49" s="61">
        <f>INDEX('05_Param_Prog_Annee'!$G$4:$G$23,MATCH(N49,'05_Param_Prog_Annee'!$A$4:$A$23,0))</f>
        <v/>
      </c>
      <c r="R49" s="61">
        <f>INDEX('05_Param_Prog_Annee'!$H$4:$H$23,MATCH(N49,'05_Param_Prog_Annee'!$A$4:$A$23,0))</f>
        <v/>
      </c>
      <c r="S49" s="61">
        <f>INDEX('05_Param_Prog_Annee'!$I$4:$I$23,MATCH(N49,'05_Param_Prog_Annee'!$A$4:$A$23,0))</f>
        <v/>
      </c>
      <c r="T49" s="62">
        <f>IFERROR(INDEX('05_Param_Prog_Annee'!$J$4:$J$23,MATCH(N49,'05_Param_Prog_Annee'!$A$4:$A$23,0)),0)</f>
        <v/>
      </c>
      <c r="U49" s="61">
        <f>P49*Q49*(1+'01_Cadrage'!$H$21)</f>
        <v/>
      </c>
      <c r="V49" s="18">
        <f>INDEX('01_Cadrage'!$L$7:$L$20,MATCH(A49&amp;"|"&amp;B49,'01_Cadrage'!$O$7:$O$20,0))</f>
        <v/>
      </c>
      <c r="W49" s="18">
        <f>INDEX('01_Cadrage'!$M$7:$M$20,MATCH(A49&amp;"|"&amp;B49,'01_Cadrage'!$O$7:$O$20,0))</f>
        <v/>
      </c>
      <c r="X49" s="18">
        <f>IFERROR(INDEX('06_Historique'!$F$66:$F$73,MATCH(C49,'06_Historique'!$A$66:$A$73,0)),'01_Cadrage'!$H$27)</f>
        <v/>
      </c>
      <c r="Y49" s="62">
        <f>'01_Cadrage'!$H$16*V49</f>
        <v/>
      </c>
      <c r="Z49" s="60">
        <f>IF(F49=1,J49*(1+X49*Y49),0)</f>
        <v/>
      </c>
      <c r="AA49" s="62">
        <f>IF(F49=1,IFERROR(H49/J49,'01_Cadrage'!$H$28)+'01_Cadrage'!$H$18,0)</f>
        <v/>
      </c>
      <c r="AB49" s="60">
        <f>Z49*AA49</f>
        <v/>
      </c>
      <c r="AC49" s="60">
        <f>IF(F49=1,0,K49*(T49+'01_Cadrage'!$H$19))</f>
        <v/>
      </c>
      <c r="AD49" s="63">
        <f>AB49+AC49</f>
        <v/>
      </c>
      <c r="AE49" s="61">
        <f>L49*(1+'01_Cadrage'!$H$17*W49)</f>
        <v/>
      </c>
      <c r="AF49" s="18">
        <f>1</f>
        <v/>
      </c>
      <c r="AG49" s="18">
        <f>1</f>
        <v/>
      </c>
      <c r="AH49" s="24">
        <f>AD49*AE49*AF49+AB49*'01_Cadrage'!$H$24</f>
        <v/>
      </c>
      <c r="AI49" s="60">
        <f>IF(AD49&lt;=0,0,MAX(1,ROUNDUP(AD49/O49,0)))</f>
        <v/>
      </c>
      <c r="AJ49" s="24">
        <f>AI49*U49</f>
        <v/>
      </c>
      <c r="AK49" s="24">
        <f>AD49*R49*(1+'01_Cadrage'!$H$20)</f>
        <v/>
      </c>
      <c r="AL49" s="24">
        <f>H49*S49*(1+Y49)</f>
        <v/>
      </c>
      <c r="AM49" s="22">
        <f>AH49-AJ49-AK49-AL49-AD49*'01_Cadrage'!$H$26*(1+'01_Cadrage'!$H$20)</f>
        <v/>
      </c>
      <c r="AN49" s="62">
        <f>IFERROR(AD49/(AI49*O49),0)</f>
        <v/>
      </c>
      <c r="AO49" s="61">
        <f>IFERROR(AM49/AD49,0)</f>
        <v/>
      </c>
      <c r="AP49" s="60">
        <f>IFERROR(AI49*U49/(AE49*AF49-R49*(1+'01_Cadrage'!$H$20)),0)</f>
        <v/>
      </c>
    </row>
    <row r="50">
      <c r="A50" s="57">
        <f>'06_Historique'!A51</f>
        <v/>
      </c>
      <c r="B50" s="10">
        <f>'06_Historique'!B51</f>
        <v/>
      </c>
      <c r="C50" s="57">
        <f>'06_Historique'!C51</f>
        <v/>
      </c>
      <c r="D50" s="10">
        <f>'06_Historique'!E51</f>
        <v/>
      </c>
      <c r="E50" s="10">
        <f>'06_Historique'!F51</f>
        <v/>
      </c>
      <c r="F50" s="58">
        <f>'06_Historique'!G51</f>
        <v/>
      </c>
      <c r="G50" s="58">
        <f>'06_Historique'!K51</f>
        <v/>
      </c>
      <c r="H50" s="58">
        <f>'06_Historique'!I51</f>
        <v/>
      </c>
      <c r="I50" s="58">
        <f>'06_Historique'!J51</f>
        <v/>
      </c>
      <c r="J50" s="58">
        <f>'06_Historique'!H51</f>
        <v/>
      </c>
      <c r="K50" s="58">
        <f>'06_Historique'!L51</f>
        <v/>
      </c>
      <c r="L50" s="59">
        <f>'06_Historique'!M51</f>
        <v/>
      </c>
      <c r="M50" s="58">
        <f>'06_Historique'!N51</f>
        <v/>
      </c>
      <c r="N50" s="9">
        <f>C50&amp;"|"&amp;D50</f>
        <v/>
      </c>
      <c r="O50" s="60">
        <f>INDEX('05_Param_Prog_Annee'!$E$4:$E$23,MATCH(N50,'05_Param_Prog_Annee'!$A$4:$A$23,0))</f>
        <v/>
      </c>
      <c r="P50" s="60">
        <f>INDEX('05_Param_Prog_Annee'!$F$4:$F$23,MATCH(N50,'05_Param_Prog_Annee'!$A$4:$A$23,0))</f>
        <v/>
      </c>
      <c r="Q50" s="61">
        <f>INDEX('05_Param_Prog_Annee'!$G$4:$G$23,MATCH(N50,'05_Param_Prog_Annee'!$A$4:$A$23,0))</f>
        <v/>
      </c>
      <c r="R50" s="61">
        <f>INDEX('05_Param_Prog_Annee'!$H$4:$H$23,MATCH(N50,'05_Param_Prog_Annee'!$A$4:$A$23,0))</f>
        <v/>
      </c>
      <c r="S50" s="61">
        <f>INDEX('05_Param_Prog_Annee'!$I$4:$I$23,MATCH(N50,'05_Param_Prog_Annee'!$A$4:$A$23,0))</f>
        <v/>
      </c>
      <c r="T50" s="62">
        <f>IFERROR(INDEX('05_Param_Prog_Annee'!$J$4:$J$23,MATCH(N50,'05_Param_Prog_Annee'!$A$4:$A$23,0)),0)</f>
        <v/>
      </c>
      <c r="U50" s="61">
        <f>P50*Q50*(1+'01_Cadrage'!$H$21)</f>
        <v/>
      </c>
      <c r="V50" s="18">
        <f>INDEX('01_Cadrage'!$L$7:$L$20,MATCH(A50&amp;"|"&amp;B50,'01_Cadrage'!$O$7:$O$20,0))</f>
        <v/>
      </c>
      <c r="W50" s="18">
        <f>INDEX('01_Cadrage'!$M$7:$M$20,MATCH(A50&amp;"|"&amp;B50,'01_Cadrage'!$O$7:$O$20,0))</f>
        <v/>
      </c>
      <c r="X50" s="18">
        <f>IFERROR(INDEX('06_Historique'!$F$66:$F$73,MATCH(C50,'06_Historique'!$A$66:$A$73,0)),'01_Cadrage'!$H$27)</f>
        <v/>
      </c>
      <c r="Y50" s="62">
        <f>'01_Cadrage'!$H$16*V50</f>
        <v/>
      </c>
      <c r="Z50" s="60">
        <f>IF(F50=1,J50*(1+X50*Y50),0)</f>
        <v/>
      </c>
      <c r="AA50" s="62">
        <f>IF(F50=1,IFERROR(H50/J50,'01_Cadrage'!$H$28)+'01_Cadrage'!$H$18,0)</f>
        <v/>
      </c>
      <c r="AB50" s="60">
        <f>Z50*AA50</f>
        <v/>
      </c>
      <c r="AC50" s="60">
        <f>IF(F50=1,0,K50*(T50+'01_Cadrage'!$H$19))</f>
        <v/>
      </c>
      <c r="AD50" s="63">
        <f>AB50+AC50</f>
        <v/>
      </c>
      <c r="AE50" s="61">
        <f>L50*(1+'01_Cadrage'!$H$17*W50)</f>
        <v/>
      </c>
      <c r="AF50" s="18">
        <f>1</f>
        <v/>
      </c>
      <c r="AG50" s="18">
        <f>1</f>
        <v/>
      </c>
      <c r="AH50" s="24">
        <f>AD50*AE50*AF50+AB50*'01_Cadrage'!$H$24</f>
        <v/>
      </c>
      <c r="AI50" s="60">
        <f>IF(AD50&lt;=0,0,MAX(1,ROUNDUP(AD50/O50,0)))</f>
        <v/>
      </c>
      <c r="AJ50" s="24">
        <f>AI50*U50</f>
        <v/>
      </c>
      <c r="AK50" s="24">
        <f>AD50*R50*(1+'01_Cadrage'!$H$20)</f>
        <v/>
      </c>
      <c r="AL50" s="24">
        <f>H50*S50*(1+Y50)</f>
        <v/>
      </c>
      <c r="AM50" s="22">
        <f>AH50-AJ50-AK50-AL50-AD50*'01_Cadrage'!$H$26*(1+'01_Cadrage'!$H$20)</f>
        <v/>
      </c>
      <c r="AN50" s="62">
        <f>IFERROR(AD50/(AI50*O50),0)</f>
        <v/>
      </c>
      <c r="AO50" s="61">
        <f>IFERROR(AM50/AD50,0)</f>
        <v/>
      </c>
      <c r="AP50" s="60">
        <f>IFERROR(AI50*U50/(AE50*AF50-R50*(1+'01_Cadrage'!$H$20)),0)</f>
        <v/>
      </c>
    </row>
    <row r="51">
      <c r="A51" s="57">
        <f>'06_Historique'!A52</f>
        <v/>
      </c>
      <c r="B51" s="10">
        <f>'06_Historique'!B52</f>
        <v/>
      </c>
      <c r="C51" s="57">
        <f>'06_Historique'!C52</f>
        <v/>
      </c>
      <c r="D51" s="10">
        <f>'06_Historique'!E52</f>
        <v/>
      </c>
      <c r="E51" s="10">
        <f>'06_Historique'!F52</f>
        <v/>
      </c>
      <c r="F51" s="58">
        <f>'06_Historique'!G52</f>
        <v/>
      </c>
      <c r="G51" s="58">
        <f>'06_Historique'!K52</f>
        <v/>
      </c>
      <c r="H51" s="58">
        <f>'06_Historique'!I52</f>
        <v/>
      </c>
      <c r="I51" s="58">
        <f>'06_Historique'!J52</f>
        <v/>
      </c>
      <c r="J51" s="58">
        <f>'06_Historique'!H52</f>
        <v/>
      </c>
      <c r="K51" s="58">
        <f>'06_Historique'!L52</f>
        <v/>
      </c>
      <c r="L51" s="59">
        <f>'06_Historique'!M52</f>
        <v/>
      </c>
      <c r="M51" s="58">
        <f>'06_Historique'!N52</f>
        <v/>
      </c>
      <c r="N51" s="9">
        <f>C51&amp;"|"&amp;D51</f>
        <v/>
      </c>
      <c r="O51" s="60">
        <f>INDEX('05_Param_Prog_Annee'!$E$4:$E$23,MATCH(N51,'05_Param_Prog_Annee'!$A$4:$A$23,0))</f>
        <v/>
      </c>
      <c r="P51" s="60">
        <f>INDEX('05_Param_Prog_Annee'!$F$4:$F$23,MATCH(N51,'05_Param_Prog_Annee'!$A$4:$A$23,0))</f>
        <v/>
      </c>
      <c r="Q51" s="61">
        <f>INDEX('05_Param_Prog_Annee'!$G$4:$G$23,MATCH(N51,'05_Param_Prog_Annee'!$A$4:$A$23,0))</f>
        <v/>
      </c>
      <c r="R51" s="61">
        <f>INDEX('05_Param_Prog_Annee'!$H$4:$H$23,MATCH(N51,'05_Param_Prog_Annee'!$A$4:$A$23,0))</f>
        <v/>
      </c>
      <c r="S51" s="61">
        <f>INDEX('05_Param_Prog_Annee'!$I$4:$I$23,MATCH(N51,'05_Param_Prog_Annee'!$A$4:$A$23,0))</f>
        <v/>
      </c>
      <c r="T51" s="62">
        <f>IFERROR(INDEX('05_Param_Prog_Annee'!$J$4:$J$23,MATCH(N51,'05_Param_Prog_Annee'!$A$4:$A$23,0)),0)</f>
        <v/>
      </c>
      <c r="U51" s="61">
        <f>P51*Q51*(1+'01_Cadrage'!$H$21)</f>
        <v/>
      </c>
      <c r="V51" s="18">
        <f>INDEX('01_Cadrage'!$L$7:$L$20,MATCH(A51&amp;"|"&amp;B51,'01_Cadrage'!$O$7:$O$20,0))</f>
        <v/>
      </c>
      <c r="W51" s="18">
        <f>INDEX('01_Cadrage'!$M$7:$M$20,MATCH(A51&amp;"|"&amp;B51,'01_Cadrage'!$O$7:$O$20,0))</f>
        <v/>
      </c>
      <c r="X51" s="18">
        <f>IFERROR(INDEX('06_Historique'!$F$66:$F$73,MATCH(C51,'06_Historique'!$A$66:$A$73,0)),'01_Cadrage'!$H$27)</f>
        <v/>
      </c>
      <c r="Y51" s="62">
        <f>'01_Cadrage'!$H$16*V51</f>
        <v/>
      </c>
      <c r="Z51" s="60">
        <f>IF(F51=1,J51*(1+X51*Y51),0)</f>
        <v/>
      </c>
      <c r="AA51" s="62">
        <f>IF(F51=1,IFERROR(H51/J51,'01_Cadrage'!$H$28)+'01_Cadrage'!$H$18,0)</f>
        <v/>
      </c>
      <c r="AB51" s="60">
        <f>Z51*AA51</f>
        <v/>
      </c>
      <c r="AC51" s="60">
        <f>IF(F51=1,0,K51*(T51+'01_Cadrage'!$H$19))</f>
        <v/>
      </c>
      <c r="AD51" s="63">
        <f>AB51+AC51</f>
        <v/>
      </c>
      <c r="AE51" s="61">
        <f>L51*(1+'01_Cadrage'!$H$17*W51)</f>
        <v/>
      </c>
      <c r="AF51" s="18">
        <f>1</f>
        <v/>
      </c>
      <c r="AG51" s="18">
        <f>1</f>
        <v/>
      </c>
      <c r="AH51" s="24">
        <f>AD51*AE51*AF51+AB51*'01_Cadrage'!$H$24</f>
        <v/>
      </c>
      <c r="AI51" s="60">
        <f>IF(AD51&lt;=0,0,MAX(1,ROUNDUP(AD51/O51,0)))</f>
        <v/>
      </c>
      <c r="AJ51" s="24">
        <f>AI51*U51</f>
        <v/>
      </c>
      <c r="AK51" s="24">
        <f>AD51*R51*(1+'01_Cadrage'!$H$20)</f>
        <v/>
      </c>
      <c r="AL51" s="24">
        <f>H51*S51*(1+Y51)</f>
        <v/>
      </c>
      <c r="AM51" s="22">
        <f>AH51-AJ51-AK51-AL51-AD51*'01_Cadrage'!$H$26*(1+'01_Cadrage'!$H$20)</f>
        <v/>
      </c>
      <c r="AN51" s="62">
        <f>IFERROR(AD51/(AI51*O51),0)</f>
        <v/>
      </c>
      <c r="AO51" s="61">
        <f>IFERROR(AM51/AD51,0)</f>
        <v/>
      </c>
      <c r="AP51" s="60">
        <f>IFERROR(AI51*U51/(AE51*AF51-R51*(1+'01_Cadrage'!$H$20)),0)</f>
        <v/>
      </c>
    </row>
    <row r="52">
      <c r="A52" s="57">
        <f>'06_Historique'!A53</f>
        <v/>
      </c>
      <c r="B52" s="10">
        <f>'06_Historique'!B53</f>
        <v/>
      </c>
      <c r="C52" s="57">
        <f>'06_Historique'!C53</f>
        <v/>
      </c>
      <c r="D52" s="10">
        <f>'06_Historique'!E53</f>
        <v/>
      </c>
      <c r="E52" s="10">
        <f>'06_Historique'!F53</f>
        <v/>
      </c>
      <c r="F52" s="58">
        <f>'06_Historique'!G53</f>
        <v/>
      </c>
      <c r="G52" s="58">
        <f>'06_Historique'!K53</f>
        <v/>
      </c>
      <c r="H52" s="58">
        <f>'06_Historique'!I53</f>
        <v/>
      </c>
      <c r="I52" s="58">
        <f>'06_Historique'!J53</f>
        <v/>
      </c>
      <c r="J52" s="58">
        <f>'06_Historique'!H53</f>
        <v/>
      </c>
      <c r="K52" s="58">
        <f>'06_Historique'!L53</f>
        <v/>
      </c>
      <c r="L52" s="59">
        <f>'06_Historique'!M53</f>
        <v/>
      </c>
      <c r="M52" s="58">
        <f>'06_Historique'!N53</f>
        <v/>
      </c>
      <c r="N52" s="9">
        <f>C52&amp;"|"&amp;D52</f>
        <v/>
      </c>
      <c r="O52" s="60">
        <f>INDEX('05_Param_Prog_Annee'!$E$4:$E$23,MATCH(N52,'05_Param_Prog_Annee'!$A$4:$A$23,0))</f>
        <v/>
      </c>
      <c r="P52" s="60">
        <f>INDEX('05_Param_Prog_Annee'!$F$4:$F$23,MATCH(N52,'05_Param_Prog_Annee'!$A$4:$A$23,0))</f>
        <v/>
      </c>
      <c r="Q52" s="61">
        <f>INDEX('05_Param_Prog_Annee'!$G$4:$G$23,MATCH(N52,'05_Param_Prog_Annee'!$A$4:$A$23,0))</f>
        <v/>
      </c>
      <c r="R52" s="61">
        <f>INDEX('05_Param_Prog_Annee'!$H$4:$H$23,MATCH(N52,'05_Param_Prog_Annee'!$A$4:$A$23,0))</f>
        <v/>
      </c>
      <c r="S52" s="61">
        <f>INDEX('05_Param_Prog_Annee'!$I$4:$I$23,MATCH(N52,'05_Param_Prog_Annee'!$A$4:$A$23,0))</f>
        <v/>
      </c>
      <c r="T52" s="62">
        <f>IFERROR(INDEX('05_Param_Prog_Annee'!$J$4:$J$23,MATCH(N52,'05_Param_Prog_Annee'!$A$4:$A$23,0)),0)</f>
        <v/>
      </c>
      <c r="U52" s="61">
        <f>P52*Q52*(1+'01_Cadrage'!$H$21)</f>
        <v/>
      </c>
      <c r="V52" s="18">
        <f>INDEX('01_Cadrage'!$L$7:$L$20,MATCH(A52&amp;"|"&amp;B52,'01_Cadrage'!$O$7:$O$20,0))</f>
        <v/>
      </c>
      <c r="W52" s="18">
        <f>INDEX('01_Cadrage'!$M$7:$M$20,MATCH(A52&amp;"|"&amp;B52,'01_Cadrage'!$O$7:$O$20,0))</f>
        <v/>
      </c>
      <c r="X52" s="18">
        <f>IFERROR(INDEX('06_Historique'!$F$66:$F$73,MATCH(C52,'06_Historique'!$A$66:$A$73,0)),'01_Cadrage'!$H$27)</f>
        <v/>
      </c>
      <c r="Y52" s="62">
        <f>'01_Cadrage'!$H$16*V52</f>
        <v/>
      </c>
      <c r="Z52" s="60">
        <f>IF(F52=1,J52*(1+X52*Y52),0)</f>
        <v/>
      </c>
      <c r="AA52" s="62">
        <f>IF(F52=1,IFERROR(H52/J52,'01_Cadrage'!$H$28)+'01_Cadrage'!$H$18,0)</f>
        <v/>
      </c>
      <c r="AB52" s="60">
        <f>Z52*AA52</f>
        <v/>
      </c>
      <c r="AC52" s="60">
        <f>IF(F52=1,0,K52*(T52+'01_Cadrage'!$H$19))</f>
        <v/>
      </c>
      <c r="AD52" s="63">
        <f>AB52+AC52</f>
        <v/>
      </c>
      <c r="AE52" s="61">
        <f>L52*(1+'01_Cadrage'!$H$17*W52)</f>
        <v/>
      </c>
      <c r="AF52" s="18">
        <f>1</f>
        <v/>
      </c>
      <c r="AG52" s="18">
        <f>1</f>
        <v/>
      </c>
      <c r="AH52" s="24">
        <f>AD52*AE52*AF52+AB52*'01_Cadrage'!$H$24</f>
        <v/>
      </c>
      <c r="AI52" s="60">
        <f>IF(AD52&lt;=0,0,MAX(1,ROUNDUP(AD52/O52,0)))</f>
        <v/>
      </c>
      <c r="AJ52" s="24">
        <f>AI52*U52</f>
        <v/>
      </c>
      <c r="AK52" s="24">
        <f>AD52*R52*(1+'01_Cadrage'!$H$20)</f>
        <v/>
      </c>
      <c r="AL52" s="24">
        <f>H52*S52*(1+Y52)</f>
        <v/>
      </c>
      <c r="AM52" s="22">
        <f>AH52-AJ52-AK52-AL52-AD52*'01_Cadrage'!$H$26*(1+'01_Cadrage'!$H$20)</f>
        <v/>
      </c>
      <c r="AN52" s="62">
        <f>IFERROR(AD52/(AI52*O52),0)</f>
        <v/>
      </c>
      <c r="AO52" s="61">
        <f>IFERROR(AM52/AD52,0)</f>
        <v/>
      </c>
      <c r="AP52" s="60">
        <f>IFERROR(AI52*U52/(AE52*AF52-R52*(1+'01_Cadrage'!$H$20)),0)</f>
        <v/>
      </c>
    </row>
    <row r="53">
      <c r="A53" s="57">
        <f>'06_Historique'!A54</f>
        <v/>
      </c>
      <c r="B53" s="10">
        <f>'06_Historique'!B54</f>
        <v/>
      </c>
      <c r="C53" s="57">
        <f>'06_Historique'!C54</f>
        <v/>
      </c>
      <c r="D53" s="10">
        <f>'06_Historique'!E54</f>
        <v/>
      </c>
      <c r="E53" s="10">
        <f>'06_Historique'!F54</f>
        <v/>
      </c>
      <c r="F53" s="58">
        <f>'06_Historique'!G54</f>
        <v/>
      </c>
      <c r="G53" s="58">
        <f>'06_Historique'!K54</f>
        <v/>
      </c>
      <c r="H53" s="58">
        <f>'06_Historique'!I54</f>
        <v/>
      </c>
      <c r="I53" s="58">
        <f>'06_Historique'!J54</f>
        <v/>
      </c>
      <c r="J53" s="58">
        <f>'06_Historique'!H54</f>
        <v/>
      </c>
      <c r="K53" s="58">
        <f>'06_Historique'!L54</f>
        <v/>
      </c>
      <c r="L53" s="59">
        <f>'06_Historique'!M54</f>
        <v/>
      </c>
      <c r="M53" s="58">
        <f>'06_Historique'!N54</f>
        <v/>
      </c>
      <c r="N53" s="9">
        <f>C53&amp;"|"&amp;D53</f>
        <v/>
      </c>
      <c r="O53" s="60">
        <f>INDEX('05_Param_Prog_Annee'!$E$4:$E$23,MATCH(N53,'05_Param_Prog_Annee'!$A$4:$A$23,0))</f>
        <v/>
      </c>
      <c r="P53" s="60">
        <f>INDEX('05_Param_Prog_Annee'!$F$4:$F$23,MATCH(N53,'05_Param_Prog_Annee'!$A$4:$A$23,0))</f>
        <v/>
      </c>
      <c r="Q53" s="61">
        <f>INDEX('05_Param_Prog_Annee'!$G$4:$G$23,MATCH(N53,'05_Param_Prog_Annee'!$A$4:$A$23,0))</f>
        <v/>
      </c>
      <c r="R53" s="61">
        <f>INDEX('05_Param_Prog_Annee'!$H$4:$H$23,MATCH(N53,'05_Param_Prog_Annee'!$A$4:$A$23,0))</f>
        <v/>
      </c>
      <c r="S53" s="61">
        <f>INDEX('05_Param_Prog_Annee'!$I$4:$I$23,MATCH(N53,'05_Param_Prog_Annee'!$A$4:$A$23,0))</f>
        <v/>
      </c>
      <c r="T53" s="62">
        <f>IFERROR(INDEX('05_Param_Prog_Annee'!$J$4:$J$23,MATCH(N53,'05_Param_Prog_Annee'!$A$4:$A$23,0)),0)</f>
        <v/>
      </c>
      <c r="U53" s="61">
        <f>P53*Q53*(1+'01_Cadrage'!$H$21)</f>
        <v/>
      </c>
      <c r="V53" s="18">
        <f>INDEX('01_Cadrage'!$L$7:$L$20,MATCH(A53&amp;"|"&amp;B53,'01_Cadrage'!$O$7:$O$20,0))</f>
        <v/>
      </c>
      <c r="W53" s="18">
        <f>INDEX('01_Cadrage'!$M$7:$M$20,MATCH(A53&amp;"|"&amp;B53,'01_Cadrage'!$O$7:$O$20,0))</f>
        <v/>
      </c>
      <c r="X53" s="18">
        <f>IFERROR(INDEX('06_Historique'!$F$66:$F$73,MATCH(C53,'06_Historique'!$A$66:$A$73,0)),'01_Cadrage'!$H$27)</f>
        <v/>
      </c>
      <c r="Y53" s="62">
        <f>'01_Cadrage'!$H$16*V53</f>
        <v/>
      </c>
      <c r="Z53" s="60">
        <f>IF(F53=1,J53*(1+X53*Y53),0)</f>
        <v/>
      </c>
      <c r="AA53" s="62">
        <f>IF(F53=1,IFERROR(H53/J53,'01_Cadrage'!$H$28)+'01_Cadrage'!$H$18,0)</f>
        <v/>
      </c>
      <c r="AB53" s="60">
        <f>Z53*AA53</f>
        <v/>
      </c>
      <c r="AC53" s="60">
        <f>IF(F53=1,0,K53*(T53+'01_Cadrage'!$H$19))</f>
        <v/>
      </c>
      <c r="AD53" s="63">
        <f>AB53+AC53</f>
        <v/>
      </c>
      <c r="AE53" s="61">
        <f>L53*(1+'01_Cadrage'!$H$17*W53)</f>
        <v/>
      </c>
      <c r="AF53" s="18">
        <f>1</f>
        <v/>
      </c>
      <c r="AG53" s="18">
        <f>1</f>
        <v/>
      </c>
      <c r="AH53" s="24">
        <f>AD53*AE53*AF53+AB53*'01_Cadrage'!$H$24</f>
        <v/>
      </c>
      <c r="AI53" s="60">
        <f>IF(AD53&lt;=0,0,MAX(1,ROUNDUP(AD53/O53,0)))</f>
        <v/>
      </c>
      <c r="AJ53" s="24">
        <f>AI53*U53</f>
        <v/>
      </c>
      <c r="AK53" s="24">
        <f>AD53*R53*(1+'01_Cadrage'!$H$20)</f>
        <v/>
      </c>
      <c r="AL53" s="24">
        <f>H53*S53*(1+Y53)</f>
        <v/>
      </c>
      <c r="AM53" s="22">
        <f>AH53-AJ53-AK53-AL53-AD53*'01_Cadrage'!$H$26*(1+'01_Cadrage'!$H$20)</f>
        <v/>
      </c>
      <c r="AN53" s="62">
        <f>IFERROR(AD53/(AI53*O53),0)</f>
        <v/>
      </c>
      <c r="AO53" s="61">
        <f>IFERROR(AM53/AD53,0)</f>
        <v/>
      </c>
      <c r="AP53" s="60">
        <f>IFERROR(AI53*U53/(AE53*AF53-R53*(1+'01_Cadrage'!$H$20)),0)</f>
        <v/>
      </c>
    </row>
    <row r="54">
      <c r="A54" s="57">
        <f>'06_Historique'!A55</f>
        <v/>
      </c>
      <c r="B54" s="10">
        <f>'06_Historique'!B55</f>
        <v/>
      </c>
      <c r="C54" s="57">
        <f>'06_Historique'!C55</f>
        <v/>
      </c>
      <c r="D54" s="10">
        <f>'06_Historique'!E55</f>
        <v/>
      </c>
      <c r="E54" s="10">
        <f>'06_Historique'!F55</f>
        <v/>
      </c>
      <c r="F54" s="58">
        <f>'06_Historique'!G55</f>
        <v/>
      </c>
      <c r="G54" s="58">
        <f>'06_Historique'!K55</f>
        <v/>
      </c>
      <c r="H54" s="58">
        <f>'06_Historique'!I55</f>
        <v/>
      </c>
      <c r="I54" s="58">
        <f>'06_Historique'!J55</f>
        <v/>
      </c>
      <c r="J54" s="58">
        <f>'06_Historique'!H55</f>
        <v/>
      </c>
      <c r="K54" s="58">
        <f>'06_Historique'!L55</f>
        <v/>
      </c>
      <c r="L54" s="59">
        <f>'06_Historique'!M55</f>
        <v/>
      </c>
      <c r="M54" s="58">
        <f>'06_Historique'!N55</f>
        <v/>
      </c>
      <c r="N54" s="9">
        <f>C54&amp;"|"&amp;D54</f>
        <v/>
      </c>
      <c r="O54" s="60">
        <f>INDEX('05_Param_Prog_Annee'!$E$4:$E$23,MATCH(N54,'05_Param_Prog_Annee'!$A$4:$A$23,0))</f>
        <v/>
      </c>
      <c r="P54" s="60">
        <f>INDEX('05_Param_Prog_Annee'!$F$4:$F$23,MATCH(N54,'05_Param_Prog_Annee'!$A$4:$A$23,0))</f>
        <v/>
      </c>
      <c r="Q54" s="61">
        <f>INDEX('05_Param_Prog_Annee'!$G$4:$G$23,MATCH(N54,'05_Param_Prog_Annee'!$A$4:$A$23,0))</f>
        <v/>
      </c>
      <c r="R54" s="61">
        <f>INDEX('05_Param_Prog_Annee'!$H$4:$H$23,MATCH(N54,'05_Param_Prog_Annee'!$A$4:$A$23,0))</f>
        <v/>
      </c>
      <c r="S54" s="61">
        <f>INDEX('05_Param_Prog_Annee'!$I$4:$I$23,MATCH(N54,'05_Param_Prog_Annee'!$A$4:$A$23,0))</f>
        <v/>
      </c>
      <c r="T54" s="62">
        <f>IFERROR(INDEX('05_Param_Prog_Annee'!$J$4:$J$23,MATCH(N54,'05_Param_Prog_Annee'!$A$4:$A$23,0)),0)</f>
        <v/>
      </c>
      <c r="U54" s="61">
        <f>P54*Q54*(1+'01_Cadrage'!$H$21)</f>
        <v/>
      </c>
      <c r="V54" s="18">
        <f>INDEX('01_Cadrage'!$L$7:$L$20,MATCH(A54&amp;"|"&amp;B54,'01_Cadrage'!$O$7:$O$20,0))</f>
        <v/>
      </c>
      <c r="W54" s="18">
        <f>INDEX('01_Cadrage'!$M$7:$M$20,MATCH(A54&amp;"|"&amp;B54,'01_Cadrage'!$O$7:$O$20,0))</f>
        <v/>
      </c>
      <c r="X54" s="18">
        <f>IFERROR(INDEX('06_Historique'!$F$66:$F$73,MATCH(C54,'06_Historique'!$A$66:$A$73,0)),'01_Cadrage'!$H$27)</f>
        <v/>
      </c>
      <c r="Y54" s="62">
        <f>'01_Cadrage'!$H$16*V54</f>
        <v/>
      </c>
      <c r="Z54" s="60">
        <f>IF(F54=1,J54*(1+X54*Y54),0)</f>
        <v/>
      </c>
      <c r="AA54" s="62">
        <f>IF(F54=1,IFERROR(H54/J54,'01_Cadrage'!$H$28)+'01_Cadrage'!$H$18,0)</f>
        <v/>
      </c>
      <c r="AB54" s="60">
        <f>Z54*AA54</f>
        <v/>
      </c>
      <c r="AC54" s="60">
        <f>IF(F54=1,0,K54*(T54+'01_Cadrage'!$H$19))</f>
        <v/>
      </c>
      <c r="AD54" s="63">
        <f>AB54+AC54</f>
        <v/>
      </c>
      <c r="AE54" s="61">
        <f>L54*(1+'01_Cadrage'!$H$17*W54)</f>
        <v/>
      </c>
      <c r="AF54" s="18">
        <f>1</f>
        <v/>
      </c>
      <c r="AG54" s="18">
        <f>1</f>
        <v/>
      </c>
      <c r="AH54" s="24">
        <f>AD54*AE54*AF54+AB54*'01_Cadrage'!$H$24</f>
        <v/>
      </c>
      <c r="AI54" s="60">
        <f>IF(AD54&lt;=0,0,MAX(1,ROUNDUP(AD54/O54,0)))</f>
        <v/>
      </c>
      <c r="AJ54" s="24">
        <f>AI54*U54</f>
        <v/>
      </c>
      <c r="AK54" s="24">
        <f>AD54*R54*(1+'01_Cadrage'!$H$20)</f>
        <v/>
      </c>
      <c r="AL54" s="24">
        <f>H54*S54*(1+Y54)</f>
        <v/>
      </c>
      <c r="AM54" s="22">
        <f>AH54-AJ54-AK54-AL54-AD54*'01_Cadrage'!$H$26*(1+'01_Cadrage'!$H$20)</f>
        <v/>
      </c>
      <c r="AN54" s="62">
        <f>IFERROR(AD54/(AI54*O54),0)</f>
        <v/>
      </c>
      <c r="AO54" s="61">
        <f>IFERROR(AM54/AD54,0)</f>
        <v/>
      </c>
      <c r="AP54" s="60">
        <f>IFERROR(AI54*U54/(AE54*AF54-R54*(1+'01_Cadrage'!$H$20)),0)</f>
        <v/>
      </c>
    </row>
    <row r="55">
      <c r="A55" s="57">
        <f>'06_Historique'!A56</f>
        <v/>
      </c>
      <c r="B55" s="10">
        <f>'06_Historique'!B56</f>
        <v/>
      </c>
      <c r="C55" s="57">
        <f>'06_Historique'!C56</f>
        <v/>
      </c>
      <c r="D55" s="10">
        <f>'06_Historique'!E56</f>
        <v/>
      </c>
      <c r="E55" s="10">
        <f>'06_Historique'!F56</f>
        <v/>
      </c>
      <c r="F55" s="58">
        <f>'06_Historique'!G56</f>
        <v/>
      </c>
      <c r="G55" s="58">
        <f>'06_Historique'!K56</f>
        <v/>
      </c>
      <c r="H55" s="58">
        <f>'06_Historique'!I56</f>
        <v/>
      </c>
      <c r="I55" s="58">
        <f>'06_Historique'!J56</f>
        <v/>
      </c>
      <c r="J55" s="58">
        <f>'06_Historique'!H56</f>
        <v/>
      </c>
      <c r="K55" s="58">
        <f>'06_Historique'!L56</f>
        <v/>
      </c>
      <c r="L55" s="59">
        <f>'06_Historique'!M56</f>
        <v/>
      </c>
      <c r="M55" s="58">
        <f>'06_Historique'!N56</f>
        <v/>
      </c>
      <c r="N55" s="9">
        <f>C55&amp;"|"&amp;D55</f>
        <v/>
      </c>
      <c r="O55" s="60">
        <f>INDEX('05_Param_Prog_Annee'!$E$4:$E$23,MATCH(N55,'05_Param_Prog_Annee'!$A$4:$A$23,0))</f>
        <v/>
      </c>
      <c r="P55" s="60">
        <f>INDEX('05_Param_Prog_Annee'!$F$4:$F$23,MATCH(N55,'05_Param_Prog_Annee'!$A$4:$A$23,0))</f>
        <v/>
      </c>
      <c r="Q55" s="61">
        <f>INDEX('05_Param_Prog_Annee'!$G$4:$G$23,MATCH(N55,'05_Param_Prog_Annee'!$A$4:$A$23,0))</f>
        <v/>
      </c>
      <c r="R55" s="61">
        <f>INDEX('05_Param_Prog_Annee'!$H$4:$H$23,MATCH(N55,'05_Param_Prog_Annee'!$A$4:$A$23,0))</f>
        <v/>
      </c>
      <c r="S55" s="61">
        <f>INDEX('05_Param_Prog_Annee'!$I$4:$I$23,MATCH(N55,'05_Param_Prog_Annee'!$A$4:$A$23,0))</f>
        <v/>
      </c>
      <c r="T55" s="62">
        <f>IFERROR(INDEX('05_Param_Prog_Annee'!$J$4:$J$23,MATCH(N55,'05_Param_Prog_Annee'!$A$4:$A$23,0)),0)</f>
        <v/>
      </c>
      <c r="U55" s="61">
        <f>P55*Q55*(1+'01_Cadrage'!$H$21)</f>
        <v/>
      </c>
      <c r="V55" s="18">
        <f>INDEX('01_Cadrage'!$L$7:$L$20,MATCH(A55&amp;"|"&amp;B55,'01_Cadrage'!$O$7:$O$20,0))</f>
        <v/>
      </c>
      <c r="W55" s="18">
        <f>INDEX('01_Cadrage'!$M$7:$M$20,MATCH(A55&amp;"|"&amp;B55,'01_Cadrage'!$O$7:$O$20,0))</f>
        <v/>
      </c>
      <c r="X55" s="18">
        <f>IFERROR(INDEX('06_Historique'!$F$66:$F$73,MATCH(C55,'06_Historique'!$A$66:$A$73,0)),'01_Cadrage'!$H$27)</f>
        <v/>
      </c>
      <c r="Y55" s="62">
        <f>'01_Cadrage'!$H$16*V55</f>
        <v/>
      </c>
      <c r="Z55" s="60">
        <f>IF(F55=1,J55*(1+X55*Y55),0)</f>
        <v/>
      </c>
      <c r="AA55" s="62">
        <f>IF(F55=1,IFERROR(H55/J55,'01_Cadrage'!$H$28)+'01_Cadrage'!$H$18,0)</f>
        <v/>
      </c>
      <c r="AB55" s="60">
        <f>Z55*AA55</f>
        <v/>
      </c>
      <c r="AC55" s="60">
        <f>IF(F55=1,0,K55*(T55+'01_Cadrage'!$H$19))</f>
        <v/>
      </c>
      <c r="AD55" s="63">
        <f>AB55+AC55</f>
        <v/>
      </c>
      <c r="AE55" s="61">
        <f>L55*(1+'01_Cadrage'!$H$17*W55)</f>
        <v/>
      </c>
      <c r="AF55" s="18">
        <f>1</f>
        <v/>
      </c>
      <c r="AG55" s="18">
        <f>1</f>
        <v/>
      </c>
      <c r="AH55" s="24">
        <f>AD55*AE55*AF55+AB55*'01_Cadrage'!$H$24</f>
        <v/>
      </c>
      <c r="AI55" s="60">
        <f>IF(AD55&lt;=0,0,MAX(1,ROUNDUP(AD55/O55,0)))</f>
        <v/>
      </c>
      <c r="AJ55" s="24">
        <f>AI55*U55</f>
        <v/>
      </c>
      <c r="AK55" s="24">
        <f>AD55*R55*(1+'01_Cadrage'!$H$20)</f>
        <v/>
      </c>
      <c r="AL55" s="24">
        <f>H55*S55*(1+Y55)</f>
        <v/>
      </c>
      <c r="AM55" s="22">
        <f>AH55-AJ55-AK55-AL55-AD55*'01_Cadrage'!$H$26*(1+'01_Cadrage'!$H$20)</f>
        <v/>
      </c>
      <c r="AN55" s="62">
        <f>IFERROR(AD55/(AI55*O55),0)</f>
        <v/>
      </c>
      <c r="AO55" s="61">
        <f>IFERROR(AM55/AD55,0)</f>
        <v/>
      </c>
      <c r="AP55" s="60">
        <f>IFERROR(AI55*U55/(AE55*AF55-R55*(1+'01_Cadrage'!$H$20)),0)</f>
        <v/>
      </c>
    </row>
    <row r="56">
      <c r="A56" s="57">
        <f>'06_Historique'!A57</f>
        <v/>
      </c>
      <c r="B56" s="10">
        <f>'06_Historique'!B57</f>
        <v/>
      </c>
      <c r="C56" s="57">
        <f>'06_Historique'!C57</f>
        <v/>
      </c>
      <c r="D56" s="10">
        <f>'06_Historique'!E57</f>
        <v/>
      </c>
      <c r="E56" s="10">
        <f>'06_Historique'!F57</f>
        <v/>
      </c>
      <c r="F56" s="58">
        <f>'06_Historique'!G57</f>
        <v/>
      </c>
      <c r="G56" s="58">
        <f>'06_Historique'!K57</f>
        <v/>
      </c>
      <c r="H56" s="58">
        <f>'06_Historique'!I57</f>
        <v/>
      </c>
      <c r="I56" s="58">
        <f>'06_Historique'!J57</f>
        <v/>
      </c>
      <c r="J56" s="58">
        <f>'06_Historique'!H57</f>
        <v/>
      </c>
      <c r="K56" s="58">
        <f>'06_Historique'!L57</f>
        <v/>
      </c>
      <c r="L56" s="59">
        <f>'06_Historique'!M57</f>
        <v/>
      </c>
      <c r="M56" s="58">
        <f>'06_Historique'!N57</f>
        <v/>
      </c>
      <c r="N56" s="9">
        <f>C56&amp;"|"&amp;D56</f>
        <v/>
      </c>
      <c r="O56" s="60">
        <f>INDEX('05_Param_Prog_Annee'!$E$4:$E$23,MATCH(N56,'05_Param_Prog_Annee'!$A$4:$A$23,0))</f>
        <v/>
      </c>
      <c r="P56" s="60">
        <f>INDEX('05_Param_Prog_Annee'!$F$4:$F$23,MATCH(N56,'05_Param_Prog_Annee'!$A$4:$A$23,0))</f>
        <v/>
      </c>
      <c r="Q56" s="61">
        <f>INDEX('05_Param_Prog_Annee'!$G$4:$G$23,MATCH(N56,'05_Param_Prog_Annee'!$A$4:$A$23,0))</f>
        <v/>
      </c>
      <c r="R56" s="61">
        <f>INDEX('05_Param_Prog_Annee'!$H$4:$H$23,MATCH(N56,'05_Param_Prog_Annee'!$A$4:$A$23,0))</f>
        <v/>
      </c>
      <c r="S56" s="61">
        <f>INDEX('05_Param_Prog_Annee'!$I$4:$I$23,MATCH(N56,'05_Param_Prog_Annee'!$A$4:$A$23,0))</f>
        <v/>
      </c>
      <c r="T56" s="62">
        <f>IFERROR(INDEX('05_Param_Prog_Annee'!$J$4:$J$23,MATCH(N56,'05_Param_Prog_Annee'!$A$4:$A$23,0)),0)</f>
        <v/>
      </c>
      <c r="U56" s="61">
        <f>P56*Q56*(1+'01_Cadrage'!$H$21)</f>
        <v/>
      </c>
      <c r="V56" s="18">
        <f>INDEX('01_Cadrage'!$L$7:$L$20,MATCH(A56&amp;"|"&amp;B56,'01_Cadrage'!$O$7:$O$20,0))</f>
        <v/>
      </c>
      <c r="W56" s="18">
        <f>INDEX('01_Cadrage'!$M$7:$M$20,MATCH(A56&amp;"|"&amp;B56,'01_Cadrage'!$O$7:$O$20,0))</f>
        <v/>
      </c>
      <c r="X56" s="18">
        <f>IFERROR(INDEX('06_Historique'!$F$66:$F$73,MATCH(C56,'06_Historique'!$A$66:$A$73,0)),'01_Cadrage'!$H$27)</f>
        <v/>
      </c>
      <c r="Y56" s="62">
        <f>'01_Cadrage'!$H$16*V56</f>
        <v/>
      </c>
      <c r="Z56" s="60">
        <f>IF(F56=1,J56*(1+X56*Y56),0)</f>
        <v/>
      </c>
      <c r="AA56" s="62">
        <f>IF(F56=1,IFERROR(H56/J56,'01_Cadrage'!$H$28)+'01_Cadrage'!$H$18,0)</f>
        <v/>
      </c>
      <c r="AB56" s="60">
        <f>Z56*AA56</f>
        <v/>
      </c>
      <c r="AC56" s="60">
        <f>IF(F56=1,0,K56*(T56+'01_Cadrage'!$H$19))</f>
        <v/>
      </c>
      <c r="AD56" s="63">
        <f>AB56+AC56</f>
        <v/>
      </c>
      <c r="AE56" s="61">
        <f>L56*(1+'01_Cadrage'!$H$17*W56)</f>
        <v/>
      </c>
      <c r="AF56" s="18">
        <f>1</f>
        <v/>
      </c>
      <c r="AG56" s="18">
        <f>1</f>
        <v/>
      </c>
      <c r="AH56" s="24">
        <f>AD56*AE56*AF56+AB56*'01_Cadrage'!$H$24</f>
        <v/>
      </c>
      <c r="AI56" s="60">
        <f>IF(AD56&lt;=0,0,MAX(1,ROUNDUP(AD56/O56,0)))</f>
        <v/>
      </c>
      <c r="AJ56" s="24">
        <f>AI56*U56</f>
        <v/>
      </c>
      <c r="AK56" s="24">
        <f>AD56*R56*(1+'01_Cadrage'!$H$20)</f>
        <v/>
      </c>
      <c r="AL56" s="24">
        <f>H56*S56*(1+Y56)</f>
        <v/>
      </c>
      <c r="AM56" s="22">
        <f>AH56-AJ56-AK56-AL56-AD56*'01_Cadrage'!$H$26*(1+'01_Cadrage'!$H$20)</f>
        <v/>
      </c>
      <c r="AN56" s="62">
        <f>IFERROR(AD56/(AI56*O56),0)</f>
        <v/>
      </c>
      <c r="AO56" s="61">
        <f>IFERROR(AM56/AD56,0)</f>
        <v/>
      </c>
      <c r="AP56" s="60">
        <f>IFERROR(AI56*U56/(AE56*AF56-R56*(1+'01_Cadrage'!$H$20)),0)</f>
        <v/>
      </c>
    </row>
    <row r="57">
      <c r="A57" s="57">
        <f>'06_Historique'!A58</f>
        <v/>
      </c>
      <c r="B57" s="10">
        <f>'06_Historique'!B58</f>
        <v/>
      </c>
      <c r="C57" s="57">
        <f>'06_Historique'!C58</f>
        <v/>
      </c>
      <c r="D57" s="10">
        <f>'06_Historique'!E58</f>
        <v/>
      </c>
      <c r="E57" s="10">
        <f>'06_Historique'!F58</f>
        <v/>
      </c>
      <c r="F57" s="58">
        <f>'06_Historique'!G58</f>
        <v/>
      </c>
      <c r="G57" s="58">
        <f>'06_Historique'!K58</f>
        <v/>
      </c>
      <c r="H57" s="58">
        <f>'06_Historique'!I58</f>
        <v/>
      </c>
      <c r="I57" s="58">
        <f>'06_Historique'!J58</f>
        <v/>
      </c>
      <c r="J57" s="58">
        <f>'06_Historique'!H58</f>
        <v/>
      </c>
      <c r="K57" s="58">
        <f>'06_Historique'!L58</f>
        <v/>
      </c>
      <c r="L57" s="59">
        <f>'06_Historique'!M58</f>
        <v/>
      </c>
      <c r="M57" s="58">
        <f>'06_Historique'!N58</f>
        <v/>
      </c>
      <c r="N57" s="9">
        <f>C57&amp;"|"&amp;D57</f>
        <v/>
      </c>
      <c r="O57" s="60">
        <f>INDEX('05_Param_Prog_Annee'!$E$4:$E$23,MATCH(N57,'05_Param_Prog_Annee'!$A$4:$A$23,0))</f>
        <v/>
      </c>
      <c r="P57" s="60">
        <f>INDEX('05_Param_Prog_Annee'!$F$4:$F$23,MATCH(N57,'05_Param_Prog_Annee'!$A$4:$A$23,0))</f>
        <v/>
      </c>
      <c r="Q57" s="61">
        <f>INDEX('05_Param_Prog_Annee'!$G$4:$G$23,MATCH(N57,'05_Param_Prog_Annee'!$A$4:$A$23,0))</f>
        <v/>
      </c>
      <c r="R57" s="61">
        <f>INDEX('05_Param_Prog_Annee'!$H$4:$H$23,MATCH(N57,'05_Param_Prog_Annee'!$A$4:$A$23,0))</f>
        <v/>
      </c>
      <c r="S57" s="61">
        <f>INDEX('05_Param_Prog_Annee'!$I$4:$I$23,MATCH(N57,'05_Param_Prog_Annee'!$A$4:$A$23,0))</f>
        <v/>
      </c>
      <c r="T57" s="62">
        <f>IFERROR(INDEX('05_Param_Prog_Annee'!$J$4:$J$23,MATCH(N57,'05_Param_Prog_Annee'!$A$4:$A$23,0)),0)</f>
        <v/>
      </c>
      <c r="U57" s="61">
        <f>P57*Q57*(1+'01_Cadrage'!$H$21)</f>
        <v/>
      </c>
      <c r="V57" s="18">
        <f>INDEX('01_Cadrage'!$L$7:$L$20,MATCH(A57&amp;"|"&amp;B57,'01_Cadrage'!$O$7:$O$20,0))</f>
        <v/>
      </c>
      <c r="W57" s="18">
        <f>INDEX('01_Cadrage'!$M$7:$M$20,MATCH(A57&amp;"|"&amp;B57,'01_Cadrage'!$O$7:$O$20,0))</f>
        <v/>
      </c>
      <c r="X57" s="18">
        <f>IFERROR(INDEX('06_Historique'!$F$66:$F$73,MATCH(C57,'06_Historique'!$A$66:$A$73,0)),'01_Cadrage'!$H$27)</f>
        <v/>
      </c>
      <c r="Y57" s="62">
        <f>'01_Cadrage'!$H$16*V57</f>
        <v/>
      </c>
      <c r="Z57" s="60">
        <f>IF(F57=1,J57*(1+X57*Y57),0)</f>
        <v/>
      </c>
      <c r="AA57" s="62">
        <f>IF(F57=1,IFERROR(H57/J57,'01_Cadrage'!$H$28)+'01_Cadrage'!$H$18,0)</f>
        <v/>
      </c>
      <c r="AB57" s="60">
        <f>Z57*AA57</f>
        <v/>
      </c>
      <c r="AC57" s="60">
        <f>IF(F57=1,0,K57*(T57+'01_Cadrage'!$H$19))</f>
        <v/>
      </c>
      <c r="AD57" s="63">
        <f>AB57+AC57</f>
        <v/>
      </c>
      <c r="AE57" s="61">
        <f>L57*(1+'01_Cadrage'!$H$17*W57)</f>
        <v/>
      </c>
      <c r="AF57" s="18">
        <f>1</f>
        <v/>
      </c>
      <c r="AG57" s="18">
        <f>1</f>
        <v/>
      </c>
      <c r="AH57" s="24">
        <f>AD57*AE57*AF57+AB57*'01_Cadrage'!$H$24</f>
        <v/>
      </c>
      <c r="AI57" s="60">
        <f>IF(AD57&lt;=0,0,MAX(1,ROUNDUP(AD57/O57,0)))</f>
        <v/>
      </c>
      <c r="AJ57" s="24">
        <f>AI57*U57</f>
        <v/>
      </c>
      <c r="AK57" s="24">
        <f>AD57*R57*(1+'01_Cadrage'!$H$20)</f>
        <v/>
      </c>
      <c r="AL57" s="24">
        <f>H57*S57*(1+Y57)</f>
        <v/>
      </c>
      <c r="AM57" s="22">
        <f>AH57-AJ57-AK57-AL57-AD57*'01_Cadrage'!$H$26*(1+'01_Cadrage'!$H$20)</f>
        <v/>
      </c>
      <c r="AN57" s="62">
        <f>IFERROR(AD57/(AI57*O57),0)</f>
        <v/>
      </c>
      <c r="AO57" s="61">
        <f>IFERROR(AM57/AD57,0)</f>
        <v/>
      </c>
      <c r="AP57" s="60">
        <f>IFERROR(AI57*U57/(AE57*AF57-R57*(1+'01_Cadrage'!$H$20)),0)</f>
        <v/>
      </c>
    </row>
    <row r="58">
      <c r="A58" s="57">
        <f>'06_Historique'!A59</f>
        <v/>
      </c>
      <c r="B58" s="10">
        <f>'06_Historique'!B59</f>
        <v/>
      </c>
      <c r="C58" s="57">
        <f>'06_Historique'!C59</f>
        <v/>
      </c>
      <c r="D58" s="10">
        <f>'06_Historique'!E59</f>
        <v/>
      </c>
      <c r="E58" s="10">
        <f>'06_Historique'!F59</f>
        <v/>
      </c>
      <c r="F58" s="58">
        <f>'06_Historique'!G59</f>
        <v/>
      </c>
      <c r="G58" s="58">
        <f>'06_Historique'!K59</f>
        <v/>
      </c>
      <c r="H58" s="58">
        <f>'06_Historique'!I59</f>
        <v/>
      </c>
      <c r="I58" s="58">
        <f>'06_Historique'!J59</f>
        <v/>
      </c>
      <c r="J58" s="58">
        <f>'06_Historique'!H59</f>
        <v/>
      </c>
      <c r="K58" s="58">
        <f>'06_Historique'!L59</f>
        <v/>
      </c>
      <c r="L58" s="59">
        <f>'06_Historique'!M59</f>
        <v/>
      </c>
      <c r="M58" s="58">
        <f>'06_Historique'!N59</f>
        <v/>
      </c>
      <c r="N58" s="9">
        <f>C58&amp;"|"&amp;D58</f>
        <v/>
      </c>
      <c r="O58" s="60">
        <f>INDEX('05_Param_Prog_Annee'!$E$4:$E$23,MATCH(N58,'05_Param_Prog_Annee'!$A$4:$A$23,0))</f>
        <v/>
      </c>
      <c r="P58" s="60">
        <f>INDEX('05_Param_Prog_Annee'!$F$4:$F$23,MATCH(N58,'05_Param_Prog_Annee'!$A$4:$A$23,0))</f>
        <v/>
      </c>
      <c r="Q58" s="61">
        <f>INDEX('05_Param_Prog_Annee'!$G$4:$G$23,MATCH(N58,'05_Param_Prog_Annee'!$A$4:$A$23,0))</f>
        <v/>
      </c>
      <c r="R58" s="61">
        <f>INDEX('05_Param_Prog_Annee'!$H$4:$H$23,MATCH(N58,'05_Param_Prog_Annee'!$A$4:$A$23,0))</f>
        <v/>
      </c>
      <c r="S58" s="61">
        <f>INDEX('05_Param_Prog_Annee'!$I$4:$I$23,MATCH(N58,'05_Param_Prog_Annee'!$A$4:$A$23,0))</f>
        <v/>
      </c>
      <c r="T58" s="62">
        <f>IFERROR(INDEX('05_Param_Prog_Annee'!$J$4:$J$23,MATCH(N58,'05_Param_Prog_Annee'!$A$4:$A$23,0)),0)</f>
        <v/>
      </c>
      <c r="U58" s="61">
        <f>P58*Q58*(1+'01_Cadrage'!$H$21)</f>
        <v/>
      </c>
      <c r="V58" s="18">
        <f>INDEX('01_Cadrage'!$L$7:$L$20,MATCH(A58&amp;"|"&amp;B58,'01_Cadrage'!$O$7:$O$20,0))</f>
        <v/>
      </c>
      <c r="W58" s="18">
        <f>INDEX('01_Cadrage'!$M$7:$M$20,MATCH(A58&amp;"|"&amp;B58,'01_Cadrage'!$O$7:$O$20,0))</f>
        <v/>
      </c>
      <c r="X58" s="18">
        <f>IFERROR(INDEX('06_Historique'!$F$66:$F$73,MATCH(C58,'06_Historique'!$A$66:$A$73,0)),'01_Cadrage'!$H$27)</f>
        <v/>
      </c>
      <c r="Y58" s="62">
        <f>'01_Cadrage'!$H$16*V58</f>
        <v/>
      </c>
      <c r="Z58" s="60">
        <f>IF(F58=1,J58*(1+X58*Y58),0)</f>
        <v/>
      </c>
      <c r="AA58" s="62">
        <f>IF(F58=1,IFERROR(H58/J58,'01_Cadrage'!$H$28)+'01_Cadrage'!$H$18,0)</f>
        <v/>
      </c>
      <c r="AB58" s="60">
        <f>Z58*AA58</f>
        <v/>
      </c>
      <c r="AC58" s="60">
        <f>IF(F58=1,0,K58*(T58+'01_Cadrage'!$H$19))</f>
        <v/>
      </c>
      <c r="AD58" s="63">
        <f>AB58+AC58</f>
        <v/>
      </c>
      <c r="AE58" s="61">
        <f>L58*(1+'01_Cadrage'!$H$17*W58)</f>
        <v/>
      </c>
      <c r="AF58" s="18">
        <f>1</f>
        <v/>
      </c>
      <c r="AG58" s="18">
        <f>1</f>
        <v/>
      </c>
      <c r="AH58" s="24">
        <f>AD58*AE58*AF58+AB58*'01_Cadrage'!$H$24</f>
        <v/>
      </c>
      <c r="AI58" s="60">
        <f>IF(AD58&lt;=0,0,MAX(1,ROUNDUP(AD58/O58,0)))</f>
        <v/>
      </c>
      <c r="AJ58" s="24">
        <f>AI58*U58</f>
        <v/>
      </c>
      <c r="AK58" s="24">
        <f>AD58*R58*(1+'01_Cadrage'!$H$20)</f>
        <v/>
      </c>
      <c r="AL58" s="24">
        <f>H58*S58*(1+Y58)</f>
        <v/>
      </c>
      <c r="AM58" s="22">
        <f>AH58-AJ58-AK58-AL58-AD58*'01_Cadrage'!$H$26*(1+'01_Cadrage'!$H$20)</f>
        <v/>
      </c>
      <c r="AN58" s="62">
        <f>IFERROR(AD58/(AI58*O58),0)</f>
        <v/>
      </c>
      <c r="AO58" s="61">
        <f>IFERROR(AM58/AD58,0)</f>
        <v/>
      </c>
      <c r="AP58" s="60">
        <f>IFERROR(AI58*U58/(AE58*AF58-R58*(1+'01_Cadrage'!$H$20)),0)</f>
        <v/>
      </c>
    </row>
    <row r="59">
      <c r="A59" s="57">
        <f>'06_Historique'!A60</f>
        <v/>
      </c>
      <c r="B59" s="10">
        <f>'06_Historique'!B60</f>
        <v/>
      </c>
      <c r="C59" s="57">
        <f>'06_Historique'!C60</f>
        <v/>
      </c>
      <c r="D59" s="10">
        <f>'06_Historique'!E60</f>
        <v/>
      </c>
      <c r="E59" s="10">
        <f>'06_Historique'!F60</f>
        <v/>
      </c>
      <c r="F59" s="58">
        <f>'06_Historique'!G60</f>
        <v/>
      </c>
      <c r="G59" s="58">
        <f>'06_Historique'!K60</f>
        <v/>
      </c>
      <c r="H59" s="58">
        <f>'06_Historique'!I60</f>
        <v/>
      </c>
      <c r="I59" s="58">
        <f>'06_Historique'!J60</f>
        <v/>
      </c>
      <c r="J59" s="58">
        <f>'06_Historique'!H60</f>
        <v/>
      </c>
      <c r="K59" s="58">
        <f>'06_Historique'!L60</f>
        <v/>
      </c>
      <c r="L59" s="59">
        <f>'06_Historique'!M60</f>
        <v/>
      </c>
      <c r="M59" s="58">
        <f>'06_Historique'!N60</f>
        <v/>
      </c>
      <c r="N59" s="9">
        <f>C59&amp;"|"&amp;D59</f>
        <v/>
      </c>
      <c r="O59" s="60">
        <f>INDEX('05_Param_Prog_Annee'!$E$4:$E$23,MATCH(N59,'05_Param_Prog_Annee'!$A$4:$A$23,0))</f>
        <v/>
      </c>
      <c r="P59" s="60">
        <f>INDEX('05_Param_Prog_Annee'!$F$4:$F$23,MATCH(N59,'05_Param_Prog_Annee'!$A$4:$A$23,0))</f>
        <v/>
      </c>
      <c r="Q59" s="61">
        <f>INDEX('05_Param_Prog_Annee'!$G$4:$G$23,MATCH(N59,'05_Param_Prog_Annee'!$A$4:$A$23,0))</f>
        <v/>
      </c>
      <c r="R59" s="61">
        <f>INDEX('05_Param_Prog_Annee'!$H$4:$H$23,MATCH(N59,'05_Param_Prog_Annee'!$A$4:$A$23,0))</f>
        <v/>
      </c>
      <c r="S59" s="61">
        <f>INDEX('05_Param_Prog_Annee'!$I$4:$I$23,MATCH(N59,'05_Param_Prog_Annee'!$A$4:$A$23,0))</f>
        <v/>
      </c>
      <c r="T59" s="62">
        <f>IFERROR(INDEX('05_Param_Prog_Annee'!$J$4:$J$23,MATCH(N59,'05_Param_Prog_Annee'!$A$4:$A$23,0)),0)</f>
        <v/>
      </c>
      <c r="U59" s="61">
        <f>P59*Q59*(1+'01_Cadrage'!$H$21)</f>
        <v/>
      </c>
      <c r="V59" s="18">
        <f>INDEX('01_Cadrage'!$L$7:$L$20,MATCH(A59&amp;"|"&amp;B59,'01_Cadrage'!$O$7:$O$20,0))</f>
        <v/>
      </c>
      <c r="W59" s="18">
        <f>INDEX('01_Cadrage'!$M$7:$M$20,MATCH(A59&amp;"|"&amp;B59,'01_Cadrage'!$O$7:$O$20,0))</f>
        <v/>
      </c>
      <c r="X59" s="18">
        <f>IFERROR(INDEX('06_Historique'!$F$66:$F$73,MATCH(C59,'06_Historique'!$A$66:$A$73,0)),'01_Cadrage'!$H$27)</f>
        <v/>
      </c>
      <c r="Y59" s="62">
        <f>'01_Cadrage'!$H$16*V59</f>
        <v/>
      </c>
      <c r="Z59" s="60">
        <f>IF(F59=1,J59*(1+X59*Y59),0)</f>
        <v/>
      </c>
      <c r="AA59" s="62">
        <f>IF(F59=1,IFERROR(H59/J59,'01_Cadrage'!$H$28)+'01_Cadrage'!$H$18,0)</f>
        <v/>
      </c>
      <c r="AB59" s="60">
        <f>Z59*AA59</f>
        <v/>
      </c>
      <c r="AC59" s="60">
        <f>IF(F59=1,0,K59*(T59+'01_Cadrage'!$H$19))</f>
        <v/>
      </c>
      <c r="AD59" s="63">
        <f>AB59+AC59</f>
        <v/>
      </c>
      <c r="AE59" s="61">
        <f>L59*(1+'01_Cadrage'!$H$17*W59)</f>
        <v/>
      </c>
      <c r="AF59" s="18">
        <f>1</f>
        <v/>
      </c>
      <c r="AG59" s="18">
        <f>1</f>
        <v/>
      </c>
      <c r="AH59" s="24">
        <f>AD59*AE59*AF59+AB59*'01_Cadrage'!$H$24</f>
        <v/>
      </c>
      <c r="AI59" s="60">
        <f>IF(AD59&lt;=0,0,MAX(1,ROUNDUP(AD59/O59,0)))</f>
        <v/>
      </c>
      <c r="AJ59" s="24">
        <f>AI59*U59</f>
        <v/>
      </c>
      <c r="AK59" s="24">
        <f>AD59*R59*(1+'01_Cadrage'!$H$20)</f>
        <v/>
      </c>
      <c r="AL59" s="24">
        <f>H59*S59*(1+Y59)</f>
        <v/>
      </c>
      <c r="AM59" s="22">
        <f>AH59-AJ59-AK59-AL59-AD59*'01_Cadrage'!$H$26*(1+'01_Cadrage'!$H$20)</f>
        <v/>
      </c>
      <c r="AN59" s="62">
        <f>IFERROR(AD59/(AI59*O59),0)</f>
        <v/>
      </c>
      <c r="AO59" s="61">
        <f>IFERROR(AM59/AD59,0)</f>
        <v/>
      </c>
      <c r="AP59" s="60">
        <f>IFERROR(AI59*U59/(AE59*AF59-R59*(1+'01_Cadrage'!$H$20)),0)</f>
        <v/>
      </c>
    </row>
    <row r="60">
      <c r="A60" s="57">
        <f>'06_Historique'!A61</f>
        <v/>
      </c>
      <c r="B60" s="10">
        <f>'06_Historique'!B61</f>
        <v/>
      </c>
      <c r="C60" s="57">
        <f>'06_Historique'!C61</f>
        <v/>
      </c>
      <c r="D60" s="10">
        <f>'06_Historique'!E61</f>
        <v/>
      </c>
      <c r="E60" s="10">
        <f>'06_Historique'!F61</f>
        <v/>
      </c>
      <c r="F60" s="58">
        <f>'06_Historique'!G61</f>
        <v/>
      </c>
      <c r="G60" s="58">
        <f>'06_Historique'!K61</f>
        <v/>
      </c>
      <c r="H60" s="58">
        <f>'06_Historique'!I61</f>
        <v/>
      </c>
      <c r="I60" s="58">
        <f>'06_Historique'!J61</f>
        <v/>
      </c>
      <c r="J60" s="58">
        <f>'06_Historique'!H61</f>
        <v/>
      </c>
      <c r="K60" s="58">
        <f>'06_Historique'!L61</f>
        <v/>
      </c>
      <c r="L60" s="59">
        <f>'06_Historique'!M61</f>
        <v/>
      </c>
      <c r="M60" s="58">
        <f>'06_Historique'!N61</f>
        <v/>
      </c>
      <c r="N60" s="9">
        <f>C60&amp;"|"&amp;D60</f>
        <v/>
      </c>
      <c r="O60" s="60">
        <f>INDEX('05_Param_Prog_Annee'!$E$4:$E$23,MATCH(N60,'05_Param_Prog_Annee'!$A$4:$A$23,0))</f>
        <v/>
      </c>
      <c r="P60" s="60">
        <f>INDEX('05_Param_Prog_Annee'!$F$4:$F$23,MATCH(N60,'05_Param_Prog_Annee'!$A$4:$A$23,0))</f>
        <v/>
      </c>
      <c r="Q60" s="61">
        <f>INDEX('05_Param_Prog_Annee'!$G$4:$G$23,MATCH(N60,'05_Param_Prog_Annee'!$A$4:$A$23,0))</f>
        <v/>
      </c>
      <c r="R60" s="61">
        <f>INDEX('05_Param_Prog_Annee'!$H$4:$H$23,MATCH(N60,'05_Param_Prog_Annee'!$A$4:$A$23,0))</f>
        <v/>
      </c>
      <c r="S60" s="61">
        <f>INDEX('05_Param_Prog_Annee'!$I$4:$I$23,MATCH(N60,'05_Param_Prog_Annee'!$A$4:$A$23,0))</f>
        <v/>
      </c>
      <c r="T60" s="62">
        <f>IFERROR(INDEX('05_Param_Prog_Annee'!$J$4:$J$23,MATCH(N60,'05_Param_Prog_Annee'!$A$4:$A$23,0)),0)</f>
        <v/>
      </c>
      <c r="U60" s="61">
        <f>P60*Q60*(1+'01_Cadrage'!$H$21)</f>
        <v/>
      </c>
      <c r="V60" s="18">
        <f>INDEX('01_Cadrage'!$L$7:$L$20,MATCH(A60&amp;"|"&amp;B60,'01_Cadrage'!$O$7:$O$20,0))</f>
        <v/>
      </c>
      <c r="W60" s="18">
        <f>INDEX('01_Cadrage'!$M$7:$M$20,MATCH(A60&amp;"|"&amp;B60,'01_Cadrage'!$O$7:$O$20,0))</f>
        <v/>
      </c>
      <c r="X60" s="18">
        <f>IFERROR(INDEX('06_Historique'!$F$66:$F$73,MATCH(C60,'06_Historique'!$A$66:$A$73,0)),'01_Cadrage'!$H$27)</f>
        <v/>
      </c>
      <c r="Y60" s="62">
        <f>'01_Cadrage'!$H$16*V60</f>
        <v/>
      </c>
      <c r="Z60" s="60">
        <f>IF(F60=1,J60*(1+X60*Y60),0)</f>
        <v/>
      </c>
      <c r="AA60" s="62">
        <f>IF(F60=1,IFERROR(H60/J60,'01_Cadrage'!$H$28)+'01_Cadrage'!$H$18,0)</f>
        <v/>
      </c>
      <c r="AB60" s="60">
        <f>Z60*AA60</f>
        <v/>
      </c>
      <c r="AC60" s="60">
        <f>IF(F60=1,0,K60*(T60+'01_Cadrage'!$H$19))</f>
        <v/>
      </c>
      <c r="AD60" s="63">
        <f>AB60+AC60</f>
        <v/>
      </c>
      <c r="AE60" s="61">
        <f>L60*(1+'01_Cadrage'!$H$17*W60)</f>
        <v/>
      </c>
      <c r="AF60" s="18">
        <f>1</f>
        <v/>
      </c>
      <c r="AG60" s="18">
        <f>1</f>
        <v/>
      </c>
      <c r="AH60" s="24">
        <f>AD60*AE60*AF60+AB60*'01_Cadrage'!$H$24</f>
        <v/>
      </c>
      <c r="AI60" s="60">
        <f>IF(AD60&lt;=0,0,MAX(1,ROUNDUP(AD60/O60,0)))</f>
        <v/>
      </c>
      <c r="AJ60" s="24">
        <f>AI60*U60</f>
        <v/>
      </c>
      <c r="AK60" s="24">
        <f>AD60*R60*(1+'01_Cadrage'!$H$20)</f>
        <v/>
      </c>
      <c r="AL60" s="24">
        <f>H60*S60*(1+Y60)</f>
        <v/>
      </c>
      <c r="AM60" s="22">
        <f>AH60-AJ60-AK60-AL60-AD60*'01_Cadrage'!$H$26*(1+'01_Cadrage'!$H$20)</f>
        <v/>
      </c>
      <c r="AN60" s="62">
        <f>IFERROR(AD60/(AI60*O60),0)</f>
        <v/>
      </c>
      <c r="AO60" s="61">
        <f>IFERROR(AM60/AD60,0)</f>
        <v/>
      </c>
      <c r="AP60" s="60">
        <f>IFERROR(AI60*U60/(AE60*AF60-R60*(1+'01_Cadrage'!$H$20)),0)</f>
        <v/>
      </c>
    </row>
    <row r="61">
      <c r="A61" s="53" t="inlineStr">
        <is>
          <t>TOTAL</t>
        </is>
      </c>
      <c r="B61" s="54" t="inlineStr">
        <is>
          <t> </t>
        </is>
      </c>
      <c r="C61" s="54" t="inlineStr">
        <is>
          <t> </t>
        </is>
      </c>
      <c r="D61" s="54" t="inlineStr">
        <is>
          <t> </t>
        </is>
      </c>
      <c r="E61" s="54" t="inlineStr">
        <is>
          <t> </t>
        </is>
      </c>
      <c r="F61" s="55">
        <f>SUM(F3:F60)</f>
        <v/>
      </c>
      <c r="G61" s="55">
        <f>SUM(G3:G60)</f>
        <v/>
      </c>
      <c r="H61" s="55">
        <f>SUM(H3:H60)</f>
        <v/>
      </c>
      <c r="AB61" s="55">
        <f>SUM(AB3:AB60)</f>
        <v/>
      </c>
      <c r="AC61" s="55">
        <f>SUM(AC3:AC60)</f>
        <v/>
      </c>
      <c r="AD61" s="55">
        <f>SUM(AD3:AD60)</f>
        <v/>
      </c>
      <c r="AH61" s="56">
        <f>SUM(AH3:AH60)</f>
        <v/>
      </c>
      <c r="AI61" s="55">
        <f>SUM(AI3:AI60)</f>
        <v/>
      </c>
      <c r="AJ61" s="56">
        <f>SUM(AJ3:AJ60)</f>
        <v/>
      </c>
      <c r="AK61" s="56">
        <f>SUM(AK3:AK60)</f>
        <v/>
      </c>
      <c r="AL61" s="56">
        <f>SUM(AL3:AL60)</f>
        <v/>
      </c>
      <c r="AM61" s="56">
        <f>SUM(AM3:AM60)</f>
        <v/>
      </c>
    </row>
    <row r="63" ht="20" customHeight="1">
      <c r="A63" s="3" t="inlineStr">
        <is>
          <t>Guide de lecture — de gauche à droite, chaque bloc construit le budget de la cellule :</t>
        </is>
      </c>
      <c r="B63" s="4" t="n"/>
      <c r="C63" s="4" t="n"/>
      <c r="D63" s="4" t="n"/>
      <c r="E63" s="4" t="n"/>
      <c r="F63" s="4" t="n"/>
      <c r="G63" s="4" t="n"/>
      <c r="H63" s="4" t="n"/>
    </row>
    <row r="64">
      <c r="A64" s="13" t="inlineStr">
        <is>
          <t>A–F</t>
        </is>
      </c>
      <c r="B64" s="6" t="inlineStr">
        <is>
          <t>Identité &amp; type : marque, campus, programme, année, modalité, année d'entrée (1 = on recrute)</t>
        </is>
      </c>
    </row>
    <row r="65">
      <c r="A65" s="13" t="inlineStr">
        <is>
          <t>G–M</t>
        </is>
      </c>
      <c r="B65" s="6" t="inlineStr">
        <is>
          <t>Réalisé N-1 repris : effectif, nouveaux, réinscrits, candidatures, effectif année inférieure, tarif, classes</t>
        </is>
      </c>
    </row>
    <row r="66">
      <c r="A66" s="13" t="inlineStr">
        <is>
          <t>N–T</t>
        </is>
      </c>
      <c r="B66" s="6" t="inlineStr">
        <is>
          <t>Paramètres programme×année (feuille 05) : capacité, heures, taux, pédago, CAC variable, taux de passage</t>
        </is>
      </c>
    </row>
    <row r="67">
      <c r="A67" s="13" t="inlineStr">
        <is>
          <t>U–Y</t>
        </is>
      </c>
      <c r="B67" s="6" t="inlineStr">
        <is>
          <t>Coûts unitaires &amp; coefficients : coût/classe, coeff marketing, coeff prix, élasticité, effort</t>
        </is>
      </c>
    </row>
    <row r="68">
      <c r="A68" s="13" t="inlineStr">
        <is>
          <t>Z–AD</t>
        </is>
      </c>
      <c r="B68" s="6" t="inlineStr">
        <is>
          <t>COHORTE → VOLUME : candidatures budget → conversion → nouveaux + réinscrits = EFFECTIF budget</t>
        </is>
      </c>
    </row>
    <row r="69">
      <c r="A69" s="13" t="inlineStr">
        <is>
          <t>AE–AH</t>
        </is>
      </c>
      <c r="B69" s="6" t="inlineStr">
        <is>
          <t>Tarif &amp; CA budget : tarif budget, CA budget</t>
        </is>
      </c>
    </row>
    <row r="70">
      <c r="A70" s="13" t="inlineStr">
        <is>
          <t>AI–AL</t>
        </is>
      </c>
      <c r="B70" s="6" t="inlineStr">
        <is>
          <t>Coûts budget : classes nécessaires, enseignement, pédagogie, marketing</t>
        </is>
      </c>
    </row>
    <row r="71">
      <c r="A71" s="13" t="inlineStr">
        <is>
          <t>AM–AP</t>
        </is>
      </c>
      <c r="B71" s="6" t="inlineStr">
        <is>
          <t>RÉSULTATS : marge de CONTRIBUTION, remplissage, contribution/étudiant, point mort (seuil d'ouverture)</t>
        </is>
      </c>
    </row>
  </sheetData>
  <mergeCells count="10">
    <mergeCell ref="B66:H66"/>
    <mergeCell ref="A1:AP1"/>
    <mergeCell ref="B71:H71"/>
    <mergeCell ref="B65:H65"/>
    <mergeCell ref="B68:H68"/>
    <mergeCell ref="A63:H63"/>
    <mergeCell ref="B69:H69"/>
    <mergeCell ref="B70:H70"/>
    <mergeCell ref="B64:H64"/>
    <mergeCell ref="B67:H67"/>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S20"/>
  <sheetViews>
    <sheetView showGridLines="0" workbookViewId="0">
      <selection activeCell="A1" sqref="A1"/>
    </sheetView>
  </sheetViews>
  <sheetFormatPr baseColWidth="8" defaultRowHeight="15"/>
  <cols>
    <col width="2" customWidth="1" min="1" max="1"/>
    <col width="16" customWidth="1" min="2" max="2"/>
    <col width="11" customWidth="1" min="3" max="3"/>
    <col width="13" customWidth="1" min="4" max="4"/>
    <col width="11" customWidth="1" min="5" max="5"/>
    <col width="13" customWidth="1" min="6" max="6"/>
    <col width="12" customWidth="1" min="7" max="7"/>
    <col width="11" customWidth="1" min="8" max="8"/>
    <col width="13" customWidth="1" min="9" max="9"/>
    <col width="13" customWidth="1" min="10" max="10"/>
    <col width="11" customWidth="1" min="11" max="11"/>
    <col width="13" customWidth="1" min="12" max="12"/>
  </cols>
  <sheetData>
    <row r="1"/>
    <row r="2" ht="24" customHeight="1">
      <c r="B2" s="1" t="inlineStr">
        <is>
          <t>Allocation des frais de structure par driver</t>
        </is>
      </c>
    </row>
    <row r="3">
      <c r="B3" s="15" t="inlineStr">
        <is>
          <t>Driver actif :</t>
        </is>
      </c>
      <c r="C3" s="64">
        <f>'01_Cadrage'!$D$34</f>
        <v/>
      </c>
      <c r="E3" s="15" t="inlineStr">
        <is>
          <t>Frais de structure (fixe) à allouer :</t>
        </is>
      </c>
      <c r="H3" s="22">
        <f>'01_Cadrage'!$H$25*(1+'01_Cadrage'!$H$20)</f>
        <v/>
      </c>
      <c r="I3" s="65" t="n"/>
    </row>
    <row r="5" ht="28" customHeight="1">
      <c r="B5" s="20" t="inlineStr">
        <is>
          <t>Marque</t>
        </is>
      </c>
      <c r="C5" s="20" t="inlineStr">
        <is>
          <t>Ville</t>
        </is>
      </c>
      <c r="D5" s="20" t="inlineStr">
        <is>
          <t>Contribution</t>
        </is>
      </c>
      <c r="E5" s="20" t="inlineStr">
        <is>
          <t>Loyer</t>
        </is>
      </c>
      <c r="F5" s="20" t="inlineStr">
        <is>
          <t>Masse perm.</t>
        </is>
      </c>
      <c r="G5" s="20" t="inlineStr">
        <is>
          <t>Driver</t>
        </is>
      </c>
      <c r="H5" s="20" t="inlineStr">
        <is>
          <t>Part</t>
        </is>
      </c>
      <c r="I5" s="20" t="inlineStr">
        <is>
          <t>Alloué</t>
        </is>
      </c>
      <c r="J5" s="20" t="inlineStr">
        <is>
          <t>EBITDA campus</t>
        </is>
      </c>
      <c r="K5" s="20" t="inlineStr">
        <is>
          <t>D&amp;A</t>
        </is>
      </c>
      <c r="L5" s="20" t="inlineStr">
        <is>
          <t>EBIT</t>
        </is>
      </c>
    </row>
    <row r="6">
      <c r="B6" s="57" t="inlineStr">
        <is>
          <t>MBway</t>
        </is>
      </c>
      <c r="C6" s="10" t="inlineStr">
        <is>
          <t>Paris</t>
        </is>
      </c>
      <c r="D6" s="24">
        <f>SUMIFS('08_Moteur'!$AM$3:$AM$60,'08_Moteur'!$A$3:$A$60,"MBway",'08_Moteur'!$B$3:$B$60,"Paris")</f>
        <v/>
      </c>
      <c r="E6" s="21">
        <f>'07_Structure'!F4*(1+'01_Cadrage'!$H$20)</f>
        <v/>
      </c>
      <c r="F6" s="21">
        <f>'07_Structure'!G4*'01_Cadrage'!$H$23*(1+'01_Cadrage'!$H$21)</f>
        <v/>
      </c>
      <c r="G6" s="66">
        <f>IF($C$3="Effectifs",SUMIFS('08_Moteur'!$AD$3:$AD$60,'08_Moteur'!$A$3:$A$60,"MBway",'08_Moteur'!$B$3:$B$60,"Paris"),IF($C$3="Chiffre d'affaires",SUMIFS('08_Moteur'!$AH$3:$AH$60,'08_Moteur'!$A$3:$A$60,"MBway",'08_Moteur'!$B$3:$B$60,"Paris"),'07_Structure'!J4))</f>
        <v/>
      </c>
      <c r="H6" s="62">
        <f>IFERROR(G6/SUM($G$6:$G$19),0)</f>
        <v/>
      </c>
      <c r="I6" s="24">
        <f>H6*$H$3</f>
        <v/>
      </c>
      <c r="J6" s="22">
        <f>D6-E6-F6-I6</f>
        <v/>
      </c>
      <c r="K6" s="21">
        <f>'07_Structure'!I4</f>
        <v/>
      </c>
      <c r="L6" s="24">
        <f>J6-K6</f>
        <v/>
      </c>
    </row>
    <row r="7">
      <c r="B7" s="57" t="inlineStr">
        <is>
          <t>MBway</t>
        </is>
      </c>
      <c r="C7" s="10" t="inlineStr">
        <is>
          <t>Lyon</t>
        </is>
      </c>
      <c r="D7" s="24">
        <f>SUMIFS('08_Moteur'!$AM$3:$AM$60,'08_Moteur'!$A$3:$A$60,"MBway",'08_Moteur'!$B$3:$B$60,"Lyon")</f>
        <v/>
      </c>
      <c r="E7" s="21">
        <f>'07_Structure'!F5*(1+'01_Cadrage'!$H$20)</f>
        <v/>
      </c>
      <c r="F7" s="21">
        <f>'07_Structure'!G5*'01_Cadrage'!$H$23*(1+'01_Cadrage'!$H$21)</f>
        <v/>
      </c>
      <c r="G7" s="66">
        <f>IF($C$3="Effectifs",SUMIFS('08_Moteur'!$AD$3:$AD$60,'08_Moteur'!$A$3:$A$60,"MBway",'08_Moteur'!$B$3:$B$60,"Lyon"),IF($C$3="Chiffre d'affaires",SUMIFS('08_Moteur'!$AH$3:$AH$60,'08_Moteur'!$A$3:$A$60,"MBway",'08_Moteur'!$B$3:$B$60,"Lyon"),'07_Structure'!J5))</f>
        <v/>
      </c>
      <c r="H7" s="62">
        <f>IFERROR(G7/SUM($G$6:$G$19),0)</f>
        <v/>
      </c>
      <c r="I7" s="24">
        <f>H7*$H$3</f>
        <v/>
      </c>
      <c r="J7" s="22">
        <f>D7-E7-F7-I7</f>
        <v/>
      </c>
      <c r="K7" s="21">
        <f>'07_Structure'!I5</f>
        <v/>
      </c>
      <c r="L7" s="24">
        <f>J7-K7</f>
        <v/>
      </c>
    </row>
    <row r="8">
      <c r="B8" s="57" t="inlineStr">
        <is>
          <t>MBway</t>
        </is>
      </c>
      <c r="C8" s="10" t="inlineStr">
        <is>
          <t>Nantes</t>
        </is>
      </c>
      <c r="D8" s="24">
        <f>SUMIFS('08_Moteur'!$AM$3:$AM$60,'08_Moteur'!$A$3:$A$60,"MBway",'08_Moteur'!$B$3:$B$60,"Nantes")</f>
        <v/>
      </c>
      <c r="E8" s="21">
        <f>'07_Structure'!F6*(1+'01_Cadrage'!$H$20)</f>
        <v/>
      </c>
      <c r="F8" s="21">
        <f>'07_Structure'!G6*'01_Cadrage'!$H$23*(1+'01_Cadrage'!$H$21)</f>
        <v/>
      </c>
      <c r="G8" s="66">
        <f>IF($C$3="Effectifs",SUMIFS('08_Moteur'!$AD$3:$AD$60,'08_Moteur'!$A$3:$A$60,"MBway",'08_Moteur'!$B$3:$B$60,"Nantes"),IF($C$3="Chiffre d'affaires",SUMIFS('08_Moteur'!$AH$3:$AH$60,'08_Moteur'!$A$3:$A$60,"MBway",'08_Moteur'!$B$3:$B$60,"Nantes"),'07_Structure'!J6))</f>
        <v/>
      </c>
      <c r="H8" s="62">
        <f>IFERROR(G8/SUM($G$6:$G$19),0)</f>
        <v/>
      </c>
      <c r="I8" s="24">
        <f>H8*$H$3</f>
        <v/>
      </c>
      <c r="J8" s="22">
        <f>D8-E8-F8-I8</f>
        <v/>
      </c>
      <c r="K8" s="21">
        <f>'07_Structure'!I6</f>
        <v/>
      </c>
      <c r="L8" s="24">
        <f>J8-K8</f>
        <v/>
      </c>
    </row>
    <row r="9">
      <c r="B9" s="57" t="inlineStr">
        <is>
          <t>MBway</t>
        </is>
      </c>
      <c r="C9" s="10" t="inlineStr">
        <is>
          <t>Bordeaux</t>
        </is>
      </c>
      <c r="D9" s="24">
        <f>SUMIFS('08_Moteur'!$AM$3:$AM$60,'08_Moteur'!$A$3:$A$60,"MBway",'08_Moteur'!$B$3:$B$60,"Bordeaux")</f>
        <v/>
      </c>
      <c r="E9" s="21">
        <f>'07_Structure'!F7*(1+'01_Cadrage'!$H$20)</f>
        <v/>
      </c>
      <c r="F9" s="21">
        <f>'07_Structure'!G7*'01_Cadrage'!$H$23*(1+'01_Cadrage'!$H$21)</f>
        <v/>
      </c>
      <c r="G9" s="66">
        <f>IF($C$3="Effectifs",SUMIFS('08_Moteur'!$AD$3:$AD$60,'08_Moteur'!$A$3:$A$60,"MBway",'08_Moteur'!$B$3:$B$60,"Bordeaux"),IF($C$3="Chiffre d'affaires",SUMIFS('08_Moteur'!$AH$3:$AH$60,'08_Moteur'!$A$3:$A$60,"MBway",'08_Moteur'!$B$3:$B$60,"Bordeaux"),'07_Structure'!J7))</f>
        <v/>
      </c>
      <c r="H9" s="62">
        <f>IFERROR(G9/SUM($G$6:$G$19),0)</f>
        <v/>
      </c>
      <c r="I9" s="24">
        <f>H9*$H$3</f>
        <v/>
      </c>
      <c r="J9" s="22">
        <f>D9-E9-F9-I9</f>
        <v/>
      </c>
      <c r="K9" s="21">
        <f>'07_Structure'!I7</f>
        <v/>
      </c>
      <c r="L9" s="24">
        <f>J9-K9</f>
        <v/>
      </c>
    </row>
    <row r="10">
      <c r="B10" s="57" t="inlineStr">
        <is>
          <t>ISCOM</t>
        </is>
      </c>
      <c r="C10" s="10" t="inlineStr">
        <is>
          <t>Paris</t>
        </is>
      </c>
      <c r="D10" s="24">
        <f>SUMIFS('08_Moteur'!$AM$3:$AM$60,'08_Moteur'!$A$3:$A$60,"ISCOM",'08_Moteur'!$B$3:$B$60,"Paris")</f>
        <v/>
      </c>
      <c r="E10" s="21">
        <f>'07_Structure'!F8*(1+'01_Cadrage'!$H$20)</f>
        <v/>
      </c>
      <c r="F10" s="21">
        <f>'07_Structure'!G8*'01_Cadrage'!$H$23*(1+'01_Cadrage'!$H$21)</f>
        <v/>
      </c>
      <c r="G10" s="66">
        <f>IF($C$3="Effectifs",SUMIFS('08_Moteur'!$AD$3:$AD$60,'08_Moteur'!$A$3:$A$60,"ISCOM",'08_Moteur'!$B$3:$B$60,"Paris"),IF($C$3="Chiffre d'affaires",SUMIFS('08_Moteur'!$AH$3:$AH$60,'08_Moteur'!$A$3:$A$60,"ISCOM",'08_Moteur'!$B$3:$B$60,"Paris"),'07_Structure'!J8))</f>
        <v/>
      </c>
      <c r="H10" s="62">
        <f>IFERROR(G10/SUM($G$6:$G$19),0)</f>
        <v/>
      </c>
      <c r="I10" s="24">
        <f>H10*$H$3</f>
        <v/>
      </c>
      <c r="J10" s="22">
        <f>D10-E10-F10-I10</f>
        <v/>
      </c>
      <c r="K10" s="21">
        <f>'07_Structure'!I8</f>
        <v/>
      </c>
      <c r="L10" s="24">
        <f>J10-K10</f>
        <v/>
      </c>
    </row>
    <row r="11">
      <c r="B11" s="57" t="inlineStr">
        <is>
          <t>ISCOM</t>
        </is>
      </c>
      <c r="C11" s="10" t="inlineStr">
        <is>
          <t>Lille</t>
        </is>
      </c>
      <c r="D11" s="24">
        <f>SUMIFS('08_Moteur'!$AM$3:$AM$60,'08_Moteur'!$A$3:$A$60,"ISCOM",'08_Moteur'!$B$3:$B$60,"Lille")</f>
        <v/>
      </c>
      <c r="E11" s="21">
        <f>'07_Structure'!F9*(1+'01_Cadrage'!$H$20)</f>
        <v/>
      </c>
      <c r="F11" s="21">
        <f>'07_Structure'!G9*'01_Cadrage'!$H$23*(1+'01_Cadrage'!$H$21)</f>
        <v/>
      </c>
      <c r="G11" s="66">
        <f>IF($C$3="Effectifs",SUMIFS('08_Moteur'!$AD$3:$AD$60,'08_Moteur'!$A$3:$A$60,"ISCOM",'08_Moteur'!$B$3:$B$60,"Lille"),IF($C$3="Chiffre d'affaires",SUMIFS('08_Moteur'!$AH$3:$AH$60,'08_Moteur'!$A$3:$A$60,"ISCOM",'08_Moteur'!$B$3:$B$60,"Lille"),'07_Structure'!J9))</f>
        <v/>
      </c>
      <c r="H11" s="62">
        <f>IFERROR(G11/SUM($G$6:$G$19),0)</f>
        <v/>
      </c>
      <c r="I11" s="24">
        <f>H11*$H$3</f>
        <v/>
      </c>
      <c r="J11" s="22">
        <f>D11-E11-F11-I11</f>
        <v/>
      </c>
      <c r="K11" s="21">
        <f>'07_Structure'!I9</f>
        <v/>
      </c>
      <c r="L11" s="24">
        <f>J11-K11</f>
        <v/>
      </c>
    </row>
    <row r="12">
      <c r="B12" s="57" t="inlineStr">
        <is>
          <t>ISCOM</t>
        </is>
      </c>
      <c r="C12" s="10" t="inlineStr">
        <is>
          <t>Toulouse</t>
        </is>
      </c>
      <c r="D12" s="24">
        <f>SUMIFS('08_Moteur'!$AM$3:$AM$60,'08_Moteur'!$A$3:$A$60,"ISCOM",'08_Moteur'!$B$3:$B$60,"Toulouse")</f>
        <v/>
      </c>
      <c r="E12" s="21">
        <f>'07_Structure'!F10*(1+'01_Cadrage'!$H$20)</f>
        <v/>
      </c>
      <c r="F12" s="21">
        <f>'07_Structure'!G10*'01_Cadrage'!$H$23*(1+'01_Cadrage'!$H$21)</f>
        <v/>
      </c>
      <c r="G12" s="66">
        <f>IF($C$3="Effectifs",SUMIFS('08_Moteur'!$AD$3:$AD$60,'08_Moteur'!$A$3:$A$60,"ISCOM",'08_Moteur'!$B$3:$B$60,"Toulouse"),IF($C$3="Chiffre d'affaires",SUMIFS('08_Moteur'!$AH$3:$AH$60,'08_Moteur'!$A$3:$A$60,"ISCOM",'08_Moteur'!$B$3:$B$60,"Toulouse"),'07_Structure'!J10))</f>
        <v/>
      </c>
      <c r="H12" s="62">
        <f>IFERROR(G12/SUM($G$6:$G$19),0)</f>
        <v/>
      </c>
      <c r="I12" s="24">
        <f>H12*$H$3</f>
        <v/>
      </c>
      <c r="J12" s="22">
        <f>D12-E12-F12-I12</f>
        <v/>
      </c>
      <c r="K12" s="21">
        <f>'07_Structure'!I10</f>
        <v/>
      </c>
      <c r="L12" s="24">
        <f>J12-K12</f>
        <v/>
      </c>
    </row>
    <row r="13">
      <c r="B13" s="57" t="inlineStr">
        <is>
          <t>Ipac Bachelor Factory</t>
        </is>
      </c>
      <c r="C13" s="10" t="inlineStr">
        <is>
          <t>Nantes</t>
        </is>
      </c>
      <c r="D13" s="24">
        <f>SUMIFS('08_Moteur'!$AM$3:$AM$60,'08_Moteur'!$A$3:$A$60,"Ipac Bachelor Factory",'08_Moteur'!$B$3:$B$60,"Nantes")</f>
        <v/>
      </c>
      <c r="E13" s="21">
        <f>'07_Structure'!F11*(1+'01_Cadrage'!$H$20)</f>
        <v/>
      </c>
      <c r="F13" s="21">
        <f>'07_Structure'!G11*'01_Cadrage'!$H$23*(1+'01_Cadrage'!$H$21)</f>
        <v/>
      </c>
      <c r="G13" s="66">
        <f>IF($C$3="Effectifs",SUMIFS('08_Moteur'!$AD$3:$AD$60,'08_Moteur'!$A$3:$A$60,"Ipac Bachelor Factory",'08_Moteur'!$B$3:$B$60,"Nantes"),IF($C$3="Chiffre d'affaires",SUMIFS('08_Moteur'!$AH$3:$AH$60,'08_Moteur'!$A$3:$A$60,"Ipac Bachelor Factory",'08_Moteur'!$B$3:$B$60,"Nantes"),'07_Structure'!J11))</f>
        <v/>
      </c>
      <c r="H13" s="62">
        <f>IFERROR(G13/SUM($G$6:$G$19),0)</f>
        <v/>
      </c>
      <c r="I13" s="24">
        <f>H13*$H$3</f>
        <v/>
      </c>
      <c r="J13" s="22">
        <f>D13-E13-F13-I13</f>
        <v/>
      </c>
      <c r="K13" s="21">
        <f>'07_Structure'!I11</f>
        <v/>
      </c>
      <c r="L13" s="24">
        <f>J13-K13</f>
        <v/>
      </c>
    </row>
    <row r="14">
      <c r="B14" s="57" t="inlineStr">
        <is>
          <t>Ipac Bachelor Factory</t>
        </is>
      </c>
      <c r="C14" s="10" t="inlineStr">
        <is>
          <t>Rennes</t>
        </is>
      </c>
      <c r="D14" s="24">
        <f>SUMIFS('08_Moteur'!$AM$3:$AM$60,'08_Moteur'!$A$3:$A$60,"Ipac Bachelor Factory",'08_Moteur'!$B$3:$B$60,"Rennes")</f>
        <v/>
      </c>
      <c r="E14" s="21">
        <f>'07_Structure'!F12*(1+'01_Cadrage'!$H$20)</f>
        <v/>
      </c>
      <c r="F14" s="21">
        <f>'07_Structure'!G12*'01_Cadrage'!$H$23*(1+'01_Cadrage'!$H$21)</f>
        <v/>
      </c>
      <c r="G14" s="66">
        <f>IF($C$3="Effectifs",SUMIFS('08_Moteur'!$AD$3:$AD$60,'08_Moteur'!$A$3:$A$60,"Ipac Bachelor Factory",'08_Moteur'!$B$3:$B$60,"Rennes"),IF($C$3="Chiffre d'affaires",SUMIFS('08_Moteur'!$AH$3:$AH$60,'08_Moteur'!$A$3:$A$60,"Ipac Bachelor Factory",'08_Moteur'!$B$3:$B$60,"Rennes"),'07_Structure'!J12))</f>
        <v/>
      </c>
      <c r="H14" s="62">
        <f>IFERROR(G14/SUM($G$6:$G$19),0)</f>
        <v/>
      </c>
      <c r="I14" s="24">
        <f>H14*$H$3</f>
        <v/>
      </c>
      <c r="J14" s="22">
        <f>D14-E14-F14-I14</f>
        <v/>
      </c>
      <c r="K14" s="21">
        <f>'07_Structure'!I12</f>
        <v/>
      </c>
      <c r="L14" s="24">
        <f>J14-K14</f>
        <v/>
      </c>
    </row>
    <row r="15">
      <c r="B15" s="57" t="inlineStr">
        <is>
          <t>Ipac Bachelor Factory</t>
        </is>
      </c>
      <c r="C15" s="10" t="inlineStr">
        <is>
          <t>Montpellier</t>
        </is>
      </c>
      <c r="D15" s="24">
        <f>SUMIFS('08_Moteur'!$AM$3:$AM$60,'08_Moteur'!$A$3:$A$60,"Ipac Bachelor Factory",'08_Moteur'!$B$3:$B$60,"Montpellier")</f>
        <v/>
      </c>
      <c r="E15" s="21">
        <f>'07_Structure'!F13*(1+'01_Cadrage'!$H$20)</f>
        <v/>
      </c>
      <c r="F15" s="21">
        <f>'07_Structure'!G13*'01_Cadrage'!$H$23*(1+'01_Cadrage'!$H$21)</f>
        <v/>
      </c>
      <c r="G15" s="66">
        <f>IF($C$3="Effectifs",SUMIFS('08_Moteur'!$AD$3:$AD$60,'08_Moteur'!$A$3:$A$60,"Ipac Bachelor Factory",'08_Moteur'!$B$3:$B$60,"Montpellier"),IF($C$3="Chiffre d'affaires",SUMIFS('08_Moteur'!$AH$3:$AH$60,'08_Moteur'!$A$3:$A$60,"Ipac Bachelor Factory",'08_Moteur'!$B$3:$B$60,"Montpellier"),'07_Structure'!J13))</f>
        <v/>
      </c>
      <c r="H15" s="62">
        <f>IFERROR(G15/SUM($G$6:$G$19),0)</f>
        <v/>
      </c>
      <c r="I15" s="24">
        <f>H15*$H$3</f>
        <v/>
      </c>
      <c r="J15" s="22">
        <f>D15-E15-F15-I15</f>
        <v/>
      </c>
      <c r="K15" s="21">
        <f>'07_Structure'!I13</f>
        <v/>
      </c>
      <c r="L15" s="24">
        <f>J15-K15</f>
        <v/>
      </c>
    </row>
    <row r="16">
      <c r="B16" s="57" t="inlineStr">
        <is>
          <t>Pigier</t>
        </is>
      </c>
      <c r="C16" s="10" t="inlineStr">
        <is>
          <t>Lyon</t>
        </is>
      </c>
      <c r="D16" s="24">
        <f>SUMIFS('08_Moteur'!$AM$3:$AM$60,'08_Moteur'!$A$3:$A$60,"Pigier",'08_Moteur'!$B$3:$B$60,"Lyon")</f>
        <v/>
      </c>
      <c r="E16" s="21">
        <f>'07_Structure'!F14*(1+'01_Cadrage'!$H$20)</f>
        <v/>
      </c>
      <c r="F16" s="21">
        <f>'07_Structure'!G14*'01_Cadrage'!$H$23*(1+'01_Cadrage'!$H$21)</f>
        <v/>
      </c>
      <c r="G16" s="66">
        <f>IF($C$3="Effectifs",SUMIFS('08_Moteur'!$AD$3:$AD$60,'08_Moteur'!$A$3:$A$60,"Pigier",'08_Moteur'!$B$3:$B$60,"Lyon"),IF($C$3="Chiffre d'affaires",SUMIFS('08_Moteur'!$AH$3:$AH$60,'08_Moteur'!$A$3:$A$60,"Pigier",'08_Moteur'!$B$3:$B$60,"Lyon"),'07_Structure'!J14))</f>
        <v/>
      </c>
      <c r="H16" s="62">
        <f>IFERROR(G16/SUM($G$6:$G$19),0)</f>
        <v/>
      </c>
      <c r="I16" s="24">
        <f>H16*$H$3</f>
        <v/>
      </c>
      <c r="J16" s="22">
        <f>D16-E16-F16-I16</f>
        <v/>
      </c>
      <c r="K16" s="21">
        <f>'07_Structure'!I14</f>
        <v/>
      </c>
      <c r="L16" s="24">
        <f>J16-K16</f>
        <v/>
      </c>
    </row>
    <row r="17">
      <c r="B17" s="57" t="inlineStr">
        <is>
          <t>Pigier</t>
        </is>
      </c>
      <c r="C17" s="10" t="inlineStr">
        <is>
          <t>Bordeaux</t>
        </is>
      </c>
      <c r="D17" s="24">
        <f>SUMIFS('08_Moteur'!$AM$3:$AM$60,'08_Moteur'!$A$3:$A$60,"Pigier",'08_Moteur'!$B$3:$B$60,"Bordeaux")</f>
        <v/>
      </c>
      <c r="E17" s="21">
        <f>'07_Structure'!F15*(1+'01_Cadrage'!$H$20)</f>
        <v/>
      </c>
      <c r="F17" s="21">
        <f>'07_Structure'!G15*'01_Cadrage'!$H$23*(1+'01_Cadrage'!$H$21)</f>
        <v/>
      </c>
      <c r="G17" s="66">
        <f>IF($C$3="Effectifs",SUMIFS('08_Moteur'!$AD$3:$AD$60,'08_Moteur'!$A$3:$A$60,"Pigier",'08_Moteur'!$B$3:$B$60,"Bordeaux"),IF($C$3="Chiffre d'affaires",SUMIFS('08_Moteur'!$AH$3:$AH$60,'08_Moteur'!$A$3:$A$60,"Pigier",'08_Moteur'!$B$3:$B$60,"Bordeaux"),'07_Structure'!J15))</f>
        <v/>
      </c>
      <c r="H17" s="62">
        <f>IFERROR(G17/SUM($G$6:$G$19),0)</f>
        <v/>
      </c>
      <c r="I17" s="24">
        <f>H17*$H$3</f>
        <v/>
      </c>
      <c r="J17" s="22">
        <f>D17-E17-F17-I17</f>
        <v/>
      </c>
      <c r="K17" s="21">
        <f>'07_Structure'!I15</f>
        <v/>
      </c>
      <c r="L17" s="24">
        <f>J17-K17</f>
        <v/>
      </c>
    </row>
    <row r="18">
      <c r="B18" s="57" t="inlineStr">
        <is>
          <t>Tunon</t>
        </is>
      </c>
      <c r="C18" s="10" t="inlineStr">
        <is>
          <t>Paris</t>
        </is>
      </c>
      <c r="D18" s="24">
        <f>SUMIFS('08_Moteur'!$AM$3:$AM$60,'08_Moteur'!$A$3:$A$60,"Tunon",'08_Moteur'!$B$3:$B$60,"Paris")</f>
        <v/>
      </c>
      <c r="E18" s="21">
        <f>'07_Structure'!F16*(1+'01_Cadrage'!$H$20)</f>
        <v/>
      </c>
      <c r="F18" s="21">
        <f>'07_Structure'!G16*'01_Cadrage'!$H$23*(1+'01_Cadrage'!$H$21)</f>
        <v/>
      </c>
      <c r="G18" s="66">
        <f>IF($C$3="Effectifs",SUMIFS('08_Moteur'!$AD$3:$AD$60,'08_Moteur'!$A$3:$A$60,"Tunon",'08_Moteur'!$B$3:$B$60,"Paris"),IF($C$3="Chiffre d'affaires",SUMIFS('08_Moteur'!$AH$3:$AH$60,'08_Moteur'!$A$3:$A$60,"Tunon",'08_Moteur'!$B$3:$B$60,"Paris"),'07_Structure'!J16))</f>
        <v/>
      </c>
      <c r="H18" s="62">
        <f>IFERROR(G18/SUM($G$6:$G$19),0)</f>
        <v/>
      </c>
      <c r="I18" s="24">
        <f>H18*$H$3</f>
        <v/>
      </c>
      <c r="J18" s="22">
        <f>D18-E18-F18-I18</f>
        <v/>
      </c>
      <c r="K18" s="21">
        <f>'07_Structure'!I16</f>
        <v/>
      </c>
      <c r="L18" s="24">
        <f>J18-K18</f>
        <v/>
      </c>
    </row>
    <row r="19">
      <c r="B19" s="57" t="inlineStr">
        <is>
          <t>Tunon</t>
        </is>
      </c>
      <c r="C19" s="10" t="inlineStr">
        <is>
          <t>Lyon</t>
        </is>
      </c>
      <c r="D19" s="24">
        <f>SUMIFS('08_Moteur'!$AM$3:$AM$60,'08_Moteur'!$A$3:$A$60,"Tunon",'08_Moteur'!$B$3:$B$60,"Lyon")</f>
        <v/>
      </c>
      <c r="E19" s="21">
        <f>'07_Structure'!F17*(1+'01_Cadrage'!$H$20)</f>
        <v/>
      </c>
      <c r="F19" s="21">
        <f>'07_Structure'!G17*'01_Cadrage'!$H$23*(1+'01_Cadrage'!$H$21)</f>
        <v/>
      </c>
      <c r="G19" s="66">
        <f>IF($C$3="Effectifs",SUMIFS('08_Moteur'!$AD$3:$AD$60,'08_Moteur'!$A$3:$A$60,"Tunon",'08_Moteur'!$B$3:$B$60,"Lyon"),IF($C$3="Chiffre d'affaires",SUMIFS('08_Moteur'!$AH$3:$AH$60,'08_Moteur'!$A$3:$A$60,"Tunon",'08_Moteur'!$B$3:$B$60,"Lyon"),'07_Structure'!J17))</f>
        <v/>
      </c>
      <c r="H19" s="62">
        <f>IFERROR(G19/SUM($G$6:$G$19),0)</f>
        <v/>
      </c>
      <c r="I19" s="24">
        <f>H19*$H$3</f>
        <v/>
      </c>
      <c r="J19" s="22">
        <f>D19-E19-F19-I19</f>
        <v/>
      </c>
      <c r="K19" s="21">
        <f>'07_Structure'!I17</f>
        <v/>
      </c>
      <c r="L19" s="24">
        <f>J19-K19</f>
        <v/>
      </c>
    </row>
    <row r="20">
      <c r="B20" s="53" t="inlineStr">
        <is>
          <t>TOTAL</t>
        </is>
      </c>
      <c r="C20" s="54" t="inlineStr">
        <is>
          <t> </t>
        </is>
      </c>
      <c r="D20" s="56">
        <f>SUM(D6:D19)</f>
        <v/>
      </c>
      <c r="E20" s="56">
        <f>SUM(E6:E19)</f>
        <v/>
      </c>
      <c r="F20" s="56">
        <f>SUM(F6:F19)</f>
        <v/>
      </c>
      <c r="G20" s="67">
        <f>SUM(G6:G19)</f>
        <v/>
      </c>
      <c r="H20" s="54" t="inlineStr">
        <is>
          <t> </t>
        </is>
      </c>
      <c r="I20" s="56">
        <f>SUM(I6:I19)</f>
        <v/>
      </c>
      <c r="J20" s="56">
        <f>SUM(J6:J19)</f>
        <v/>
      </c>
      <c r="K20" s="56">
        <f>SUM(K6:K19)</f>
        <v/>
      </c>
      <c r="L20" s="56">
        <f>SUM(L6:L19)</f>
        <v/>
      </c>
    </row>
  </sheetData>
  <mergeCells count="3">
    <mergeCell ref="B2:L2"/>
    <mergeCell ref="E3:G3"/>
    <mergeCell ref="H3:I3"/>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S24"/>
  <sheetViews>
    <sheetView showGridLines="0" workbookViewId="0">
      <selection activeCell="A1" sqref="A1"/>
    </sheetView>
  </sheetViews>
  <sheetFormatPr baseColWidth="8" defaultRowHeight="15"/>
  <cols>
    <col width="2" customWidth="1" min="1" max="1"/>
    <col width="34" customWidth="1" min="2" max="2"/>
    <col width="15" customWidth="1" min="3" max="3"/>
    <col width="15" customWidth="1" min="4" max="4"/>
    <col width="14" customWidth="1" min="5" max="5"/>
    <col width="11" customWidth="1" min="6" max="6"/>
  </cols>
  <sheetData>
    <row r="1"/>
    <row r="2" ht="24" customHeight="1">
      <c r="B2" s="1" t="inlineStr">
        <is>
          <t>Compte de résultat consolidé — Budget vs N-1</t>
        </is>
      </c>
    </row>
    <row r="3">
      <c r="B3" s="15" t="inlineStr">
        <is>
          <t>Scénario :</t>
        </is>
      </c>
      <c r="C3" s="68">
        <f>'01_Cadrage'!D3</f>
        <v/>
      </c>
    </row>
    <row r="5">
      <c r="B5" s="20" t="inlineStr">
        <is>
          <t>Rubrique</t>
        </is>
      </c>
      <c r="C5" s="20" t="inlineStr">
        <is>
          <t>Réalisé N-1</t>
        </is>
      </c>
      <c r="D5" s="20" t="inlineStr">
        <is>
          <t>Budget N+1</t>
        </is>
      </c>
      <c r="E5" s="20" t="inlineStr">
        <is>
          <t>Écart €</t>
        </is>
      </c>
      <c r="F5" s="20" t="inlineStr">
        <is>
          <t>Écart %</t>
        </is>
      </c>
    </row>
    <row r="6">
      <c r="B6" s="8" t="inlineStr">
        <is>
          <t>Effectifs</t>
        </is>
      </c>
      <c r="C6" s="69">
        <f>'07_Structure'!C18</f>
        <v/>
      </c>
      <c r="D6" s="66">
        <f>SUM('08_Moteur'!$AD$3:$AD$60)</f>
        <v/>
      </c>
      <c r="E6" s="70">
        <f>D6-C6</f>
        <v/>
      </c>
      <c r="F6" s="71">
        <f>IFERROR(D6/C6-1,0)</f>
        <v/>
      </c>
    </row>
    <row r="7">
      <c r="B7" s="72" t="inlineStr">
        <is>
          <t>Chiffre d'affaires</t>
        </is>
      </c>
      <c r="C7" s="73">
        <f>'07_Structure'!D18</f>
        <v/>
      </c>
      <c r="D7" s="73">
        <f>SUM('08_Moteur'!$AH$3:$AH$60)</f>
        <v/>
      </c>
      <c r="E7" s="73">
        <f>D7-C7</f>
        <v/>
      </c>
      <c r="F7" s="74">
        <f>IFERROR(D7/C7-1,0)</f>
        <v/>
      </c>
    </row>
    <row r="8">
      <c r="B8" s="8" t="inlineStr">
        <is>
          <t xml:space="preserve">  Coûts directs (ens.+pédago+mktg+autres)</t>
        </is>
      </c>
      <c r="C8" s="21">
        <f>-('07_Structure'!D18-'07_Structure'!E18)</f>
        <v/>
      </c>
      <c r="D8" s="24">
        <f>-(SUM('08_Moteur'!$AJ$3:$AJ$60)+SUM('08_Moteur'!$AK$3:$AK$60)+SUM('08_Moteur'!$AL$3:$AL$60)+'01_Cadrage'!$H$26*(1+'01_Cadrage'!$H$20)*SUM('08_Moteur'!$AD$3:$AD$60))</f>
        <v/>
      </c>
      <c r="E8" s="75">
        <f>D8-C8</f>
        <v/>
      </c>
      <c r="F8" s="71">
        <f>IFERROR(D8/C8-1,0)</f>
        <v/>
      </c>
    </row>
    <row r="9">
      <c r="B9" s="72" t="inlineStr">
        <is>
          <t>Marge de contribution</t>
        </is>
      </c>
      <c r="C9" s="73">
        <f>'07_Structure'!E18</f>
        <v/>
      </c>
      <c r="D9" s="73">
        <f>SUM('08_Moteur'!$AM$3:$AM$60)</f>
        <v/>
      </c>
      <c r="E9" s="73">
        <f>D9-C9</f>
        <v/>
      </c>
      <c r="F9" s="74">
        <f>IFERROR(D9/C9-1,0)</f>
        <v/>
      </c>
    </row>
    <row r="10">
      <c r="B10" s="8" t="inlineStr">
        <is>
          <t xml:space="preserve">  Loyers</t>
        </is>
      </c>
      <c r="C10" s="21">
        <f>-'07_Structure'!F18</f>
        <v/>
      </c>
      <c r="D10" s="24">
        <f>-'09_Allocation'!E20</f>
        <v/>
      </c>
      <c r="E10" s="75">
        <f>D10-C10</f>
        <v/>
      </c>
      <c r="F10" s="71">
        <f>IFERROR(D10/C10-1,0)</f>
        <v/>
      </c>
    </row>
    <row r="11">
      <c r="B11" s="8" t="inlineStr">
        <is>
          <t xml:space="preserve">  Personnel permanent</t>
        </is>
      </c>
      <c r="C11" s="21">
        <f>-'07_Structure'!H18</f>
        <v/>
      </c>
      <c r="D11" s="24">
        <f>-'09_Allocation'!F20</f>
        <v/>
      </c>
      <c r="E11" s="75">
        <f>D11-C11</f>
        <v/>
      </c>
      <c r="F11" s="71">
        <f>IFERROR(D11/C11-1,0)</f>
        <v/>
      </c>
    </row>
    <row r="12">
      <c r="B12" s="8" t="inlineStr">
        <is>
          <t xml:space="preserve">  Frais de structure groupe</t>
        </is>
      </c>
      <c r="C12" s="21">
        <f>-2000000</f>
        <v/>
      </c>
      <c r="D12" s="24">
        <f>-'09_Allocation'!I20</f>
        <v/>
      </c>
      <c r="E12" s="75">
        <f>D12-C12</f>
        <v/>
      </c>
      <c r="F12" s="71">
        <f>IFERROR(D12/C12-1,0)</f>
        <v/>
      </c>
    </row>
    <row r="13">
      <c r="B13" s="72" t="inlineStr">
        <is>
          <t>EBITDA</t>
        </is>
      </c>
      <c r="C13" s="73">
        <f>'07_Structure'!E18-'07_Structure'!F18-'07_Structure'!H18-2000000</f>
        <v/>
      </c>
      <c r="D13" s="73">
        <f>'09_Allocation'!J20</f>
        <v/>
      </c>
      <c r="E13" s="73">
        <f>D13-C13</f>
        <v/>
      </c>
      <c r="F13" s="74">
        <f>IFERROR(D13/C13-1,0)</f>
        <v/>
      </c>
    </row>
    <row r="14">
      <c r="B14" s="8" t="inlineStr">
        <is>
          <t xml:space="preserve">  Marge EBITDA %</t>
        </is>
      </c>
      <c r="C14" s="76">
        <f>IFERROR(('07_Structure'!E18-'07_Structure'!F18-'07_Structure'!H18-2000000)/'07_Structure'!D18,0)</f>
        <v/>
      </c>
      <c r="D14" s="27">
        <f>IFERROR('09_Allocation'!J20/SUM('08_Moteur'!$AH$3:$AH$60),0)</f>
        <v/>
      </c>
      <c r="E14" s="71">
        <f>D14-C14</f>
        <v/>
      </c>
      <c r="F14" s="77" t="inlineStr">
        <is>
          <t> </t>
        </is>
      </c>
    </row>
    <row r="15">
      <c r="B15" s="8" t="inlineStr">
        <is>
          <t xml:space="preserve">  D&amp;A</t>
        </is>
      </c>
      <c r="C15" s="21">
        <f>-'07_Structure'!I18</f>
        <v/>
      </c>
      <c r="D15" s="24">
        <f>-'09_Allocation'!K20</f>
        <v/>
      </c>
      <c r="E15" s="75">
        <f>D15-C15</f>
        <v/>
      </c>
      <c r="F15" s="71">
        <f>IFERROR(D15/C15-1,0)</f>
        <v/>
      </c>
    </row>
    <row r="16">
      <c r="B16" s="72" t="inlineStr">
        <is>
          <t>EBIT</t>
        </is>
      </c>
      <c r="C16" s="73">
        <f>'07_Structure'!E18-'07_Structure'!F18-'07_Structure'!H18-2000000-'07_Structure'!I18</f>
        <v/>
      </c>
      <c r="D16" s="73">
        <f>'09_Allocation'!L20</f>
        <v/>
      </c>
      <c r="E16" s="73">
        <f>D16-C16</f>
        <v/>
      </c>
      <c r="F16" s="74">
        <f>IFERROR(D16/C16-1,0)</f>
        <v/>
      </c>
    </row>
    <row r="18" ht="20" customHeight="1">
      <c r="B18" s="3" t="inlineStr">
        <is>
          <t>Pont Chiffre d'affaires (N-1 → Budget)</t>
        </is>
      </c>
      <c r="C18" s="4" t="n"/>
      <c r="D18" s="4" t="n"/>
      <c r="E18" s="4" t="n"/>
      <c r="F18" s="4" t="n"/>
    </row>
    <row r="19">
      <c r="B19" s="20" t="inlineStr">
        <is>
          <t>Effet</t>
        </is>
      </c>
      <c r="C19" s="20" t="inlineStr">
        <is>
          <t>Montant</t>
        </is>
      </c>
    </row>
    <row r="20">
      <c r="B20" s="8" t="inlineStr">
        <is>
          <t>CA Réalisé N-1</t>
        </is>
      </c>
      <c r="C20" s="24">
        <f>'07_Structure'!D18</f>
        <v/>
      </c>
    </row>
    <row r="21">
      <c r="B21" s="8" t="inlineStr">
        <is>
          <t xml:space="preserve">  + Effet Volume</t>
        </is>
      </c>
      <c r="C21" s="24">
        <f>SUMPRODUCT(('08_Moteur'!$AD$3:$AD$60-'08_Moteur'!$G$3:$G$60)*'08_Moteur'!$L$3:$L$60)</f>
        <v/>
      </c>
    </row>
    <row r="22">
      <c r="B22" s="8" t="inlineStr">
        <is>
          <t xml:space="preserve">  + Effet Tarif</t>
        </is>
      </c>
      <c r="C22" s="24">
        <f>SUMPRODUCT('08_Moteur'!$AD$3:$AD$60*('08_Moteur'!$AE$3:$AE$60-'08_Moteur'!$L$3:$L$60))</f>
        <v/>
      </c>
    </row>
    <row r="23">
      <c r="B23" s="8" t="inlineStr">
        <is>
          <t xml:space="preserve">  + Effet Frais</t>
        </is>
      </c>
      <c r="C23" s="24">
        <f>SUMPRODUCT('08_Moteur'!$AB$3:$AB$60)*'01_Cadrage'!$H$24-SUMPRODUCT('08_Moteur'!$H$3:$H$60)*'01_Cadrage'!$H$24</f>
        <v/>
      </c>
    </row>
    <row r="24">
      <c r="B24" s="53" t="inlineStr">
        <is>
          <t>CA Budget N+1</t>
        </is>
      </c>
      <c r="C24" s="56">
        <f>SUM('08_Moteur'!$AH$3:$AH$60)</f>
        <v/>
      </c>
    </row>
  </sheetData>
  <mergeCells count="2">
    <mergeCell ref="B2:F2"/>
    <mergeCell ref="B18:F18"/>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S63"/>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15" customWidth="1" min="3" max="3"/>
    <col width="6" customWidth="1" min="4" max="4"/>
    <col width="8" customWidth="1" min="5" max="5"/>
    <col width="11" customWidth="1" min="6" max="6"/>
    <col width="12" customWidth="1" min="7" max="7"/>
    <col width="13" customWidth="1" min="8" max="8"/>
    <col width="7" customWidth="1" min="9" max="9"/>
    <col width="19" customWidth="1" min="10" max="10"/>
    <col width="40" customWidth="1" min="11" max="11"/>
    <col width="17" customWidth="1" min="12" max="12"/>
    <col width="9" customWidth="1" min="13" max="13"/>
    <col width="12" customWidth="1" min="14" max="14"/>
    <col width="12" customWidth="1" min="15" max="15"/>
    <col width="12" customWidth="1" min="16" max="16"/>
    <col width="11" customWidth="1" min="17" max="17"/>
  </cols>
  <sheetData>
    <row r="1" ht="22" customHeight="1">
      <c r="A1" s="1" t="inlineStr">
        <is>
          <t>Simulateur &amp; conseil de décisions — logique CFO 360° : décider sur la CONTRIBUTION ; ouvrir/fermer redilue la structure sur TOUS</t>
        </is>
      </c>
    </row>
    <row r="2">
      <c r="A2" s="15" t="inlineStr">
        <is>
          <t>EBITDA groupe AVANT :</t>
        </is>
      </c>
      <c r="D2" s="22">
        <f>'09_Allocation'!J20</f>
        <v/>
      </c>
      <c r="E2" s="15" t="inlineStr">
        <is>
          <t>Σ Δ décisions :</t>
        </is>
      </c>
      <c r="G2" s="22">
        <f>SUM(Q6:Q63)</f>
        <v/>
      </c>
      <c r="H2" s="65" t="n"/>
      <c r="I2" s="15" t="inlineStr">
        <is>
          <t>EBITDA groupe APRÈS :</t>
        </is>
      </c>
      <c r="K2" s="56">
        <f>D2+G2</f>
        <v/>
      </c>
      <c r="L2" s="65" t="n"/>
    </row>
    <row r="3" ht="30" customHeight="1">
      <c r="A3" s="15" t="inlineStr">
        <is>
          <t>Structure / étudiant — AVANT :</t>
        </is>
      </c>
      <c r="D3" s="22">
        <f>('09_Allocation'!E20+'09_Allocation'!F20+'09_Allocation'!I20)/SUM('08_Moteur'!$AD$3:$AD$60)</f>
        <v/>
      </c>
      <c r="E3" s="15" t="inlineStr">
        <is>
          <t>APRÈS :</t>
        </is>
      </c>
      <c r="G3" s="28">
        <f>IFERROR(('09_Allocation'!E20+'09_Allocation'!F20+'09_Allocation'!I20)/SUM(M6:M63),0)</f>
        <v/>
      </c>
      <c r="H3" s="65" t="n"/>
      <c r="I3" s="15" t="inlineStr">
        <is>
          <t>Effectif total APRÈS :</t>
        </is>
      </c>
      <c r="K3" s="63">
        <f>SUM(M6:M63)</f>
        <v/>
      </c>
      <c r="M3" s="12" t="inlineStr">
        <is>
          <t>⚠ Fermer retire des étudiants → structure/étudiant ↑ (tous absorbent +). Ouvrir en capte → structure/étudiant ↓ (tous s'enrichissent). La structure totale ne bouge pas ; l'EBITDA groupe ne varie que des contributions.</t>
        </is>
      </c>
    </row>
    <row r="4" ht="16" customHeight="1">
      <c r="A4" s="78" t="inlineStr">
        <is>
          <t>🧪 BAC À SABLE : décisions à la maille d'UNE promo — impact SIMULÉ (encadré ci-dessus), sans effet sur le budget officiel (09/10/13), qui se pilote via les LEVIERS (02). « Regrouper » ici respecte la capacité de la promo ; pour mutualiser des sections parallèles d'un même CAMPUS, voir la feuille 11b_Mutualisation.</t>
        </is>
      </c>
    </row>
    <row r="5" ht="34" customHeight="1">
      <c r="A5" s="20" t="inlineStr">
        <is>
          <t>Marque</t>
        </is>
      </c>
      <c r="B5" s="20" t="inlineStr">
        <is>
          <t>Ville</t>
        </is>
      </c>
      <c r="C5" s="20" t="inlineStr">
        <is>
          <t>Programme</t>
        </is>
      </c>
      <c r="D5" s="20" t="inlineStr">
        <is>
          <t>Année</t>
        </is>
      </c>
      <c r="E5" s="20" t="inlineStr">
        <is>
          <t>Effectif</t>
        </is>
      </c>
      <c r="F5" s="20" t="inlineStr">
        <is>
          <t>CA</t>
        </is>
      </c>
      <c r="G5" s="20" t="inlineStr">
        <is>
          <t>Coûts directs
évitables</t>
        </is>
      </c>
      <c r="H5" s="20" t="inlineStr">
        <is>
          <t>MARGE DE
CONTRIBUTION</t>
        </is>
      </c>
      <c r="I5" s="20" t="inlineStr">
        <is>
          <t>Rempl.</t>
        </is>
      </c>
      <c r="J5" s="20" t="inlineStr">
        <is>
          <t>🤖 Reco</t>
        </is>
      </c>
      <c r="K5" s="20" t="inlineStr">
        <is>
          <t>Motif</t>
        </is>
      </c>
      <c r="L5" s="20" t="inlineStr">
        <is>
          <t>Décision</t>
        </is>
      </c>
      <c r="M5" s="20" t="inlineStr">
        <is>
          <t>Effectif
après</t>
        </is>
      </c>
      <c r="N5" s="20" t="inlineStr">
        <is>
          <t>Contribution
après</t>
        </is>
      </c>
      <c r="O5" s="20" t="inlineStr">
        <is>
          <t>Structure allouée
(après, dilution)</t>
        </is>
      </c>
      <c r="P5" s="20" t="inlineStr">
        <is>
          <t>Résultat tout
compris (après)</t>
        </is>
      </c>
      <c r="Q5" s="20" t="inlineStr">
        <is>
          <t>Δ EBITDA</t>
        </is>
      </c>
    </row>
    <row r="6">
      <c r="A6" s="57">
        <f>'08_Moteur'!A3</f>
        <v/>
      </c>
      <c r="B6" s="10">
        <f>'08_Moteur'!B3</f>
        <v/>
      </c>
      <c r="C6" s="57">
        <f>'08_Moteur'!C3</f>
        <v/>
      </c>
      <c r="D6" s="10">
        <f>'08_Moteur'!D3</f>
        <v/>
      </c>
      <c r="E6" s="58">
        <f>'08_Moteur'!AD3</f>
        <v/>
      </c>
      <c r="F6" s="21">
        <f>'08_Moteur'!AH3</f>
        <v/>
      </c>
      <c r="G6" s="24">
        <f>F6-'08_Moteur'!AM3</f>
        <v/>
      </c>
      <c r="H6" s="73">
        <f>'08_Moteur'!AM3</f>
        <v/>
      </c>
      <c r="I6" s="79">
        <f>'08_Moteur'!AN3</f>
        <v/>
      </c>
      <c r="J6" s="80">
        <f>IF(H6&lt;0,"🔴 Ne pas lancer",IF(I6&gt;=0.95,"🟢 Ouvrir +1 (capter+diluer)",IF(I6&lt;0.55,"🟡 Surveiller","🟢 Maintenir")))</f>
        <v/>
      </c>
      <c r="K6" s="81">
        <f>IF(H6&lt;0,"Entrée à contribution négative → ne pas lancer cette cohorte",IF(I6&gt;=0.95,"Saturé → ouvrir capte des étudiants ET dilue la structure pour tous",IF(I6&lt;0.55,"Sous-rempli mais contribution positive → garder","Sain")))</f>
        <v/>
      </c>
      <c r="L6" s="16" t="inlineStr">
        <is>
          <t>Maintenir</t>
        </is>
      </c>
      <c r="M6" s="60">
        <f>IF(L6="Ne pas lancer",0,IF(L6="Ouvrir +1 classe",E6+'08_Moteur'!O3,E6))</f>
        <v/>
      </c>
      <c r="N6" s="24">
        <f>IF(L6="Ne pas lancer",0,IF(L6="Ouvrir +1 classe",H6+'08_Moteur'!O3*('08_Moteur'!AE3*'08_Moteur'!AF3-('08_Moteur'!R3+'01_Cadrage'!$H$26)*(1+'01_Cadrage'!$H$20)-'08_Moteur'!S3)-'08_Moteur'!U3,IF(L6="Regrouper (-1 classe)",IF(AND('08_Moteur'!AI3&gt;=2,E6&lt;=('08_Moteur'!AI3-1)*'08_Moteur'!O3*1.1),H6+'08_Moteur'!U3,H6),H6)))</f>
        <v/>
      </c>
      <c r="O6" s="24">
        <f>M6*IFERROR(('09_Allocation'!E20+'09_Allocation'!F20+'09_Allocation'!I20)/SUM(M6:M63),0)</f>
        <v/>
      </c>
      <c r="P6" s="24">
        <f>N6-O6</f>
        <v/>
      </c>
      <c r="Q6" s="22">
        <f>N6-H6</f>
        <v/>
      </c>
    </row>
    <row r="7">
      <c r="A7" s="57">
        <f>'08_Moteur'!A4</f>
        <v/>
      </c>
      <c r="B7" s="10">
        <f>'08_Moteur'!B4</f>
        <v/>
      </c>
      <c r="C7" s="57">
        <f>'08_Moteur'!C4</f>
        <v/>
      </c>
      <c r="D7" s="10">
        <f>'08_Moteur'!D4</f>
        <v/>
      </c>
      <c r="E7" s="58">
        <f>'08_Moteur'!AD4</f>
        <v/>
      </c>
      <c r="F7" s="21">
        <f>'08_Moteur'!AH4</f>
        <v/>
      </c>
      <c r="G7" s="24">
        <f>F7-'08_Moteur'!AM4</f>
        <v/>
      </c>
      <c r="H7" s="73">
        <f>'08_Moteur'!AM4</f>
        <v/>
      </c>
      <c r="I7" s="79">
        <f>'08_Moteur'!AN4</f>
        <v/>
      </c>
      <c r="J7" s="80">
        <f>IF(H7&lt;0,"🔴 Restructurer (mutualiser)",IF(AND('08_Moteur'!AI4&gt;=2,E7&lt;=('08_Moteur'!AI4-1)*'08_Moteur'!O4*1.1),"🟡 Regroupable (−1 classe tient en capacité)",IF(I7&lt;0.55,"🟠 Sous-rempli mais −1 classe déborderait","🟢 Maintenir")))</f>
        <v/>
      </c>
      <c r="K7" s="81">
        <f>"Poursuite : cohorte déjà inscrite → seul levier = regrouper. −1 classe créditée uniquement si l'effectif tient dans les classes restantes (capacité +10% tolérée). Remplissage si −1 classe : "&amp;IF('08_Moteur'!AI4&gt;=2,TEXT(IFERROR(E7/(('08_Moteur'!AI4-1)*'08_Moteur'!O4),0),"0%"),"n/a (1 seule classe)")</f>
        <v/>
      </c>
      <c r="L7" s="16" t="inlineStr">
        <is>
          <t>Maintenir</t>
        </is>
      </c>
      <c r="M7" s="60">
        <f>IF(L7="Ne pas lancer",0,IF(L7="Ouvrir +1 classe",E7+'08_Moteur'!O4,E7))</f>
        <v/>
      </c>
      <c r="N7" s="24">
        <f>IF(L7="Ne pas lancer",0,IF(L7="Ouvrir +1 classe",H7+'08_Moteur'!O4*('08_Moteur'!AE4*'08_Moteur'!AF4-('08_Moteur'!R4+'01_Cadrage'!$H$26)*(1+'01_Cadrage'!$H$20)-'08_Moteur'!S4)-'08_Moteur'!U4,IF(L7="Regrouper (-1 classe)",IF(AND('08_Moteur'!AI4&gt;=2,E7&lt;=('08_Moteur'!AI4-1)*'08_Moteur'!O4*1.1),H7+'08_Moteur'!U4,H7),H7)))</f>
        <v/>
      </c>
      <c r="O7" s="24">
        <f>M7*IFERROR(('09_Allocation'!E20+'09_Allocation'!F20+'09_Allocation'!I20)/SUM(M6:M63),0)</f>
        <v/>
      </c>
      <c r="P7" s="24">
        <f>N7-O7</f>
        <v/>
      </c>
      <c r="Q7" s="22">
        <f>N7-H7</f>
        <v/>
      </c>
    </row>
    <row r="8">
      <c r="A8" s="57">
        <f>'08_Moteur'!A5</f>
        <v/>
      </c>
      <c r="B8" s="10">
        <f>'08_Moteur'!B5</f>
        <v/>
      </c>
      <c r="C8" s="57">
        <f>'08_Moteur'!C5</f>
        <v/>
      </c>
      <c r="D8" s="10">
        <f>'08_Moteur'!D5</f>
        <v/>
      </c>
      <c r="E8" s="58">
        <f>'08_Moteur'!AD5</f>
        <v/>
      </c>
      <c r="F8" s="21">
        <f>'08_Moteur'!AH5</f>
        <v/>
      </c>
      <c r="G8" s="24">
        <f>F8-'08_Moteur'!AM5</f>
        <v/>
      </c>
      <c r="H8" s="73">
        <f>'08_Moteur'!AM5</f>
        <v/>
      </c>
      <c r="I8" s="79">
        <f>'08_Moteur'!AN5</f>
        <v/>
      </c>
      <c r="J8" s="80">
        <f>IF(H8&lt;0,"🔴 Restructurer (mutualiser)",IF(AND('08_Moteur'!AI5&gt;=2,E8&lt;=('08_Moteur'!AI5-1)*'08_Moteur'!O5*1.1),"🟡 Regroupable (−1 classe tient en capacité)",IF(I8&lt;0.55,"🟠 Sous-rempli mais −1 classe déborderait","🟢 Maintenir")))</f>
        <v/>
      </c>
      <c r="K8" s="81">
        <f>"Poursuite : cohorte déjà inscrite → seul levier = regrouper. −1 classe créditée uniquement si l'effectif tient dans les classes restantes (capacité +10% tolérée). Remplissage si −1 classe : "&amp;IF('08_Moteur'!AI5&gt;=2,TEXT(IFERROR(E8/(('08_Moteur'!AI5-1)*'08_Moteur'!O5),0),"0%"),"n/a (1 seule classe)")</f>
        <v/>
      </c>
      <c r="L8" s="16" t="inlineStr">
        <is>
          <t>Maintenir</t>
        </is>
      </c>
      <c r="M8" s="60">
        <f>IF(L8="Ne pas lancer",0,IF(L8="Ouvrir +1 classe",E8+'08_Moteur'!O5,E8))</f>
        <v/>
      </c>
      <c r="N8" s="24">
        <f>IF(L8="Ne pas lancer",0,IF(L8="Ouvrir +1 classe",H8+'08_Moteur'!O5*('08_Moteur'!AE5*'08_Moteur'!AF5-('08_Moteur'!R5+'01_Cadrage'!$H$26)*(1+'01_Cadrage'!$H$20)-'08_Moteur'!S5)-'08_Moteur'!U5,IF(L8="Regrouper (-1 classe)",IF(AND('08_Moteur'!AI5&gt;=2,E8&lt;=('08_Moteur'!AI5-1)*'08_Moteur'!O5*1.1),H8+'08_Moteur'!U5,H8),H8)))</f>
        <v/>
      </c>
      <c r="O8" s="24">
        <f>M8*IFERROR(('09_Allocation'!E20+'09_Allocation'!F20+'09_Allocation'!I20)/SUM(M6:M63),0)</f>
        <v/>
      </c>
      <c r="P8" s="24">
        <f>N8-O8</f>
        <v/>
      </c>
      <c r="Q8" s="22">
        <f>N8-H8</f>
        <v/>
      </c>
    </row>
    <row r="9">
      <c r="A9" s="57">
        <f>'08_Moteur'!A6</f>
        <v/>
      </c>
      <c r="B9" s="10">
        <f>'08_Moteur'!B6</f>
        <v/>
      </c>
      <c r="C9" s="57">
        <f>'08_Moteur'!C6</f>
        <v/>
      </c>
      <c r="D9" s="10">
        <f>'08_Moteur'!D6</f>
        <v/>
      </c>
      <c r="E9" s="58">
        <f>'08_Moteur'!AD6</f>
        <v/>
      </c>
      <c r="F9" s="21">
        <f>'08_Moteur'!AH6</f>
        <v/>
      </c>
      <c r="G9" s="24">
        <f>F9-'08_Moteur'!AM6</f>
        <v/>
      </c>
      <c r="H9" s="73">
        <f>'08_Moteur'!AM6</f>
        <v/>
      </c>
      <c r="I9" s="79">
        <f>'08_Moteur'!AN6</f>
        <v/>
      </c>
      <c r="J9" s="80">
        <f>IF(H9&lt;0,"🔴 Ne pas lancer",IF(I9&gt;=0.95,"🟢 Ouvrir +1 (capter+diluer)",IF(I9&lt;0.55,"🟡 Surveiller","🟢 Maintenir")))</f>
        <v/>
      </c>
      <c r="K9" s="81">
        <f>IF(H9&lt;0,"Entrée à contribution négative → ne pas lancer cette cohorte",IF(I9&gt;=0.95,"Saturé → ouvrir capte des étudiants ET dilue la structure pour tous",IF(I9&lt;0.55,"Sous-rempli mais contribution positive → garder","Sain")))</f>
        <v/>
      </c>
      <c r="L9" s="16" t="inlineStr">
        <is>
          <t>Maintenir</t>
        </is>
      </c>
      <c r="M9" s="60">
        <f>IF(L9="Ne pas lancer",0,IF(L9="Ouvrir +1 classe",E9+'08_Moteur'!O6,E9))</f>
        <v/>
      </c>
      <c r="N9" s="24">
        <f>IF(L9="Ne pas lancer",0,IF(L9="Ouvrir +1 classe",H9+'08_Moteur'!O6*('08_Moteur'!AE6*'08_Moteur'!AF6-('08_Moteur'!R6+'01_Cadrage'!$H$26)*(1+'01_Cadrage'!$H$20)-'08_Moteur'!S6)-'08_Moteur'!U6,IF(L9="Regrouper (-1 classe)",IF(AND('08_Moteur'!AI6&gt;=2,E9&lt;=('08_Moteur'!AI6-1)*'08_Moteur'!O6*1.1),H9+'08_Moteur'!U6,H9),H9)))</f>
        <v/>
      </c>
      <c r="O9" s="24">
        <f>M9*IFERROR(('09_Allocation'!E20+'09_Allocation'!F20+'09_Allocation'!I20)/SUM(M6:M63),0)</f>
        <v/>
      </c>
      <c r="P9" s="24">
        <f>N9-O9</f>
        <v/>
      </c>
      <c r="Q9" s="22">
        <f>N9-H9</f>
        <v/>
      </c>
    </row>
    <row r="10">
      <c r="A10" s="57">
        <f>'08_Moteur'!A7</f>
        <v/>
      </c>
      <c r="B10" s="10">
        <f>'08_Moteur'!B7</f>
        <v/>
      </c>
      <c r="C10" s="57">
        <f>'08_Moteur'!C7</f>
        <v/>
      </c>
      <c r="D10" s="10">
        <f>'08_Moteur'!D7</f>
        <v/>
      </c>
      <c r="E10" s="58">
        <f>'08_Moteur'!AD7</f>
        <v/>
      </c>
      <c r="F10" s="21">
        <f>'08_Moteur'!AH7</f>
        <v/>
      </c>
      <c r="G10" s="24">
        <f>F10-'08_Moteur'!AM7</f>
        <v/>
      </c>
      <c r="H10" s="73">
        <f>'08_Moteur'!AM7</f>
        <v/>
      </c>
      <c r="I10" s="79">
        <f>'08_Moteur'!AN7</f>
        <v/>
      </c>
      <c r="J10" s="80">
        <f>IF(H10&lt;0,"🔴 Restructurer (mutualiser)",IF(AND('08_Moteur'!AI7&gt;=2,E10&lt;=('08_Moteur'!AI7-1)*'08_Moteur'!O7*1.1),"🟡 Regroupable (−1 classe tient en capacité)",IF(I10&lt;0.55,"🟠 Sous-rempli mais −1 classe déborderait","🟢 Maintenir")))</f>
        <v/>
      </c>
      <c r="K10" s="81">
        <f>"Poursuite : cohorte déjà inscrite → seul levier = regrouper. −1 classe créditée uniquement si l'effectif tient dans les classes restantes (capacité +10% tolérée). Remplissage si −1 classe : "&amp;IF('08_Moteur'!AI7&gt;=2,TEXT(IFERROR(E10/(('08_Moteur'!AI7-1)*'08_Moteur'!O7),0),"0%"),"n/a (1 seule classe)")</f>
        <v/>
      </c>
      <c r="L10" s="16" t="inlineStr">
        <is>
          <t>Maintenir</t>
        </is>
      </c>
      <c r="M10" s="60">
        <f>IF(L10="Ne pas lancer",0,IF(L10="Ouvrir +1 classe",E10+'08_Moteur'!O7,E10))</f>
        <v/>
      </c>
      <c r="N10" s="24">
        <f>IF(L10="Ne pas lancer",0,IF(L10="Ouvrir +1 classe",H10+'08_Moteur'!O7*('08_Moteur'!AE7*'08_Moteur'!AF7-('08_Moteur'!R7+'01_Cadrage'!$H$26)*(1+'01_Cadrage'!$H$20)-'08_Moteur'!S7)-'08_Moteur'!U7,IF(L10="Regrouper (-1 classe)",IF(AND('08_Moteur'!AI7&gt;=2,E10&lt;=('08_Moteur'!AI7-1)*'08_Moteur'!O7*1.1),H10+'08_Moteur'!U7,H10),H10)))</f>
        <v/>
      </c>
      <c r="O10" s="24">
        <f>M10*IFERROR(('09_Allocation'!E20+'09_Allocation'!F20+'09_Allocation'!I20)/SUM(M6:M63),0)</f>
        <v/>
      </c>
      <c r="P10" s="24">
        <f>N10-O10</f>
        <v/>
      </c>
      <c r="Q10" s="22">
        <f>N10-H10</f>
        <v/>
      </c>
    </row>
    <row r="11">
      <c r="A11" s="57">
        <f>'08_Moteur'!A8</f>
        <v/>
      </c>
      <c r="B11" s="10">
        <f>'08_Moteur'!B8</f>
        <v/>
      </c>
      <c r="C11" s="57">
        <f>'08_Moteur'!C8</f>
        <v/>
      </c>
      <c r="D11" s="10">
        <f>'08_Moteur'!D8</f>
        <v/>
      </c>
      <c r="E11" s="58">
        <f>'08_Moteur'!AD8</f>
        <v/>
      </c>
      <c r="F11" s="21">
        <f>'08_Moteur'!AH8</f>
        <v/>
      </c>
      <c r="G11" s="24">
        <f>F11-'08_Moteur'!AM8</f>
        <v/>
      </c>
      <c r="H11" s="73">
        <f>'08_Moteur'!AM8</f>
        <v/>
      </c>
      <c r="I11" s="79">
        <f>'08_Moteur'!AN8</f>
        <v/>
      </c>
      <c r="J11" s="80">
        <f>IF(H11&lt;0,"🔴 Ne pas lancer",IF(I11&gt;=0.95,"🟢 Ouvrir +1 (capter+diluer)",IF(I11&lt;0.55,"🟡 Surveiller","🟢 Maintenir")))</f>
        <v/>
      </c>
      <c r="K11" s="81">
        <f>IF(H11&lt;0,"Entrée à contribution négative → ne pas lancer cette cohorte",IF(I11&gt;=0.95,"Saturé → ouvrir capte des étudiants ET dilue la structure pour tous",IF(I11&lt;0.55,"Sous-rempli mais contribution positive → garder","Sain")))</f>
        <v/>
      </c>
      <c r="L11" s="16" t="inlineStr">
        <is>
          <t>Maintenir</t>
        </is>
      </c>
      <c r="M11" s="60">
        <f>IF(L11="Ne pas lancer",0,IF(L11="Ouvrir +1 classe",E11+'08_Moteur'!O8,E11))</f>
        <v/>
      </c>
      <c r="N11" s="24">
        <f>IF(L11="Ne pas lancer",0,IF(L11="Ouvrir +1 classe",H11+'08_Moteur'!O8*('08_Moteur'!AE8*'08_Moteur'!AF8-('08_Moteur'!R8+'01_Cadrage'!$H$26)*(1+'01_Cadrage'!$H$20)-'08_Moteur'!S8)-'08_Moteur'!U8,IF(L11="Regrouper (-1 classe)",IF(AND('08_Moteur'!AI8&gt;=2,E11&lt;=('08_Moteur'!AI8-1)*'08_Moteur'!O8*1.1),H11+'08_Moteur'!U8,H11),H11)))</f>
        <v/>
      </c>
      <c r="O11" s="24">
        <f>M11*IFERROR(('09_Allocation'!E20+'09_Allocation'!F20+'09_Allocation'!I20)/SUM(M6:M63),0)</f>
        <v/>
      </c>
      <c r="P11" s="24">
        <f>N11-O11</f>
        <v/>
      </c>
      <c r="Q11" s="22">
        <f>N11-H11</f>
        <v/>
      </c>
    </row>
    <row r="12">
      <c r="A12" s="57">
        <f>'08_Moteur'!A9</f>
        <v/>
      </c>
      <c r="B12" s="10">
        <f>'08_Moteur'!B9</f>
        <v/>
      </c>
      <c r="C12" s="57">
        <f>'08_Moteur'!C9</f>
        <v/>
      </c>
      <c r="D12" s="10">
        <f>'08_Moteur'!D9</f>
        <v/>
      </c>
      <c r="E12" s="58">
        <f>'08_Moteur'!AD9</f>
        <v/>
      </c>
      <c r="F12" s="21">
        <f>'08_Moteur'!AH9</f>
        <v/>
      </c>
      <c r="G12" s="24">
        <f>F12-'08_Moteur'!AM9</f>
        <v/>
      </c>
      <c r="H12" s="73">
        <f>'08_Moteur'!AM9</f>
        <v/>
      </c>
      <c r="I12" s="79">
        <f>'08_Moteur'!AN9</f>
        <v/>
      </c>
      <c r="J12" s="80">
        <f>IF(H12&lt;0,"🔴 Restructurer (mutualiser)",IF(AND('08_Moteur'!AI9&gt;=2,E12&lt;=('08_Moteur'!AI9-1)*'08_Moteur'!O9*1.1),"🟡 Regroupable (−1 classe tient en capacité)",IF(I12&lt;0.55,"🟠 Sous-rempli mais −1 classe déborderait","🟢 Maintenir")))</f>
        <v/>
      </c>
      <c r="K12" s="81">
        <f>"Poursuite : cohorte déjà inscrite → seul levier = regrouper. −1 classe créditée uniquement si l'effectif tient dans les classes restantes (capacité +10% tolérée). Remplissage si −1 classe : "&amp;IF('08_Moteur'!AI9&gt;=2,TEXT(IFERROR(E12/(('08_Moteur'!AI9-1)*'08_Moteur'!O9),0),"0%"),"n/a (1 seule classe)")</f>
        <v/>
      </c>
      <c r="L12" s="16" t="inlineStr">
        <is>
          <t>Maintenir</t>
        </is>
      </c>
      <c r="M12" s="60">
        <f>IF(L12="Ne pas lancer",0,IF(L12="Ouvrir +1 classe",E12+'08_Moteur'!O9,E12))</f>
        <v/>
      </c>
      <c r="N12" s="24">
        <f>IF(L12="Ne pas lancer",0,IF(L12="Ouvrir +1 classe",H12+'08_Moteur'!O9*('08_Moteur'!AE9*'08_Moteur'!AF9-('08_Moteur'!R9+'01_Cadrage'!$H$26)*(1+'01_Cadrage'!$H$20)-'08_Moteur'!S9)-'08_Moteur'!U9,IF(L12="Regrouper (-1 classe)",IF(AND('08_Moteur'!AI9&gt;=2,E12&lt;=('08_Moteur'!AI9-1)*'08_Moteur'!O9*1.1),H12+'08_Moteur'!U9,H12),H12)))</f>
        <v/>
      </c>
      <c r="O12" s="24">
        <f>M12*IFERROR(('09_Allocation'!E20+'09_Allocation'!F20+'09_Allocation'!I20)/SUM(M6:M63),0)</f>
        <v/>
      </c>
      <c r="P12" s="24">
        <f>N12-O12</f>
        <v/>
      </c>
      <c r="Q12" s="22">
        <f>N12-H12</f>
        <v/>
      </c>
    </row>
    <row r="13">
      <c r="A13" s="57">
        <f>'08_Moteur'!A10</f>
        <v/>
      </c>
      <c r="B13" s="10">
        <f>'08_Moteur'!B10</f>
        <v/>
      </c>
      <c r="C13" s="57">
        <f>'08_Moteur'!C10</f>
        <v/>
      </c>
      <c r="D13" s="10">
        <f>'08_Moteur'!D10</f>
        <v/>
      </c>
      <c r="E13" s="58">
        <f>'08_Moteur'!AD10</f>
        <v/>
      </c>
      <c r="F13" s="21">
        <f>'08_Moteur'!AH10</f>
        <v/>
      </c>
      <c r="G13" s="24">
        <f>F13-'08_Moteur'!AM10</f>
        <v/>
      </c>
      <c r="H13" s="73">
        <f>'08_Moteur'!AM10</f>
        <v/>
      </c>
      <c r="I13" s="79">
        <f>'08_Moteur'!AN10</f>
        <v/>
      </c>
      <c r="J13" s="80">
        <f>IF(H13&lt;0,"🔴 Restructurer (mutualiser)",IF(AND('08_Moteur'!AI10&gt;=2,E13&lt;=('08_Moteur'!AI10-1)*'08_Moteur'!O10*1.1),"🟡 Regroupable (−1 classe tient en capacité)",IF(I13&lt;0.55,"🟠 Sous-rempli mais −1 classe déborderait","🟢 Maintenir")))</f>
        <v/>
      </c>
      <c r="K13" s="81">
        <f>"Poursuite : cohorte déjà inscrite → seul levier = regrouper. −1 classe créditée uniquement si l'effectif tient dans les classes restantes (capacité +10% tolérée). Remplissage si −1 classe : "&amp;IF('08_Moteur'!AI10&gt;=2,TEXT(IFERROR(E13/(('08_Moteur'!AI10-1)*'08_Moteur'!O10),0),"0%"),"n/a (1 seule classe)")</f>
        <v/>
      </c>
      <c r="L13" s="16" t="inlineStr">
        <is>
          <t>Maintenir</t>
        </is>
      </c>
      <c r="M13" s="60">
        <f>IF(L13="Ne pas lancer",0,IF(L13="Ouvrir +1 classe",E13+'08_Moteur'!O10,E13))</f>
        <v/>
      </c>
      <c r="N13" s="24">
        <f>IF(L13="Ne pas lancer",0,IF(L13="Ouvrir +1 classe",H13+'08_Moteur'!O10*('08_Moteur'!AE10*'08_Moteur'!AF10-('08_Moteur'!R10+'01_Cadrage'!$H$26)*(1+'01_Cadrage'!$H$20)-'08_Moteur'!S10)-'08_Moteur'!U10,IF(L13="Regrouper (-1 classe)",IF(AND('08_Moteur'!AI10&gt;=2,E13&lt;=('08_Moteur'!AI10-1)*'08_Moteur'!O10*1.1),H13+'08_Moteur'!U10,H13),H13)))</f>
        <v/>
      </c>
      <c r="O13" s="24">
        <f>M13*IFERROR(('09_Allocation'!E20+'09_Allocation'!F20+'09_Allocation'!I20)/SUM(M6:M63),0)</f>
        <v/>
      </c>
      <c r="P13" s="24">
        <f>N13-O13</f>
        <v/>
      </c>
      <c r="Q13" s="22">
        <f>N13-H13</f>
        <v/>
      </c>
    </row>
    <row r="14">
      <c r="A14" s="57">
        <f>'08_Moteur'!A11</f>
        <v/>
      </c>
      <c r="B14" s="10">
        <f>'08_Moteur'!B11</f>
        <v/>
      </c>
      <c r="C14" s="57">
        <f>'08_Moteur'!C11</f>
        <v/>
      </c>
      <c r="D14" s="10">
        <f>'08_Moteur'!D11</f>
        <v/>
      </c>
      <c r="E14" s="58">
        <f>'08_Moteur'!AD11</f>
        <v/>
      </c>
      <c r="F14" s="21">
        <f>'08_Moteur'!AH11</f>
        <v/>
      </c>
      <c r="G14" s="24">
        <f>F14-'08_Moteur'!AM11</f>
        <v/>
      </c>
      <c r="H14" s="73">
        <f>'08_Moteur'!AM11</f>
        <v/>
      </c>
      <c r="I14" s="79">
        <f>'08_Moteur'!AN11</f>
        <v/>
      </c>
      <c r="J14" s="80">
        <f>IF(H14&lt;0,"🔴 Ne pas lancer",IF(I14&gt;=0.95,"🟢 Ouvrir +1 (capter+diluer)",IF(I14&lt;0.55,"🟡 Surveiller","🟢 Maintenir")))</f>
        <v/>
      </c>
      <c r="K14" s="81">
        <f>IF(H14&lt;0,"Entrée à contribution négative → ne pas lancer cette cohorte",IF(I14&gt;=0.95,"Saturé → ouvrir capte des étudiants ET dilue la structure pour tous",IF(I14&lt;0.55,"Sous-rempli mais contribution positive → garder","Sain")))</f>
        <v/>
      </c>
      <c r="L14" s="16" t="inlineStr">
        <is>
          <t>Maintenir</t>
        </is>
      </c>
      <c r="M14" s="60">
        <f>IF(L14="Ne pas lancer",0,IF(L14="Ouvrir +1 classe",E14+'08_Moteur'!O11,E14))</f>
        <v/>
      </c>
      <c r="N14" s="24">
        <f>IF(L14="Ne pas lancer",0,IF(L14="Ouvrir +1 classe",H14+'08_Moteur'!O11*('08_Moteur'!AE11*'08_Moteur'!AF11-('08_Moteur'!R11+'01_Cadrage'!$H$26)*(1+'01_Cadrage'!$H$20)-'08_Moteur'!S11)-'08_Moteur'!U11,IF(L14="Regrouper (-1 classe)",IF(AND('08_Moteur'!AI11&gt;=2,E14&lt;=('08_Moteur'!AI11-1)*'08_Moteur'!O11*1.1),H14+'08_Moteur'!U11,H14),H14)))</f>
        <v/>
      </c>
      <c r="O14" s="24">
        <f>M14*IFERROR(('09_Allocation'!E20+'09_Allocation'!F20+'09_Allocation'!I20)/SUM(M6:M63),0)</f>
        <v/>
      </c>
      <c r="P14" s="24">
        <f>N14-O14</f>
        <v/>
      </c>
      <c r="Q14" s="22">
        <f>N14-H14</f>
        <v/>
      </c>
    </row>
    <row r="15">
      <c r="A15" s="57">
        <f>'08_Moteur'!A12</f>
        <v/>
      </c>
      <c r="B15" s="10">
        <f>'08_Moteur'!B12</f>
        <v/>
      </c>
      <c r="C15" s="57">
        <f>'08_Moteur'!C12</f>
        <v/>
      </c>
      <c r="D15" s="10">
        <f>'08_Moteur'!D12</f>
        <v/>
      </c>
      <c r="E15" s="58">
        <f>'08_Moteur'!AD12</f>
        <v/>
      </c>
      <c r="F15" s="21">
        <f>'08_Moteur'!AH12</f>
        <v/>
      </c>
      <c r="G15" s="24">
        <f>F15-'08_Moteur'!AM12</f>
        <v/>
      </c>
      <c r="H15" s="73">
        <f>'08_Moteur'!AM12</f>
        <v/>
      </c>
      <c r="I15" s="79">
        <f>'08_Moteur'!AN12</f>
        <v/>
      </c>
      <c r="J15" s="80">
        <f>IF(H15&lt;0,"🔴 Restructurer (mutualiser)",IF(AND('08_Moteur'!AI12&gt;=2,E15&lt;=('08_Moteur'!AI12-1)*'08_Moteur'!O12*1.1),"🟡 Regroupable (−1 classe tient en capacité)",IF(I15&lt;0.55,"🟠 Sous-rempli mais −1 classe déborderait","🟢 Maintenir")))</f>
        <v/>
      </c>
      <c r="K15" s="81">
        <f>"Poursuite : cohorte déjà inscrite → seul levier = regrouper. −1 classe créditée uniquement si l'effectif tient dans les classes restantes (capacité +10% tolérée). Remplissage si −1 classe : "&amp;IF('08_Moteur'!AI12&gt;=2,TEXT(IFERROR(E15/(('08_Moteur'!AI12-1)*'08_Moteur'!O12),0),"0%"),"n/a (1 seule classe)")</f>
        <v/>
      </c>
      <c r="L15" s="16" t="inlineStr">
        <is>
          <t>Maintenir</t>
        </is>
      </c>
      <c r="M15" s="60">
        <f>IF(L15="Ne pas lancer",0,IF(L15="Ouvrir +1 classe",E15+'08_Moteur'!O12,E15))</f>
        <v/>
      </c>
      <c r="N15" s="24">
        <f>IF(L15="Ne pas lancer",0,IF(L15="Ouvrir +1 classe",H15+'08_Moteur'!O12*('08_Moteur'!AE12*'08_Moteur'!AF12-('08_Moteur'!R12+'01_Cadrage'!$H$26)*(1+'01_Cadrage'!$H$20)-'08_Moteur'!S12)-'08_Moteur'!U12,IF(L15="Regrouper (-1 classe)",IF(AND('08_Moteur'!AI12&gt;=2,E15&lt;=('08_Moteur'!AI12-1)*'08_Moteur'!O12*1.1),H15+'08_Moteur'!U12,H15),H15)))</f>
        <v/>
      </c>
      <c r="O15" s="24">
        <f>M15*IFERROR(('09_Allocation'!E20+'09_Allocation'!F20+'09_Allocation'!I20)/SUM(M6:M63),0)</f>
        <v/>
      </c>
      <c r="P15" s="24">
        <f>N15-O15</f>
        <v/>
      </c>
      <c r="Q15" s="22">
        <f>N15-H15</f>
        <v/>
      </c>
    </row>
    <row r="16">
      <c r="A16" s="57">
        <f>'08_Moteur'!A13</f>
        <v/>
      </c>
      <c r="B16" s="10">
        <f>'08_Moteur'!B13</f>
        <v/>
      </c>
      <c r="C16" s="57">
        <f>'08_Moteur'!C13</f>
        <v/>
      </c>
      <c r="D16" s="10">
        <f>'08_Moteur'!D13</f>
        <v/>
      </c>
      <c r="E16" s="58">
        <f>'08_Moteur'!AD13</f>
        <v/>
      </c>
      <c r="F16" s="21">
        <f>'08_Moteur'!AH13</f>
        <v/>
      </c>
      <c r="G16" s="24">
        <f>F16-'08_Moteur'!AM13</f>
        <v/>
      </c>
      <c r="H16" s="73">
        <f>'08_Moteur'!AM13</f>
        <v/>
      </c>
      <c r="I16" s="79">
        <f>'08_Moteur'!AN13</f>
        <v/>
      </c>
      <c r="J16" s="80">
        <f>IF(H16&lt;0,"🔴 Ne pas lancer",IF(I16&gt;=0.95,"🟢 Ouvrir +1 (capter+diluer)",IF(I16&lt;0.55,"🟡 Surveiller","🟢 Maintenir")))</f>
        <v/>
      </c>
      <c r="K16" s="81">
        <f>IF(H16&lt;0,"Entrée à contribution négative → ne pas lancer cette cohorte",IF(I16&gt;=0.95,"Saturé → ouvrir capte des étudiants ET dilue la structure pour tous",IF(I16&lt;0.55,"Sous-rempli mais contribution positive → garder","Sain")))</f>
        <v/>
      </c>
      <c r="L16" s="16" t="inlineStr">
        <is>
          <t>Maintenir</t>
        </is>
      </c>
      <c r="M16" s="60">
        <f>IF(L16="Ne pas lancer",0,IF(L16="Ouvrir +1 classe",E16+'08_Moteur'!O13,E16))</f>
        <v/>
      </c>
      <c r="N16" s="24">
        <f>IF(L16="Ne pas lancer",0,IF(L16="Ouvrir +1 classe",H16+'08_Moteur'!O13*('08_Moteur'!AE13*'08_Moteur'!AF13-('08_Moteur'!R13+'01_Cadrage'!$H$26)*(1+'01_Cadrage'!$H$20)-'08_Moteur'!S13)-'08_Moteur'!U13,IF(L16="Regrouper (-1 classe)",IF(AND('08_Moteur'!AI13&gt;=2,E16&lt;=('08_Moteur'!AI13-1)*'08_Moteur'!O13*1.1),H16+'08_Moteur'!U13,H16),H16)))</f>
        <v/>
      </c>
      <c r="O16" s="24">
        <f>M16*IFERROR(('09_Allocation'!E20+'09_Allocation'!F20+'09_Allocation'!I20)/SUM(M6:M63),0)</f>
        <v/>
      </c>
      <c r="P16" s="24">
        <f>N16-O16</f>
        <v/>
      </c>
      <c r="Q16" s="22">
        <f>N16-H16</f>
        <v/>
      </c>
    </row>
    <row r="17">
      <c r="A17" s="57">
        <f>'08_Moteur'!A14</f>
        <v/>
      </c>
      <c r="B17" s="10">
        <f>'08_Moteur'!B14</f>
        <v/>
      </c>
      <c r="C17" s="57">
        <f>'08_Moteur'!C14</f>
        <v/>
      </c>
      <c r="D17" s="10">
        <f>'08_Moteur'!D14</f>
        <v/>
      </c>
      <c r="E17" s="58">
        <f>'08_Moteur'!AD14</f>
        <v/>
      </c>
      <c r="F17" s="21">
        <f>'08_Moteur'!AH14</f>
        <v/>
      </c>
      <c r="G17" s="24">
        <f>F17-'08_Moteur'!AM14</f>
        <v/>
      </c>
      <c r="H17" s="73">
        <f>'08_Moteur'!AM14</f>
        <v/>
      </c>
      <c r="I17" s="79">
        <f>'08_Moteur'!AN14</f>
        <v/>
      </c>
      <c r="J17" s="80">
        <f>IF(H17&lt;0,"🔴 Restructurer (mutualiser)",IF(AND('08_Moteur'!AI14&gt;=2,E17&lt;=('08_Moteur'!AI14-1)*'08_Moteur'!O14*1.1),"🟡 Regroupable (−1 classe tient en capacité)",IF(I17&lt;0.55,"🟠 Sous-rempli mais −1 classe déborderait","🟢 Maintenir")))</f>
        <v/>
      </c>
      <c r="K17" s="81">
        <f>"Poursuite : cohorte déjà inscrite → seul levier = regrouper. −1 classe créditée uniquement si l'effectif tient dans les classes restantes (capacité +10% tolérée). Remplissage si −1 classe : "&amp;IF('08_Moteur'!AI14&gt;=2,TEXT(IFERROR(E17/(('08_Moteur'!AI14-1)*'08_Moteur'!O14),0),"0%"),"n/a (1 seule classe)")</f>
        <v/>
      </c>
      <c r="L17" s="16" t="inlineStr">
        <is>
          <t>Maintenir</t>
        </is>
      </c>
      <c r="M17" s="60">
        <f>IF(L17="Ne pas lancer",0,IF(L17="Ouvrir +1 classe",E17+'08_Moteur'!O14,E17))</f>
        <v/>
      </c>
      <c r="N17" s="24">
        <f>IF(L17="Ne pas lancer",0,IF(L17="Ouvrir +1 classe",H17+'08_Moteur'!O14*('08_Moteur'!AE14*'08_Moteur'!AF14-('08_Moteur'!R14+'01_Cadrage'!$H$26)*(1+'01_Cadrage'!$H$20)-'08_Moteur'!S14)-'08_Moteur'!U14,IF(L17="Regrouper (-1 classe)",IF(AND('08_Moteur'!AI14&gt;=2,E17&lt;=('08_Moteur'!AI14-1)*'08_Moteur'!O14*1.1),H17+'08_Moteur'!U14,H17),H17)))</f>
        <v/>
      </c>
      <c r="O17" s="24">
        <f>M17*IFERROR(('09_Allocation'!E20+'09_Allocation'!F20+'09_Allocation'!I20)/SUM(M6:M63),0)</f>
        <v/>
      </c>
      <c r="P17" s="24">
        <f>N17-O17</f>
        <v/>
      </c>
      <c r="Q17" s="22">
        <f>N17-H17</f>
        <v/>
      </c>
    </row>
    <row r="18">
      <c r="A18" s="57">
        <f>'08_Moteur'!A15</f>
        <v/>
      </c>
      <c r="B18" s="10">
        <f>'08_Moteur'!B15</f>
        <v/>
      </c>
      <c r="C18" s="57">
        <f>'08_Moteur'!C15</f>
        <v/>
      </c>
      <c r="D18" s="10">
        <f>'08_Moteur'!D15</f>
        <v/>
      </c>
      <c r="E18" s="58">
        <f>'08_Moteur'!AD15</f>
        <v/>
      </c>
      <c r="F18" s="21">
        <f>'08_Moteur'!AH15</f>
        <v/>
      </c>
      <c r="G18" s="24">
        <f>F18-'08_Moteur'!AM15</f>
        <v/>
      </c>
      <c r="H18" s="73">
        <f>'08_Moteur'!AM15</f>
        <v/>
      </c>
      <c r="I18" s="79">
        <f>'08_Moteur'!AN15</f>
        <v/>
      </c>
      <c r="J18" s="80">
        <f>IF(H18&lt;0,"🔴 Restructurer (mutualiser)",IF(AND('08_Moteur'!AI15&gt;=2,E18&lt;=('08_Moteur'!AI15-1)*'08_Moteur'!O15*1.1),"🟡 Regroupable (−1 classe tient en capacité)",IF(I18&lt;0.55,"🟠 Sous-rempli mais −1 classe déborderait","🟢 Maintenir")))</f>
        <v/>
      </c>
      <c r="K18" s="81">
        <f>"Poursuite : cohorte déjà inscrite → seul levier = regrouper. −1 classe créditée uniquement si l'effectif tient dans les classes restantes (capacité +10% tolérée). Remplissage si −1 classe : "&amp;IF('08_Moteur'!AI15&gt;=2,TEXT(IFERROR(E18/(('08_Moteur'!AI15-1)*'08_Moteur'!O15),0),"0%"),"n/a (1 seule classe)")</f>
        <v/>
      </c>
      <c r="L18" s="16" t="inlineStr">
        <is>
          <t>Maintenir</t>
        </is>
      </c>
      <c r="M18" s="60">
        <f>IF(L18="Ne pas lancer",0,IF(L18="Ouvrir +1 classe",E18+'08_Moteur'!O15,E18))</f>
        <v/>
      </c>
      <c r="N18" s="24">
        <f>IF(L18="Ne pas lancer",0,IF(L18="Ouvrir +1 classe",H18+'08_Moteur'!O15*('08_Moteur'!AE15*'08_Moteur'!AF15-('08_Moteur'!R15+'01_Cadrage'!$H$26)*(1+'01_Cadrage'!$H$20)-'08_Moteur'!S15)-'08_Moteur'!U15,IF(L18="Regrouper (-1 classe)",IF(AND('08_Moteur'!AI15&gt;=2,E18&lt;=('08_Moteur'!AI15-1)*'08_Moteur'!O15*1.1),H18+'08_Moteur'!U15,H18),H18)))</f>
        <v/>
      </c>
      <c r="O18" s="24">
        <f>M18*IFERROR(('09_Allocation'!E20+'09_Allocation'!F20+'09_Allocation'!I20)/SUM(M6:M63),0)</f>
        <v/>
      </c>
      <c r="P18" s="24">
        <f>N18-O18</f>
        <v/>
      </c>
      <c r="Q18" s="22">
        <f>N18-H18</f>
        <v/>
      </c>
    </row>
    <row r="19">
      <c r="A19" s="57">
        <f>'08_Moteur'!A16</f>
        <v/>
      </c>
      <c r="B19" s="10">
        <f>'08_Moteur'!B16</f>
        <v/>
      </c>
      <c r="C19" s="57">
        <f>'08_Moteur'!C16</f>
        <v/>
      </c>
      <c r="D19" s="10">
        <f>'08_Moteur'!D16</f>
        <v/>
      </c>
      <c r="E19" s="58">
        <f>'08_Moteur'!AD16</f>
        <v/>
      </c>
      <c r="F19" s="21">
        <f>'08_Moteur'!AH16</f>
        <v/>
      </c>
      <c r="G19" s="24">
        <f>F19-'08_Moteur'!AM16</f>
        <v/>
      </c>
      <c r="H19" s="73">
        <f>'08_Moteur'!AM16</f>
        <v/>
      </c>
      <c r="I19" s="79">
        <f>'08_Moteur'!AN16</f>
        <v/>
      </c>
      <c r="J19" s="80">
        <f>IF(H19&lt;0,"🔴 Ne pas lancer",IF(I19&gt;=0.95,"🟢 Ouvrir +1 (capter+diluer)",IF(I19&lt;0.55,"🟡 Surveiller","🟢 Maintenir")))</f>
        <v/>
      </c>
      <c r="K19" s="81">
        <f>IF(H19&lt;0,"Entrée à contribution négative → ne pas lancer cette cohorte",IF(I19&gt;=0.95,"Saturé → ouvrir capte des étudiants ET dilue la structure pour tous",IF(I19&lt;0.55,"Sous-rempli mais contribution positive → garder","Sain")))</f>
        <v/>
      </c>
      <c r="L19" s="16" t="inlineStr">
        <is>
          <t>Maintenir</t>
        </is>
      </c>
      <c r="M19" s="60">
        <f>IF(L19="Ne pas lancer",0,IF(L19="Ouvrir +1 classe",E19+'08_Moteur'!O16,E19))</f>
        <v/>
      </c>
      <c r="N19" s="24">
        <f>IF(L19="Ne pas lancer",0,IF(L19="Ouvrir +1 classe",H19+'08_Moteur'!O16*('08_Moteur'!AE16*'08_Moteur'!AF16-('08_Moteur'!R16+'01_Cadrage'!$H$26)*(1+'01_Cadrage'!$H$20)-'08_Moteur'!S16)-'08_Moteur'!U16,IF(L19="Regrouper (-1 classe)",IF(AND('08_Moteur'!AI16&gt;=2,E19&lt;=('08_Moteur'!AI16-1)*'08_Moteur'!O16*1.1),H19+'08_Moteur'!U16,H19),H19)))</f>
        <v/>
      </c>
      <c r="O19" s="24">
        <f>M19*IFERROR(('09_Allocation'!E20+'09_Allocation'!F20+'09_Allocation'!I20)/SUM(M6:M63),0)</f>
        <v/>
      </c>
      <c r="P19" s="24">
        <f>N19-O19</f>
        <v/>
      </c>
      <c r="Q19" s="22">
        <f>N19-H19</f>
        <v/>
      </c>
    </row>
    <row r="20">
      <c r="A20" s="57">
        <f>'08_Moteur'!A17</f>
        <v/>
      </c>
      <c r="B20" s="10">
        <f>'08_Moteur'!B17</f>
        <v/>
      </c>
      <c r="C20" s="57">
        <f>'08_Moteur'!C17</f>
        <v/>
      </c>
      <c r="D20" s="10">
        <f>'08_Moteur'!D17</f>
        <v/>
      </c>
      <c r="E20" s="58">
        <f>'08_Moteur'!AD17</f>
        <v/>
      </c>
      <c r="F20" s="21">
        <f>'08_Moteur'!AH17</f>
        <v/>
      </c>
      <c r="G20" s="24">
        <f>F20-'08_Moteur'!AM17</f>
        <v/>
      </c>
      <c r="H20" s="73">
        <f>'08_Moteur'!AM17</f>
        <v/>
      </c>
      <c r="I20" s="79">
        <f>'08_Moteur'!AN17</f>
        <v/>
      </c>
      <c r="J20" s="80">
        <f>IF(H20&lt;0,"🔴 Restructurer (mutualiser)",IF(AND('08_Moteur'!AI17&gt;=2,E20&lt;=('08_Moteur'!AI17-1)*'08_Moteur'!O17*1.1),"🟡 Regroupable (−1 classe tient en capacité)",IF(I20&lt;0.55,"🟠 Sous-rempli mais −1 classe déborderait","🟢 Maintenir")))</f>
        <v/>
      </c>
      <c r="K20" s="81">
        <f>"Poursuite : cohorte déjà inscrite → seul levier = regrouper. −1 classe créditée uniquement si l'effectif tient dans les classes restantes (capacité +10% tolérée). Remplissage si −1 classe : "&amp;IF('08_Moteur'!AI17&gt;=2,TEXT(IFERROR(E20/(('08_Moteur'!AI17-1)*'08_Moteur'!O17),0),"0%"),"n/a (1 seule classe)")</f>
        <v/>
      </c>
      <c r="L20" s="16" t="inlineStr">
        <is>
          <t>Maintenir</t>
        </is>
      </c>
      <c r="M20" s="60">
        <f>IF(L20="Ne pas lancer",0,IF(L20="Ouvrir +1 classe",E20+'08_Moteur'!O17,E20))</f>
        <v/>
      </c>
      <c r="N20" s="24">
        <f>IF(L20="Ne pas lancer",0,IF(L20="Ouvrir +1 classe",H20+'08_Moteur'!O17*('08_Moteur'!AE17*'08_Moteur'!AF17-('08_Moteur'!R17+'01_Cadrage'!$H$26)*(1+'01_Cadrage'!$H$20)-'08_Moteur'!S17)-'08_Moteur'!U17,IF(L20="Regrouper (-1 classe)",IF(AND('08_Moteur'!AI17&gt;=2,E20&lt;=('08_Moteur'!AI17-1)*'08_Moteur'!O17*1.1),H20+'08_Moteur'!U17,H20),H20)))</f>
        <v/>
      </c>
      <c r="O20" s="24">
        <f>M20*IFERROR(('09_Allocation'!E20+'09_Allocation'!F20+'09_Allocation'!I20)/SUM(M6:M63),0)</f>
        <v/>
      </c>
      <c r="P20" s="24">
        <f>N20-O20</f>
        <v/>
      </c>
      <c r="Q20" s="22">
        <f>N20-H20</f>
        <v/>
      </c>
    </row>
    <row r="21">
      <c r="A21" s="57">
        <f>'08_Moteur'!A18</f>
        <v/>
      </c>
      <c r="B21" s="10">
        <f>'08_Moteur'!B18</f>
        <v/>
      </c>
      <c r="C21" s="57">
        <f>'08_Moteur'!C18</f>
        <v/>
      </c>
      <c r="D21" s="10">
        <f>'08_Moteur'!D18</f>
        <v/>
      </c>
      <c r="E21" s="58">
        <f>'08_Moteur'!AD18</f>
        <v/>
      </c>
      <c r="F21" s="21">
        <f>'08_Moteur'!AH18</f>
        <v/>
      </c>
      <c r="G21" s="24">
        <f>F21-'08_Moteur'!AM18</f>
        <v/>
      </c>
      <c r="H21" s="73">
        <f>'08_Moteur'!AM18</f>
        <v/>
      </c>
      <c r="I21" s="79">
        <f>'08_Moteur'!AN18</f>
        <v/>
      </c>
      <c r="J21" s="80">
        <f>IF(H21&lt;0,"🔴 Ne pas lancer",IF(I21&gt;=0.95,"🟢 Ouvrir +1 (capter+diluer)",IF(I21&lt;0.55,"🟡 Surveiller","🟢 Maintenir")))</f>
        <v/>
      </c>
      <c r="K21" s="81">
        <f>IF(H21&lt;0,"Entrée à contribution négative → ne pas lancer cette cohorte",IF(I21&gt;=0.95,"Saturé → ouvrir capte des étudiants ET dilue la structure pour tous",IF(I21&lt;0.55,"Sous-rempli mais contribution positive → garder","Sain")))</f>
        <v/>
      </c>
      <c r="L21" s="16" t="inlineStr">
        <is>
          <t>Maintenir</t>
        </is>
      </c>
      <c r="M21" s="60">
        <f>IF(L21="Ne pas lancer",0,IF(L21="Ouvrir +1 classe",E21+'08_Moteur'!O18,E21))</f>
        <v/>
      </c>
      <c r="N21" s="24">
        <f>IF(L21="Ne pas lancer",0,IF(L21="Ouvrir +1 classe",H21+'08_Moteur'!O18*('08_Moteur'!AE18*'08_Moteur'!AF18-('08_Moteur'!R18+'01_Cadrage'!$H$26)*(1+'01_Cadrage'!$H$20)-'08_Moteur'!S18)-'08_Moteur'!U18,IF(L21="Regrouper (-1 classe)",IF(AND('08_Moteur'!AI18&gt;=2,E21&lt;=('08_Moteur'!AI18-1)*'08_Moteur'!O18*1.1),H21+'08_Moteur'!U18,H21),H21)))</f>
        <v/>
      </c>
      <c r="O21" s="24">
        <f>M21*IFERROR(('09_Allocation'!E20+'09_Allocation'!F20+'09_Allocation'!I20)/SUM(M6:M63),0)</f>
        <v/>
      </c>
      <c r="P21" s="24">
        <f>N21-O21</f>
        <v/>
      </c>
      <c r="Q21" s="22">
        <f>N21-H21</f>
        <v/>
      </c>
    </row>
    <row r="22">
      <c r="A22" s="57">
        <f>'08_Moteur'!A19</f>
        <v/>
      </c>
      <c r="B22" s="10">
        <f>'08_Moteur'!B19</f>
        <v/>
      </c>
      <c r="C22" s="57">
        <f>'08_Moteur'!C19</f>
        <v/>
      </c>
      <c r="D22" s="10">
        <f>'08_Moteur'!D19</f>
        <v/>
      </c>
      <c r="E22" s="58">
        <f>'08_Moteur'!AD19</f>
        <v/>
      </c>
      <c r="F22" s="21">
        <f>'08_Moteur'!AH19</f>
        <v/>
      </c>
      <c r="G22" s="24">
        <f>F22-'08_Moteur'!AM19</f>
        <v/>
      </c>
      <c r="H22" s="73">
        <f>'08_Moteur'!AM19</f>
        <v/>
      </c>
      <c r="I22" s="79">
        <f>'08_Moteur'!AN19</f>
        <v/>
      </c>
      <c r="J22" s="80">
        <f>IF(H22&lt;0,"🔴 Restructurer (mutualiser)",IF(AND('08_Moteur'!AI19&gt;=2,E22&lt;=('08_Moteur'!AI19-1)*'08_Moteur'!O19*1.1),"🟡 Regroupable (−1 classe tient en capacité)",IF(I22&lt;0.55,"🟠 Sous-rempli mais −1 classe déborderait","🟢 Maintenir")))</f>
        <v/>
      </c>
      <c r="K22" s="81">
        <f>"Poursuite : cohorte déjà inscrite → seul levier = regrouper. −1 classe créditée uniquement si l'effectif tient dans les classes restantes (capacité +10% tolérée). Remplissage si −1 classe : "&amp;IF('08_Moteur'!AI19&gt;=2,TEXT(IFERROR(E22/(('08_Moteur'!AI19-1)*'08_Moteur'!O19),0),"0%"),"n/a (1 seule classe)")</f>
        <v/>
      </c>
      <c r="L22" s="16" t="inlineStr">
        <is>
          <t>Maintenir</t>
        </is>
      </c>
      <c r="M22" s="60">
        <f>IF(L22="Ne pas lancer",0,IF(L22="Ouvrir +1 classe",E22+'08_Moteur'!O19,E22))</f>
        <v/>
      </c>
      <c r="N22" s="24">
        <f>IF(L22="Ne pas lancer",0,IF(L22="Ouvrir +1 classe",H22+'08_Moteur'!O19*('08_Moteur'!AE19*'08_Moteur'!AF19-('08_Moteur'!R19+'01_Cadrage'!$H$26)*(1+'01_Cadrage'!$H$20)-'08_Moteur'!S19)-'08_Moteur'!U19,IF(L22="Regrouper (-1 classe)",IF(AND('08_Moteur'!AI19&gt;=2,E22&lt;=('08_Moteur'!AI19-1)*'08_Moteur'!O19*1.1),H22+'08_Moteur'!U19,H22),H22)))</f>
        <v/>
      </c>
      <c r="O22" s="24">
        <f>M22*IFERROR(('09_Allocation'!E20+'09_Allocation'!F20+'09_Allocation'!I20)/SUM(M6:M63),0)</f>
        <v/>
      </c>
      <c r="P22" s="24">
        <f>N22-O22</f>
        <v/>
      </c>
      <c r="Q22" s="22">
        <f>N22-H22</f>
        <v/>
      </c>
    </row>
    <row r="23">
      <c r="A23" s="57">
        <f>'08_Moteur'!A20</f>
        <v/>
      </c>
      <c r="B23" s="10">
        <f>'08_Moteur'!B20</f>
        <v/>
      </c>
      <c r="C23" s="57">
        <f>'08_Moteur'!C20</f>
        <v/>
      </c>
      <c r="D23" s="10">
        <f>'08_Moteur'!D20</f>
        <v/>
      </c>
      <c r="E23" s="58">
        <f>'08_Moteur'!AD20</f>
        <v/>
      </c>
      <c r="F23" s="21">
        <f>'08_Moteur'!AH20</f>
        <v/>
      </c>
      <c r="G23" s="24">
        <f>F23-'08_Moteur'!AM20</f>
        <v/>
      </c>
      <c r="H23" s="73">
        <f>'08_Moteur'!AM20</f>
        <v/>
      </c>
      <c r="I23" s="79">
        <f>'08_Moteur'!AN20</f>
        <v/>
      </c>
      <c r="J23" s="80">
        <f>IF(H23&lt;0,"🔴 Restructurer (mutualiser)",IF(AND('08_Moteur'!AI20&gt;=2,E23&lt;=('08_Moteur'!AI20-1)*'08_Moteur'!O20*1.1),"🟡 Regroupable (−1 classe tient en capacité)",IF(I23&lt;0.55,"🟠 Sous-rempli mais −1 classe déborderait","🟢 Maintenir")))</f>
        <v/>
      </c>
      <c r="K23" s="81">
        <f>"Poursuite : cohorte déjà inscrite → seul levier = regrouper. −1 classe créditée uniquement si l'effectif tient dans les classes restantes (capacité +10% tolérée). Remplissage si −1 classe : "&amp;IF('08_Moteur'!AI20&gt;=2,TEXT(IFERROR(E23/(('08_Moteur'!AI20-1)*'08_Moteur'!O20),0),"0%"),"n/a (1 seule classe)")</f>
        <v/>
      </c>
      <c r="L23" s="16" t="inlineStr">
        <is>
          <t>Maintenir</t>
        </is>
      </c>
      <c r="M23" s="60">
        <f>IF(L23="Ne pas lancer",0,IF(L23="Ouvrir +1 classe",E23+'08_Moteur'!O20,E23))</f>
        <v/>
      </c>
      <c r="N23" s="24">
        <f>IF(L23="Ne pas lancer",0,IF(L23="Ouvrir +1 classe",H23+'08_Moteur'!O20*('08_Moteur'!AE20*'08_Moteur'!AF20-('08_Moteur'!R20+'01_Cadrage'!$H$26)*(1+'01_Cadrage'!$H$20)-'08_Moteur'!S20)-'08_Moteur'!U20,IF(L23="Regrouper (-1 classe)",IF(AND('08_Moteur'!AI20&gt;=2,E23&lt;=('08_Moteur'!AI20-1)*'08_Moteur'!O20*1.1),H23+'08_Moteur'!U20,H23),H23)))</f>
        <v/>
      </c>
      <c r="O23" s="24">
        <f>M23*IFERROR(('09_Allocation'!E20+'09_Allocation'!F20+'09_Allocation'!I20)/SUM(M6:M63),0)</f>
        <v/>
      </c>
      <c r="P23" s="24">
        <f>N23-O23</f>
        <v/>
      </c>
      <c r="Q23" s="22">
        <f>N23-H23</f>
        <v/>
      </c>
    </row>
    <row r="24">
      <c r="A24" s="57">
        <f>'08_Moteur'!A21</f>
        <v/>
      </c>
      <c r="B24" s="10">
        <f>'08_Moteur'!B21</f>
        <v/>
      </c>
      <c r="C24" s="57">
        <f>'08_Moteur'!C21</f>
        <v/>
      </c>
      <c r="D24" s="10">
        <f>'08_Moteur'!D21</f>
        <v/>
      </c>
      <c r="E24" s="58">
        <f>'08_Moteur'!AD21</f>
        <v/>
      </c>
      <c r="F24" s="21">
        <f>'08_Moteur'!AH21</f>
        <v/>
      </c>
      <c r="G24" s="24">
        <f>F24-'08_Moteur'!AM21</f>
        <v/>
      </c>
      <c r="H24" s="73">
        <f>'08_Moteur'!AM21</f>
        <v/>
      </c>
      <c r="I24" s="79">
        <f>'08_Moteur'!AN21</f>
        <v/>
      </c>
      <c r="J24" s="80">
        <f>IF(H24&lt;0,"🔴 Ne pas lancer",IF(I24&gt;=0.95,"🟢 Ouvrir +1 (capter+diluer)",IF(I24&lt;0.55,"🟡 Surveiller","🟢 Maintenir")))</f>
        <v/>
      </c>
      <c r="K24" s="81">
        <f>IF(H24&lt;0,"Entrée à contribution négative → ne pas lancer cette cohorte",IF(I24&gt;=0.95,"Saturé → ouvrir capte des étudiants ET dilue la structure pour tous",IF(I24&lt;0.55,"Sous-rempli mais contribution positive → garder","Sain")))</f>
        <v/>
      </c>
      <c r="L24" s="16" t="inlineStr">
        <is>
          <t>Maintenir</t>
        </is>
      </c>
      <c r="M24" s="60">
        <f>IF(L24="Ne pas lancer",0,IF(L24="Ouvrir +1 classe",E24+'08_Moteur'!O21,E24))</f>
        <v/>
      </c>
      <c r="N24" s="24">
        <f>IF(L24="Ne pas lancer",0,IF(L24="Ouvrir +1 classe",H24+'08_Moteur'!O21*('08_Moteur'!AE21*'08_Moteur'!AF21-('08_Moteur'!R21+'01_Cadrage'!$H$26)*(1+'01_Cadrage'!$H$20)-'08_Moteur'!S21)-'08_Moteur'!U21,IF(L24="Regrouper (-1 classe)",IF(AND('08_Moteur'!AI21&gt;=2,E24&lt;=('08_Moteur'!AI21-1)*'08_Moteur'!O21*1.1),H24+'08_Moteur'!U21,H24),H24)))</f>
        <v/>
      </c>
      <c r="O24" s="24">
        <f>M24*IFERROR(('09_Allocation'!E20+'09_Allocation'!F20+'09_Allocation'!I20)/SUM(M6:M63),0)</f>
        <v/>
      </c>
      <c r="P24" s="24">
        <f>N24-O24</f>
        <v/>
      </c>
      <c r="Q24" s="22">
        <f>N24-H24</f>
        <v/>
      </c>
    </row>
    <row r="25">
      <c r="A25" s="57">
        <f>'08_Moteur'!A22</f>
        <v/>
      </c>
      <c r="B25" s="10">
        <f>'08_Moteur'!B22</f>
        <v/>
      </c>
      <c r="C25" s="57">
        <f>'08_Moteur'!C22</f>
        <v/>
      </c>
      <c r="D25" s="10">
        <f>'08_Moteur'!D22</f>
        <v/>
      </c>
      <c r="E25" s="58">
        <f>'08_Moteur'!AD22</f>
        <v/>
      </c>
      <c r="F25" s="21">
        <f>'08_Moteur'!AH22</f>
        <v/>
      </c>
      <c r="G25" s="24">
        <f>F25-'08_Moteur'!AM22</f>
        <v/>
      </c>
      <c r="H25" s="73">
        <f>'08_Moteur'!AM22</f>
        <v/>
      </c>
      <c r="I25" s="79">
        <f>'08_Moteur'!AN22</f>
        <v/>
      </c>
      <c r="J25" s="80">
        <f>IF(H25&lt;0,"🔴 Restructurer (mutualiser)",IF(AND('08_Moteur'!AI22&gt;=2,E25&lt;=('08_Moteur'!AI22-1)*'08_Moteur'!O22*1.1),"🟡 Regroupable (−1 classe tient en capacité)",IF(I25&lt;0.55,"🟠 Sous-rempli mais −1 classe déborderait","🟢 Maintenir")))</f>
        <v/>
      </c>
      <c r="K25" s="81">
        <f>"Poursuite : cohorte déjà inscrite → seul levier = regrouper. −1 classe créditée uniquement si l'effectif tient dans les classes restantes (capacité +10% tolérée). Remplissage si −1 classe : "&amp;IF('08_Moteur'!AI22&gt;=2,TEXT(IFERROR(E25/(('08_Moteur'!AI22-1)*'08_Moteur'!O22),0),"0%"),"n/a (1 seule classe)")</f>
        <v/>
      </c>
      <c r="L25" s="16" t="inlineStr">
        <is>
          <t>Maintenir</t>
        </is>
      </c>
      <c r="M25" s="60">
        <f>IF(L25="Ne pas lancer",0,IF(L25="Ouvrir +1 classe",E25+'08_Moteur'!O22,E25))</f>
        <v/>
      </c>
      <c r="N25" s="24">
        <f>IF(L25="Ne pas lancer",0,IF(L25="Ouvrir +1 classe",H25+'08_Moteur'!O22*('08_Moteur'!AE22*'08_Moteur'!AF22-('08_Moteur'!R22+'01_Cadrage'!$H$26)*(1+'01_Cadrage'!$H$20)-'08_Moteur'!S22)-'08_Moteur'!U22,IF(L25="Regrouper (-1 classe)",IF(AND('08_Moteur'!AI22&gt;=2,E25&lt;=('08_Moteur'!AI22-1)*'08_Moteur'!O22*1.1),H25+'08_Moteur'!U22,H25),H25)))</f>
        <v/>
      </c>
      <c r="O25" s="24">
        <f>M25*IFERROR(('09_Allocation'!E20+'09_Allocation'!F20+'09_Allocation'!I20)/SUM(M6:M63),0)</f>
        <v/>
      </c>
      <c r="P25" s="24">
        <f>N25-O25</f>
        <v/>
      </c>
      <c r="Q25" s="22">
        <f>N25-H25</f>
        <v/>
      </c>
    </row>
    <row r="26">
      <c r="A26" s="57">
        <f>'08_Moteur'!A23</f>
        <v/>
      </c>
      <c r="B26" s="10">
        <f>'08_Moteur'!B23</f>
        <v/>
      </c>
      <c r="C26" s="57">
        <f>'08_Moteur'!C23</f>
        <v/>
      </c>
      <c r="D26" s="10">
        <f>'08_Moteur'!D23</f>
        <v/>
      </c>
      <c r="E26" s="58">
        <f>'08_Moteur'!AD23</f>
        <v/>
      </c>
      <c r="F26" s="21">
        <f>'08_Moteur'!AH23</f>
        <v/>
      </c>
      <c r="G26" s="24">
        <f>F26-'08_Moteur'!AM23</f>
        <v/>
      </c>
      <c r="H26" s="73">
        <f>'08_Moteur'!AM23</f>
        <v/>
      </c>
      <c r="I26" s="79">
        <f>'08_Moteur'!AN23</f>
        <v/>
      </c>
      <c r="J26" s="80">
        <f>IF(H26&lt;0,"🔴 Ne pas lancer",IF(I26&gt;=0.95,"🟢 Ouvrir +1 (capter+diluer)",IF(I26&lt;0.55,"🟡 Surveiller","🟢 Maintenir")))</f>
        <v/>
      </c>
      <c r="K26" s="81">
        <f>IF(H26&lt;0,"Entrée à contribution négative → ne pas lancer cette cohorte",IF(I26&gt;=0.95,"Saturé → ouvrir capte des étudiants ET dilue la structure pour tous",IF(I26&lt;0.55,"Sous-rempli mais contribution positive → garder","Sain")))</f>
        <v/>
      </c>
      <c r="L26" s="16" t="inlineStr">
        <is>
          <t>Maintenir</t>
        </is>
      </c>
      <c r="M26" s="60">
        <f>IF(L26="Ne pas lancer",0,IF(L26="Ouvrir +1 classe",E26+'08_Moteur'!O23,E26))</f>
        <v/>
      </c>
      <c r="N26" s="24">
        <f>IF(L26="Ne pas lancer",0,IF(L26="Ouvrir +1 classe",H26+'08_Moteur'!O23*('08_Moteur'!AE23*'08_Moteur'!AF23-('08_Moteur'!R23+'01_Cadrage'!$H$26)*(1+'01_Cadrage'!$H$20)-'08_Moteur'!S23)-'08_Moteur'!U23,IF(L26="Regrouper (-1 classe)",IF(AND('08_Moteur'!AI23&gt;=2,E26&lt;=('08_Moteur'!AI23-1)*'08_Moteur'!O23*1.1),H26+'08_Moteur'!U23,H26),H26)))</f>
        <v/>
      </c>
      <c r="O26" s="24">
        <f>M26*IFERROR(('09_Allocation'!E20+'09_Allocation'!F20+'09_Allocation'!I20)/SUM(M6:M63),0)</f>
        <v/>
      </c>
      <c r="P26" s="24">
        <f>N26-O26</f>
        <v/>
      </c>
      <c r="Q26" s="22">
        <f>N26-H26</f>
        <v/>
      </c>
    </row>
    <row r="27">
      <c r="A27" s="57">
        <f>'08_Moteur'!A24</f>
        <v/>
      </c>
      <c r="B27" s="10">
        <f>'08_Moteur'!B24</f>
        <v/>
      </c>
      <c r="C27" s="57">
        <f>'08_Moteur'!C24</f>
        <v/>
      </c>
      <c r="D27" s="10">
        <f>'08_Moteur'!D24</f>
        <v/>
      </c>
      <c r="E27" s="58">
        <f>'08_Moteur'!AD24</f>
        <v/>
      </c>
      <c r="F27" s="21">
        <f>'08_Moteur'!AH24</f>
        <v/>
      </c>
      <c r="G27" s="24">
        <f>F27-'08_Moteur'!AM24</f>
        <v/>
      </c>
      <c r="H27" s="73">
        <f>'08_Moteur'!AM24</f>
        <v/>
      </c>
      <c r="I27" s="79">
        <f>'08_Moteur'!AN24</f>
        <v/>
      </c>
      <c r="J27" s="80">
        <f>IF(H27&lt;0,"🔴 Restructurer (mutualiser)",IF(AND('08_Moteur'!AI24&gt;=2,E27&lt;=('08_Moteur'!AI24-1)*'08_Moteur'!O24*1.1),"🟡 Regroupable (−1 classe tient en capacité)",IF(I27&lt;0.55,"🟠 Sous-rempli mais −1 classe déborderait","🟢 Maintenir")))</f>
        <v/>
      </c>
      <c r="K27" s="81">
        <f>"Poursuite : cohorte déjà inscrite → seul levier = regrouper. −1 classe créditée uniquement si l'effectif tient dans les classes restantes (capacité +10% tolérée). Remplissage si −1 classe : "&amp;IF('08_Moteur'!AI24&gt;=2,TEXT(IFERROR(E27/(('08_Moteur'!AI24-1)*'08_Moteur'!O24),0),"0%"),"n/a (1 seule classe)")</f>
        <v/>
      </c>
      <c r="L27" s="16" t="inlineStr">
        <is>
          <t>Maintenir</t>
        </is>
      </c>
      <c r="M27" s="60">
        <f>IF(L27="Ne pas lancer",0,IF(L27="Ouvrir +1 classe",E27+'08_Moteur'!O24,E27))</f>
        <v/>
      </c>
      <c r="N27" s="24">
        <f>IF(L27="Ne pas lancer",0,IF(L27="Ouvrir +1 classe",H27+'08_Moteur'!O24*('08_Moteur'!AE24*'08_Moteur'!AF24-('08_Moteur'!R24+'01_Cadrage'!$H$26)*(1+'01_Cadrage'!$H$20)-'08_Moteur'!S24)-'08_Moteur'!U24,IF(L27="Regrouper (-1 classe)",IF(AND('08_Moteur'!AI24&gt;=2,E27&lt;=('08_Moteur'!AI24-1)*'08_Moteur'!O24*1.1),H27+'08_Moteur'!U24,H27),H27)))</f>
        <v/>
      </c>
      <c r="O27" s="24">
        <f>M27*IFERROR(('09_Allocation'!E20+'09_Allocation'!F20+'09_Allocation'!I20)/SUM(M6:M63),0)</f>
        <v/>
      </c>
      <c r="P27" s="24">
        <f>N27-O27</f>
        <v/>
      </c>
      <c r="Q27" s="22">
        <f>N27-H27</f>
        <v/>
      </c>
    </row>
    <row r="28">
      <c r="A28" s="57">
        <f>'08_Moteur'!A25</f>
        <v/>
      </c>
      <c r="B28" s="10">
        <f>'08_Moteur'!B25</f>
        <v/>
      </c>
      <c r="C28" s="57">
        <f>'08_Moteur'!C25</f>
        <v/>
      </c>
      <c r="D28" s="10">
        <f>'08_Moteur'!D25</f>
        <v/>
      </c>
      <c r="E28" s="58">
        <f>'08_Moteur'!AD25</f>
        <v/>
      </c>
      <c r="F28" s="21">
        <f>'08_Moteur'!AH25</f>
        <v/>
      </c>
      <c r="G28" s="24">
        <f>F28-'08_Moteur'!AM25</f>
        <v/>
      </c>
      <c r="H28" s="73">
        <f>'08_Moteur'!AM25</f>
        <v/>
      </c>
      <c r="I28" s="79">
        <f>'08_Moteur'!AN25</f>
        <v/>
      </c>
      <c r="J28" s="80">
        <f>IF(H28&lt;0,"🔴 Restructurer (mutualiser)",IF(AND('08_Moteur'!AI25&gt;=2,E28&lt;=('08_Moteur'!AI25-1)*'08_Moteur'!O25*1.1),"🟡 Regroupable (−1 classe tient en capacité)",IF(I28&lt;0.55,"🟠 Sous-rempli mais −1 classe déborderait","🟢 Maintenir")))</f>
        <v/>
      </c>
      <c r="K28" s="81">
        <f>"Poursuite : cohorte déjà inscrite → seul levier = regrouper. −1 classe créditée uniquement si l'effectif tient dans les classes restantes (capacité +10% tolérée). Remplissage si −1 classe : "&amp;IF('08_Moteur'!AI25&gt;=2,TEXT(IFERROR(E28/(('08_Moteur'!AI25-1)*'08_Moteur'!O25),0),"0%"),"n/a (1 seule classe)")</f>
        <v/>
      </c>
      <c r="L28" s="16" t="inlineStr">
        <is>
          <t>Maintenir</t>
        </is>
      </c>
      <c r="M28" s="60">
        <f>IF(L28="Ne pas lancer",0,IF(L28="Ouvrir +1 classe",E28+'08_Moteur'!O25,E28))</f>
        <v/>
      </c>
      <c r="N28" s="24">
        <f>IF(L28="Ne pas lancer",0,IF(L28="Ouvrir +1 classe",H28+'08_Moteur'!O25*('08_Moteur'!AE25*'08_Moteur'!AF25-('08_Moteur'!R25+'01_Cadrage'!$H$26)*(1+'01_Cadrage'!$H$20)-'08_Moteur'!S25)-'08_Moteur'!U25,IF(L28="Regrouper (-1 classe)",IF(AND('08_Moteur'!AI25&gt;=2,E28&lt;=('08_Moteur'!AI25-1)*'08_Moteur'!O25*1.1),H28+'08_Moteur'!U25,H28),H28)))</f>
        <v/>
      </c>
      <c r="O28" s="24">
        <f>M28*IFERROR(('09_Allocation'!E20+'09_Allocation'!F20+'09_Allocation'!I20)/SUM(M6:M63),0)</f>
        <v/>
      </c>
      <c r="P28" s="24">
        <f>N28-O28</f>
        <v/>
      </c>
      <c r="Q28" s="22">
        <f>N28-H28</f>
        <v/>
      </c>
    </row>
    <row r="29">
      <c r="A29" s="57">
        <f>'08_Moteur'!A26</f>
        <v/>
      </c>
      <c r="B29" s="10">
        <f>'08_Moteur'!B26</f>
        <v/>
      </c>
      <c r="C29" s="57">
        <f>'08_Moteur'!C26</f>
        <v/>
      </c>
      <c r="D29" s="10">
        <f>'08_Moteur'!D26</f>
        <v/>
      </c>
      <c r="E29" s="58">
        <f>'08_Moteur'!AD26</f>
        <v/>
      </c>
      <c r="F29" s="21">
        <f>'08_Moteur'!AH26</f>
        <v/>
      </c>
      <c r="G29" s="24">
        <f>F29-'08_Moteur'!AM26</f>
        <v/>
      </c>
      <c r="H29" s="73">
        <f>'08_Moteur'!AM26</f>
        <v/>
      </c>
      <c r="I29" s="79">
        <f>'08_Moteur'!AN26</f>
        <v/>
      </c>
      <c r="J29" s="80">
        <f>IF(H29&lt;0,"🔴 Ne pas lancer",IF(I29&gt;=0.95,"🟢 Ouvrir +1 (capter+diluer)",IF(I29&lt;0.55,"🟡 Surveiller","🟢 Maintenir")))</f>
        <v/>
      </c>
      <c r="K29" s="81">
        <f>IF(H29&lt;0,"Entrée à contribution négative → ne pas lancer cette cohorte",IF(I29&gt;=0.95,"Saturé → ouvrir capte des étudiants ET dilue la structure pour tous",IF(I29&lt;0.55,"Sous-rempli mais contribution positive → garder","Sain")))</f>
        <v/>
      </c>
      <c r="L29" s="16" t="inlineStr">
        <is>
          <t>Maintenir</t>
        </is>
      </c>
      <c r="M29" s="60">
        <f>IF(L29="Ne pas lancer",0,IF(L29="Ouvrir +1 classe",E29+'08_Moteur'!O26,E29))</f>
        <v/>
      </c>
      <c r="N29" s="24">
        <f>IF(L29="Ne pas lancer",0,IF(L29="Ouvrir +1 classe",H29+'08_Moteur'!O26*('08_Moteur'!AE26*'08_Moteur'!AF26-('08_Moteur'!R26+'01_Cadrage'!$H$26)*(1+'01_Cadrage'!$H$20)-'08_Moteur'!S26)-'08_Moteur'!U26,IF(L29="Regrouper (-1 classe)",IF(AND('08_Moteur'!AI26&gt;=2,E29&lt;=('08_Moteur'!AI26-1)*'08_Moteur'!O26*1.1),H29+'08_Moteur'!U26,H29),H29)))</f>
        <v/>
      </c>
      <c r="O29" s="24">
        <f>M29*IFERROR(('09_Allocation'!E20+'09_Allocation'!F20+'09_Allocation'!I20)/SUM(M6:M63),0)</f>
        <v/>
      </c>
      <c r="P29" s="24">
        <f>N29-O29</f>
        <v/>
      </c>
      <c r="Q29" s="22">
        <f>N29-H29</f>
        <v/>
      </c>
    </row>
    <row r="30">
      <c r="A30" s="57">
        <f>'08_Moteur'!A27</f>
        <v/>
      </c>
      <c r="B30" s="10">
        <f>'08_Moteur'!B27</f>
        <v/>
      </c>
      <c r="C30" s="57">
        <f>'08_Moteur'!C27</f>
        <v/>
      </c>
      <c r="D30" s="10">
        <f>'08_Moteur'!D27</f>
        <v/>
      </c>
      <c r="E30" s="58">
        <f>'08_Moteur'!AD27</f>
        <v/>
      </c>
      <c r="F30" s="21">
        <f>'08_Moteur'!AH27</f>
        <v/>
      </c>
      <c r="G30" s="24">
        <f>F30-'08_Moteur'!AM27</f>
        <v/>
      </c>
      <c r="H30" s="73">
        <f>'08_Moteur'!AM27</f>
        <v/>
      </c>
      <c r="I30" s="79">
        <f>'08_Moteur'!AN27</f>
        <v/>
      </c>
      <c r="J30" s="80">
        <f>IF(H30&lt;0,"🔴 Restructurer (mutualiser)",IF(AND('08_Moteur'!AI27&gt;=2,E30&lt;=('08_Moteur'!AI27-1)*'08_Moteur'!O27*1.1),"🟡 Regroupable (−1 classe tient en capacité)",IF(I30&lt;0.55,"🟠 Sous-rempli mais −1 classe déborderait","🟢 Maintenir")))</f>
        <v/>
      </c>
      <c r="K30" s="81">
        <f>"Poursuite : cohorte déjà inscrite → seul levier = regrouper. −1 classe créditée uniquement si l'effectif tient dans les classes restantes (capacité +10% tolérée). Remplissage si −1 classe : "&amp;IF('08_Moteur'!AI27&gt;=2,TEXT(IFERROR(E30/(('08_Moteur'!AI27-1)*'08_Moteur'!O27),0),"0%"),"n/a (1 seule classe)")</f>
        <v/>
      </c>
      <c r="L30" s="16" t="inlineStr">
        <is>
          <t>Maintenir</t>
        </is>
      </c>
      <c r="M30" s="60">
        <f>IF(L30="Ne pas lancer",0,IF(L30="Ouvrir +1 classe",E30+'08_Moteur'!O27,E30))</f>
        <v/>
      </c>
      <c r="N30" s="24">
        <f>IF(L30="Ne pas lancer",0,IF(L30="Ouvrir +1 classe",H30+'08_Moteur'!O27*('08_Moteur'!AE27*'08_Moteur'!AF27-('08_Moteur'!R27+'01_Cadrage'!$H$26)*(1+'01_Cadrage'!$H$20)-'08_Moteur'!S27)-'08_Moteur'!U27,IF(L30="Regrouper (-1 classe)",IF(AND('08_Moteur'!AI27&gt;=2,E30&lt;=('08_Moteur'!AI27-1)*'08_Moteur'!O27*1.1),H30+'08_Moteur'!U27,H30),H30)))</f>
        <v/>
      </c>
      <c r="O30" s="24">
        <f>M30*IFERROR(('09_Allocation'!E20+'09_Allocation'!F20+'09_Allocation'!I20)/SUM(M6:M63),0)</f>
        <v/>
      </c>
      <c r="P30" s="24">
        <f>N30-O30</f>
        <v/>
      </c>
      <c r="Q30" s="22">
        <f>N30-H30</f>
        <v/>
      </c>
    </row>
    <row r="31">
      <c r="A31" s="57">
        <f>'08_Moteur'!A28</f>
        <v/>
      </c>
      <c r="B31" s="10">
        <f>'08_Moteur'!B28</f>
        <v/>
      </c>
      <c r="C31" s="57">
        <f>'08_Moteur'!C28</f>
        <v/>
      </c>
      <c r="D31" s="10">
        <f>'08_Moteur'!D28</f>
        <v/>
      </c>
      <c r="E31" s="58">
        <f>'08_Moteur'!AD28</f>
        <v/>
      </c>
      <c r="F31" s="21">
        <f>'08_Moteur'!AH28</f>
        <v/>
      </c>
      <c r="G31" s="24">
        <f>F31-'08_Moteur'!AM28</f>
        <v/>
      </c>
      <c r="H31" s="73">
        <f>'08_Moteur'!AM28</f>
        <v/>
      </c>
      <c r="I31" s="79">
        <f>'08_Moteur'!AN28</f>
        <v/>
      </c>
      <c r="J31" s="80">
        <f>IF(H31&lt;0,"🔴 Ne pas lancer",IF(I31&gt;=0.95,"🟢 Ouvrir +1 (capter+diluer)",IF(I31&lt;0.55,"🟡 Surveiller","🟢 Maintenir")))</f>
        <v/>
      </c>
      <c r="K31" s="81">
        <f>IF(H31&lt;0,"Entrée à contribution négative → ne pas lancer cette cohorte",IF(I31&gt;=0.95,"Saturé → ouvrir capte des étudiants ET dilue la structure pour tous",IF(I31&lt;0.55,"Sous-rempli mais contribution positive → garder","Sain")))</f>
        <v/>
      </c>
      <c r="L31" s="16" t="inlineStr">
        <is>
          <t>Maintenir</t>
        </is>
      </c>
      <c r="M31" s="60">
        <f>IF(L31="Ne pas lancer",0,IF(L31="Ouvrir +1 classe",E31+'08_Moteur'!O28,E31))</f>
        <v/>
      </c>
      <c r="N31" s="24">
        <f>IF(L31="Ne pas lancer",0,IF(L31="Ouvrir +1 classe",H31+'08_Moteur'!O28*('08_Moteur'!AE28*'08_Moteur'!AF28-('08_Moteur'!R28+'01_Cadrage'!$H$26)*(1+'01_Cadrage'!$H$20)-'08_Moteur'!S28)-'08_Moteur'!U28,IF(L31="Regrouper (-1 classe)",IF(AND('08_Moteur'!AI28&gt;=2,E31&lt;=('08_Moteur'!AI28-1)*'08_Moteur'!O28*1.1),H31+'08_Moteur'!U28,H31),H31)))</f>
        <v/>
      </c>
      <c r="O31" s="24">
        <f>M31*IFERROR(('09_Allocation'!E20+'09_Allocation'!F20+'09_Allocation'!I20)/SUM(M6:M63),0)</f>
        <v/>
      </c>
      <c r="P31" s="24">
        <f>N31-O31</f>
        <v/>
      </c>
      <c r="Q31" s="22">
        <f>N31-H31</f>
        <v/>
      </c>
    </row>
    <row r="32">
      <c r="A32" s="57">
        <f>'08_Moteur'!A29</f>
        <v/>
      </c>
      <c r="B32" s="10">
        <f>'08_Moteur'!B29</f>
        <v/>
      </c>
      <c r="C32" s="57">
        <f>'08_Moteur'!C29</f>
        <v/>
      </c>
      <c r="D32" s="10">
        <f>'08_Moteur'!D29</f>
        <v/>
      </c>
      <c r="E32" s="58">
        <f>'08_Moteur'!AD29</f>
        <v/>
      </c>
      <c r="F32" s="21">
        <f>'08_Moteur'!AH29</f>
        <v/>
      </c>
      <c r="G32" s="24">
        <f>F32-'08_Moteur'!AM29</f>
        <v/>
      </c>
      <c r="H32" s="73">
        <f>'08_Moteur'!AM29</f>
        <v/>
      </c>
      <c r="I32" s="79">
        <f>'08_Moteur'!AN29</f>
        <v/>
      </c>
      <c r="J32" s="80">
        <f>IF(H32&lt;0,"🔴 Restructurer (mutualiser)",IF(AND('08_Moteur'!AI29&gt;=2,E32&lt;=('08_Moteur'!AI29-1)*'08_Moteur'!O29*1.1),"🟡 Regroupable (−1 classe tient en capacité)",IF(I32&lt;0.55,"🟠 Sous-rempli mais −1 classe déborderait","🟢 Maintenir")))</f>
        <v/>
      </c>
      <c r="K32" s="81">
        <f>"Poursuite : cohorte déjà inscrite → seul levier = regrouper. −1 classe créditée uniquement si l'effectif tient dans les classes restantes (capacité +10% tolérée). Remplissage si −1 classe : "&amp;IF('08_Moteur'!AI29&gt;=2,TEXT(IFERROR(E32/(('08_Moteur'!AI29-1)*'08_Moteur'!O29),0),"0%"),"n/a (1 seule classe)")</f>
        <v/>
      </c>
      <c r="L32" s="16" t="inlineStr">
        <is>
          <t>Maintenir</t>
        </is>
      </c>
      <c r="M32" s="60">
        <f>IF(L32="Ne pas lancer",0,IF(L32="Ouvrir +1 classe",E32+'08_Moteur'!O29,E32))</f>
        <v/>
      </c>
      <c r="N32" s="24">
        <f>IF(L32="Ne pas lancer",0,IF(L32="Ouvrir +1 classe",H32+'08_Moteur'!O29*('08_Moteur'!AE29*'08_Moteur'!AF29-('08_Moteur'!R29+'01_Cadrage'!$H$26)*(1+'01_Cadrage'!$H$20)-'08_Moteur'!S29)-'08_Moteur'!U29,IF(L32="Regrouper (-1 classe)",IF(AND('08_Moteur'!AI29&gt;=2,E32&lt;=('08_Moteur'!AI29-1)*'08_Moteur'!O29*1.1),H32+'08_Moteur'!U29,H32),H32)))</f>
        <v/>
      </c>
      <c r="O32" s="24">
        <f>M32*IFERROR(('09_Allocation'!E20+'09_Allocation'!F20+'09_Allocation'!I20)/SUM(M6:M63),0)</f>
        <v/>
      </c>
      <c r="P32" s="24">
        <f>N32-O32</f>
        <v/>
      </c>
      <c r="Q32" s="22">
        <f>N32-H32</f>
        <v/>
      </c>
    </row>
    <row r="33">
      <c r="A33" s="57">
        <f>'08_Moteur'!A30</f>
        <v/>
      </c>
      <c r="B33" s="10">
        <f>'08_Moteur'!B30</f>
        <v/>
      </c>
      <c r="C33" s="57">
        <f>'08_Moteur'!C30</f>
        <v/>
      </c>
      <c r="D33" s="10">
        <f>'08_Moteur'!D30</f>
        <v/>
      </c>
      <c r="E33" s="58">
        <f>'08_Moteur'!AD30</f>
        <v/>
      </c>
      <c r="F33" s="21">
        <f>'08_Moteur'!AH30</f>
        <v/>
      </c>
      <c r="G33" s="24">
        <f>F33-'08_Moteur'!AM30</f>
        <v/>
      </c>
      <c r="H33" s="73">
        <f>'08_Moteur'!AM30</f>
        <v/>
      </c>
      <c r="I33" s="79">
        <f>'08_Moteur'!AN30</f>
        <v/>
      </c>
      <c r="J33" s="80">
        <f>IF(H33&lt;0,"🔴 Restructurer (mutualiser)",IF(AND('08_Moteur'!AI30&gt;=2,E33&lt;=('08_Moteur'!AI30-1)*'08_Moteur'!O30*1.1),"🟡 Regroupable (−1 classe tient en capacité)",IF(I33&lt;0.55,"🟠 Sous-rempli mais −1 classe déborderait","🟢 Maintenir")))</f>
        <v/>
      </c>
      <c r="K33" s="81">
        <f>"Poursuite : cohorte déjà inscrite → seul levier = regrouper. −1 classe créditée uniquement si l'effectif tient dans les classes restantes (capacité +10% tolérée). Remplissage si −1 classe : "&amp;IF('08_Moteur'!AI30&gt;=2,TEXT(IFERROR(E33/(('08_Moteur'!AI30-1)*'08_Moteur'!O30),0),"0%"),"n/a (1 seule classe)")</f>
        <v/>
      </c>
      <c r="L33" s="16" t="inlineStr">
        <is>
          <t>Maintenir</t>
        </is>
      </c>
      <c r="M33" s="60">
        <f>IF(L33="Ne pas lancer",0,IF(L33="Ouvrir +1 classe",E33+'08_Moteur'!O30,E33))</f>
        <v/>
      </c>
      <c r="N33" s="24">
        <f>IF(L33="Ne pas lancer",0,IF(L33="Ouvrir +1 classe",H33+'08_Moteur'!O30*('08_Moteur'!AE30*'08_Moteur'!AF30-('08_Moteur'!R30+'01_Cadrage'!$H$26)*(1+'01_Cadrage'!$H$20)-'08_Moteur'!S30)-'08_Moteur'!U30,IF(L33="Regrouper (-1 classe)",IF(AND('08_Moteur'!AI30&gt;=2,E33&lt;=('08_Moteur'!AI30-1)*'08_Moteur'!O30*1.1),H33+'08_Moteur'!U30,H33),H33)))</f>
        <v/>
      </c>
      <c r="O33" s="24">
        <f>M33*IFERROR(('09_Allocation'!E20+'09_Allocation'!F20+'09_Allocation'!I20)/SUM(M6:M63),0)</f>
        <v/>
      </c>
      <c r="P33" s="24">
        <f>N33-O33</f>
        <v/>
      </c>
      <c r="Q33" s="22">
        <f>N33-H33</f>
        <v/>
      </c>
    </row>
    <row r="34">
      <c r="A34" s="57">
        <f>'08_Moteur'!A31</f>
        <v/>
      </c>
      <c r="B34" s="10">
        <f>'08_Moteur'!B31</f>
        <v/>
      </c>
      <c r="C34" s="57">
        <f>'08_Moteur'!C31</f>
        <v/>
      </c>
      <c r="D34" s="10">
        <f>'08_Moteur'!D31</f>
        <v/>
      </c>
      <c r="E34" s="58">
        <f>'08_Moteur'!AD31</f>
        <v/>
      </c>
      <c r="F34" s="21">
        <f>'08_Moteur'!AH31</f>
        <v/>
      </c>
      <c r="G34" s="24">
        <f>F34-'08_Moteur'!AM31</f>
        <v/>
      </c>
      <c r="H34" s="73">
        <f>'08_Moteur'!AM31</f>
        <v/>
      </c>
      <c r="I34" s="79">
        <f>'08_Moteur'!AN31</f>
        <v/>
      </c>
      <c r="J34" s="80">
        <f>IF(H34&lt;0,"🔴 Ne pas lancer",IF(I34&gt;=0.95,"🟢 Ouvrir +1 (capter+diluer)",IF(I34&lt;0.55,"🟡 Surveiller","🟢 Maintenir")))</f>
        <v/>
      </c>
      <c r="K34" s="81">
        <f>IF(H34&lt;0,"Entrée à contribution négative → ne pas lancer cette cohorte",IF(I34&gt;=0.95,"Saturé → ouvrir capte des étudiants ET dilue la structure pour tous",IF(I34&lt;0.55,"Sous-rempli mais contribution positive → garder","Sain")))</f>
        <v/>
      </c>
      <c r="L34" s="16" t="inlineStr">
        <is>
          <t>Maintenir</t>
        </is>
      </c>
      <c r="M34" s="60">
        <f>IF(L34="Ne pas lancer",0,IF(L34="Ouvrir +1 classe",E34+'08_Moteur'!O31,E34))</f>
        <v/>
      </c>
      <c r="N34" s="24">
        <f>IF(L34="Ne pas lancer",0,IF(L34="Ouvrir +1 classe",H34+'08_Moteur'!O31*('08_Moteur'!AE31*'08_Moteur'!AF31-('08_Moteur'!R31+'01_Cadrage'!$H$26)*(1+'01_Cadrage'!$H$20)-'08_Moteur'!S31)-'08_Moteur'!U31,IF(L34="Regrouper (-1 classe)",IF(AND('08_Moteur'!AI31&gt;=2,E34&lt;=('08_Moteur'!AI31-1)*'08_Moteur'!O31*1.1),H34+'08_Moteur'!U31,H34),H34)))</f>
        <v/>
      </c>
      <c r="O34" s="24">
        <f>M34*IFERROR(('09_Allocation'!E20+'09_Allocation'!F20+'09_Allocation'!I20)/SUM(M6:M63),0)</f>
        <v/>
      </c>
      <c r="P34" s="24">
        <f>N34-O34</f>
        <v/>
      </c>
      <c r="Q34" s="22">
        <f>N34-H34</f>
        <v/>
      </c>
    </row>
    <row r="35">
      <c r="A35" s="57">
        <f>'08_Moteur'!A32</f>
        <v/>
      </c>
      <c r="B35" s="10">
        <f>'08_Moteur'!B32</f>
        <v/>
      </c>
      <c r="C35" s="57">
        <f>'08_Moteur'!C32</f>
        <v/>
      </c>
      <c r="D35" s="10">
        <f>'08_Moteur'!D32</f>
        <v/>
      </c>
      <c r="E35" s="58">
        <f>'08_Moteur'!AD32</f>
        <v/>
      </c>
      <c r="F35" s="21">
        <f>'08_Moteur'!AH32</f>
        <v/>
      </c>
      <c r="G35" s="24">
        <f>F35-'08_Moteur'!AM32</f>
        <v/>
      </c>
      <c r="H35" s="73">
        <f>'08_Moteur'!AM32</f>
        <v/>
      </c>
      <c r="I35" s="79">
        <f>'08_Moteur'!AN32</f>
        <v/>
      </c>
      <c r="J35" s="80">
        <f>IF(H35&lt;0,"🔴 Restructurer (mutualiser)",IF(AND('08_Moteur'!AI32&gt;=2,E35&lt;=('08_Moteur'!AI32-1)*'08_Moteur'!O32*1.1),"🟡 Regroupable (−1 classe tient en capacité)",IF(I35&lt;0.55,"🟠 Sous-rempli mais −1 classe déborderait","🟢 Maintenir")))</f>
        <v/>
      </c>
      <c r="K35" s="81">
        <f>"Poursuite : cohorte déjà inscrite → seul levier = regrouper. −1 classe créditée uniquement si l'effectif tient dans les classes restantes (capacité +10% tolérée). Remplissage si −1 classe : "&amp;IF('08_Moteur'!AI32&gt;=2,TEXT(IFERROR(E35/(('08_Moteur'!AI32-1)*'08_Moteur'!O32),0),"0%"),"n/a (1 seule classe)")</f>
        <v/>
      </c>
      <c r="L35" s="16" t="inlineStr">
        <is>
          <t>Maintenir</t>
        </is>
      </c>
      <c r="M35" s="60">
        <f>IF(L35="Ne pas lancer",0,IF(L35="Ouvrir +1 classe",E35+'08_Moteur'!O32,E35))</f>
        <v/>
      </c>
      <c r="N35" s="24">
        <f>IF(L35="Ne pas lancer",0,IF(L35="Ouvrir +1 classe",H35+'08_Moteur'!O32*('08_Moteur'!AE32*'08_Moteur'!AF32-('08_Moteur'!R32+'01_Cadrage'!$H$26)*(1+'01_Cadrage'!$H$20)-'08_Moteur'!S32)-'08_Moteur'!U32,IF(L35="Regrouper (-1 classe)",IF(AND('08_Moteur'!AI32&gt;=2,E35&lt;=('08_Moteur'!AI32-1)*'08_Moteur'!O32*1.1),H35+'08_Moteur'!U32,H35),H35)))</f>
        <v/>
      </c>
      <c r="O35" s="24">
        <f>M35*IFERROR(('09_Allocation'!E20+'09_Allocation'!F20+'09_Allocation'!I20)/SUM(M6:M63),0)</f>
        <v/>
      </c>
      <c r="P35" s="24">
        <f>N35-O35</f>
        <v/>
      </c>
      <c r="Q35" s="22">
        <f>N35-H35</f>
        <v/>
      </c>
    </row>
    <row r="36">
      <c r="A36" s="57">
        <f>'08_Moteur'!A33</f>
        <v/>
      </c>
      <c r="B36" s="10">
        <f>'08_Moteur'!B33</f>
        <v/>
      </c>
      <c r="C36" s="57">
        <f>'08_Moteur'!C33</f>
        <v/>
      </c>
      <c r="D36" s="10">
        <f>'08_Moteur'!D33</f>
        <v/>
      </c>
      <c r="E36" s="58">
        <f>'08_Moteur'!AD33</f>
        <v/>
      </c>
      <c r="F36" s="21">
        <f>'08_Moteur'!AH33</f>
        <v/>
      </c>
      <c r="G36" s="24">
        <f>F36-'08_Moteur'!AM33</f>
        <v/>
      </c>
      <c r="H36" s="73">
        <f>'08_Moteur'!AM33</f>
        <v/>
      </c>
      <c r="I36" s="79">
        <f>'08_Moteur'!AN33</f>
        <v/>
      </c>
      <c r="J36" s="80">
        <f>IF(H36&lt;0,"🔴 Ne pas lancer",IF(I36&gt;=0.95,"🟢 Ouvrir +1 (capter+diluer)",IF(I36&lt;0.55,"🟡 Surveiller","🟢 Maintenir")))</f>
        <v/>
      </c>
      <c r="K36" s="81">
        <f>IF(H36&lt;0,"Entrée à contribution négative → ne pas lancer cette cohorte",IF(I36&gt;=0.95,"Saturé → ouvrir capte des étudiants ET dilue la structure pour tous",IF(I36&lt;0.55,"Sous-rempli mais contribution positive → garder","Sain")))</f>
        <v/>
      </c>
      <c r="L36" s="16" t="inlineStr">
        <is>
          <t>Maintenir</t>
        </is>
      </c>
      <c r="M36" s="60">
        <f>IF(L36="Ne pas lancer",0,IF(L36="Ouvrir +1 classe",E36+'08_Moteur'!O33,E36))</f>
        <v/>
      </c>
      <c r="N36" s="24">
        <f>IF(L36="Ne pas lancer",0,IF(L36="Ouvrir +1 classe",H36+'08_Moteur'!O33*('08_Moteur'!AE33*'08_Moteur'!AF33-('08_Moteur'!R33+'01_Cadrage'!$H$26)*(1+'01_Cadrage'!$H$20)-'08_Moteur'!S33)-'08_Moteur'!U33,IF(L36="Regrouper (-1 classe)",IF(AND('08_Moteur'!AI33&gt;=2,E36&lt;=('08_Moteur'!AI33-1)*'08_Moteur'!O33*1.1),H36+'08_Moteur'!U33,H36),H36)))</f>
        <v/>
      </c>
      <c r="O36" s="24">
        <f>M36*IFERROR(('09_Allocation'!E20+'09_Allocation'!F20+'09_Allocation'!I20)/SUM(M6:M63),0)</f>
        <v/>
      </c>
      <c r="P36" s="24">
        <f>N36-O36</f>
        <v/>
      </c>
      <c r="Q36" s="22">
        <f>N36-H36</f>
        <v/>
      </c>
    </row>
    <row r="37">
      <c r="A37" s="57">
        <f>'08_Moteur'!A34</f>
        <v/>
      </c>
      <c r="B37" s="10">
        <f>'08_Moteur'!B34</f>
        <v/>
      </c>
      <c r="C37" s="57">
        <f>'08_Moteur'!C34</f>
        <v/>
      </c>
      <c r="D37" s="10">
        <f>'08_Moteur'!D34</f>
        <v/>
      </c>
      <c r="E37" s="58">
        <f>'08_Moteur'!AD34</f>
        <v/>
      </c>
      <c r="F37" s="21">
        <f>'08_Moteur'!AH34</f>
        <v/>
      </c>
      <c r="G37" s="24">
        <f>F37-'08_Moteur'!AM34</f>
        <v/>
      </c>
      <c r="H37" s="73">
        <f>'08_Moteur'!AM34</f>
        <v/>
      </c>
      <c r="I37" s="79">
        <f>'08_Moteur'!AN34</f>
        <v/>
      </c>
      <c r="J37" s="80">
        <f>IF(H37&lt;0,"🔴 Restructurer (mutualiser)",IF(AND('08_Moteur'!AI34&gt;=2,E37&lt;=('08_Moteur'!AI34-1)*'08_Moteur'!O34*1.1),"🟡 Regroupable (−1 classe tient en capacité)",IF(I37&lt;0.55,"🟠 Sous-rempli mais −1 classe déborderait","🟢 Maintenir")))</f>
        <v/>
      </c>
      <c r="K37" s="81">
        <f>"Poursuite : cohorte déjà inscrite → seul levier = regrouper. −1 classe créditée uniquement si l'effectif tient dans les classes restantes (capacité +10% tolérée). Remplissage si −1 classe : "&amp;IF('08_Moteur'!AI34&gt;=2,TEXT(IFERROR(E37/(('08_Moteur'!AI34-1)*'08_Moteur'!O34),0),"0%"),"n/a (1 seule classe)")</f>
        <v/>
      </c>
      <c r="L37" s="16" t="inlineStr">
        <is>
          <t>Maintenir</t>
        </is>
      </c>
      <c r="M37" s="60">
        <f>IF(L37="Ne pas lancer",0,IF(L37="Ouvrir +1 classe",E37+'08_Moteur'!O34,E37))</f>
        <v/>
      </c>
      <c r="N37" s="24">
        <f>IF(L37="Ne pas lancer",0,IF(L37="Ouvrir +1 classe",H37+'08_Moteur'!O34*('08_Moteur'!AE34*'08_Moteur'!AF34-('08_Moteur'!R34+'01_Cadrage'!$H$26)*(1+'01_Cadrage'!$H$20)-'08_Moteur'!S34)-'08_Moteur'!U34,IF(L37="Regrouper (-1 classe)",IF(AND('08_Moteur'!AI34&gt;=2,E37&lt;=('08_Moteur'!AI34-1)*'08_Moteur'!O34*1.1),H37+'08_Moteur'!U34,H37),H37)))</f>
        <v/>
      </c>
      <c r="O37" s="24">
        <f>M37*IFERROR(('09_Allocation'!E20+'09_Allocation'!F20+'09_Allocation'!I20)/SUM(M6:M63),0)</f>
        <v/>
      </c>
      <c r="P37" s="24">
        <f>N37-O37</f>
        <v/>
      </c>
      <c r="Q37" s="22">
        <f>N37-H37</f>
        <v/>
      </c>
    </row>
    <row r="38">
      <c r="A38" s="57">
        <f>'08_Moteur'!A35</f>
        <v/>
      </c>
      <c r="B38" s="10">
        <f>'08_Moteur'!B35</f>
        <v/>
      </c>
      <c r="C38" s="57">
        <f>'08_Moteur'!C35</f>
        <v/>
      </c>
      <c r="D38" s="10">
        <f>'08_Moteur'!D35</f>
        <v/>
      </c>
      <c r="E38" s="58">
        <f>'08_Moteur'!AD35</f>
        <v/>
      </c>
      <c r="F38" s="21">
        <f>'08_Moteur'!AH35</f>
        <v/>
      </c>
      <c r="G38" s="24">
        <f>F38-'08_Moteur'!AM35</f>
        <v/>
      </c>
      <c r="H38" s="73">
        <f>'08_Moteur'!AM35</f>
        <v/>
      </c>
      <c r="I38" s="79">
        <f>'08_Moteur'!AN35</f>
        <v/>
      </c>
      <c r="J38" s="80">
        <f>IF(H38&lt;0,"🔴 Restructurer (mutualiser)",IF(AND('08_Moteur'!AI35&gt;=2,E38&lt;=('08_Moteur'!AI35-1)*'08_Moteur'!O35*1.1),"🟡 Regroupable (−1 classe tient en capacité)",IF(I38&lt;0.55,"🟠 Sous-rempli mais −1 classe déborderait","🟢 Maintenir")))</f>
        <v/>
      </c>
      <c r="K38" s="81">
        <f>"Poursuite : cohorte déjà inscrite → seul levier = regrouper. −1 classe créditée uniquement si l'effectif tient dans les classes restantes (capacité +10% tolérée). Remplissage si −1 classe : "&amp;IF('08_Moteur'!AI35&gt;=2,TEXT(IFERROR(E38/(('08_Moteur'!AI35-1)*'08_Moteur'!O35),0),"0%"),"n/a (1 seule classe)")</f>
        <v/>
      </c>
      <c r="L38" s="16" t="inlineStr">
        <is>
          <t>Maintenir</t>
        </is>
      </c>
      <c r="M38" s="60">
        <f>IF(L38="Ne pas lancer",0,IF(L38="Ouvrir +1 classe",E38+'08_Moteur'!O35,E38))</f>
        <v/>
      </c>
      <c r="N38" s="24">
        <f>IF(L38="Ne pas lancer",0,IF(L38="Ouvrir +1 classe",H38+'08_Moteur'!O35*('08_Moteur'!AE35*'08_Moteur'!AF35-('08_Moteur'!R35+'01_Cadrage'!$H$26)*(1+'01_Cadrage'!$H$20)-'08_Moteur'!S35)-'08_Moteur'!U35,IF(L38="Regrouper (-1 classe)",IF(AND('08_Moteur'!AI35&gt;=2,E38&lt;=('08_Moteur'!AI35-1)*'08_Moteur'!O35*1.1),H38+'08_Moteur'!U35,H38),H38)))</f>
        <v/>
      </c>
      <c r="O38" s="24">
        <f>M38*IFERROR(('09_Allocation'!E20+'09_Allocation'!F20+'09_Allocation'!I20)/SUM(M6:M63),0)</f>
        <v/>
      </c>
      <c r="P38" s="24">
        <f>N38-O38</f>
        <v/>
      </c>
      <c r="Q38" s="22">
        <f>N38-H38</f>
        <v/>
      </c>
    </row>
    <row r="39">
      <c r="A39" s="57">
        <f>'08_Moteur'!A36</f>
        <v/>
      </c>
      <c r="B39" s="10">
        <f>'08_Moteur'!B36</f>
        <v/>
      </c>
      <c r="C39" s="57">
        <f>'08_Moteur'!C36</f>
        <v/>
      </c>
      <c r="D39" s="10">
        <f>'08_Moteur'!D36</f>
        <v/>
      </c>
      <c r="E39" s="58">
        <f>'08_Moteur'!AD36</f>
        <v/>
      </c>
      <c r="F39" s="21">
        <f>'08_Moteur'!AH36</f>
        <v/>
      </c>
      <c r="G39" s="24">
        <f>F39-'08_Moteur'!AM36</f>
        <v/>
      </c>
      <c r="H39" s="73">
        <f>'08_Moteur'!AM36</f>
        <v/>
      </c>
      <c r="I39" s="79">
        <f>'08_Moteur'!AN36</f>
        <v/>
      </c>
      <c r="J39" s="80">
        <f>IF(H39&lt;0,"🔴 Ne pas lancer",IF(I39&gt;=0.95,"🟢 Ouvrir +1 (capter+diluer)",IF(I39&lt;0.55,"🟡 Surveiller","🟢 Maintenir")))</f>
        <v/>
      </c>
      <c r="K39" s="81">
        <f>IF(H39&lt;0,"Entrée à contribution négative → ne pas lancer cette cohorte",IF(I39&gt;=0.95,"Saturé → ouvrir capte des étudiants ET dilue la structure pour tous",IF(I39&lt;0.55,"Sous-rempli mais contribution positive → garder","Sain")))</f>
        <v/>
      </c>
      <c r="L39" s="16" t="inlineStr">
        <is>
          <t>Maintenir</t>
        </is>
      </c>
      <c r="M39" s="60">
        <f>IF(L39="Ne pas lancer",0,IF(L39="Ouvrir +1 classe",E39+'08_Moteur'!O36,E39))</f>
        <v/>
      </c>
      <c r="N39" s="24">
        <f>IF(L39="Ne pas lancer",0,IF(L39="Ouvrir +1 classe",H39+'08_Moteur'!O36*('08_Moteur'!AE36*'08_Moteur'!AF36-('08_Moteur'!R36+'01_Cadrage'!$H$26)*(1+'01_Cadrage'!$H$20)-'08_Moteur'!S36)-'08_Moteur'!U36,IF(L39="Regrouper (-1 classe)",IF(AND('08_Moteur'!AI36&gt;=2,E39&lt;=('08_Moteur'!AI36-1)*'08_Moteur'!O36*1.1),H39+'08_Moteur'!U36,H39),H39)))</f>
        <v/>
      </c>
      <c r="O39" s="24">
        <f>M39*IFERROR(('09_Allocation'!E20+'09_Allocation'!F20+'09_Allocation'!I20)/SUM(M6:M63),0)</f>
        <v/>
      </c>
      <c r="P39" s="24">
        <f>N39-O39</f>
        <v/>
      </c>
      <c r="Q39" s="22">
        <f>N39-H39</f>
        <v/>
      </c>
    </row>
    <row r="40">
      <c r="A40" s="57">
        <f>'08_Moteur'!A37</f>
        <v/>
      </c>
      <c r="B40" s="10">
        <f>'08_Moteur'!B37</f>
        <v/>
      </c>
      <c r="C40" s="57">
        <f>'08_Moteur'!C37</f>
        <v/>
      </c>
      <c r="D40" s="10">
        <f>'08_Moteur'!D37</f>
        <v/>
      </c>
      <c r="E40" s="58">
        <f>'08_Moteur'!AD37</f>
        <v/>
      </c>
      <c r="F40" s="21">
        <f>'08_Moteur'!AH37</f>
        <v/>
      </c>
      <c r="G40" s="24">
        <f>F40-'08_Moteur'!AM37</f>
        <v/>
      </c>
      <c r="H40" s="73">
        <f>'08_Moteur'!AM37</f>
        <v/>
      </c>
      <c r="I40" s="79">
        <f>'08_Moteur'!AN37</f>
        <v/>
      </c>
      <c r="J40" s="80">
        <f>IF(H40&lt;0,"🔴 Restructurer (mutualiser)",IF(AND('08_Moteur'!AI37&gt;=2,E40&lt;=('08_Moteur'!AI37-1)*'08_Moteur'!O37*1.1),"🟡 Regroupable (−1 classe tient en capacité)",IF(I40&lt;0.55,"🟠 Sous-rempli mais −1 classe déborderait","🟢 Maintenir")))</f>
        <v/>
      </c>
      <c r="K40" s="81">
        <f>"Poursuite : cohorte déjà inscrite → seul levier = regrouper. −1 classe créditée uniquement si l'effectif tient dans les classes restantes (capacité +10% tolérée). Remplissage si −1 classe : "&amp;IF('08_Moteur'!AI37&gt;=2,TEXT(IFERROR(E40/(('08_Moteur'!AI37-1)*'08_Moteur'!O37),0),"0%"),"n/a (1 seule classe)")</f>
        <v/>
      </c>
      <c r="L40" s="16" t="inlineStr">
        <is>
          <t>Maintenir</t>
        </is>
      </c>
      <c r="M40" s="60">
        <f>IF(L40="Ne pas lancer",0,IF(L40="Ouvrir +1 classe",E40+'08_Moteur'!O37,E40))</f>
        <v/>
      </c>
      <c r="N40" s="24">
        <f>IF(L40="Ne pas lancer",0,IF(L40="Ouvrir +1 classe",H40+'08_Moteur'!O37*('08_Moteur'!AE37*'08_Moteur'!AF37-('08_Moteur'!R37+'01_Cadrage'!$H$26)*(1+'01_Cadrage'!$H$20)-'08_Moteur'!S37)-'08_Moteur'!U37,IF(L40="Regrouper (-1 classe)",IF(AND('08_Moteur'!AI37&gt;=2,E40&lt;=('08_Moteur'!AI37-1)*'08_Moteur'!O37*1.1),H40+'08_Moteur'!U37,H40),H40)))</f>
        <v/>
      </c>
      <c r="O40" s="24">
        <f>M40*IFERROR(('09_Allocation'!E20+'09_Allocation'!F20+'09_Allocation'!I20)/SUM(M6:M63),0)</f>
        <v/>
      </c>
      <c r="P40" s="24">
        <f>N40-O40</f>
        <v/>
      </c>
      <c r="Q40" s="22">
        <f>N40-H40</f>
        <v/>
      </c>
    </row>
    <row r="41">
      <c r="A41" s="57">
        <f>'08_Moteur'!A38</f>
        <v/>
      </c>
      <c r="B41" s="10">
        <f>'08_Moteur'!B38</f>
        <v/>
      </c>
      <c r="C41" s="57">
        <f>'08_Moteur'!C38</f>
        <v/>
      </c>
      <c r="D41" s="10">
        <f>'08_Moteur'!D38</f>
        <v/>
      </c>
      <c r="E41" s="58">
        <f>'08_Moteur'!AD38</f>
        <v/>
      </c>
      <c r="F41" s="21">
        <f>'08_Moteur'!AH38</f>
        <v/>
      </c>
      <c r="G41" s="24">
        <f>F41-'08_Moteur'!AM38</f>
        <v/>
      </c>
      <c r="H41" s="73">
        <f>'08_Moteur'!AM38</f>
        <v/>
      </c>
      <c r="I41" s="79">
        <f>'08_Moteur'!AN38</f>
        <v/>
      </c>
      <c r="J41" s="80">
        <f>IF(H41&lt;0,"🔴 Ne pas lancer",IF(I41&gt;=0.95,"🟢 Ouvrir +1 (capter+diluer)",IF(I41&lt;0.55,"🟡 Surveiller","🟢 Maintenir")))</f>
        <v/>
      </c>
      <c r="K41" s="81">
        <f>IF(H41&lt;0,"Entrée à contribution négative → ne pas lancer cette cohorte",IF(I41&gt;=0.95,"Saturé → ouvrir capte des étudiants ET dilue la structure pour tous",IF(I41&lt;0.55,"Sous-rempli mais contribution positive → garder","Sain")))</f>
        <v/>
      </c>
      <c r="L41" s="16" t="inlineStr">
        <is>
          <t>Maintenir</t>
        </is>
      </c>
      <c r="M41" s="60">
        <f>IF(L41="Ne pas lancer",0,IF(L41="Ouvrir +1 classe",E41+'08_Moteur'!O38,E41))</f>
        <v/>
      </c>
      <c r="N41" s="24">
        <f>IF(L41="Ne pas lancer",0,IF(L41="Ouvrir +1 classe",H41+'08_Moteur'!O38*('08_Moteur'!AE38*'08_Moteur'!AF38-('08_Moteur'!R38+'01_Cadrage'!$H$26)*(1+'01_Cadrage'!$H$20)-'08_Moteur'!S38)-'08_Moteur'!U38,IF(L41="Regrouper (-1 classe)",IF(AND('08_Moteur'!AI38&gt;=2,E41&lt;=('08_Moteur'!AI38-1)*'08_Moteur'!O38*1.1),H41+'08_Moteur'!U38,H41),H41)))</f>
        <v/>
      </c>
      <c r="O41" s="24">
        <f>M41*IFERROR(('09_Allocation'!E20+'09_Allocation'!F20+'09_Allocation'!I20)/SUM(M6:M63),0)</f>
        <v/>
      </c>
      <c r="P41" s="24">
        <f>N41-O41</f>
        <v/>
      </c>
      <c r="Q41" s="22">
        <f>N41-H41</f>
        <v/>
      </c>
    </row>
    <row r="42">
      <c r="A42" s="57">
        <f>'08_Moteur'!A39</f>
        <v/>
      </c>
      <c r="B42" s="10">
        <f>'08_Moteur'!B39</f>
        <v/>
      </c>
      <c r="C42" s="57">
        <f>'08_Moteur'!C39</f>
        <v/>
      </c>
      <c r="D42" s="10">
        <f>'08_Moteur'!D39</f>
        <v/>
      </c>
      <c r="E42" s="58">
        <f>'08_Moteur'!AD39</f>
        <v/>
      </c>
      <c r="F42" s="21">
        <f>'08_Moteur'!AH39</f>
        <v/>
      </c>
      <c r="G42" s="24">
        <f>F42-'08_Moteur'!AM39</f>
        <v/>
      </c>
      <c r="H42" s="73">
        <f>'08_Moteur'!AM39</f>
        <v/>
      </c>
      <c r="I42" s="79">
        <f>'08_Moteur'!AN39</f>
        <v/>
      </c>
      <c r="J42" s="80">
        <f>IF(H42&lt;0,"🔴 Restructurer (mutualiser)",IF(AND('08_Moteur'!AI39&gt;=2,E42&lt;=('08_Moteur'!AI39-1)*'08_Moteur'!O39*1.1),"🟡 Regroupable (−1 classe tient en capacité)",IF(I42&lt;0.55,"🟠 Sous-rempli mais −1 classe déborderait","🟢 Maintenir")))</f>
        <v/>
      </c>
      <c r="K42" s="81">
        <f>"Poursuite : cohorte déjà inscrite → seul levier = regrouper. −1 classe créditée uniquement si l'effectif tient dans les classes restantes (capacité +10% tolérée). Remplissage si −1 classe : "&amp;IF('08_Moteur'!AI39&gt;=2,TEXT(IFERROR(E42/(('08_Moteur'!AI39-1)*'08_Moteur'!O39),0),"0%"),"n/a (1 seule classe)")</f>
        <v/>
      </c>
      <c r="L42" s="16" t="inlineStr">
        <is>
          <t>Maintenir</t>
        </is>
      </c>
      <c r="M42" s="60">
        <f>IF(L42="Ne pas lancer",0,IF(L42="Ouvrir +1 classe",E42+'08_Moteur'!O39,E42))</f>
        <v/>
      </c>
      <c r="N42" s="24">
        <f>IF(L42="Ne pas lancer",0,IF(L42="Ouvrir +1 classe",H42+'08_Moteur'!O39*('08_Moteur'!AE39*'08_Moteur'!AF39-('08_Moteur'!R39+'01_Cadrage'!$H$26)*(1+'01_Cadrage'!$H$20)-'08_Moteur'!S39)-'08_Moteur'!U39,IF(L42="Regrouper (-1 classe)",IF(AND('08_Moteur'!AI39&gt;=2,E42&lt;=('08_Moteur'!AI39-1)*'08_Moteur'!O39*1.1),H42+'08_Moteur'!U39,H42),H42)))</f>
        <v/>
      </c>
      <c r="O42" s="24">
        <f>M42*IFERROR(('09_Allocation'!E20+'09_Allocation'!F20+'09_Allocation'!I20)/SUM(M6:M63),0)</f>
        <v/>
      </c>
      <c r="P42" s="24">
        <f>N42-O42</f>
        <v/>
      </c>
      <c r="Q42" s="22">
        <f>N42-H42</f>
        <v/>
      </c>
    </row>
    <row r="43">
      <c r="A43" s="57">
        <f>'08_Moteur'!A40</f>
        <v/>
      </c>
      <c r="B43" s="10">
        <f>'08_Moteur'!B40</f>
        <v/>
      </c>
      <c r="C43" s="57">
        <f>'08_Moteur'!C40</f>
        <v/>
      </c>
      <c r="D43" s="10">
        <f>'08_Moteur'!D40</f>
        <v/>
      </c>
      <c r="E43" s="58">
        <f>'08_Moteur'!AD40</f>
        <v/>
      </c>
      <c r="F43" s="21">
        <f>'08_Moteur'!AH40</f>
        <v/>
      </c>
      <c r="G43" s="24">
        <f>F43-'08_Moteur'!AM40</f>
        <v/>
      </c>
      <c r="H43" s="73">
        <f>'08_Moteur'!AM40</f>
        <v/>
      </c>
      <c r="I43" s="79">
        <f>'08_Moteur'!AN40</f>
        <v/>
      </c>
      <c r="J43" s="80">
        <f>IF(H43&lt;0,"🔴 Restructurer (mutualiser)",IF(AND('08_Moteur'!AI40&gt;=2,E43&lt;=('08_Moteur'!AI40-1)*'08_Moteur'!O40*1.1),"🟡 Regroupable (−1 classe tient en capacité)",IF(I43&lt;0.55,"🟠 Sous-rempli mais −1 classe déborderait","🟢 Maintenir")))</f>
        <v/>
      </c>
      <c r="K43" s="81">
        <f>"Poursuite : cohorte déjà inscrite → seul levier = regrouper. −1 classe créditée uniquement si l'effectif tient dans les classes restantes (capacité +10% tolérée). Remplissage si −1 classe : "&amp;IF('08_Moteur'!AI40&gt;=2,TEXT(IFERROR(E43/(('08_Moteur'!AI40-1)*'08_Moteur'!O40),0),"0%"),"n/a (1 seule classe)")</f>
        <v/>
      </c>
      <c r="L43" s="16" t="inlineStr">
        <is>
          <t>Maintenir</t>
        </is>
      </c>
      <c r="M43" s="60">
        <f>IF(L43="Ne pas lancer",0,IF(L43="Ouvrir +1 classe",E43+'08_Moteur'!O40,E43))</f>
        <v/>
      </c>
      <c r="N43" s="24">
        <f>IF(L43="Ne pas lancer",0,IF(L43="Ouvrir +1 classe",H43+'08_Moteur'!O40*('08_Moteur'!AE40*'08_Moteur'!AF40-('08_Moteur'!R40+'01_Cadrage'!$H$26)*(1+'01_Cadrage'!$H$20)-'08_Moteur'!S40)-'08_Moteur'!U40,IF(L43="Regrouper (-1 classe)",IF(AND('08_Moteur'!AI40&gt;=2,E43&lt;=('08_Moteur'!AI40-1)*'08_Moteur'!O40*1.1),H43+'08_Moteur'!U40,H43),H43)))</f>
        <v/>
      </c>
      <c r="O43" s="24">
        <f>M43*IFERROR(('09_Allocation'!E20+'09_Allocation'!F20+'09_Allocation'!I20)/SUM(M6:M63),0)</f>
        <v/>
      </c>
      <c r="P43" s="24">
        <f>N43-O43</f>
        <v/>
      </c>
      <c r="Q43" s="22">
        <f>N43-H43</f>
        <v/>
      </c>
    </row>
    <row r="44">
      <c r="A44" s="57">
        <f>'08_Moteur'!A41</f>
        <v/>
      </c>
      <c r="B44" s="10">
        <f>'08_Moteur'!B41</f>
        <v/>
      </c>
      <c r="C44" s="57">
        <f>'08_Moteur'!C41</f>
        <v/>
      </c>
      <c r="D44" s="10">
        <f>'08_Moteur'!D41</f>
        <v/>
      </c>
      <c r="E44" s="58">
        <f>'08_Moteur'!AD41</f>
        <v/>
      </c>
      <c r="F44" s="21">
        <f>'08_Moteur'!AH41</f>
        <v/>
      </c>
      <c r="G44" s="24">
        <f>F44-'08_Moteur'!AM41</f>
        <v/>
      </c>
      <c r="H44" s="73">
        <f>'08_Moteur'!AM41</f>
        <v/>
      </c>
      <c r="I44" s="79">
        <f>'08_Moteur'!AN41</f>
        <v/>
      </c>
      <c r="J44" s="80">
        <f>IF(H44&lt;0,"🔴 Ne pas lancer",IF(I44&gt;=0.95,"🟢 Ouvrir +1 (capter+diluer)",IF(I44&lt;0.55,"🟡 Surveiller","🟢 Maintenir")))</f>
        <v/>
      </c>
      <c r="K44" s="81">
        <f>IF(H44&lt;0,"Entrée à contribution négative → ne pas lancer cette cohorte",IF(I44&gt;=0.95,"Saturé → ouvrir capte des étudiants ET dilue la structure pour tous",IF(I44&lt;0.55,"Sous-rempli mais contribution positive → garder","Sain")))</f>
        <v/>
      </c>
      <c r="L44" s="16" t="inlineStr">
        <is>
          <t>Maintenir</t>
        </is>
      </c>
      <c r="M44" s="60">
        <f>IF(L44="Ne pas lancer",0,IF(L44="Ouvrir +1 classe",E44+'08_Moteur'!O41,E44))</f>
        <v/>
      </c>
      <c r="N44" s="24">
        <f>IF(L44="Ne pas lancer",0,IF(L44="Ouvrir +1 classe",H44+'08_Moteur'!O41*('08_Moteur'!AE41*'08_Moteur'!AF41-('08_Moteur'!R41+'01_Cadrage'!$H$26)*(1+'01_Cadrage'!$H$20)-'08_Moteur'!S41)-'08_Moteur'!U41,IF(L44="Regrouper (-1 classe)",IF(AND('08_Moteur'!AI41&gt;=2,E44&lt;=('08_Moteur'!AI41-1)*'08_Moteur'!O41*1.1),H44+'08_Moteur'!U41,H44),H44)))</f>
        <v/>
      </c>
      <c r="O44" s="24">
        <f>M44*IFERROR(('09_Allocation'!E20+'09_Allocation'!F20+'09_Allocation'!I20)/SUM(M6:M63),0)</f>
        <v/>
      </c>
      <c r="P44" s="24">
        <f>N44-O44</f>
        <v/>
      </c>
      <c r="Q44" s="22">
        <f>N44-H44</f>
        <v/>
      </c>
    </row>
    <row r="45">
      <c r="A45" s="57">
        <f>'08_Moteur'!A42</f>
        <v/>
      </c>
      <c r="B45" s="10">
        <f>'08_Moteur'!B42</f>
        <v/>
      </c>
      <c r="C45" s="57">
        <f>'08_Moteur'!C42</f>
        <v/>
      </c>
      <c r="D45" s="10">
        <f>'08_Moteur'!D42</f>
        <v/>
      </c>
      <c r="E45" s="58">
        <f>'08_Moteur'!AD42</f>
        <v/>
      </c>
      <c r="F45" s="21">
        <f>'08_Moteur'!AH42</f>
        <v/>
      </c>
      <c r="G45" s="24">
        <f>F45-'08_Moteur'!AM42</f>
        <v/>
      </c>
      <c r="H45" s="73">
        <f>'08_Moteur'!AM42</f>
        <v/>
      </c>
      <c r="I45" s="79">
        <f>'08_Moteur'!AN42</f>
        <v/>
      </c>
      <c r="J45" s="80">
        <f>IF(H45&lt;0,"🔴 Restructurer (mutualiser)",IF(AND('08_Moteur'!AI42&gt;=2,E45&lt;=('08_Moteur'!AI42-1)*'08_Moteur'!O42*1.1),"🟡 Regroupable (−1 classe tient en capacité)",IF(I45&lt;0.55,"🟠 Sous-rempli mais −1 classe déborderait","🟢 Maintenir")))</f>
        <v/>
      </c>
      <c r="K45" s="81">
        <f>"Poursuite : cohorte déjà inscrite → seul levier = regrouper. −1 classe créditée uniquement si l'effectif tient dans les classes restantes (capacité +10% tolérée). Remplissage si −1 classe : "&amp;IF('08_Moteur'!AI42&gt;=2,TEXT(IFERROR(E45/(('08_Moteur'!AI42-1)*'08_Moteur'!O42),0),"0%"),"n/a (1 seule classe)")</f>
        <v/>
      </c>
      <c r="L45" s="16" t="inlineStr">
        <is>
          <t>Maintenir</t>
        </is>
      </c>
      <c r="M45" s="60">
        <f>IF(L45="Ne pas lancer",0,IF(L45="Ouvrir +1 classe",E45+'08_Moteur'!O42,E45))</f>
        <v/>
      </c>
      <c r="N45" s="24">
        <f>IF(L45="Ne pas lancer",0,IF(L45="Ouvrir +1 classe",H45+'08_Moteur'!O42*('08_Moteur'!AE42*'08_Moteur'!AF42-('08_Moteur'!R42+'01_Cadrage'!$H$26)*(1+'01_Cadrage'!$H$20)-'08_Moteur'!S42)-'08_Moteur'!U42,IF(L45="Regrouper (-1 classe)",IF(AND('08_Moteur'!AI42&gt;=2,E45&lt;=('08_Moteur'!AI42-1)*'08_Moteur'!O42*1.1),H45+'08_Moteur'!U42,H45),H45)))</f>
        <v/>
      </c>
      <c r="O45" s="24">
        <f>M45*IFERROR(('09_Allocation'!E20+'09_Allocation'!F20+'09_Allocation'!I20)/SUM(M6:M63),0)</f>
        <v/>
      </c>
      <c r="P45" s="24">
        <f>N45-O45</f>
        <v/>
      </c>
      <c r="Q45" s="22">
        <f>N45-H45</f>
        <v/>
      </c>
    </row>
    <row r="46">
      <c r="A46" s="57">
        <f>'08_Moteur'!A43</f>
        <v/>
      </c>
      <c r="B46" s="10">
        <f>'08_Moteur'!B43</f>
        <v/>
      </c>
      <c r="C46" s="57">
        <f>'08_Moteur'!C43</f>
        <v/>
      </c>
      <c r="D46" s="10">
        <f>'08_Moteur'!D43</f>
        <v/>
      </c>
      <c r="E46" s="58">
        <f>'08_Moteur'!AD43</f>
        <v/>
      </c>
      <c r="F46" s="21">
        <f>'08_Moteur'!AH43</f>
        <v/>
      </c>
      <c r="G46" s="24">
        <f>F46-'08_Moteur'!AM43</f>
        <v/>
      </c>
      <c r="H46" s="73">
        <f>'08_Moteur'!AM43</f>
        <v/>
      </c>
      <c r="I46" s="79">
        <f>'08_Moteur'!AN43</f>
        <v/>
      </c>
      <c r="J46" s="80">
        <f>IF(H46&lt;0,"🔴 Restructurer (mutualiser)",IF(AND('08_Moteur'!AI43&gt;=2,E46&lt;=('08_Moteur'!AI43-1)*'08_Moteur'!O43*1.1),"🟡 Regroupable (−1 classe tient en capacité)",IF(I46&lt;0.55,"🟠 Sous-rempli mais −1 classe déborderait","🟢 Maintenir")))</f>
        <v/>
      </c>
      <c r="K46" s="81">
        <f>"Poursuite : cohorte déjà inscrite → seul levier = regrouper. −1 classe créditée uniquement si l'effectif tient dans les classes restantes (capacité +10% tolérée). Remplissage si −1 classe : "&amp;IF('08_Moteur'!AI43&gt;=2,TEXT(IFERROR(E46/(('08_Moteur'!AI43-1)*'08_Moteur'!O43),0),"0%"),"n/a (1 seule classe)")</f>
        <v/>
      </c>
      <c r="L46" s="16" t="inlineStr">
        <is>
          <t>Maintenir</t>
        </is>
      </c>
      <c r="M46" s="60">
        <f>IF(L46="Ne pas lancer",0,IF(L46="Ouvrir +1 classe",E46+'08_Moteur'!O43,E46))</f>
        <v/>
      </c>
      <c r="N46" s="24">
        <f>IF(L46="Ne pas lancer",0,IF(L46="Ouvrir +1 classe",H46+'08_Moteur'!O43*('08_Moteur'!AE43*'08_Moteur'!AF43-('08_Moteur'!R43+'01_Cadrage'!$H$26)*(1+'01_Cadrage'!$H$20)-'08_Moteur'!S43)-'08_Moteur'!U43,IF(L46="Regrouper (-1 classe)",IF(AND('08_Moteur'!AI43&gt;=2,E46&lt;=('08_Moteur'!AI43-1)*'08_Moteur'!O43*1.1),H46+'08_Moteur'!U43,H46),H46)))</f>
        <v/>
      </c>
      <c r="O46" s="24">
        <f>M46*IFERROR(('09_Allocation'!E20+'09_Allocation'!F20+'09_Allocation'!I20)/SUM(M6:M63),0)</f>
        <v/>
      </c>
      <c r="P46" s="24">
        <f>N46-O46</f>
        <v/>
      </c>
      <c r="Q46" s="22">
        <f>N46-H46</f>
        <v/>
      </c>
    </row>
    <row r="47">
      <c r="A47" s="57">
        <f>'08_Moteur'!A44</f>
        <v/>
      </c>
      <c r="B47" s="10">
        <f>'08_Moteur'!B44</f>
        <v/>
      </c>
      <c r="C47" s="57">
        <f>'08_Moteur'!C44</f>
        <v/>
      </c>
      <c r="D47" s="10">
        <f>'08_Moteur'!D44</f>
        <v/>
      </c>
      <c r="E47" s="58">
        <f>'08_Moteur'!AD44</f>
        <v/>
      </c>
      <c r="F47" s="21">
        <f>'08_Moteur'!AH44</f>
        <v/>
      </c>
      <c r="G47" s="24">
        <f>F47-'08_Moteur'!AM44</f>
        <v/>
      </c>
      <c r="H47" s="73">
        <f>'08_Moteur'!AM44</f>
        <v/>
      </c>
      <c r="I47" s="79">
        <f>'08_Moteur'!AN44</f>
        <v/>
      </c>
      <c r="J47" s="80">
        <f>IF(H47&lt;0,"🔴 Ne pas lancer",IF(I47&gt;=0.95,"🟢 Ouvrir +1 (capter+diluer)",IF(I47&lt;0.55,"🟡 Surveiller","🟢 Maintenir")))</f>
        <v/>
      </c>
      <c r="K47" s="81">
        <f>IF(H47&lt;0,"Entrée à contribution négative → ne pas lancer cette cohorte",IF(I47&gt;=0.95,"Saturé → ouvrir capte des étudiants ET dilue la structure pour tous",IF(I47&lt;0.55,"Sous-rempli mais contribution positive → garder","Sain")))</f>
        <v/>
      </c>
      <c r="L47" s="16" t="inlineStr">
        <is>
          <t>Maintenir</t>
        </is>
      </c>
      <c r="M47" s="60">
        <f>IF(L47="Ne pas lancer",0,IF(L47="Ouvrir +1 classe",E47+'08_Moteur'!O44,E47))</f>
        <v/>
      </c>
      <c r="N47" s="24">
        <f>IF(L47="Ne pas lancer",0,IF(L47="Ouvrir +1 classe",H47+'08_Moteur'!O44*('08_Moteur'!AE44*'08_Moteur'!AF44-('08_Moteur'!R44+'01_Cadrage'!$H$26)*(1+'01_Cadrage'!$H$20)-'08_Moteur'!S44)-'08_Moteur'!U44,IF(L47="Regrouper (-1 classe)",IF(AND('08_Moteur'!AI44&gt;=2,E47&lt;=('08_Moteur'!AI44-1)*'08_Moteur'!O44*1.1),H47+'08_Moteur'!U44,H47),H47)))</f>
        <v/>
      </c>
      <c r="O47" s="24">
        <f>M47*IFERROR(('09_Allocation'!E20+'09_Allocation'!F20+'09_Allocation'!I20)/SUM(M6:M63),0)</f>
        <v/>
      </c>
      <c r="P47" s="24">
        <f>N47-O47</f>
        <v/>
      </c>
      <c r="Q47" s="22">
        <f>N47-H47</f>
        <v/>
      </c>
    </row>
    <row r="48">
      <c r="A48" s="57">
        <f>'08_Moteur'!A45</f>
        <v/>
      </c>
      <c r="B48" s="10">
        <f>'08_Moteur'!B45</f>
        <v/>
      </c>
      <c r="C48" s="57">
        <f>'08_Moteur'!C45</f>
        <v/>
      </c>
      <c r="D48" s="10">
        <f>'08_Moteur'!D45</f>
        <v/>
      </c>
      <c r="E48" s="58">
        <f>'08_Moteur'!AD45</f>
        <v/>
      </c>
      <c r="F48" s="21">
        <f>'08_Moteur'!AH45</f>
        <v/>
      </c>
      <c r="G48" s="24">
        <f>F48-'08_Moteur'!AM45</f>
        <v/>
      </c>
      <c r="H48" s="73">
        <f>'08_Moteur'!AM45</f>
        <v/>
      </c>
      <c r="I48" s="79">
        <f>'08_Moteur'!AN45</f>
        <v/>
      </c>
      <c r="J48" s="80">
        <f>IF(H48&lt;0,"🔴 Restructurer (mutualiser)",IF(AND('08_Moteur'!AI45&gt;=2,E48&lt;=('08_Moteur'!AI45-1)*'08_Moteur'!O45*1.1),"🟡 Regroupable (−1 classe tient en capacité)",IF(I48&lt;0.55,"🟠 Sous-rempli mais −1 classe déborderait","🟢 Maintenir")))</f>
        <v/>
      </c>
      <c r="K48" s="81">
        <f>"Poursuite : cohorte déjà inscrite → seul levier = regrouper. −1 classe créditée uniquement si l'effectif tient dans les classes restantes (capacité +10% tolérée). Remplissage si −1 classe : "&amp;IF('08_Moteur'!AI45&gt;=2,TEXT(IFERROR(E48/(('08_Moteur'!AI45-1)*'08_Moteur'!O45),0),"0%"),"n/a (1 seule classe)")</f>
        <v/>
      </c>
      <c r="L48" s="16" t="inlineStr">
        <is>
          <t>Maintenir</t>
        </is>
      </c>
      <c r="M48" s="60">
        <f>IF(L48="Ne pas lancer",0,IF(L48="Ouvrir +1 classe",E48+'08_Moteur'!O45,E48))</f>
        <v/>
      </c>
      <c r="N48" s="24">
        <f>IF(L48="Ne pas lancer",0,IF(L48="Ouvrir +1 classe",H48+'08_Moteur'!O45*('08_Moteur'!AE45*'08_Moteur'!AF45-('08_Moteur'!R45+'01_Cadrage'!$H$26)*(1+'01_Cadrage'!$H$20)-'08_Moteur'!S45)-'08_Moteur'!U45,IF(L48="Regrouper (-1 classe)",IF(AND('08_Moteur'!AI45&gt;=2,E48&lt;=('08_Moteur'!AI45-1)*'08_Moteur'!O45*1.1),H48+'08_Moteur'!U45,H48),H48)))</f>
        <v/>
      </c>
      <c r="O48" s="24">
        <f>M48*IFERROR(('09_Allocation'!E20+'09_Allocation'!F20+'09_Allocation'!I20)/SUM(M6:M63),0)</f>
        <v/>
      </c>
      <c r="P48" s="24">
        <f>N48-O48</f>
        <v/>
      </c>
      <c r="Q48" s="22">
        <f>N48-H48</f>
        <v/>
      </c>
    </row>
    <row r="49">
      <c r="A49" s="57">
        <f>'08_Moteur'!A46</f>
        <v/>
      </c>
      <c r="B49" s="10">
        <f>'08_Moteur'!B46</f>
        <v/>
      </c>
      <c r="C49" s="57">
        <f>'08_Moteur'!C46</f>
        <v/>
      </c>
      <c r="D49" s="10">
        <f>'08_Moteur'!D46</f>
        <v/>
      </c>
      <c r="E49" s="58">
        <f>'08_Moteur'!AD46</f>
        <v/>
      </c>
      <c r="F49" s="21">
        <f>'08_Moteur'!AH46</f>
        <v/>
      </c>
      <c r="G49" s="24">
        <f>F49-'08_Moteur'!AM46</f>
        <v/>
      </c>
      <c r="H49" s="73">
        <f>'08_Moteur'!AM46</f>
        <v/>
      </c>
      <c r="I49" s="79">
        <f>'08_Moteur'!AN46</f>
        <v/>
      </c>
      <c r="J49" s="80">
        <f>IF(H49&lt;0,"🔴 Restructurer (mutualiser)",IF(AND('08_Moteur'!AI46&gt;=2,E49&lt;=('08_Moteur'!AI46-1)*'08_Moteur'!O46*1.1),"🟡 Regroupable (−1 classe tient en capacité)",IF(I49&lt;0.55,"🟠 Sous-rempli mais −1 classe déborderait","🟢 Maintenir")))</f>
        <v/>
      </c>
      <c r="K49" s="81">
        <f>"Poursuite : cohorte déjà inscrite → seul levier = regrouper. −1 classe créditée uniquement si l'effectif tient dans les classes restantes (capacité +10% tolérée). Remplissage si −1 classe : "&amp;IF('08_Moteur'!AI46&gt;=2,TEXT(IFERROR(E49/(('08_Moteur'!AI46-1)*'08_Moteur'!O46),0),"0%"),"n/a (1 seule classe)")</f>
        <v/>
      </c>
      <c r="L49" s="16" t="inlineStr">
        <is>
          <t>Maintenir</t>
        </is>
      </c>
      <c r="M49" s="60">
        <f>IF(L49="Ne pas lancer",0,IF(L49="Ouvrir +1 classe",E49+'08_Moteur'!O46,E49))</f>
        <v/>
      </c>
      <c r="N49" s="24">
        <f>IF(L49="Ne pas lancer",0,IF(L49="Ouvrir +1 classe",H49+'08_Moteur'!O46*('08_Moteur'!AE46*'08_Moteur'!AF46-('08_Moteur'!R46+'01_Cadrage'!$H$26)*(1+'01_Cadrage'!$H$20)-'08_Moteur'!S46)-'08_Moteur'!U46,IF(L49="Regrouper (-1 classe)",IF(AND('08_Moteur'!AI46&gt;=2,E49&lt;=('08_Moteur'!AI46-1)*'08_Moteur'!O46*1.1),H49+'08_Moteur'!U46,H49),H49)))</f>
        <v/>
      </c>
      <c r="O49" s="24">
        <f>M49*IFERROR(('09_Allocation'!E20+'09_Allocation'!F20+'09_Allocation'!I20)/SUM(M6:M63),0)</f>
        <v/>
      </c>
      <c r="P49" s="24">
        <f>N49-O49</f>
        <v/>
      </c>
      <c r="Q49" s="22">
        <f>N49-H49</f>
        <v/>
      </c>
    </row>
    <row r="50">
      <c r="A50" s="57">
        <f>'08_Moteur'!A47</f>
        <v/>
      </c>
      <c r="B50" s="10">
        <f>'08_Moteur'!B47</f>
        <v/>
      </c>
      <c r="C50" s="57">
        <f>'08_Moteur'!C47</f>
        <v/>
      </c>
      <c r="D50" s="10">
        <f>'08_Moteur'!D47</f>
        <v/>
      </c>
      <c r="E50" s="58">
        <f>'08_Moteur'!AD47</f>
        <v/>
      </c>
      <c r="F50" s="21">
        <f>'08_Moteur'!AH47</f>
        <v/>
      </c>
      <c r="G50" s="24">
        <f>F50-'08_Moteur'!AM47</f>
        <v/>
      </c>
      <c r="H50" s="73">
        <f>'08_Moteur'!AM47</f>
        <v/>
      </c>
      <c r="I50" s="79">
        <f>'08_Moteur'!AN47</f>
        <v/>
      </c>
      <c r="J50" s="80">
        <f>IF(H50&lt;0,"🔴 Ne pas lancer",IF(I50&gt;=0.95,"🟢 Ouvrir +1 (capter+diluer)",IF(I50&lt;0.55,"🟡 Surveiller","🟢 Maintenir")))</f>
        <v/>
      </c>
      <c r="K50" s="81">
        <f>IF(H50&lt;0,"Entrée à contribution négative → ne pas lancer cette cohorte",IF(I50&gt;=0.95,"Saturé → ouvrir capte des étudiants ET dilue la structure pour tous",IF(I50&lt;0.55,"Sous-rempli mais contribution positive → garder","Sain")))</f>
        <v/>
      </c>
      <c r="L50" s="16" t="inlineStr">
        <is>
          <t>Maintenir</t>
        </is>
      </c>
      <c r="M50" s="60">
        <f>IF(L50="Ne pas lancer",0,IF(L50="Ouvrir +1 classe",E50+'08_Moteur'!O47,E50))</f>
        <v/>
      </c>
      <c r="N50" s="24">
        <f>IF(L50="Ne pas lancer",0,IF(L50="Ouvrir +1 classe",H50+'08_Moteur'!O47*('08_Moteur'!AE47*'08_Moteur'!AF47-('08_Moteur'!R47+'01_Cadrage'!$H$26)*(1+'01_Cadrage'!$H$20)-'08_Moteur'!S47)-'08_Moteur'!U47,IF(L50="Regrouper (-1 classe)",IF(AND('08_Moteur'!AI47&gt;=2,E50&lt;=('08_Moteur'!AI47-1)*'08_Moteur'!O47*1.1),H50+'08_Moteur'!U47,H50),H50)))</f>
        <v/>
      </c>
      <c r="O50" s="24">
        <f>M50*IFERROR(('09_Allocation'!E20+'09_Allocation'!F20+'09_Allocation'!I20)/SUM(M6:M63),0)</f>
        <v/>
      </c>
      <c r="P50" s="24">
        <f>N50-O50</f>
        <v/>
      </c>
      <c r="Q50" s="22">
        <f>N50-H50</f>
        <v/>
      </c>
    </row>
    <row r="51">
      <c r="A51" s="57">
        <f>'08_Moteur'!A48</f>
        <v/>
      </c>
      <c r="B51" s="10">
        <f>'08_Moteur'!B48</f>
        <v/>
      </c>
      <c r="C51" s="57">
        <f>'08_Moteur'!C48</f>
        <v/>
      </c>
      <c r="D51" s="10">
        <f>'08_Moteur'!D48</f>
        <v/>
      </c>
      <c r="E51" s="58">
        <f>'08_Moteur'!AD48</f>
        <v/>
      </c>
      <c r="F51" s="21">
        <f>'08_Moteur'!AH48</f>
        <v/>
      </c>
      <c r="G51" s="24">
        <f>F51-'08_Moteur'!AM48</f>
        <v/>
      </c>
      <c r="H51" s="73">
        <f>'08_Moteur'!AM48</f>
        <v/>
      </c>
      <c r="I51" s="79">
        <f>'08_Moteur'!AN48</f>
        <v/>
      </c>
      <c r="J51" s="80">
        <f>IF(H51&lt;0,"🔴 Restructurer (mutualiser)",IF(AND('08_Moteur'!AI48&gt;=2,E51&lt;=('08_Moteur'!AI48-1)*'08_Moteur'!O48*1.1),"🟡 Regroupable (−1 classe tient en capacité)",IF(I51&lt;0.55,"🟠 Sous-rempli mais −1 classe déborderait","🟢 Maintenir")))</f>
        <v/>
      </c>
      <c r="K51" s="81">
        <f>"Poursuite : cohorte déjà inscrite → seul levier = regrouper. −1 classe créditée uniquement si l'effectif tient dans les classes restantes (capacité +10% tolérée). Remplissage si −1 classe : "&amp;IF('08_Moteur'!AI48&gt;=2,TEXT(IFERROR(E51/(('08_Moteur'!AI48-1)*'08_Moteur'!O48),0),"0%"),"n/a (1 seule classe)")</f>
        <v/>
      </c>
      <c r="L51" s="16" t="inlineStr">
        <is>
          <t>Maintenir</t>
        </is>
      </c>
      <c r="M51" s="60">
        <f>IF(L51="Ne pas lancer",0,IF(L51="Ouvrir +1 classe",E51+'08_Moteur'!O48,E51))</f>
        <v/>
      </c>
      <c r="N51" s="24">
        <f>IF(L51="Ne pas lancer",0,IF(L51="Ouvrir +1 classe",H51+'08_Moteur'!O48*('08_Moteur'!AE48*'08_Moteur'!AF48-('08_Moteur'!R48+'01_Cadrage'!$H$26)*(1+'01_Cadrage'!$H$20)-'08_Moteur'!S48)-'08_Moteur'!U48,IF(L51="Regrouper (-1 classe)",IF(AND('08_Moteur'!AI48&gt;=2,E51&lt;=('08_Moteur'!AI48-1)*'08_Moteur'!O48*1.1),H51+'08_Moteur'!U48,H51),H51)))</f>
        <v/>
      </c>
      <c r="O51" s="24">
        <f>M51*IFERROR(('09_Allocation'!E20+'09_Allocation'!F20+'09_Allocation'!I20)/SUM(M6:M63),0)</f>
        <v/>
      </c>
      <c r="P51" s="24">
        <f>N51-O51</f>
        <v/>
      </c>
      <c r="Q51" s="22">
        <f>N51-H51</f>
        <v/>
      </c>
    </row>
    <row r="52">
      <c r="A52" s="57">
        <f>'08_Moteur'!A49</f>
        <v/>
      </c>
      <c r="B52" s="10">
        <f>'08_Moteur'!B49</f>
        <v/>
      </c>
      <c r="C52" s="57">
        <f>'08_Moteur'!C49</f>
        <v/>
      </c>
      <c r="D52" s="10">
        <f>'08_Moteur'!D49</f>
        <v/>
      </c>
      <c r="E52" s="58">
        <f>'08_Moteur'!AD49</f>
        <v/>
      </c>
      <c r="F52" s="21">
        <f>'08_Moteur'!AH49</f>
        <v/>
      </c>
      <c r="G52" s="24">
        <f>F52-'08_Moteur'!AM49</f>
        <v/>
      </c>
      <c r="H52" s="73">
        <f>'08_Moteur'!AM49</f>
        <v/>
      </c>
      <c r="I52" s="79">
        <f>'08_Moteur'!AN49</f>
        <v/>
      </c>
      <c r="J52" s="80">
        <f>IF(H52&lt;0,"🔴 Ne pas lancer",IF(I52&gt;=0.95,"🟢 Ouvrir +1 (capter+diluer)",IF(I52&lt;0.55,"🟡 Surveiller","🟢 Maintenir")))</f>
        <v/>
      </c>
      <c r="K52" s="81">
        <f>IF(H52&lt;0,"Entrée à contribution négative → ne pas lancer cette cohorte",IF(I52&gt;=0.95,"Saturé → ouvrir capte des étudiants ET dilue la structure pour tous",IF(I52&lt;0.55,"Sous-rempli mais contribution positive → garder","Sain")))</f>
        <v/>
      </c>
      <c r="L52" s="16" t="inlineStr">
        <is>
          <t>Maintenir</t>
        </is>
      </c>
      <c r="M52" s="60">
        <f>IF(L52="Ne pas lancer",0,IF(L52="Ouvrir +1 classe",E52+'08_Moteur'!O49,E52))</f>
        <v/>
      </c>
      <c r="N52" s="24">
        <f>IF(L52="Ne pas lancer",0,IF(L52="Ouvrir +1 classe",H52+'08_Moteur'!O49*('08_Moteur'!AE49*'08_Moteur'!AF49-('08_Moteur'!R49+'01_Cadrage'!$H$26)*(1+'01_Cadrage'!$H$20)-'08_Moteur'!S49)-'08_Moteur'!U49,IF(L52="Regrouper (-1 classe)",IF(AND('08_Moteur'!AI49&gt;=2,E52&lt;=('08_Moteur'!AI49-1)*'08_Moteur'!O49*1.1),H52+'08_Moteur'!U49,H52),H52)))</f>
        <v/>
      </c>
      <c r="O52" s="24">
        <f>M52*IFERROR(('09_Allocation'!E20+'09_Allocation'!F20+'09_Allocation'!I20)/SUM(M6:M63),0)</f>
        <v/>
      </c>
      <c r="P52" s="24">
        <f>N52-O52</f>
        <v/>
      </c>
      <c r="Q52" s="22">
        <f>N52-H52</f>
        <v/>
      </c>
    </row>
    <row r="53">
      <c r="A53" s="57">
        <f>'08_Moteur'!A50</f>
        <v/>
      </c>
      <c r="B53" s="10">
        <f>'08_Moteur'!B50</f>
        <v/>
      </c>
      <c r="C53" s="57">
        <f>'08_Moteur'!C50</f>
        <v/>
      </c>
      <c r="D53" s="10">
        <f>'08_Moteur'!D50</f>
        <v/>
      </c>
      <c r="E53" s="58">
        <f>'08_Moteur'!AD50</f>
        <v/>
      </c>
      <c r="F53" s="21">
        <f>'08_Moteur'!AH50</f>
        <v/>
      </c>
      <c r="G53" s="24">
        <f>F53-'08_Moteur'!AM50</f>
        <v/>
      </c>
      <c r="H53" s="73">
        <f>'08_Moteur'!AM50</f>
        <v/>
      </c>
      <c r="I53" s="79">
        <f>'08_Moteur'!AN50</f>
        <v/>
      </c>
      <c r="J53" s="80">
        <f>IF(H53&lt;0,"🔴 Restructurer (mutualiser)",IF(AND('08_Moteur'!AI50&gt;=2,E53&lt;=('08_Moteur'!AI50-1)*'08_Moteur'!O50*1.1),"🟡 Regroupable (−1 classe tient en capacité)",IF(I53&lt;0.55,"🟠 Sous-rempli mais −1 classe déborderait","🟢 Maintenir")))</f>
        <v/>
      </c>
      <c r="K53" s="81">
        <f>"Poursuite : cohorte déjà inscrite → seul levier = regrouper. −1 classe créditée uniquement si l'effectif tient dans les classes restantes (capacité +10% tolérée). Remplissage si −1 classe : "&amp;IF('08_Moteur'!AI50&gt;=2,TEXT(IFERROR(E53/(('08_Moteur'!AI50-1)*'08_Moteur'!O50),0),"0%"),"n/a (1 seule classe)")</f>
        <v/>
      </c>
      <c r="L53" s="16" t="inlineStr">
        <is>
          <t>Maintenir</t>
        </is>
      </c>
      <c r="M53" s="60">
        <f>IF(L53="Ne pas lancer",0,IF(L53="Ouvrir +1 classe",E53+'08_Moteur'!O50,E53))</f>
        <v/>
      </c>
      <c r="N53" s="24">
        <f>IF(L53="Ne pas lancer",0,IF(L53="Ouvrir +1 classe",H53+'08_Moteur'!O50*('08_Moteur'!AE50*'08_Moteur'!AF50-('08_Moteur'!R50+'01_Cadrage'!$H$26)*(1+'01_Cadrage'!$H$20)-'08_Moteur'!S50)-'08_Moteur'!U50,IF(L53="Regrouper (-1 classe)",IF(AND('08_Moteur'!AI50&gt;=2,E53&lt;=('08_Moteur'!AI50-1)*'08_Moteur'!O50*1.1),H53+'08_Moteur'!U50,H53),H53)))</f>
        <v/>
      </c>
      <c r="O53" s="24">
        <f>M53*IFERROR(('09_Allocation'!E20+'09_Allocation'!F20+'09_Allocation'!I20)/SUM(M6:M63),0)</f>
        <v/>
      </c>
      <c r="P53" s="24">
        <f>N53-O53</f>
        <v/>
      </c>
      <c r="Q53" s="22">
        <f>N53-H53</f>
        <v/>
      </c>
    </row>
    <row r="54">
      <c r="A54" s="57">
        <f>'08_Moteur'!A51</f>
        <v/>
      </c>
      <c r="B54" s="10">
        <f>'08_Moteur'!B51</f>
        <v/>
      </c>
      <c r="C54" s="57">
        <f>'08_Moteur'!C51</f>
        <v/>
      </c>
      <c r="D54" s="10">
        <f>'08_Moteur'!D51</f>
        <v/>
      </c>
      <c r="E54" s="58">
        <f>'08_Moteur'!AD51</f>
        <v/>
      </c>
      <c r="F54" s="21">
        <f>'08_Moteur'!AH51</f>
        <v/>
      </c>
      <c r="G54" s="24">
        <f>F54-'08_Moteur'!AM51</f>
        <v/>
      </c>
      <c r="H54" s="73">
        <f>'08_Moteur'!AM51</f>
        <v/>
      </c>
      <c r="I54" s="79">
        <f>'08_Moteur'!AN51</f>
        <v/>
      </c>
      <c r="J54" s="80">
        <f>IF(H54&lt;0,"🔴 Ne pas lancer",IF(I54&gt;=0.95,"🟢 Ouvrir +1 (capter+diluer)",IF(I54&lt;0.55,"🟡 Surveiller","🟢 Maintenir")))</f>
        <v/>
      </c>
      <c r="K54" s="81">
        <f>IF(H54&lt;0,"Entrée à contribution négative → ne pas lancer cette cohorte",IF(I54&gt;=0.95,"Saturé → ouvrir capte des étudiants ET dilue la structure pour tous",IF(I54&lt;0.55,"Sous-rempli mais contribution positive → garder","Sain")))</f>
        <v/>
      </c>
      <c r="L54" s="16" t="inlineStr">
        <is>
          <t>Maintenir</t>
        </is>
      </c>
      <c r="M54" s="60">
        <f>IF(L54="Ne pas lancer",0,IF(L54="Ouvrir +1 classe",E54+'08_Moteur'!O51,E54))</f>
        <v/>
      </c>
      <c r="N54" s="24">
        <f>IF(L54="Ne pas lancer",0,IF(L54="Ouvrir +1 classe",H54+'08_Moteur'!O51*('08_Moteur'!AE51*'08_Moteur'!AF51-('08_Moteur'!R51+'01_Cadrage'!$H$26)*(1+'01_Cadrage'!$H$20)-'08_Moteur'!S51)-'08_Moteur'!U51,IF(L54="Regrouper (-1 classe)",IF(AND('08_Moteur'!AI51&gt;=2,E54&lt;=('08_Moteur'!AI51-1)*'08_Moteur'!O51*1.1),H54+'08_Moteur'!U51,H54),H54)))</f>
        <v/>
      </c>
      <c r="O54" s="24">
        <f>M54*IFERROR(('09_Allocation'!E20+'09_Allocation'!F20+'09_Allocation'!I20)/SUM(M6:M63),0)</f>
        <v/>
      </c>
      <c r="P54" s="24">
        <f>N54-O54</f>
        <v/>
      </c>
      <c r="Q54" s="22">
        <f>N54-H54</f>
        <v/>
      </c>
    </row>
    <row r="55">
      <c r="A55" s="57">
        <f>'08_Moteur'!A52</f>
        <v/>
      </c>
      <c r="B55" s="10">
        <f>'08_Moteur'!B52</f>
        <v/>
      </c>
      <c r="C55" s="57">
        <f>'08_Moteur'!C52</f>
        <v/>
      </c>
      <c r="D55" s="10">
        <f>'08_Moteur'!D52</f>
        <v/>
      </c>
      <c r="E55" s="58">
        <f>'08_Moteur'!AD52</f>
        <v/>
      </c>
      <c r="F55" s="21">
        <f>'08_Moteur'!AH52</f>
        <v/>
      </c>
      <c r="G55" s="24">
        <f>F55-'08_Moteur'!AM52</f>
        <v/>
      </c>
      <c r="H55" s="73">
        <f>'08_Moteur'!AM52</f>
        <v/>
      </c>
      <c r="I55" s="79">
        <f>'08_Moteur'!AN52</f>
        <v/>
      </c>
      <c r="J55" s="80">
        <f>IF(H55&lt;0,"🔴 Restructurer (mutualiser)",IF(AND('08_Moteur'!AI52&gt;=2,E55&lt;=('08_Moteur'!AI52-1)*'08_Moteur'!O52*1.1),"🟡 Regroupable (−1 classe tient en capacité)",IF(I55&lt;0.55,"🟠 Sous-rempli mais −1 classe déborderait","🟢 Maintenir")))</f>
        <v/>
      </c>
      <c r="K55" s="81">
        <f>"Poursuite : cohorte déjà inscrite → seul levier = regrouper. −1 classe créditée uniquement si l'effectif tient dans les classes restantes (capacité +10% tolérée). Remplissage si −1 classe : "&amp;IF('08_Moteur'!AI52&gt;=2,TEXT(IFERROR(E55/(('08_Moteur'!AI52-1)*'08_Moteur'!O52),0),"0%"),"n/a (1 seule classe)")</f>
        <v/>
      </c>
      <c r="L55" s="16" t="inlineStr">
        <is>
          <t>Maintenir</t>
        </is>
      </c>
      <c r="M55" s="60">
        <f>IF(L55="Ne pas lancer",0,IF(L55="Ouvrir +1 classe",E55+'08_Moteur'!O52,E55))</f>
        <v/>
      </c>
      <c r="N55" s="24">
        <f>IF(L55="Ne pas lancer",0,IF(L55="Ouvrir +1 classe",H55+'08_Moteur'!O52*('08_Moteur'!AE52*'08_Moteur'!AF52-('08_Moteur'!R52+'01_Cadrage'!$H$26)*(1+'01_Cadrage'!$H$20)-'08_Moteur'!S52)-'08_Moteur'!U52,IF(L55="Regrouper (-1 classe)",IF(AND('08_Moteur'!AI52&gt;=2,E55&lt;=('08_Moteur'!AI52-1)*'08_Moteur'!O52*1.1),H55+'08_Moteur'!U52,H55),H55)))</f>
        <v/>
      </c>
      <c r="O55" s="24">
        <f>M55*IFERROR(('09_Allocation'!E20+'09_Allocation'!F20+'09_Allocation'!I20)/SUM(M6:M63),0)</f>
        <v/>
      </c>
      <c r="P55" s="24">
        <f>N55-O55</f>
        <v/>
      </c>
      <c r="Q55" s="22">
        <f>N55-H55</f>
        <v/>
      </c>
    </row>
    <row r="56">
      <c r="A56" s="57">
        <f>'08_Moteur'!A53</f>
        <v/>
      </c>
      <c r="B56" s="10">
        <f>'08_Moteur'!B53</f>
        <v/>
      </c>
      <c r="C56" s="57">
        <f>'08_Moteur'!C53</f>
        <v/>
      </c>
      <c r="D56" s="10">
        <f>'08_Moteur'!D53</f>
        <v/>
      </c>
      <c r="E56" s="58">
        <f>'08_Moteur'!AD53</f>
        <v/>
      </c>
      <c r="F56" s="21">
        <f>'08_Moteur'!AH53</f>
        <v/>
      </c>
      <c r="G56" s="24">
        <f>F56-'08_Moteur'!AM53</f>
        <v/>
      </c>
      <c r="H56" s="73">
        <f>'08_Moteur'!AM53</f>
        <v/>
      </c>
      <c r="I56" s="79">
        <f>'08_Moteur'!AN53</f>
        <v/>
      </c>
      <c r="J56" s="80">
        <f>IF(H56&lt;0,"🔴 Ne pas lancer",IF(I56&gt;=0.95,"🟢 Ouvrir +1 (capter+diluer)",IF(I56&lt;0.55,"🟡 Surveiller","🟢 Maintenir")))</f>
        <v/>
      </c>
      <c r="K56" s="81">
        <f>IF(H56&lt;0,"Entrée à contribution négative → ne pas lancer cette cohorte",IF(I56&gt;=0.95,"Saturé → ouvrir capte des étudiants ET dilue la structure pour tous",IF(I56&lt;0.55,"Sous-rempli mais contribution positive → garder","Sain")))</f>
        <v/>
      </c>
      <c r="L56" s="16" t="inlineStr">
        <is>
          <t>Maintenir</t>
        </is>
      </c>
      <c r="M56" s="60">
        <f>IF(L56="Ne pas lancer",0,IF(L56="Ouvrir +1 classe",E56+'08_Moteur'!O53,E56))</f>
        <v/>
      </c>
      <c r="N56" s="24">
        <f>IF(L56="Ne pas lancer",0,IF(L56="Ouvrir +1 classe",H56+'08_Moteur'!O53*('08_Moteur'!AE53*'08_Moteur'!AF53-('08_Moteur'!R53+'01_Cadrage'!$H$26)*(1+'01_Cadrage'!$H$20)-'08_Moteur'!S53)-'08_Moteur'!U53,IF(L56="Regrouper (-1 classe)",IF(AND('08_Moteur'!AI53&gt;=2,E56&lt;=('08_Moteur'!AI53-1)*'08_Moteur'!O53*1.1),H56+'08_Moteur'!U53,H56),H56)))</f>
        <v/>
      </c>
      <c r="O56" s="24">
        <f>M56*IFERROR(('09_Allocation'!E20+'09_Allocation'!F20+'09_Allocation'!I20)/SUM(M6:M63),0)</f>
        <v/>
      </c>
      <c r="P56" s="24">
        <f>N56-O56</f>
        <v/>
      </c>
      <c r="Q56" s="22">
        <f>N56-H56</f>
        <v/>
      </c>
    </row>
    <row r="57">
      <c r="A57" s="57">
        <f>'08_Moteur'!A54</f>
        <v/>
      </c>
      <c r="B57" s="10">
        <f>'08_Moteur'!B54</f>
        <v/>
      </c>
      <c r="C57" s="57">
        <f>'08_Moteur'!C54</f>
        <v/>
      </c>
      <c r="D57" s="10">
        <f>'08_Moteur'!D54</f>
        <v/>
      </c>
      <c r="E57" s="58">
        <f>'08_Moteur'!AD54</f>
        <v/>
      </c>
      <c r="F57" s="21">
        <f>'08_Moteur'!AH54</f>
        <v/>
      </c>
      <c r="G57" s="24">
        <f>F57-'08_Moteur'!AM54</f>
        <v/>
      </c>
      <c r="H57" s="73">
        <f>'08_Moteur'!AM54</f>
        <v/>
      </c>
      <c r="I57" s="79">
        <f>'08_Moteur'!AN54</f>
        <v/>
      </c>
      <c r="J57" s="80">
        <f>IF(H57&lt;0,"🔴 Restructurer (mutualiser)",IF(AND('08_Moteur'!AI54&gt;=2,E57&lt;=('08_Moteur'!AI54-1)*'08_Moteur'!O54*1.1),"🟡 Regroupable (−1 classe tient en capacité)",IF(I57&lt;0.55,"🟠 Sous-rempli mais −1 classe déborderait","🟢 Maintenir")))</f>
        <v/>
      </c>
      <c r="K57" s="81">
        <f>"Poursuite : cohorte déjà inscrite → seul levier = regrouper. −1 classe créditée uniquement si l'effectif tient dans les classes restantes (capacité +10% tolérée). Remplissage si −1 classe : "&amp;IF('08_Moteur'!AI54&gt;=2,TEXT(IFERROR(E57/(('08_Moteur'!AI54-1)*'08_Moteur'!O54),0),"0%"),"n/a (1 seule classe)")</f>
        <v/>
      </c>
      <c r="L57" s="16" t="inlineStr">
        <is>
          <t>Maintenir</t>
        </is>
      </c>
      <c r="M57" s="60">
        <f>IF(L57="Ne pas lancer",0,IF(L57="Ouvrir +1 classe",E57+'08_Moteur'!O54,E57))</f>
        <v/>
      </c>
      <c r="N57" s="24">
        <f>IF(L57="Ne pas lancer",0,IF(L57="Ouvrir +1 classe",H57+'08_Moteur'!O54*('08_Moteur'!AE54*'08_Moteur'!AF54-('08_Moteur'!R54+'01_Cadrage'!$H$26)*(1+'01_Cadrage'!$H$20)-'08_Moteur'!S54)-'08_Moteur'!U54,IF(L57="Regrouper (-1 classe)",IF(AND('08_Moteur'!AI54&gt;=2,E57&lt;=('08_Moteur'!AI54-1)*'08_Moteur'!O54*1.1),H57+'08_Moteur'!U54,H57),H57)))</f>
        <v/>
      </c>
      <c r="O57" s="24">
        <f>M57*IFERROR(('09_Allocation'!E20+'09_Allocation'!F20+'09_Allocation'!I20)/SUM(M6:M63),0)</f>
        <v/>
      </c>
      <c r="P57" s="24">
        <f>N57-O57</f>
        <v/>
      </c>
      <c r="Q57" s="22">
        <f>N57-H57</f>
        <v/>
      </c>
    </row>
    <row r="58">
      <c r="A58" s="57">
        <f>'08_Moteur'!A55</f>
        <v/>
      </c>
      <c r="B58" s="10">
        <f>'08_Moteur'!B55</f>
        <v/>
      </c>
      <c r="C58" s="57">
        <f>'08_Moteur'!C55</f>
        <v/>
      </c>
      <c r="D58" s="10">
        <f>'08_Moteur'!D55</f>
        <v/>
      </c>
      <c r="E58" s="58">
        <f>'08_Moteur'!AD55</f>
        <v/>
      </c>
      <c r="F58" s="21">
        <f>'08_Moteur'!AH55</f>
        <v/>
      </c>
      <c r="G58" s="24">
        <f>F58-'08_Moteur'!AM55</f>
        <v/>
      </c>
      <c r="H58" s="73">
        <f>'08_Moteur'!AM55</f>
        <v/>
      </c>
      <c r="I58" s="79">
        <f>'08_Moteur'!AN55</f>
        <v/>
      </c>
      <c r="J58" s="80">
        <f>IF(H58&lt;0,"🔴 Ne pas lancer",IF(I58&gt;=0.95,"🟢 Ouvrir +1 (capter+diluer)",IF(I58&lt;0.55,"🟡 Surveiller","🟢 Maintenir")))</f>
        <v/>
      </c>
      <c r="K58" s="81">
        <f>IF(H58&lt;0,"Entrée à contribution négative → ne pas lancer cette cohorte",IF(I58&gt;=0.95,"Saturé → ouvrir capte des étudiants ET dilue la structure pour tous",IF(I58&lt;0.55,"Sous-rempli mais contribution positive → garder","Sain")))</f>
        <v/>
      </c>
      <c r="L58" s="16" t="inlineStr">
        <is>
          <t>Maintenir</t>
        </is>
      </c>
      <c r="M58" s="60">
        <f>IF(L58="Ne pas lancer",0,IF(L58="Ouvrir +1 classe",E58+'08_Moteur'!O55,E58))</f>
        <v/>
      </c>
      <c r="N58" s="24">
        <f>IF(L58="Ne pas lancer",0,IF(L58="Ouvrir +1 classe",H58+'08_Moteur'!O55*('08_Moteur'!AE55*'08_Moteur'!AF55-('08_Moteur'!R55+'01_Cadrage'!$H$26)*(1+'01_Cadrage'!$H$20)-'08_Moteur'!S55)-'08_Moteur'!U55,IF(L58="Regrouper (-1 classe)",IF(AND('08_Moteur'!AI55&gt;=2,E58&lt;=('08_Moteur'!AI55-1)*'08_Moteur'!O55*1.1),H58+'08_Moteur'!U55,H58),H58)))</f>
        <v/>
      </c>
      <c r="O58" s="24">
        <f>M58*IFERROR(('09_Allocation'!E20+'09_Allocation'!F20+'09_Allocation'!I20)/SUM(M6:M63),0)</f>
        <v/>
      </c>
      <c r="P58" s="24">
        <f>N58-O58</f>
        <v/>
      </c>
      <c r="Q58" s="22">
        <f>N58-H58</f>
        <v/>
      </c>
    </row>
    <row r="59">
      <c r="A59" s="57">
        <f>'08_Moteur'!A56</f>
        <v/>
      </c>
      <c r="B59" s="10">
        <f>'08_Moteur'!B56</f>
        <v/>
      </c>
      <c r="C59" s="57">
        <f>'08_Moteur'!C56</f>
        <v/>
      </c>
      <c r="D59" s="10">
        <f>'08_Moteur'!D56</f>
        <v/>
      </c>
      <c r="E59" s="58">
        <f>'08_Moteur'!AD56</f>
        <v/>
      </c>
      <c r="F59" s="21">
        <f>'08_Moteur'!AH56</f>
        <v/>
      </c>
      <c r="G59" s="24">
        <f>F59-'08_Moteur'!AM56</f>
        <v/>
      </c>
      <c r="H59" s="73">
        <f>'08_Moteur'!AM56</f>
        <v/>
      </c>
      <c r="I59" s="79">
        <f>'08_Moteur'!AN56</f>
        <v/>
      </c>
      <c r="J59" s="80">
        <f>IF(H59&lt;0,"🔴 Restructurer (mutualiser)",IF(AND('08_Moteur'!AI56&gt;=2,E59&lt;=('08_Moteur'!AI56-1)*'08_Moteur'!O56*1.1),"🟡 Regroupable (−1 classe tient en capacité)",IF(I59&lt;0.55,"🟠 Sous-rempli mais −1 classe déborderait","🟢 Maintenir")))</f>
        <v/>
      </c>
      <c r="K59" s="81">
        <f>"Poursuite : cohorte déjà inscrite → seul levier = regrouper. −1 classe créditée uniquement si l'effectif tient dans les classes restantes (capacité +10% tolérée). Remplissage si −1 classe : "&amp;IF('08_Moteur'!AI56&gt;=2,TEXT(IFERROR(E59/(('08_Moteur'!AI56-1)*'08_Moteur'!O56),0),"0%"),"n/a (1 seule classe)")</f>
        <v/>
      </c>
      <c r="L59" s="16" t="inlineStr">
        <is>
          <t>Maintenir</t>
        </is>
      </c>
      <c r="M59" s="60">
        <f>IF(L59="Ne pas lancer",0,IF(L59="Ouvrir +1 classe",E59+'08_Moteur'!O56,E59))</f>
        <v/>
      </c>
      <c r="N59" s="24">
        <f>IF(L59="Ne pas lancer",0,IF(L59="Ouvrir +1 classe",H59+'08_Moteur'!O56*('08_Moteur'!AE56*'08_Moteur'!AF56-('08_Moteur'!R56+'01_Cadrage'!$H$26)*(1+'01_Cadrage'!$H$20)-'08_Moteur'!S56)-'08_Moteur'!U56,IF(L59="Regrouper (-1 classe)",IF(AND('08_Moteur'!AI56&gt;=2,E59&lt;=('08_Moteur'!AI56-1)*'08_Moteur'!O56*1.1),H59+'08_Moteur'!U56,H59),H59)))</f>
        <v/>
      </c>
      <c r="O59" s="24">
        <f>M59*IFERROR(('09_Allocation'!E20+'09_Allocation'!F20+'09_Allocation'!I20)/SUM(M6:M63),0)</f>
        <v/>
      </c>
      <c r="P59" s="24">
        <f>N59-O59</f>
        <v/>
      </c>
      <c r="Q59" s="22">
        <f>N59-H59</f>
        <v/>
      </c>
    </row>
    <row r="60">
      <c r="A60" s="57">
        <f>'08_Moteur'!A57</f>
        <v/>
      </c>
      <c r="B60" s="10">
        <f>'08_Moteur'!B57</f>
        <v/>
      </c>
      <c r="C60" s="57">
        <f>'08_Moteur'!C57</f>
        <v/>
      </c>
      <c r="D60" s="10">
        <f>'08_Moteur'!D57</f>
        <v/>
      </c>
      <c r="E60" s="58">
        <f>'08_Moteur'!AD57</f>
        <v/>
      </c>
      <c r="F60" s="21">
        <f>'08_Moteur'!AH57</f>
        <v/>
      </c>
      <c r="G60" s="24">
        <f>F60-'08_Moteur'!AM57</f>
        <v/>
      </c>
      <c r="H60" s="73">
        <f>'08_Moteur'!AM57</f>
        <v/>
      </c>
      <c r="I60" s="79">
        <f>'08_Moteur'!AN57</f>
        <v/>
      </c>
      <c r="J60" s="80">
        <f>IF(H60&lt;0,"🔴 Restructurer (mutualiser)",IF(AND('08_Moteur'!AI57&gt;=2,E60&lt;=('08_Moteur'!AI57-1)*'08_Moteur'!O57*1.1),"🟡 Regroupable (−1 classe tient en capacité)",IF(I60&lt;0.55,"🟠 Sous-rempli mais −1 classe déborderait","🟢 Maintenir")))</f>
        <v/>
      </c>
      <c r="K60" s="81">
        <f>"Poursuite : cohorte déjà inscrite → seul levier = regrouper. −1 classe créditée uniquement si l'effectif tient dans les classes restantes (capacité +10% tolérée). Remplissage si −1 classe : "&amp;IF('08_Moteur'!AI57&gt;=2,TEXT(IFERROR(E60/(('08_Moteur'!AI57-1)*'08_Moteur'!O57),0),"0%"),"n/a (1 seule classe)")</f>
        <v/>
      </c>
      <c r="L60" s="16" t="inlineStr">
        <is>
          <t>Maintenir</t>
        </is>
      </c>
      <c r="M60" s="60">
        <f>IF(L60="Ne pas lancer",0,IF(L60="Ouvrir +1 classe",E60+'08_Moteur'!O57,E60))</f>
        <v/>
      </c>
      <c r="N60" s="24">
        <f>IF(L60="Ne pas lancer",0,IF(L60="Ouvrir +1 classe",H60+'08_Moteur'!O57*('08_Moteur'!AE57*'08_Moteur'!AF57-('08_Moteur'!R57+'01_Cadrage'!$H$26)*(1+'01_Cadrage'!$H$20)-'08_Moteur'!S57)-'08_Moteur'!U57,IF(L60="Regrouper (-1 classe)",IF(AND('08_Moteur'!AI57&gt;=2,E60&lt;=('08_Moteur'!AI57-1)*'08_Moteur'!O57*1.1),H60+'08_Moteur'!U57,H60),H60)))</f>
        <v/>
      </c>
      <c r="O60" s="24">
        <f>M60*IFERROR(('09_Allocation'!E20+'09_Allocation'!F20+'09_Allocation'!I20)/SUM(M6:M63),0)</f>
        <v/>
      </c>
      <c r="P60" s="24">
        <f>N60-O60</f>
        <v/>
      </c>
      <c r="Q60" s="22">
        <f>N60-H60</f>
        <v/>
      </c>
    </row>
    <row r="61">
      <c r="A61" s="57">
        <f>'08_Moteur'!A58</f>
        <v/>
      </c>
      <c r="B61" s="10">
        <f>'08_Moteur'!B58</f>
        <v/>
      </c>
      <c r="C61" s="57">
        <f>'08_Moteur'!C58</f>
        <v/>
      </c>
      <c r="D61" s="10">
        <f>'08_Moteur'!D58</f>
        <v/>
      </c>
      <c r="E61" s="58">
        <f>'08_Moteur'!AD58</f>
        <v/>
      </c>
      <c r="F61" s="21">
        <f>'08_Moteur'!AH58</f>
        <v/>
      </c>
      <c r="G61" s="24">
        <f>F61-'08_Moteur'!AM58</f>
        <v/>
      </c>
      <c r="H61" s="73">
        <f>'08_Moteur'!AM58</f>
        <v/>
      </c>
      <c r="I61" s="79">
        <f>'08_Moteur'!AN58</f>
        <v/>
      </c>
      <c r="J61" s="80">
        <f>IF(H61&lt;0,"🔴 Ne pas lancer",IF(I61&gt;=0.95,"🟢 Ouvrir +1 (capter+diluer)",IF(I61&lt;0.55,"🟡 Surveiller","🟢 Maintenir")))</f>
        <v/>
      </c>
      <c r="K61" s="81">
        <f>IF(H61&lt;0,"Entrée à contribution négative → ne pas lancer cette cohorte",IF(I61&gt;=0.95,"Saturé → ouvrir capte des étudiants ET dilue la structure pour tous",IF(I61&lt;0.55,"Sous-rempli mais contribution positive → garder","Sain")))</f>
        <v/>
      </c>
      <c r="L61" s="16" t="inlineStr">
        <is>
          <t>Maintenir</t>
        </is>
      </c>
      <c r="M61" s="60">
        <f>IF(L61="Ne pas lancer",0,IF(L61="Ouvrir +1 classe",E61+'08_Moteur'!O58,E61))</f>
        <v/>
      </c>
      <c r="N61" s="24">
        <f>IF(L61="Ne pas lancer",0,IF(L61="Ouvrir +1 classe",H61+'08_Moteur'!O58*('08_Moteur'!AE58*'08_Moteur'!AF58-('08_Moteur'!R58+'01_Cadrage'!$H$26)*(1+'01_Cadrage'!$H$20)-'08_Moteur'!S58)-'08_Moteur'!U58,IF(L61="Regrouper (-1 classe)",IF(AND('08_Moteur'!AI58&gt;=2,E61&lt;=('08_Moteur'!AI58-1)*'08_Moteur'!O58*1.1),H61+'08_Moteur'!U58,H61),H61)))</f>
        <v/>
      </c>
      <c r="O61" s="24">
        <f>M61*IFERROR(('09_Allocation'!E20+'09_Allocation'!F20+'09_Allocation'!I20)/SUM(M6:M63),0)</f>
        <v/>
      </c>
      <c r="P61" s="24">
        <f>N61-O61</f>
        <v/>
      </c>
      <c r="Q61" s="22">
        <f>N61-H61</f>
        <v/>
      </c>
    </row>
    <row r="62">
      <c r="A62" s="57">
        <f>'08_Moteur'!A59</f>
        <v/>
      </c>
      <c r="B62" s="10">
        <f>'08_Moteur'!B59</f>
        <v/>
      </c>
      <c r="C62" s="57">
        <f>'08_Moteur'!C59</f>
        <v/>
      </c>
      <c r="D62" s="10">
        <f>'08_Moteur'!D59</f>
        <v/>
      </c>
      <c r="E62" s="58">
        <f>'08_Moteur'!AD59</f>
        <v/>
      </c>
      <c r="F62" s="21">
        <f>'08_Moteur'!AH59</f>
        <v/>
      </c>
      <c r="G62" s="24">
        <f>F62-'08_Moteur'!AM59</f>
        <v/>
      </c>
      <c r="H62" s="73">
        <f>'08_Moteur'!AM59</f>
        <v/>
      </c>
      <c r="I62" s="79">
        <f>'08_Moteur'!AN59</f>
        <v/>
      </c>
      <c r="J62" s="80">
        <f>IF(H62&lt;0,"🔴 Restructurer (mutualiser)",IF(AND('08_Moteur'!AI59&gt;=2,E62&lt;=('08_Moteur'!AI59-1)*'08_Moteur'!O59*1.1),"🟡 Regroupable (−1 classe tient en capacité)",IF(I62&lt;0.55,"🟠 Sous-rempli mais −1 classe déborderait","🟢 Maintenir")))</f>
        <v/>
      </c>
      <c r="K62" s="81">
        <f>"Poursuite : cohorte déjà inscrite → seul levier = regrouper. −1 classe créditée uniquement si l'effectif tient dans les classes restantes (capacité +10% tolérée). Remplissage si −1 classe : "&amp;IF('08_Moteur'!AI59&gt;=2,TEXT(IFERROR(E62/(('08_Moteur'!AI59-1)*'08_Moteur'!O59),0),"0%"),"n/a (1 seule classe)")</f>
        <v/>
      </c>
      <c r="L62" s="16" t="inlineStr">
        <is>
          <t>Maintenir</t>
        </is>
      </c>
      <c r="M62" s="60">
        <f>IF(L62="Ne pas lancer",0,IF(L62="Ouvrir +1 classe",E62+'08_Moteur'!O59,E62))</f>
        <v/>
      </c>
      <c r="N62" s="24">
        <f>IF(L62="Ne pas lancer",0,IF(L62="Ouvrir +1 classe",H62+'08_Moteur'!O59*('08_Moteur'!AE59*'08_Moteur'!AF59-('08_Moteur'!R59+'01_Cadrage'!$H$26)*(1+'01_Cadrage'!$H$20)-'08_Moteur'!S59)-'08_Moteur'!U59,IF(L62="Regrouper (-1 classe)",IF(AND('08_Moteur'!AI59&gt;=2,E62&lt;=('08_Moteur'!AI59-1)*'08_Moteur'!O59*1.1),H62+'08_Moteur'!U59,H62),H62)))</f>
        <v/>
      </c>
      <c r="O62" s="24">
        <f>M62*IFERROR(('09_Allocation'!E20+'09_Allocation'!F20+'09_Allocation'!I20)/SUM(M6:M63),0)</f>
        <v/>
      </c>
      <c r="P62" s="24">
        <f>N62-O62</f>
        <v/>
      </c>
      <c r="Q62" s="22">
        <f>N62-H62</f>
        <v/>
      </c>
    </row>
    <row r="63">
      <c r="A63" s="57">
        <f>'08_Moteur'!A60</f>
        <v/>
      </c>
      <c r="B63" s="10">
        <f>'08_Moteur'!B60</f>
        <v/>
      </c>
      <c r="C63" s="57">
        <f>'08_Moteur'!C60</f>
        <v/>
      </c>
      <c r="D63" s="10">
        <f>'08_Moteur'!D60</f>
        <v/>
      </c>
      <c r="E63" s="58">
        <f>'08_Moteur'!AD60</f>
        <v/>
      </c>
      <c r="F63" s="21">
        <f>'08_Moteur'!AH60</f>
        <v/>
      </c>
      <c r="G63" s="24">
        <f>F63-'08_Moteur'!AM60</f>
        <v/>
      </c>
      <c r="H63" s="73">
        <f>'08_Moteur'!AM60</f>
        <v/>
      </c>
      <c r="I63" s="79">
        <f>'08_Moteur'!AN60</f>
        <v/>
      </c>
      <c r="J63" s="80">
        <f>IF(H63&lt;0,"🔴 Restructurer (mutualiser)",IF(AND('08_Moteur'!AI60&gt;=2,E63&lt;=('08_Moteur'!AI60-1)*'08_Moteur'!O60*1.1),"🟡 Regroupable (−1 classe tient en capacité)",IF(I63&lt;0.55,"🟠 Sous-rempli mais −1 classe déborderait","🟢 Maintenir")))</f>
        <v/>
      </c>
      <c r="K63" s="81">
        <f>"Poursuite : cohorte déjà inscrite → seul levier = regrouper. −1 classe créditée uniquement si l'effectif tient dans les classes restantes (capacité +10% tolérée). Remplissage si −1 classe : "&amp;IF('08_Moteur'!AI60&gt;=2,TEXT(IFERROR(E63/(('08_Moteur'!AI60-1)*'08_Moteur'!O60),0),"0%"),"n/a (1 seule classe)")</f>
        <v/>
      </c>
      <c r="L63" s="16" t="inlineStr">
        <is>
          <t>Maintenir</t>
        </is>
      </c>
      <c r="M63" s="60">
        <f>IF(L63="Ne pas lancer",0,IF(L63="Ouvrir +1 classe",E63+'08_Moteur'!O60,E63))</f>
        <v/>
      </c>
      <c r="N63" s="24">
        <f>IF(L63="Ne pas lancer",0,IF(L63="Ouvrir +1 classe",H63+'08_Moteur'!O60*('08_Moteur'!AE60*'08_Moteur'!AF60-('08_Moteur'!R60+'01_Cadrage'!$H$26)*(1+'01_Cadrage'!$H$20)-'08_Moteur'!S60)-'08_Moteur'!U60,IF(L63="Regrouper (-1 classe)",IF(AND('08_Moteur'!AI60&gt;=2,E63&lt;=('08_Moteur'!AI60-1)*'08_Moteur'!O60*1.1),H63+'08_Moteur'!U60,H63),H63)))</f>
        <v/>
      </c>
      <c r="O63" s="24">
        <f>M63*IFERROR(('09_Allocation'!E20+'09_Allocation'!F20+'09_Allocation'!I20)/SUM(M6:M63),0)</f>
        <v/>
      </c>
      <c r="P63" s="24">
        <f>N63-O63</f>
        <v/>
      </c>
      <c r="Q63" s="22">
        <f>N63-H63</f>
        <v/>
      </c>
    </row>
  </sheetData>
  <mergeCells count="12">
    <mergeCell ref="G2:H2"/>
    <mergeCell ref="E2:F2"/>
    <mergeCell ref="K2:L2"/>
    <mergeCell ref="I2:J2"/>
    <mergeCell ref="M3:Q3"/>
    <mergeCell ref="A4:Q4"/>
    <mergeCell ref="A3:C3"/>
    <mergeCell ref="E3:F3"/>
    <mergeCell ref="G3:H3"/>
    <mergeCell ref="A1:Q1"/>
    <mergeCell ref="A2:C2"/>
    <mergeCell ref="I3:J3"/>
  </mergeCells>
  <dataValidations count="2">
    <dataValidation sqref="L6 L9 L11 L14 L16 L19 L21 L24 L26 L29 L31 L34 L36 L39 L41 L44 L47 L50 L52 L54 L56 L58 L61" showDropDown="0" showInputMessage="0" showErrorMessage="0" allowBlank="0" type="list">
      <formula1>"Maintenir,Ne pas lancer,Ouvrir +1 classe,Regrouper (-1 classe)"</formula1>
    </dataValidation>
    <dataValidation sqref="L7 L8 L10 L12 L13 L15 L17 L18 L20 L22 L23 L25 L27 L28 L30 L32 L33 L35 L37 L38 L40 L42 L43 L45 L46 L48 L49 L51 L53 L55 L57 L59 L60 L62 L63" showDropDown="0" showInputMessage="0" showErrorMessage="0" allowBlank="0" type="list">
      <formula1>"Maintenir,Regrouper (-1 classe)"</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S35"/>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11" customWidth="1" min="3" max="3"/>
    <col width="11" customWidth="1" min="4" max="4"/>
    <col width="10" customWidth="1" min="5" max="5"/>
    <col width="12" customWidth="1" min="6" max="6"/>
    <col width="11" customWidth="1" min="7" max="7"/>
    <col width="13" customWidth="1" min="8" max="8"/>
    <col width="14" customWidth="1" min="9" max="9"/>
    <col width="13" customWidth="1" min="10" max="10"/>
    <col width="15" customWidth="1" min="11" max="11"/>
  </cols>
  <sheetData>
    <row r="1"/>
    <row r="2" ht="26" customHeight="1">
      <c r="B2" s="1" t="inlineStr">
        <is>
          <t>Mutualisation inter-sections — maille CAMPUS × CYCLE (un cran au-dessus du simulateur)</t>
        </is>
      </c>
    </row>
    <row r="3" ht="28" customHeight="1">
      <c r="B3" s="2" t="inlineStr">
        <is>
          <t>Le simulateur (11) raisonne à la maille d'UNE promo. Ici on regroupe les promos d'un même CYCLE sur un campus (ex. Bachelor B1+B2+B3, qui partagent un tronc commun) : chacune arrondit au minimum de son côté → de la capacité se gaspille ; la mutualisation en récupère une partie.</t>
        </is>
      </c>
    </row>
    <row r="4">
      <c r="B4" s="15" t="inlineStr">
        <is>
          <t>% d'heures mutualisables (tronc commun partagé) :</t>
        </is>
      </c>
      <c r="G4" s="82" t="n">
        <v>0.25</v>
      </c>
      <c r="H4" s="19" t="inlineStr">
        <is>
          <t>← hypothèse : part des heures réellement partageable au sein d'un cycle (le reste reste spécifique à chaque année).</t>
        </is>
      </c>
    </row>
    <row r="5" ht="30" customHeight="1">
      <c r="B5" s="20" t="inlineStr">
        <is>
          <t>Marque</t>
        </is>
      </c>
      <c r="C5" s="20" t="inlineStr">
        <is>
          <t>Ville</t>
        </is>
      </c>
      <c r="D5" s="20" t="inlineStr">
        <is>
          <t>Cycle</t>
        </is>
      </c>
      <c r="E5" s="20" t="inlineStr">
        <is>
          <t>Effectif</t>
        </is>
      </c>
      <c r="F5" s="20" t="inlineStr">
        <is>
          <t>Sections
aujourd'hui</t>
        </is>
      </c>
      <c r="G5" s="20" t="inlineStr">
        <is>
          <t>Capacité
moy.</t>
        </is>
      </c>
      <c r="H5" s="20" t="inlineStr">
        <is>
          <t>Sections si
mutualisé</t>
        </is>
      </c>
      <c r="I5" s="20" t="inlineStr">
        <is>
          <t>Sections
économisables</t>
        </is>
      </c>
      <c r="J5" s="20" t="inlineStr">
        <is>
          <t>Coût moyen
/ classe</t>
        </is>
      </c>
      <c r="K5" s="20" t="inlineStr">
        <is>
          <t>Économie
potentielle €</t>
        </is>
      </c>
    </row>
    <row r="6">
      <c r="B6" s="57" t="inlineStr">
        <is>
          <t>MBway</t>
        </is>
      </c>
      <c r="C6" s="10" t="inlineStr">
        <is>
          <t>Paris</t>
        </is>
      </c>
      <c r="D6" s="10" t="inlineStr">
        <is>
          <t>Bachelor</t>
        </is>
      </c>
      <c r="E6" s="60">
        <f>SUMPRODUCT(('08_Moteur'!$A$3:$A$60="MBway")*('08_Moteur'!$B$3:$B$60="Paris")*(('08_Moteur'!$D$3:$D$60="B1")+('08_Moteur'!$D$3:$D$60="B2")+('08_Moteur'!$D$3:$D$60="B3"))*'08_Moteur'!$AD$3:$AD$60)</f>
        <v/>
      </c>
      <c r="F6" s="60">
        <f>SUMPRODUCT(('08_Moteur'!$A$3:$A$60="MBway")*('08_Moteur'!$B$3:$B$60="Paris")*(('08_Moteur'!$D$3:$D$60="B1")+('08_Moteur'!$D$3:$D$60="B2")+('08_Moteur'!$D$3:$D$60="B3"))*'08_Moteur'!$AI$3:$AI$60)</f>
        <v/>
      </c>
      <c r="G6" s="83">
        <f>IFERROR(SUMPRODUCT(('08_Moteur'!$A$3:$A$60="MBway")*('08_Moteur'!$B$3:$B$60="Paris")*(('08_Moteur'!$D$3:$D$60="B1")+('08_Moteur'!$D$3:$D$60="B2")+('08_Moteur'!$D$3:$D$60="B3"))*'08_Moteur'!$AI$3:$AI$60*'08_Moteur'!$O$3:$O$60)/F6,0)</f>
        <v/>
      </c>
      <c r="H6" s="60">
        <f>IF(E6&lt;=0,0,MAX(1,ROUNDUP(E6/G6,0)))</f>
        <v/>
      </c>
      <c r="I6" s="63">
        <f>MAX(0,F6-H6)</f>
        <v/>
      </c>
      <c r="J6" s="24">
        <f>IFERROR(SUMPRODUCT(('08_Moteur'!$A$3:$A$60="MBway")*('08_Moteur'!$B$3:$B$60="Paris")*(('08_Moteur'!$D$3:$D$60="B1")+('08_Moteur'!$D$3:$D$60="B2")+('08_Moteur'!$D$3:$D$60="B3"))*'08_Moteur'!$AJ$3:$AJ$60)/F6,0)</f>
        <v/>
      </c>
      <c r="K6" s="22">
        <f>I6*J6*$G$4</f>
        <v/>
      </c>
    </row>
    <row r="7">
      <c r="B7" s="57" t="inlineStr">
        <is>
          <t>MBway</t>
        </is>
      </c>
      <c r="C7" s="10" t="inlineStr">
        <is>
          <t>Paris</t>
        </is>
      </c>
      <c r="D7" s="10" t="inlineStr">
        <is>
          <t>Mastère</t>
        </is>
      </c>
      <c r="E7" s="60">
        <f>SUMPRODUCT(('08_Moteur'!$A$3:$A$60="MBway")*('08_Moteur'!$B$3:$B$60="Paris")*(('08_Moteur'!$D$3:$D$60="M1")+('08_Moteur'!$D$3:$D$60="M2"))*'08_Moteur'!$AD$3:$AD$60)</f>
        <v/>
      </c>
      <c r="F7" s="60">
        <f>SUMPRODUCT(('08_Moteur'!$A$3:$A$60="MBway")*('08_Moteur'!$B$3:$B$60="Paris")*(('08_Moteur'!$D$3:$D$60="M1")+('08_Moteur'!$D$3:$D$60="M2"))*'08_Moteur'!$AI$3:$AI$60)</f>
        <v/>
      </c>
      <c r="G7" s="83">
        <f>IFERROR(SUMPRODUCT(('08_Moteur'!$A$3:$A$60="MBway")*('08_Moteur'!$B$3:$B$60="Paris")*(('08_Moteur'!$D$3:$D$60="M1")+('08_Moteur'!$D$3:$D$60="M2"))*'08_Moteur'!$AI$3:$AI$60*'08_Moteur'!$O$3:$O$60)/F7,0)</f>
        <v/>
      </c>
      <c r="H7" s="60">
        <f>IF(E7&lt;=0,0,MAX(1,ROUNDUP(E7/G7,0)))</f>
        <v/>
      </c>
      <c r="I7" s="63">
        <f>MAX(0,F7-H7)</f>
        <v/>
      </c>
      <c r="J7" s="24">
        <f>IFERROR(SUMPRODUCT(('08_Moteur'!$A$3:$A$60="MBway")*('08_Moteur'!$B$3:$B$60="Paris")*(('08_Moteur'!$D$3:$D$60="M1")+('08_Moteur'!$D$3:$D$60="M2"))*'08_Moteur'!$AJ$3:$AJ$60)/F7,0)</f>
        <v/>
      </c>
      <c r="K7" s="22">
        <f>I7*J7*$G$4</f>
        <v/>
      </c>
    </row>
    <row r="8">
      <c r="B8" s="57" t="inlineStr">
        <is>
          <t>MBway</t>
        </is>
      </c>
      <c r="C8" s="10" t="inlineStr">
        <is>
          <t>Lyon</t>
        </is>
      </c>
      <c r="D8" s="10" t="inlineStr">
        <is>
          <t>Bachelor</t>
        </is>
      </c>
      <c r="E8" s="60">
        <f>SUMPRODUCT(('08_Moteur'!$A$3:$A$60="MBway")*('08_Moteur'!$B$3:$B$60="Lyon")*(('08_Moteur'!$D$3:$D$60="B1")+('08_Moteur'!$D$3:$D$60="B2")+('08_Moteur'!$D$3:$D$60="B3"))*'08_Moteur'!$AD$3:$AD$60)</f>
        <v/>
      </c>
      <c r="F8" s="60">
        <f>SUMPRODUCT(('08_Moteur'!$A$3:$A$60="MBway")*('08_Moteur'!$B$3:$B$60="Lyon")*(('08_Moteur'!$D$3:$D$60="B1")+('08_Moteur'!$D$3:$D$60="B2")+('08_Moteur'!$D$3:$D$60="B3"))*'08_Moteur'!$AI$3:$AI$60)</f>
        <v/>
      </c>
      <c r="G8" s="83">
        <f>IFERROR(SUMPRODUCT(('08_Moteur'!$A$3:$A$60="MBway")*('08_Moteur'!$B$3:$B$60="Lyon")*(('08_Moteur'!$D$3:$D$60="B1")+('08_Moteur'!$D$3:$D$60="B2")+('08_Moteur'!$D$3:$D$60="B3"))*'08_Moteur'!$AI$3:$AI$60*'08_Moteur'!$O$3:$O$60)/F8,0)</f>
        <v/>
      </c>
      <c r="H8" s="60">
        <f>IF(E8&lt;=0,0,MAX(1,ROUNDUP(E8/G8,0)))</f>
        <v/>
      </c>
      <c r="I8" s="63">
        <f>MAX(0,F8-H8)</f>
        <v/>
      </c>
      <c r="J8" s="24">
        <f>IFERROR(SUMPRODUCT(('08_Moteur'!$A$3:$A$60="MBway")*('08_Moteur'!$B$3:$B$60="Lyon")*(('08_Moteur'!$D$3:$D$60="B1")+('08_Moteur'!$D$3:$D$60="B2")+('08_Moteur'!$D$3:$D$60="B3"))*'08_Moteur'!$AJ$3:$AJ$60)/F8,0)</f>
        <v/>
      </c>
      <c r="K8" s="22">
        <f>I8*J8*$G$4</f>
        <v/>
      </c>
    </row>
    <row r="9">
      <c r="B9" s="57" t="inlineStr">
        <is>
          <t>MBway</t>
        </is>
      </c>
      <c r="C9" s="10" t="inlineStr">
        <is>
          <t>Lyon</t>
        </is>
      </c>
      <c r="D9" s="10" t="inlineStr">
        <is>
          <t>Mastère</t>
        </is>
      </c>
      <c r="E9" s="60">
        <f>SUMPRODUCT(('08_Moteur'!$A$3:$A$60="MBway")*('08_Moteur'!$B$3:$B$60="Lyon")*(('08_Moteur'!$D$3:$D$60="M1")+('08_Moteur'!$D$3:$D$60="M2"))*'08_Moteur'!$AD$3:$AD$60)</f>
        <v/>
      </c>
      <c r="F9" s="60">
        <f>SUMPRODUCT(('08_Moteur'!$A$3:$A$60="MBway")*('08_Moteur'!$B$3:$B$60="Lyon")*(('08_Moteur'!$D$3:$D$60="M1")+('08_Moteur'!$D$3:$D$60="M2"))*'08_Moteur'!$AI$3:$AI$60)</f>
        <v/>
      </c>
      <c r="G9" s="83">
        <f>IFERROR(SUMPRODUCT(('08_Moteur'!$A$3:$A$60="MBway")*('08_Moteur'!$B$3:$B$60="Lyon")*(('08_Moteur'!$D$3:$D$60="M1")+('08_Moteur'!$D$3:$D$60="M2"))*'08_Moteur'!$AI$3:$AI$60*'08_Moteur'!$O$3:$O$60)/F9,0)</f>
        <v/>
      </c>
      <c r="H9" s="60">
        <f>IF(E9&lt;=0,0,MAX(1,ROUNDUP(E9/G9,0)))</f>
        <v/>
      </c>
      <c r="I9" s="63">
        <f>MAX(0,F9-H9)</f>
        <v/>
      </c>
      <c r="J9" s="24">
        <f>IFERROR(SUMPRODUCT(('08_Moteur'!$A$3:$A$60="MBway")*('08_Moteur'!$B$3:$B$60="Lyon")*(('08_Moteur'!$D$3:$D$60="M1")+('08_Moteur'!$D$3:$D$60="M2"))*'08_Moteur'!$AJ$3:$AJ$60)/F9,0)</f>
        <v/>
      </c>
      <c r="K9" s="22">
        <f>I9*J9*$G$4</f>
        <v/>
      </c>
    </row>
    <row r="10">
      <c r="B10" s="57" t="inlineStr">
        <is>
          <t>MBway</t>
        </is>
      </c>
      <c r="C10" s="10" t="inlineStr">
        <is>
          <t>Nantes</t>
        </is>
      </c>
      <c r="D10" s="10" t="inlineStr">
        <is>
          <t>Bachelor</t>
        </is>
      </c>
      <c r="E10" s="60">
        <f>SUMPRODUCT(('08_Moteur'!$A$3:$A$60="MBway")*('08_Moteur'!$B$3:$B$60="Nantes")*(('08_Moteur'!$D$3:$D$60="B1")+('08_Moteur'!$D$3:$D$60="B2")+('08_Moteur'!$D$3:$D$60="B3"))*'08_Moteur'!$AD$3:$AD$60)</f>
        <v/>
      </c>
      <c r="F10" s="60">
        <f>SUMPRODUCT(('08_Moteur'!$A$3:$A$60="MBway")*('08_Moteur'!$B$3:$B$60="Nantes")*(('08_Moteur'!$D$3:$D$60="B1")+('08_Moteur'!$D$3:$D$60="B2")+('08_Moteur'!$D$3:$D$60="B3"))*'08_Moteur'!$AI$3:$AI$60)</f>
        <v/>
      </c>
      <c r="G10" s="83">
        <f>IFERROR(SUMPRODUCT(('08_Moteur'!$A$3:$A$60="MBway")*('08_Moteur'!$B$3:$B$60="Nantes")*(('08_Moteur'!$D$3:$D$60="B1")+('08_Moteur'!$D$3:$D$60="B2")+('08_Moteur'!$D$3:$D$60="B3"))*'08_Moteur'!$AI$3:$AI$60*'08_Moteur'!$O$3:$O$60)/F10,0)</f>
        <v/>
      </c>
      <c r="H10" s="60">
        <f>IF(E10&lt;=0,0,MAX(1,ROUNDUP(E10/G10,0)))</f>
        <v/>
      </c>
      <c r="I10" s="63">
        <f>MAX(0,F10-H10)</f>
        <v/>
      </c>
      <c r="J10" s="24">
        <f>IFERROR(SUMPRODUCT(('08_Moteur'!$A$3:$A$60="MBway")*('08_Moteur'!$B$3:$B$60="Nantes")*(('08_Moteur'!$D$3:$D$60="B1")+('08_Moteur'!$D$3:$D$60="B2")+('08_Moteur'!$D$3:$D$60="B3"))*'08_Moteur'!$AJ$3:$AJ$60)/F10,0)</f>
        <v/>
      </c>
      <c r="K10" s="22">
        <f>I10*J10*$G$4</f>
        <v/>
      </c>
    </row>
    <row r="11">
      <c r="B11" s="57" t="inlineStr">
        <is>
          <t>MBway</t>
        </is>
      </c>
      <c r="C11" s="10" t="inlineStr">
        <is>
          <t>Nantes</t>
        </is>
      </c>
      <c r="D11" s="10" t="inlineStr">
        <is>
          <t>Mastère</t>
        </is>
      </c>
      <c r="E11" s="60">
        <f>SUMPRODUCT(('08_Moteur'!$A$3:$A$60="MBway")*('08_Moteur'!$B$3:$B$60="Nantes")*(('08_Moteur'!$D$3:$D$60="M1")+('08_Moteur'!$D$3:$D$60="M2"))*'08_Moteur'!$AD$3:$AD$60)</f>
        <v/>
      </c>
      <c r="F11" s="60">
        <f>SUMPRODUCT(('08_Moteur'!$A$3:$A$60="MBway")*('08_Moteur'!$B$3:$B$60="Nantes")*(('08_Moteur'!$D$3:$D$60="M1")+('08_Moteur'!$D$3:$D$60="M2"))*'08_Moteur'!$AI$3:$AI$60)</f>
        <v/>
      </c>
      <c r="G11" s="83">
        <f>IFERROR(SUMPRODUCT(('08_Moteur'!$A$3:$A$60="MBway")*('08_Moteur'!$B$3:$B$60="Nantes")*(('08_Moteur'!$D$3:$D$60="M1")+('08_Moteur'!$D$3:$D$60="M2"))*'08_Moteur'!$AI$3:$AI$60*'08_Moteur'!$O$3:$O$60)/F11,0)</f>
        <v/>
      </c>
      <c r="H11" s="60">
        <f>IF(E11&lt;=0,0,MAX(1,ROUNDUP(E11/G11,0)))</f>
        <v/>
      </c>
      <c r="I11" s="63">
        <f>MAX(0,F11-H11)</f>
        <v/>
      </c>
      <c r="J11" s="24">
        <f>IFERROR(SUMPRODUCT(('08_Moteur'!$A$3:$A$60="MBway")*('08_Moteur'!$B$3:$B$60="Nantes")*(('08_Moteur'!$D$3:$D$60="M1")+('08_Moteur'!$D$3:$D$60="M2"))*'08_Moteur'!$AJ$3:$AJ$60)/F11,0)</f>
        <v/>
      </c>
      <c r="K11" s="22">
        <f>I11*J11*$G$4</f>
        <v/>
      </c>
    </row>
    <row r="12">
      <c r="B12" s="57" t="inlineStr">
        <is>
          <t>MBway</t>
        </is>
      </c>
      <c r="C12" s="10" t="inlineStr">
        <is>
          <t>Bordeaux</t>
        </is>
      </c>
      <c r="D12" s="10" t="inlineStr">
        <is>
          <t>Bachelor</t>
        </is>
      </c>
      <c r="E12" s="60">
        <f>SUMPRODUCT(('08_Moteur'!$A$3:$A$60="MBway")*('08_Moteur'!$B$3:$B$60="Bordeaux")*(('08_Moteur'!$D$3:$D$60="B1")+('08_Moteur'!$D$3:$D$60="B2")+('08_Moteur'!$D$3:$D$60="B3"))*'08_Moteur'!$AD$3:$AD$60)</f>
        <v/>
      </c>
      <c r="F12" s="60">
        <f>SUMPRODUCT(('08_Moteur'!$A$3:$A$60="MBway")*('08_Moteur'!$B$3:$B$60="Bordeaux")*(('08_Moteur'!$D$3:$D$60="B1")+('08_Moteur'!$D$3:$D$60="B2")+('08_Moteur'!$D$3:$D$60="B3"))*'08_Moteur'!$AI$3:$AI$60)</f>
        <v/>
      </c>
      <c r="G12" s="83">
        <f>IFERROR(SUMPRODUCT(('08_Moteur'!$A$3:$A$60="MBway")*('08_Moteur'!$B$3:$B$60="Bordeaux")*(('08_Moteur'!$D$3:$D$60="B1")+('08_Moteur'!$D$3:$D$60="B2")+('08_Moteur'!$D$3:$D$60="B3"))*'08_Moteur'!$AI$3:$AI$60*'08_Moteur'!$O$3:$O$60)/F12,0)</f>
        <v/>
      </c>
      <c r="H12" s="60">
        <f>IF(E12&lt;=0,0,MAX(1,ROUNDUP(E12/G12,0)))</f>
        <v/>
      </c>
      <c r="I12" s="63">
        <f>MAX(0,F12-H12)</f>
        <v/>
      </c>
      <c r="J12" s="24">
        <f>IFERROR(SUMPRODUCT(('08_Moteur'!$A$3:$A$60="MBway")*('08_Moteur'!$B$3:$B$60="Bordeaux")*(('08_Moteur'!$D$3:$D$60="B1")+('08_Moteur'!$D$3:$D$60="B2")+('08_Moteur'!$D$3:$D$60="B3"))*'08_Moteur'!$AJ$3:$AJ$60)/F12,0)</f>
        <v/>
      </c>
      <c r="K12" s="22">
        <f>I12*J12*$G$4</f>
        <v/>
      </c>
    </row>
    <row r="13">
      <c r="B13" s="57" t="inlineStr">
        <is>
          <t>MBway</t>
        </is>
      </c>
      <c r="C13" s="10" t="inlineStr">
        <is>
          <t>Bordeaux</t>
        </is>
      </c>
      <c r="D13" s="10" t="inlineStr">
        <is>
          <t>Mastère</t>
        </is>
      </c>
      <c r="E13" s="60">
        <f>SUMPRODUCT(('08_Moteur'!$A$3:$A$60="MBway")*('08_Moteur'!$B$3:$B$60="Bordeaux")*(('08_Moteur'!$D$3:$D$60="M1")+('08_Moteur'!$D$3:$D$60="M2"))*'08_Moteur'!$AD$3:$AD$60)</f>
        <v/>
      </c>
      <c r="F13" s="60">
        <f>SUMPRODUCT(('08_Moteur'!$A$3:$A$60="MBway")*('08_Moteur'!$B$3:$B$60="Bordeaux")*(('08_Moteur'!$D$3:$D$60="M1")+('08_Moteur'!$D$3:$D$60="M2"))*'08_Moteur'!$AI$3:$AI$60)</f>
        <v/>
      </c>
      <c r="G13" s="83">
        <f>IFERROR(SUMPRODUCT(('08_Moteur'!$A$3:$A$60="MBway")*('08_Moteur'!$B$3:$B$60="Bordeaux")*(('08_Moteur'!$D$3:$D$60="M1")+('08_Moteur'!$D$3:$D$60="M2"))*'08_Moteur'!$AI$3:$AI$60*'08_Moteur'!$O$3:$O$60)/F13,0)</f>
        <v/>
      </c>
      <c r="H13" s="60">
        <f>IF(E13&lt;=0,0,MAX(1,ROUNDUP(E13/G13,0)))</f>
        <v/>
      </c>
      <c r="I13" s="63">
        <f>MAX(0,F13-H13)</f>
        <v/>
      </c>
      <c r="J13" s="24">
        <f>IFERROR(SUMPRODUCT(('08_Moteur'!$A$3:$A$60="MBway")*('08_Moteur'!$B$3:$B$60="Bordeaux")*(('08_Moteur'!$D$3:$D$60="M1")+('08_Moteur'!$D$3:$D$60="M2"))*'08_Moteur'!$AJ$3:$AJ$60)/F13,0)</f>
        <v/>
      </c>
      <c r="K13" s="22">
        <f>I13*J13*$G$4</f>
        <v/>
      </c>
    </row>
    <row r="14">
      <c r="B14" s="57" t="inlineStr">
        <is>
          <t>ISCOM</t>
        </is>
      </c>
      <c r="C14" s="10" t="inlineStr">
        <is>
          <t>Paris</t>
        </is>
      </c>
      <c r="D14" s="10" t="inlineStr">
        <is>
          <t>Bachelor</t>
        </is>
      </c>
      <c r="E14" s="60">
        <f>SUMPRODUCT(('08_Moteur'!$A$3:$A$60="ISCOM")*('08_Moteur'!$B$3:$B$60="Paris")*(('08_Moteur'!$D$3:$D$60="B1")+('08_Moteur'!$D$3:$D$60="B2")+('08_Moteur'!$D$3:$D$60="B3"))*'08_Moteur'!$AD$3:$AD$60)</f>
        <v/>
      </c>
      <c r="F14" s="60">
        <f>SUMPRODUCT(('08_Moteur'!$A$3:$A$60="ISCOM")*('08_Moteur'!$B$3:$B$60="Paris")*(('08_Moteur'!$D$3:$D$60="B1")+('08_Moteur'!$D$3:$D$60="B2")+('08_Moteur'!$D$3:$D$60="B3"))*'08_Moteur'!$AI$3:$AI$60)</f>
        <v/>
      </c>
      <c r="G14" s="83">
        <f>IFERROR(SUMPRODUCT(('08_Moteur'!$A$3:$A$60="ISCOM")*('08_Moteur'!$B$3:$B$60="Paris")*(('08_Moteur'!$D$3:$D$60="B1")+('08_Moteur'!$D$3:$D$60="B2")+('08_Moteur'!$D$3:$D$60="B3"))*'08_Moteur'!$AI$3:$AI$60*'08_Moteur'!$O$3:$O$60)/F14,0)</f>
        <v/>
      </c>
      <c r="H14" s="60">
        <f>IF(E14&lt;=0,0,MAX(1,ROUNDUP(E14/G14,0)))</f>
        <v/>
      </c>
      <c r="I14" s="63">
        <f>MAX(0,F14-H14)</f>
        <v/>
      </c>
      <c r="J14" s="24">
        <f>IFERROR(SUMPRODUCT(('08_Moteur'!$A$3:$A$60="ISCOM")*('08_Moteur'!$B$3:$B$60="Paris")*(('08_Moteur'!$D$3:$D$60="B1")+('08_Moteur'!$D$3:$D$60="B2")+('08_Moteur'!$D$3:$D$60="B3"))*'08_Moteur'!$AJ$3:$AJ$60)/F14,0)</f>
        <v/>
      </c>
      <c r="K14" s="22">
        <f>I14*J14*$G$4</f>
        <v/>
      </c>
    </row>
    <row r="15">
      <c r="B15" s="57" t="inlineStr">
        <is>
          <t>ISCOM</t>
        </is>
      </c>
      <c r="C15" s="10" t="inlineStr">
        <is>
          <t>Paris</t>
        </is>
      </c>
      <c r="D15" s="10" t="inlineStr">
        <is>
          <t>Mastère</t>
        </is>
      </c>
      <c r="E15" s="60">
        <f>SUMPRODUCT(('08_Moteur'!$A$3:$A$60="ISCOM")*('08_Moteur'!$B$3:$B$60="Paris")*(('08_Moteur'!$D$3:$D$60="M1")+('08_Moteur'!$D$3:$D$60="M2"))*'08_Moteur'!$AD$3:$AD$60)</f>
        <v/>
      </c>
      <c r="F15" s="60">
        <f>SUMPRODUCT(('08_Moteur'!$A$3:$A$60="ISCOM")*('08_Moteur'!$B$3:$B$60="Paris")*(('08_Moteur'!$D$3:$D$60="M1")+('08_Moteur'!$D$3:$D$60="M2"))*'08_Moteur'!$AI$3:$AI$60)</f>
        <v/>
      </c>
      <c r="G15" s="83">
        <f>IFERROR(SUMPRODUCT(('08_Moteur'!$A$3:$A$60="ISCOM")*('08_Moteur'!$B$3:$B$60="Paris")*(('08_Moteur'!$D$3:$D$60="M1")+('08_Moteur'!$D$3:$D$60="M2"))*'08_Moteur'!$AI$3:$AI$60*'08_Moteur'!$O$3:$O$60)/F15,0)</f>
        <v/>
      </c>
      <c r="H15" s="60">
        <f>IF(E15&lt;=0,0,MAX(1,ROUNDUP(E15/G15,0)))</f>
        <v/>
      </c>
      <c r="I15" s="63">
        <f>MAX(0,F15-H15)</f>
        <v/>
      </c>
      <c r="J15" s="24">
        <f>IFERROR(SUMPRODUCT(('08_Moteur'!$A$3:$A$60="ISCOM")*('08_Moteur'!$B$3:$B$60="Paris")*(('08_Moteur'!$D$3:$D$60="M1")+('08_Moteur'!$D$3:$D$60="M2"))*'08_Moteur'!$AJ$3:$AJ$60)/F15,0)</f>
        <v/>
      </c>
      <c r="K15" s="22">
        <f>I15*J15*$G$4</f>
        <v/>
      </c>
    </row>
    <row r="16">
      <c r="B16" s="57" t="inlineStr">
        <is>
          <t>ISCOM</t>
        </is>
      </c>
      <c r="C16" s="10" t="inlineStr">
        <is>
          <t>Lille</t>
        </is>
      </c>
      <c r="D16" s="10" t="inlineStr">
        <is>
          <t>Bachelor</t>
        </is>
      </c>
      <c r="E16" s="60">
        <f>SUMPRODUCT(('08_Moteur'!$A$3:$A$60="ISCOM")*('08_Moteur'!$B$3:$B$60="Lille")*(('08_Moteur'!$D$3:$D$60="B1")+('08_Moteur'!$D$3:$D$60="B2")+('08_Moteur'!$D$3:$D$60="B3"))*'08_Moteur'!$AD$3:$AD$60)</f>
        <v/>
      </c>
      <c r="F16" s="60">
        <f>SUMPRODUCT(('08_Moteur'!$A$3:$A$60="ISCOM")*('08_Moteur'!$B$3:$B$60="Lille")*(('08_Moteur'!$D$3:$D$60="B1")+('08_Moteur'!$D$3:$D$60="B2")+('08_Moteur'!$D$3:$D$60="B3"))*'08_Moteur'!$AI$3:$AI$60)</f>
        <v/>
      </c>
      <c r="G16" s="83">
        <f>IFERROR(SUMPRODUCT(('08_Moteur'!$A$3:$A$60="ISCOM")*('08_Moteur'!$B$3:$B$60="Lille")*(('08_Moteur'!$D$3:$D$60="B1")+('08_Moteur'!$D$3:$D$60="B2")+('08_Moteur'!$D$3:$D$60="B3"))*'08_Moteur'!$AI$3:$AI$60*'08_Moteur'!$O$3:$O$60)/F16,0)</f>
        <v/>
      </c>
      <c r="H16" s="60">
        <f>IF(E16&lt;=0,0,MAX(1,ROUNDUP(E16/G16,0)))</f>
        <v/>
      </c>
      <c r="I16" s="63">
        <f>MAX(0,F16-H16)</f>
        <v/>
      </c>
      <c r="J16" s="24">
        <f>IFERROR(SUMPRODUCT(('08_Moteur'!$A$3:$A$60="ISCOM")*('08_Moteur'!$B$3:$B$60="Lille")*(('08_Moteur'!$D$3:$D$60="B1")+('08_Moteur'!$D$3:$D$60="B2")+('08_Moteur'!$D$3:$D$60="B3"))*'08_Moteur'!$AJ$3:$AJ$60)/F16,0)</f>
        <v/>
      </c>
      <c r="K16" s="22">
        <f>I16*J16*$G$4</f>
        <v/>
      </c>
    </row>
    <row r="17">
      <c r="B17" s="57" t="inlineStr">
        <is>
          <t>ISCOM</t>
        </is>
      </c>
      <c r="C17" s="10" t="inlineStr">
        <is>
          <t>Lille</t>
        </is>
      </c>
      <c r="D17" s="10" t="inlineStr">
        <is>
          <t>Mastère</t>
        </is>
      </c>
      <c r="E17" s="60">
        <f>SUMPRODUCT(('08_Moteur'!$A$3:$A$60="ISCOM")*('08_Moteur'!$B$3:$B$60="Lille")*(('08_Moteur'!$D$3:$D$60="M1")+('08_Moteur'!$D$3:$D$60="M2"))*'08_Moteur'!$AD$3:$AD$60)</f>
        <v/>
      </c>
      <c r="F17" s="60">
        <f>SUMPRODUCT(('08_Moteur'!$A$3:$A$60="ISCOM")*('08_Moteur'!$B$3:$B$60="Lille")*(('08_Moteur'!$D$3:$D$60="M1")+('08_Moteur'!$D$3:$D$60="M2"))*'08_Moteur'!$AI$3:$AI$60)</f>
        <v/>
      </c>
      <c r="G17" s="83">
        <f>IFERROR(SUMPRODUCT(('08_Moteur'!$A$3:$A$60="ISCOM")*('08_Moteur'!$B$3:$B$60="Lille")*(('08_Moteur'!$D$3:$D$60="M1")+('08_Moteur'!$D$3:$D$60="M2"))*'08_Moteur'!$AI$3:$AI$60*'08_Moteur'!$O$3:$O$60)/F17,0)</f>
        <v/>
      </c>
      <c r="H17" s="60">
        <f>IF(E17&lt;=0,0,MAX(1,ROUNDUP(E17/G17,0)))</f>
        <v/>
      </c>
      <c r="I17" s="63">
        <f>MAX(0,F17-H17)</f>
        <v/>
      </c>
      <c r="J17" s="24">
        <f>IFERROR(SUMPRODUCT(('08_Moteur'!$A$3:$A$60="ISCOM")*('08_Moteur'!$B$3:$B$60="Lille")*(('08_Moteur'!$D$3:$D$60="M1")+('08_Moteur'!$D$3:$D$60="M2"))*'08_Moteur'!$AJ$3:$AJ$60)/F17,0)</f>
        <v/>
      </c>
      <c r="K17" s="22">
        <f>I17*J17*$G$4</f>
        <v/>
      </c>
    </row>
    <row r="18">
      <c r="B18" s="57" t="inlineStr">
        <is>
          <t>ISCOM</t>
        </is>
      </c>
      <c r="C18" s="10" t="inlineStr">
        <is>
          <t>Toulouse</t>
        </is>
      </c>
      <c r="D18" s="10" t="inlineStr">
        <is>
          <t>Bachelor</t>
        </is>
      </c>
      <c r="E18" s="60">
        <f>SUMPRODUCT(('08_Moteur'!$A$3:$A$60="ISCOM")*('08_Moteur'!$B$3:$B$60="Toulouse")*(('08_Moteur'!$D$3:$D$60="B1")+('08_Moteur'!$D$3:$D$60="B2")+('08_Moteur'!$D$3:$D$60="B3"))*'08_Moteur'!$AD$3:$AD$60)</f>
        <v/>
      </c>
      <c r="F18" s="60">
        <f>SUMPRODUCT(('08_Moteur'!$A$3:$A$60="ISCOM")*('08_Moteur'!$B$3:$B$60="Toulouse")*(('08_Moteur'!$D$3:$D$60="B1")+('08_Moteur'!$D$3:$D$60="B2")+('08_Moteur'!$D$3:$D$60="B3"))*'08_Moteur'!$AI$3:$AI$60)</f>
        <v/>
      </c>
      <c r="G18" s="83">
        <f>IFERROR(SUMPRODUCT(('08_Moteur'!$A$3:$A$60="ISCOM")*('08_Moteur'!$B$3:$B$60="Toulouse")*(('08_Moteur'!$D$3:$D$60="B1")+('08_Moteur'!$D$3:$D$60="B2")+('08_Moteur'!$D$3:$D$60="B3"))*'08_Moteur'!$AI$3:$AI$60*'08_Moteur'!$O$3:$O$60)/F18,0)</f>
        <v/>
      </c>
      <c r="H18" s="60">
        <f>IF(E18&lt;=0,0,MAX(1,ROUNDUP(E18/G18,0)))</f>
        <v/>
      </c>
      <c r="I18" s="63">
        <f>MAX(0,F18-H18)</f>
        <v/>
      </c>
      <c r="J18" s="24">
        <f>IFERROR(SUMPRODUCT(('08_Moteur'!$A$3:$A$60="ISCOM")*('08_Moteur'!$B$3:$B$60="Toulouse")*(('08_Moteur'!$D$3:$D$60="B1")+('08_Moteur'!$D$3:$D$60="B2")+('08_Moteur'!$D$3:$D$60="B3"))*'08_Moteur'!$AJ$3:$AJ$60)/F18,0)</f>
        <v/>
      </c>
      <c r="K18" s="22">
        <f>I18*J18*$G$4</f>
        <v/>
      </c>
    </row>
    <row r="19">
      <c r="B19" s="57" t="inlineStr">
        <is>
          <t>ISCOM</t>
        </is>
      </c>
      <c r="C19" s="10" t="inlineStr">
        <is>
          <t>Toulouse</t>
        </is>
      </c>
      <c r="D19" s="10" t="inlineStr">
        <is>
          <t>Mastère</t>
        </is>
      </c>
      <c r="E19" s="60">
        <f>SUMPRODUCT(('08_Moteur'!$A$3:$A$60="ISCOM")*('08_Moteur'!$B$3:$B$60="Toulouse")*(('08_Moteur'!$D$3:$D$60="M1")+('08_Moteur'!$D$3:$D$60="M2"))*'08_Moteur'!$AD$3:$AD$60)</f>
        <v/>
      </c>
      <c r="F19" s="60">
        <f>SUMPRODUCT(('08_Moteur'!$A$3:$A$60="ISCOM")*('08_Moteur'!$B$3:$B$60="Toulouse")*(('08_Moteur'!$D$3:$D$60="M1")+('08_Moteur'!$D$3:$D$60="M2"))*'08_Moteur'!$AI$3:$AI$60)</f>
        <v/>
      </c>
      <c r="G19" s="83">
        <f>IFERROR(SUMPRODUCT(('08_Moteur'!$A$3:$A$60="ISCOM")*('08_Moteur'!$B$3:$B$60="Toulouse")*(('08_Moteur'!$D$3:$D$60="M1")+('08_Moteur'!$D$3:$D$60="M2"))*'08_Moteur'!$AI$3:$AI$60*'08_Moteur'!$O$3:$O$60)/F19,0)</f>
        <v/>
      </c>
      <c r="H19" s="60">
        <f>IF(E19&lt;=0,0,MAX(1,ROUNDUP(E19/G19,0)))</f>
        <v/>
      </c>
      <c r="I19" s="63">
        <f>MAX(0,F19-H19)</f>
        <v/>
      </c>
      <c r="J19" s="24">
        <f>IFERROR(SUMPRODUCT(('08_Moteur'!$A$3:$A$60="ISCOM")*('08_Moteur'!$B$3:$B$60="Toulouse")*(('08_Moteur'!$D$3:$D$60="M1")+('08_Moteur'!$D$3:$D$60="M2"))*'08_Moteur'!$AJ$3:$AJ$60)/F19,0)</f>
        <v/>
      </c>
      <c r="K19" s="22">
        <f>I19*J19*$G$4</f>
        <v/>
      </c>
    </row>
    <row r="20">
      <c r="B20" s="57" t="inlineStr">
        <is>
          <t>Ipac Bachelor Factory</t>
        </is>
      </c>
      <c r="C20" s="10" t="inlineStr">
        <is>
          <t>Nantes</t>
        </is>
      </c>
      <c r="D20" s="10" t="inlineStr">
        <is>
          <t>Bachelor</t>
        </is>
      </c>
      <c r="E20" s="60">
        <f>SUMPRODUCT(('08_Moteur'!$A$3:$A$60="Ipac Bachelor Factory")*('08_Moteur'!$B$3:$B$60="Nantes")*(('08_Moteur'!$D$3:$D$60="B1")+('08_Moteur'!$D$3:$D$60="B2")+('08_Moteur'!$D$3:$D$60="B3"))*'08_Moteur'!$AD$3:$AD$60)</f>
        <v/>
      </c>
      <c r="F20" s="60">
        <f>SUMPRODUCT(('08_Moteur'!$A$3:$A$60="Ipac Bachelor Factory")*('08_Moteur'!$B$3:$B$60="Nantes")*(('08_Moteur'!$D$3:$D$60="B1")+('08_Moteur'!$D$3:$D$60="B2")+('08_Moteur'!$D$3:$D$60="B3"))*'08_Moteur'!$AI$3:$AI$60)</f>
        <v/>
      </c>
      <c r="G20" s="83">
        <f>IFERROR(SUMPRODUCT(('08_Moteur'!$A$3:$A$60="Ipac Bachelor Factory")*('08_Moteur'!$B$3:$B$60="Nantes")*(('08_Moteur'!$D$3:$D$60="B1")+('08_Moteur'!$D$3:$D$60="B2")+('08_Moteur'!$D$3:$D$60="B3"))*'08_Moteur'!$AI$3:$AI$60*'08_Moteur'!$O$3:$O$60)/F20,0)</f>
        <v/>
      </c>
      <c r="H20" s="60">
        <f>IF(E20&lt;=0,0,MAX(1,ROUNDUP(E20/G20,0)))</f>
        <v/>
      </c>
      <c r="I20" s="63">
        <f>MAX(0,F20-H20)</f>
        <v/>
      </c>
      <c r="J20" s="24">
        <f>IFERROR(SUMPRODUCT(('08_Moteur'!$A$3:$A$60="Ipac Bachelor Factory")*('08_Moteur'!$B$3:$B$60="Nantes")*(('08_Moteur'!$D$3:$D$60="B1")+('08_Moteur'!$D$3:$D$60="B2")+('08_Moteur'!$D$3:$D$60="B3"))*'08_Moteur'!$AJ$3:$AJ$60)/F20,0)</f>
        <v/>
      </c>
      <c r="K20" s="22">
        <f>I20*J20*$G$4</f>
        <v/>
      </c>
    </row>
    <row r="21">
      <c r="B21" s="57" t="inlineStr">
        <is>
          <t>Ipac Bachelor Factory</t>
        </is>
      </c>
      <c r="C21" s="10" t="inlineStr">
        <is>
          <t>Rennes</t>
        </is>
      </c>
      <c r="D21" s="10" t="inlineStr">
        <is>
          <t>Bachelor</t>
        </is>
      </c>
      <c r="E21" s="60">
        <f>SUMPRODUCT(('08_Moteur'!$A$3:$A$60="Ipac Bachelor Factory")*('08_Moteur'!$B$3:$B$60="Rennes")*(('08_Moteur'!$D$3:$D$60="B1")+('08_Moteur'!$D$3:$D$60="B2")+('08_Moteur'!$D$3:$D$60="B3"))*'08_Moteur'!$AD$3:$AD$60)</f>
        <v/>
      </c>
      <c r="F21" s="60">
        <f>SUMPRODUCT(('08_Moteur'!$A$3:$A$60="Ipac Bachelor Factory")*('08_Moteur'!$B$3:$B$60="Rennes")*(('08_Moteur'!$D$3:$D$60="B1")+('08_Moteur'!$D$3:$D$60="B2")+('08_Moteur'!$D$3:$D$60="B3"))*'08_Moteur'!$AI$3:$AI$60)</f>
        <v/>
      </c>
      <c r="G21" s="83">
        <f>IFERROR(SUMPRODUCT(('08_Moteur'!$A$3:$A$60="Ipac Bachelor Factory")*('08_Moteur'!$B$3:$B$60="Rennes")*(('08_Moteur'!$D$3:$D$60="B1")+('08_Moteur'!$D$3:$D$60="B2")+('08_Moteur'!$D$3:$D$60="B3"))*'08_Moteur'!$AI$3:$AI$60*'08_Moteur'!$O$3:$O$60)/F21,0)</f>
        <v/>
      </c>
      <c r="H21" s="60">
        <f>IF(E21&lt;=0,0,MAX(1,ROUNDUP(E21/G21,0)))</f>
        <v/>
      </c>
      <c r="I21" s="63">
        <f>MAX(0,F21-H21)</f>
        <v/>
      </c>
      <c r="J21" s="24">
        <f>IFERROR(SUMPRODUCT(('08_Moteur'!$A$3:$A$60="Ipac Bachelor Factory")*('08_Moteur'!$B$3:$B$60="Rennes")*(('08_Moteur'!$D$3:$D$60="B1")+('08_Moteur'!$D$3:$D$60="B2")+('08_Moteur'!$D$3:$D$60="B3"))*'08_Moteur'!$AJ$3:$AJ$60)/F21,0)</f>
        <v/>
      </c>
      <c r="K21" s="22">
        <f>I21*J21*$G$4</f>
        <v/>
      </c>
    </row>
    <row r="22">
      <c r="B22" s="57" t="inlineStr">
        <is>
          <t>Ipac Bachelor Factory</t>
        </is>
      </c>
      <c r="C22" s="10" t="inlineStr">
        <is>
          <t>Montpellier</t>
        </is>
      </c>
      <c r="D22" s="10" t="inlineStr">
        <is>
          <t>Bachelor</t>
        </is>
      </c>
      <c r="E22" s="60">
        <f>SUMPRODUCT(('08_Moteur'!$A$3:$A$60="Ipac Bachelor Factory")*('08_Moteur'!$B$3:$B$60="Montpellier")*(('08_Moteur'!$D$3:$D$60="B1")+('08_Moteur'!$D$3:$D$60="B2")+('08_Moteur'!$D$3:$D$60="B3"))*'08_Moteur'!$AD$3:$AD$60)</f>
        <v/>
      </c>
      <c r="F22" s="60">
        <f>SUMPRODUCT(('08_Moteur'!$A$3:$A$60="Ipac Bachelor Factory")*('08_Moteur'!$B$3:$B$60="Montpellier")*(('08_Moteur'!$D$3:$D$60="B1")+('08_Moteur'!$D$3:$D$60="B2")+('08_Moteur'!$D$3:$D$60="B3"))*'08_Moteur'!$AI$3:$AI$60)</f>
        <v/>
      </c>
      <c r="G22" s="83">
        <f>IFERROR(SUMPRODUCT(('08_Moteur'!$A$3:$A$60="Ipac Bachelor Factory")*('08_Moteur'!$B$3:$B$60="Montpellier")*(('08_Moteur'!$D$3:$D$60="B1")+('08_Moteur'!$D$3:$D$60="B2")+('08_Moteur'!$D$3:$D$60="B3"))*'08_Moteur'!$AI$3:$AI$60*'08_Moteur'!$O$3:$O$60)/F22,0)</f>
        <v/>
      </c>
      <c r="H22" s="60">
        <f>IF(E22&lt;=0,0,MAX(1,ROUNDUP(E22/G22,0)))</f>
        <v/>
      </c>
      <c r="I22" s="63">
        <f>MAX(0,F22-H22)</f>
        <v/>
      </c>
      <c r="J22" s="24">
        <f>IFERROR(SUMPRODUCT(('08_Moteur'!$A$3:$A$60="Ipac Bachelor Factory")*('08_Moteur'!$B$3:$B$60="Montpellier")*(('08_Moteur'!$D$3:$D$60="B1")+('08_Moteur'!$D$3:$D$60="B2")+('08_Moteur'!$D$3:$D$60="B3"))*'08_Moteur'!$AJ$3:$AJ$60)/F22,0)</f>
        <v/>
      </c>
      <c r="K22" s="22">
        <f>I22*J22*$G$4</f>
        <v/>
      </c>
    </row>
    <row r="23">
      <c r="B23" s="57" t="inlineStr">
        <is>
          <t>Pigier</t>
        </is>
      </c>
      <c r="C23" s="10" t="inlineStr">
        <is>
          <t>Lyon</t>
        </is>
      </c>
      <c r="D23" s="10" t="inlineStr">
        <is>
          <t>BTS</t>
        </is>
      </c>
      <c r="E23" s="60">
        <f>SUMPRODUCT(('08_Moteur'!$A$3:$A$60="Pigier")*('08_Moteur'!$B$3:$B$60="Lyon")*(('08_Moteur'!$D$3:$D$60="1")+('08_Moteur'!$D$3:$D$60="2"))*'08_Moteur'!$AD$3:$AD$60)</f>
        <v/>
      </c>
      <c r="F23" s="60">
        <f>SUMPRODUCT(('08_Moteur'!$A$3:$A$60="Pigier")*('08_Moteur'!$B$3:$B$60="Lyon")*(('08_Moteur'!$D$3:$D$60="1")+('08_Moteur'!$D$3:$D$60="2"))*'08_Moteur'!$AI$3:$AI$60)</f>
        <v/>
      </c>
      <c r="G23" s="83">
        <f>IFERROR(SUMPRODUCT(('08_Moteur'!$A$3:$A$60="Pigier")*('08_Moteur'!$B$3:$B$60="Lyon")*(('08_Moteur'!$D$3:$D$60="1")+('08_Moteur'!$D$3:$D$60="2"))*'08_Moteur'!$AI$3:$AI$60*'08_Moteur'!$O$3:$O$60)/F23,0)</f>
        <v/>
      </c>
      <c r="H23" s="60">
        <f>IF(E23&lt;=0,0,MAX(1,ROUNDUP(E23/G23,0)))</f>
        <v/>
      </c>
      <c r="I23" s="63">
        <f>MAX(0,F23-H23)</f>
        <v/>
      </c>
      <c r="J23" s="24">
        <f>IFERROR(SUMPRODUCT(('08_Moteur'!$A$3:$A$60="Pigier")*('08_Moteur'!$B$3:$B$60="Lyon")*(('08_Moteur'!$D$3:$D$60="1")+('08_Moteur'!$D$3:$D$60="2"))*'08_Moteur'!$AJ$3:$AJ$60)/F23,0)</f>
        <v/>
      </c>
      <c r="K23" s="22">
        <f>I23*J23*$G$4</f>
        <v/>
      </c>
    </row>
    <row r="24">
      <c r="B24" s="57" t="inlineStr">
        <is>
          <t>Pigier</t>
        </is>
      </c>
      <c r="C24" s="10" t="inlineStr">
        <is>
          <t>Lyon</t>
        </is>
      </c>
      <c r="D24" s="10" t="inlineStr">
        <is>
          <t>Bachelor</t>
        </is>
      </c>
      <c r="E24" s="60">
        <f>SUMPRODUCT(('08_Moteur'!$A$3:$A$60="Pigier")*('08_Moteur'!$B$3:$B$60="Lyon")*(('08_Moteur'!$D$3:$D$60="B1")+('08_Moteur'!$D$3:$D$60="B2")+('08_Moteur'!$D$3:$D$60="B3"))*'08_Moteur'!$AD$3:$AD$60)</f>
        <v/>
      </c>
      <c r="F24" s="60">
        <f>SUMPRODUCT(('08_Moteur'!$A$3:$A$60="Pigier")*('08_Moteur'!$B$3:$B$60="Lyon")*(('08_Moteur'!$D$3:$D$60="B1")+('08_Moteur'!$D$3:$D$60="B2")+('08_Moteur'!$D$3:$D$60="B3"))*'08_Moteur'!$AI$3:$AI$60)</f>
        <v/>
      </c>
      <c r="G24" s="83">
        <f>IFERROR(SUMPRODUCT(('08_Moteur'!$A$3:$A$60="Pigier")*('08_Moteur'!$B$3:$B$60="Lyon")*(('08_Moteur'!$D$3:$D$60="B1")+('08_Moteur'!$D$3:$D$60="B2")+('08_Moteur'!$D$3:$D$60="B3"))*'08_Moteur'!$AI$3:$AI$60*'08_Moteur'!$O$3:$O$60)/F24,0)</f>
        <v/>
      </c>
      <c r="H24" s="60">
        <f>IF(E24&lt;=0,0,MAX(1,ROUNDUP(E24/G24,0)))</f>
        <v/>
      </c>
      <c r="I24" s="63">
        <f>MAX(0,F24-H24)</f>
        <v/>
      </c>
      <c r="J24" s="24">
        <f>IFERROR(SUMPRODUCT(('08_Moteur'!$A$3:$A$60="Pigier")*('08_Moteur'!$B$3:$B$60="Lyon")*(('08_Moteur'!$D$3:$D$60="B1")+('08_Moteur'!$D$3:$D$60="B2")+('08_Moteur'!$D$3:$D$60="B3"))*'08_Moteur'!$AJ$3:$AJ$60)/F24,0)</f>
        <v/>
      </c>
      <c r="K24" s="22">
        <f>I24*J24*$G$4</f>
        <v/>
      </c>
    </row>
    <row r="25">
      <c r="B25" s="57" t="inlineStr">
        <is>
          <t>Pigier</t>
        </is>
      </c>
      <c r="C25" s="10" t="inlineStr">
        <is>
          <t>Bordeaux</t>
        </is>
      </c>
      <c r="D25" s="10" t="inlineStr">
        <is>
          <t>BTS</t>
        </is>
      </c>
      <c r="E25" s="60">
        <f>SUMPRODUCT(('08_Moteur'!$A$3:$A$60="Pigier")*('08_Moteur'!$B$3:$B$60="Bordeaux")*(('08_Moteur'!$D$3:$D$60="1")+('08_Moteur'!$D$3:$D$60="2"))*'08_Moteur'!$AD$3:$AD$60)</f>
        <v/>
      </c>
      <c r="F25" s="60">
        <f>SUMPRODUCT(('08_Moteur'!$A$3:$A$60="Pigier")*('08_Moteur'!$B$3:$B$60="Bordeaux")*(('08_Moteur'!$D$3:$D$60="1")+('08_Moteur'!$D$3:$D$60="2"))*'08_Moteur'!$AI$3:$AI$60)</f>
        <v/>
      </c>
      <c r="G25" s="83">
        <f>IFERROR(SUMPRODUCT(('08_Moteur'!$A$3:$A$60="Pigier")*('08_Moteur'!$B$3:$B$60="Bordeaux")*(('08_Moteur'!$D$3:$D$60="1")+('08_Moteur'!$D$3:$D$60="2"))*'08_Moteur'!$AI$3:$AI$60*'08_Moteur'!$O$3:$O$60)/F25,0)</f>
        <v/>
      </c>
      <c r="H25" s="60">
        <f>IF(E25&lt;=0,0,MAX(1,ROUNDUP(E25/G25,0)))</f>
        <v/>
      </c>
      <c r="I25" s="63">
        <f>MAX(0,F25-H25)</f>
        <v/>
      </c>
      <c r="J25" s="24">
        <f>IFERROR(SUMPRODUCT(('08_Moteur'!$A$3:$A$60="Pigier")*('08_Moteur'!$B$3:$B$60="Bordeaux")*(('08_Moteur'!$D$3:$D$60="1")+('08_Moteur'!$D$3:$D$60="2"))*'08_Moteur'!$AJ$3:$AJ$60)/F25,0)</f>
        <v/>
      </c>
      <c r="K25" s="22">
        <f>I25*J25*$G$4</f>
        <v/>
      </c>
    </row>
    <row r="26">
      <c r="B26" s="57" t="inlineStr">
        <is>
          <t>Pigier</t>
        </is>
      </c>
      <c r="C26" s="10" t="inlineStr">
        <is>
          <t>Bordeaux</t>
        </is>
      </c>
      <c r="D26" s="10" t="inlineStr">
        <is>
          <t>Bachelor</t>
        </is>
      </c>
      <c r="E26" s="60">
        <f>SUMPRODUCT(('08_Moteur'!$A$3:$A$60="Pigier")*('08_Moteur'!$B$3:$B$60="Bordeaux")*(('08_Moteur'!$D$3:$D$60="B1")+('08_Moteur'!$D$3:$D$60="B2")+('08_Moteur'!$D$3:$D$60="B3"))*'08_Moteur'!$AD$3:$AD$60)</f>
        <v/>
      </c>
      <c r="F26" s="60">
        <f>SUMPRODUCT(('08_Moteur'!$A$3:$A$60="Pigier")*('08_Moteur'!$B$3:$B$60="Bordeaux")*(('08_Moteur'!$D$3:$D$60="B1")+('08_Moteur'!$D$3:$D$60="B2")+('08_Moteur'!$D$3:$D$60="B3"))*'08_Moteur'!$AI$3:$AI$60)</f>
        <v/>
      </c>
      <c r="G26" s="83">
        <f>IFERROR(SUMPRODUCT(('08_Moteur'!$A$3:$A$60="Pigier")*('08_Moteur'!$B$3:$B$60="Bordeaux")*(('08_Moteur'!$D$3:$D$60="B1")+('08_Moteur'!$D$3:$D$60="B2")+('08_Moteur'!$D$3:$D$60="B3"))*'08_Moteur'!$AI$3:$AI$60*'08_Moteur'!$O$3:$O$60)/F26,0)</f>
        <v/>
      </c>
      <c r="H26" s="60">
        <f>IF(E26&lt;=0,0,MAX(1,ROUNDUP(E26/G26,0)))</f>
        <v/>
      </c>
      <c r="I26" s="63">
        <f>MAX(0,F26-H26)</f>
        <v/>
      </c>
      <c r="J26" s="24">
        <f>IFERROR(SUMPRODUCT(('08_Moteur'!$A$3:$A$60="Pigier")*('08_Moteur'!$B$3:$B$60="Bordeaux")*(('08_Moteur'!$D$3:$D$60="B1")+('08_Moteur'!$D$3:$D$60="B2")+('08_Moteur'!$D$3:$D$60="B3"))*'08_Moteur'!$AJ$3:$AJ$60)/F26,0)</f>
        <v/>
      </c>
      <c r="K26" s="22">
        <f>I26*J26*$G$4</f>
        <v/>
      </c>
    </row>
    <row r="27">
      <c r="B27" s="57" t="inlineStr">
        <is>
          <t>Tunon</t>
        </is>
      </c>
      <c r="C27" s="10" t="inlineStr">
        <is>
          <t>Paris</t>
        </is>
      </c>
      <c r="D27" s="10" t="inlineStr">
        <is>
          <t>Bachelor</t>
        </is>
      </c>
      <c r="E27" s="60">
        <f>SUMPRODUCT(('08_Moteur'!$A$3:$A$60="Tunon")*('08_Moteur'!$B$3:$B$60="Paris")*(('08_Moteur'!$D$3:$D$60="B1")+('08_Moteur'!$D$3:$D$60="B2")+('08_Moteur'!$D$3:$D$60="B3"))*'08_Moteur'!$AD$3:$AD$60)</f>
        <v/>
      </c>
      <c r="F27" s="60">
        <f>SUMPRODUCT(('08_Moteur'!$A$3:$A$60="Tunon")*('08_Moteur'!$B$3:$B$60="Paris")*(('08_Moteur'!$D$3:$D$60="B1")+('08_Moteur'!$D$3:$D$60="B2")+('08_Moteur'!$D$3:$D$60="B3"))*'08_Moteur'!$AI$3:$AI$60)</f>
        <v/>
      </c>
      <c r="G27" s="83">
        <f>IFERROR(SUMPRODUCT(('08_Moteur'!$A$3:$A$60="Tunon")*('08_Moteur'!$B$3:$B$60="Paris")*(('08_Moteur'!$D$3:$D$60="B1")+('08_Moteur'!$D$3:$D$60="B2")+('08_Moteur'!$D$3:$D$60="B3"))*'08_Moteur'!$AI$3:$AI$60*'08_Moteur'!$O$3:$O$60)/F27,0)</f>
        <v/>
      </c>
      <c r="H27" s="60">
        <f>IF(E27&lt;=0,0,MAX(1,ROUNDUP(E27/G27,0)))</f>
        <v/>
      </c>
      <c r="I27" s="63">
        <f>MAX(0,F27-H27)</f>
        <v/>
      </c>
      <c r="J27" s="24">
        <f>IFERROR(SUMPRODUCT(('08_Moteur'!$A$3:$A$60="Tunon")*('08_Moteur'!$B$3:$B$60="Paris")*(('08_Moteur'!$D$3:$D$60="B1")+('08_Moteur'!$D$3:$D$60="B2")+('08_Moteur'!$D$3:$D$60="B3"))*'08_Moteur'!$AJ$3:$AJ$60)/F27,0)</f>
        <v/>
      </c>
      <c r="K27" s="22">
        <f>I27*J27*$G$4</f>
        <v/>
      </c>
    </row>
    <row r="28">
      <c r="B28" s="57" t="inlineStr">
        <is>
          <t>Tunon</t>
        </is>
      </c>
      <c r="C28" s="10" t="inlineStr">
        <is>
          <t>Lyon</t>
        </is>
      </c>
      <c r="D28" s="10" t="inlineStr">
        <is>
          <t>Bachelor</t>
        </is>
      </c>
      <c r="E28" s="60">
        <f>SUMPRODUCT(('08_Moteur'!$A$3:$A$60="Tunon")*('08_Moteur'!$B$3:$B$60="Lyon")*(('08_Moteur'!$D$3:$D$60="B1")+('08_Moteur'!$D$3:$D$60="B2")+('08_Moteur'!$D$3:$D$60="B3"))*'08_Moteur'!$AD$3:$AD$60)</f>
        <v/>
      </c>
      <c r="F28" s="60">
        <f>SUMPRODUCT(('08_Moteur'!$A$3:$A$60="Tunon")*('08_Moteur'!$B$3:$B$60="Lyon")*(('08_Moteur'!$D$3:$D$60="B1")+('08_Moteur'!$D$3:$D$60="B2")+('08_Moteur'!$D$3:$D$60="B3"))*'08_Moteur'!$AI$3:$AI$60)</f>
        <v/>
      </c>
      <c r="G28" s="83">
        <f>IFERROR(SUMPRODUCT(('08_Moteur'!$A$3:$A$60="Tunon")*('08_Moteur'!$B$3:$B$60="Lyon")*(('08_Moteur'!$D$3:$D$60="B1")+('08_Moteur'!$D$3:$D$60="B2")+('08_Moteur'!$D$3:$D$60="B3"))*'08_Moteur'!$AI$3:$AI$60*'08_Moteur'!$O$3:$O$60)/F28,0)</f>
        <v/>
      </c>
      <c r="H28" s="60">
        <f>IF(E28&lt;=0,0,MAX(1,ROUNDUP(E28/G28,0)))</f>
        <v/>
      </c>
      <c r="I28" s="63">
        <f>MAX(0,F28-H28)</f>
        <v/>
      </c>
      <c r="J28" s="24">
        <f>IFERROR(SUMPRODUCT(('08_Moteur'!$A$3:$A$60="Tunon")*('08_Moteur'!$B$3:$B$60="Lyon")*(('08_Moteur'!$D$3:$D$60="B1")+('08_Moteur'!$D$3:$D$60="B2")+('08_Moteur'!$D$3:$D$60="B3"))*'08_Moteur'!$AJ$3:$AJ$60)/F28,0)</f>
        <v/>
      </c>
      <c r="K28" s="22">
        <f>I28*J28*$G$4</f>
        <v/>
      </c>
    </row>
    <row r="29">
      <c r="B29" s="53" t="inlineStr">
        <is>
          <t>TOTAL</t>
        </is>
      </c>
      <c r="C29" s="54" t="inlineStr">
        <is>
          <t> </t>
        </is>
      </c>
      <c r="D29" s="54" t="inlineStr">
        <is>
          <t> </t>
        </is>
      </c>
      <c r="E29" s="55">
        <f>SUM(E6:E28)</f>
        <v/>
      </c>
      <c r="F29" s="55">
        <f>SUM(F6:F28)</f>
        <v/>
      </c>
      <c r="G29" s="54" t="inlineStr">
        <is>
          <t> </t>
        </is>
      </c>
      <c r="H29" s="55">
        <f>SUM(H6:H28)</f>
        <v/>
      </c>
      <c r="I29" s="55">
        <f>SUM(I6:I28)</f>
        <v/>
      </c>
      <c r="J29" s="54" t="inlineStr">
        <is>
          <t> </t>
        </is>
      </c>
      <c r="K29" s="56">
        <f>SUM(K6:K28)</f>
        <v/>
      </c>
    </row>
    <row r="31">
      <c r="B31" s="15" t="inlineStr">
        <is>
          <t>Économie potentielle totale de mutualisation :</t>
        </is>
      </c>
      <c r="G31" s="28">
        <f>K29</f>
        <v/>
      </c>
      <c r="H31" s="65" t="n"/>
    </row>
    <row r="33">
      <c r="B33" s="12" t="inlineStr">
        <is>
          <t>🧪 Indicateur de POTENTIEL (bac à sable), maille campus × cycle. « Sections économisables » = classes récupérables si l'on regroupe les étudiants d'un même cycle dans des classes pleines ; le plancher = ARRONDI.SUP(effectif du cycle / capacité) → la capacité n'est JAMAIS dépassée (même garde-fou que le simulateur, mais sur le cycle). On ne mélange PAS des cycles différents (un B1 et un M2 ne partagent pas de classe). L'économie ne porte que sur la part d'heures réellement mutualisable au sein du cycle (tronc commun) — le reste reste spécifique à chaque année. N'affecte PAS le P&amp;L officiel ; à décliner dans Tagetik à la maille de consolidation.</t>
        </is>
      </c>
    </row>
    <row r="34"/>
    <row r="35"/>
  </sheetData>
  <mergeCells count="7">
    <mergeCell ref="B4:F4"/>
    <mergeCell ref="H4:K4"/>
    <mergeCell ref="B31:F31"/>
    <mergeCell ref="G31:H31"/>
    <mergeCell ref="B2:K2"/>
    <mergeCell ref="B33:K35"/>
    <mergeCell ref="B3:K3"/>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S28"/>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11" customWidth="1" min="3" max="3"/>
    <col width="11" customWidth="1" min="4" max="4"/>
    <col width="9" customWidth="1" min="5" max="5"/>
    <col width="12" customWidth="1" min="6" max="6"/>
    <col width="13" customWidth="1" min="7" max="7"/>
    <col width="13" customWidth="1" min="8" max="8"/>
    <col width="13" customWidth="1" min="9" max="9"/>
    <col width="13" customWidth="1" min="10" max="10"/>
    <col width="11" customWidth="1" min="11" max="11"/>
    <col width="10" customWidth="1" min="12" max="12"/>
    <col width="13" customWidth="1" min="13" max="13"/>
    <col width="13" customWidth="1" min="14" max="14"/>
    <col width="11" customWidth="1" min="16" max="16"/>
    <col width="11" customWidth="1" min="17" max="17"/>
    <col width="11" customWidth="1" min="18" max="18"/>
    <col width="11" customWidth="1" min="19" max="19"/>
    <col width="11" customWidth="1" min="20" max="20"/>
  </cols>
  <sheetData>
    <row r="1"/>
    <row r="2" ht="26" customHeight="1">
      <c r="B2" s="1" t="inlineStr">
        <is>
          <t>Allocation EN CASCADE sur un VRAI campus (ISCOM Toulouse) &amp; effet d'une fermeture</t>
        </is>
      </c>
    </row>
    <row r="3" ht="40" customHeight="1">
      <c r="B3" s="2" t="inlineStr">
        <is>
          <t>OBJET DE L'ONGLET : montrer, sur un vrai campus, QUAND fermer une promo est bénéfique (ou pas). Chiffres RÉELS du moteur. La structure NON-ÉVITABLE descend en cascade : groupe → marque au CA → campus au nb d'étudiants → promo au NOMBRE DE CLASSES. On DÉCIDE sur la CONTRIBUTION (évitable) ; le « résultat tout compris » (après structure) n'est qu'informatif. Change l'effectif SCÉNARIO (bleu) : contribution et classes se recalculent.</t>
        </is>
      </c>
    </row>
    <row r="5" ht="20" customHeight="1">
      <c r="B5" s="3" t="inlineStr">
        <is>
          <t>1) Structure non-évitable de ISCOM Toulouse  —  siège groupe cascadé (CA marque → effectif campus) + loyer &amp; permanents directs (réels, feuille 09)</t>
        </is>
      </c>
      <c r="C5" s="4" t="n"/>
      <c r="D5" s="4" t="n"/>
      <c r="E5" s="4" t="n"/>
      <c r="F5" s="4" t="n"/>
      <c r="G5" s="4" t="n"/>
      <c r="H5" s="4" t="n"/>
      <c r="I5" s="4" t="n"/>
      <c r="J5" s="4" t="n"/>
      <c r="K5" s="4" t="n"/>
      <c r="L5" s="4" t="n"/>
      <c r="M5" s="4" t="n"/>
      <c r="N5" s="4" t="n"/>
    </row>
    <row r="6">
      <c r="B6" s="15" t="inlineStr">
        <is>
          <t>Siège / structure centrale GROUPE (réel) :</t>
        </is>
      </c>
      <c r="G6" s="21">
        <f>'01_Cadrage'!$H$25*(1+'01_Cadrage'!$H$20)</f>
        <v/>
      </c>
    </row>
    <row r="7">
      <c r="B7" s="15" t="inlineStr">
        <is>
          <t>× Part ISCOM au CA :</t>
        </is>
      </c>
      <c r="G7" s="79">
        <f>IFERROR(SUMIFS('08_Moteur'!$AH$3:$AH$60,'08_Moteur'!$A$3:$A$60,"ISCOM")/SUM('08_Moteur'!$AH$3:$AH$60),0)</f>
        <v/>
      </c>
      <c r="H7" s="15" t="inlineStr">
        <is>
          <t>→ Siège ISCOM :</t>
        </is>
      </c>
      <c r="I7" s="24">
        <f>G6*G7</f>
        <v/>
      </c>
    </row>
    <row r="8">
      <c r="B8" s="15" t="inlineStr">
        <is>
          <t>× Part Toulouse dans ISCOM (aux effectifs) :</t>
        </is>
      </c>
      <c r="G8" s="79">
        <f>IFERROR(SUMIFS('08_Moteur'!$AD$3:$AD$60,'08_Moteur'!$A$3:$A$60,"ISCOM",'08_Moteur'!$B$3:$B$60,"Toulouse")/SUMIFS('08_Moteur'!$AD$3:$AD$60,'08_Moteur'!$A$3:$A$60,"ISCOM"),0)</f>
        <v/>
      </c>
      <c r="H8" s="15" t="inlineStr">
        <is>
          <t>→ Siège Toulouse :</t>
        </is>
      </c>
      <c r="I8" s="24">
        <f>I7*G8</f>
        <v/>
      </c>
    </row>
    <row r="9">
      <c r="B9" s="15" t="inlineStr">
        <is>
          <t>Loyer Toulouse (réel, feuille 09) :</t>
        </is>
      </c>
      <c r="I9" s="21">
        <f>'09_Allocation'!E12</f>
        <v/>
      </c>
    </row>
    <row r="10">
      <c r="B10" s="15" t="inlineStr">
        <is>
          <t>Permanents Toulouse (réel, feuille 09) :</t>
        </is>
      </c>
      <c r="I10" s="21">
        <f>'09_Allocation'!F12</f>
        <v/>
      </c>
    </row>
    <row r="11">
      <c r="B11" s="15" t="inlineStr">
        <is>
          <t>ENVELOPE Toulouse = siège + loyer + permanents (NON-ÉVITABLE) :</t>
        </is>
      </c>
      <c r="I11" s="56">
        <f>I8+I9+I10</f>
        <v/>
      </c>
    </row>
    <row r="13" ht="20" customHeight="1">
      <c r="B13" s="3" t="inlineStr">
        <is>
          <t>2) Répartition campus → promos AU NOMBRE DE CLASSES + décision  (change l'effectif bleu ; le rouge = résultat tout compris &lt; 0)</t>
        </is>
      </c>
      <c r="C13" s="4" t="n"/>
      <c r="D13" s="4" t="n"/>
      <c r="E13" s="4" t="n"/>
      <c r="F13" s="4" t="n"/>
      <c r="G13" s="4" t="n"/>
      <c r="H13" s="4" t="n"/>
      <c r="I13" s="4" t="n"/>
      <c r="J13" s="4" t="n"/>
      <c r="K13" s="4" t="n"/>
      <c r="L13" s="4" t="n"/>
      <c r="M13" s="4" t="n"/>
      <c r="N13" s="4" t="n"/>
      <c r="P13" s="19" t="inlineStr">
        <is>
          <t>Paramètres unitaires (issus du modèle, feuille 05)</t>
        </is>
      </c>
    </row>
    <row r="14" ht="30" customHeight="1">
      <c r="B14" s="20" t="inlineStr">
        <is>
          <t>Promo (ISCOM Toulouse)</t>
        </is>
      </c>
      <c r="C14" s="20" t="inlineStr">
        <is>
          <t>Eff. réel
(moteur)</t>
        </is>
      </c>
      <c r="D14" s="20" t="inlineStr">
        <is>
          <t>Eff.
scénario</t>
        </is>
      </c>
      <c r="E14" s="20" t="inlineStr">
        <is>
          <t>Classes</t>
        </is>
      </c>
      <c r="F14" s="20" t="inlineStr">
        <is>
          <t>CA</t>
        </is>
      </c>
      <c r="G14" s="20" t="inlineStr">
        <is>
          <t>Contribution
(évitable)</t>
        </is>
      </c>
      <c r="H14" s="20" t="inlineStr">
        <is>
          <t>Struct/classe</t>
        </is>
      </c>
      <c r="I14" s="20" t="inlineStr">
        <is>
          <t>Struct allouée</t>
        </is>
      </c>
      <c r="J14" s="20" t="inlineStr">
        <is>
          <t>Résultat t.c.
(avant)</t>
        </is>
      </c>
      <c r="K14" s="20" t="inlineStr">
        <is>
          <t>Décision</t>
        </is>
      </c>
      <c r="L14" s="20" t="inlineStr">
        <is>
          <t>Cl.
après</t>
        </is>
      </c>
      <c r="M14" s="20" t="inlineStr">
        <is>
          <t>Struct après</t>
        </is>
      </c>
      <c r="N14" s="20" t="inlineStr">
        <is>
          <t>Résultat t.c.
(après)</t>
        </is>
      </c>
      <c r="P14" s="20" t="inlineStr">
        <is>
          <t>Capacité</t>
        </is>
      </c>
      <c r="Q14" s="20" t="inlineStr">
        <is>
          <t>Coût/classe</t>
        </is>
      </c>
      <c r="R14" s="20" t="inlineStr">
        <is>
          <t>Tarif</t>
        </is>
      </c>
      <c r="S14" s="20" t="inlineStr">
        <is>
          <t>Charge/étu</t>
        </is>
      </c>
      <c r="T14" s="20" t="inlineStr">
        <is>
          <t>CAC/étu</t>
        </is>
      </c>
    </row>
    <row r="15">
      <c r="B15" s="8" t="inlineStr">
        <is>
          <t>Bachelor 1 (INIT)</t>
        </is>
      </c>
      <c r="C15" s="58">
        <f>'08_Moteur'!AD33</f>
        <v/>
      </c>
      <c r="D15" s="84" t="n">
        <v>51</v>
      </c>
      <c r="E15" s="60">
        <f>IF(D15&lt;=0,0,MAX(1,ROUNDUP(D15/P15,0)))</f>
        <v/>
      </c>
      <c r="F15" s="24">
        <f>D15*R15</f>
        <v/>
      </c>
      <c r="G15" s="22">
        <f>F15-E15*Q15-D15*S15-D15*T15</f>
        <v/>
      </c>
      <c r="H15" s="24">
        <f>IFERROR($I$11/SUM($E$15:$E$19),0)</f>
        <v/>
      </c>
      <c r="I15" s="24">
        <f>E15*H15</f>
        <v/>
      </c>
      <c r="J15" s="22">
        <f>G15-I15</f>
        <v/>
      </c>
      <c r="K15" s="16" t="inlineStr">
        <is>
          <t>Maintenir</t>
        </is>
      </c>
      <c r="L15" s="60">
        <f>IF(K15="Fermer",0,E15)</f>
        <v/>
      </c>
      <c r="M15" s="24">
        <f>IF(K15="Fermer",0,L15*IFERROR($I$11/SUM($L$15:$L$19),0))</f>
        <v/>
      </c>
      <c r="N15" s="22">
        <f>IF(K15="Fermer",0,G15-M15)</f>
        <v/>
      </c>
      <c r="P15" s="49" t="n">
        <v>32</v>
      </c>
      <c r="Q15" s="52" t="n">
        <v>37200</v>
      </c>
      <c r="R15" s="52" t="n">
        <v>8500</v>
      </c>
      <c r="S15" s="52" t="n">
        <v>1484</v>
      </c>
      <c r="T15" s="52" t="n">
        <v>320</v>
      </c>
    </row>
    <row r="16">
      <c r="B16" s="8" t="inlineStr">
        <is>
          <t>Bachelor 2 (ALT)</t>
        </is>
      </c>
      <c r="C16" s="58">
        <f>'08_Moteur'!AD34</f>
        <v/>
      </c>
      <c r="D16" s="84" t="n">
        <v>44</v>
      </c>
      <c r="E16" s="60">
        <f>IF(D16&lt;=0,0,MAX(1,ROUNDUP(D16/P16,0)))</f>
        <v/>
      </c>
      <c r="F16" s="24">
        <f>D16*R16</f>
        <v/>
      </c>
      <c r="G16" s="22">
        <f>F16-E16*Q16-D16*S16-D16*T16</f>
        <v/>
      </c>
      <c r="H16" s="24">
        <f>IFERROR($I$11/SUM($E$15:$E$19),0)</f>
        <v/>
      </c>
      <c r="I16" s="24">
        <f>E16*H16</f>
        <v/>
      </c>
      <c r="J16" s="22">
        <f>G16-I16</f>
        <v/>
      </c>
      <c r="K16" s="16" t="inlineStr">
        <is>
          <t>Maintenir</t>
        </is>
      </c>
      <c r="L16" s="60">
        <f>IF(K16="Fermer",0,E16)</f>
        <v/>
      </c>
      <c r="M16" s="24">
        <f>IF(K16="Fermer",0,L16*IFERROR($I$11/SUM($L$15:$L$19),0))</f>
        <v/>
      </c>
      <c r="N16" s="22">
        <f>IF(K16="Fermer",0,G16-M16)</f>
        <v/>
      </c>
      <c r="P16" s="49" t="n">
        <v>32</v>
      </c>
      <c r="Q16" s="52" t="n">
        <v>34720</v>
      </c>
      <c r="R16" s="52" t="n">
        <v>8000</v>
      </c>
      <c r="S16" s="52" t="n">
        <v>1484</v>
      </c>
      <c r="T16" s="52" t="n">
        <v>0</v>
      </c>
    </row>
    <row r="17">
      <c r="B17" s="8" t="inlineStr">
        <is>
          <t>Bachelor 3 (ALT)</t>
        </is>
      </c>
      <c r="C17" s="58">
        <f>'08_Moteur'!AD35</f>
        <v/>
      </c>
      <c r="D17" s="84" t="n">
        <v>38</v>
      </c>
      <c r="E17" s="60">
        <f>IF(D17&lt;=0,0,MAX(1,ROUNDUP(D17/P17,0)))</f>
        <v/>
      </c>
      <c r="F17" s="24">
        <f>D17*R17</f>
        <v/>
      </c>
      <c r="G17" s="22">
        <f>F17-E17*Q17-D17*S17-D17*T17</f>
        <v/>
      </c>
      <c r="H17" s="24">
        <f>IFERROR($I$11/SUM($E$15:$E$19),0)</f>
        <v/>
      </c>
      <c r="I17" s="24">
        <f>E17*H17</f>
        <v/>
      </c>
      <c r="J17" s="22">
        <f>G17-I17</f>
        <v/>
      </c>
      <c r="K17" s="16" t="inlineStr">
        <is>
          <t>Maintenir</t>
        </is>
      </c>
      <c r="L17" s="60">
        <f>IF(K17="Fermer",0,E17)</f>
        <v/>
      </c>
      <c r="M17" s="24">
        <f>IF(K17="Fermer",0,L17*IFERROR($I$11/SUM($L$15:$L$19),0))</f>
        <v/>
      </c>
      <c r="N17" s="22">
        <f>IF(K17="Fermer",0,G17-M17)</f>
        <v/>
      </c>
      <c r="P17" s="49" t="n">
        <v>32</v>
      </c>
      <c r="Q17" s="52" t="n">
        <v>32240</v>
      </c>
      <c r="R17" s="52" t="n">
        <v>8000</v>
      </c>
      <c r="S17" s="52" t="n">
        <v>1484</v>
      </c>
      <c r="T17" s="52" t="n">
        <v>0</v>
      </c>
    </row>
    <row r="18">
      <c r="B18" s="8" t="inlineStr">
        <is>
          <t>Mastère 1 (ALT — piège)</t>
        </is>
      </c>
      <c r="C18" s="58">
        <f>'08_Moteur'!AD36</f>
        <v/>
      </c>
      <c r="D18" s="84" t="n">
        <v>31</v>
      </c>
      <c r="E18" s="60">
        <f>IF(D18&lt;=0,0,MAX(1,ROUNDUP(D18/P18,0)))</f>
        <v/>
      </c>
      <c r="F18" s="24">
        <f>D18*R18</f>
        <v/>
      </c>
      <c r="G18" s="22">
        <f>F18-E18*Q18-D18*S18-D18*T18</f>
        <v/>
      </c>
      <c r="H18" s="24">
        <f>IFERROR($I$11/SUM($E$15:$E$19),0)</f>
        <v/>
      </c>
      <c r="I18" s="24">
        <f>E18*H18</f>
        <v/>
      </c>
      <c r="J18" s="22">
        <f>G18-I18</f>
        <v/>
      </c>
      <c r="K18" s="16" t="inlineStr">
        <is>
          <t>Maintenir</t>
        </is>
      </c>
      <c r="L18" s="60">
        <f>IF(K18="Fermer",0,E18)</f>
        <v/>
      </c>
      <c r="M18" s="24">
        <f>IF(K18="Fermer",0,L18*IFERROR($I$11/SUM($L$15:$L$19),0))</f>
        <v/>
      </c>
      <c r="N18" s="22">
        <f>IF(K18="Fermer",0,G18-M18)</f>
        <v/>
      </c>
      <c r="P18" s="49" t="n">
        <v>26</v>
      </c>
      <c r="Q18" s="52" t="n">
        <v>35520</v>
      </c>
      <c r="R18" s="52" t="n">
        <v>9000</v>
      </c>
      <c r="S18" s="52" t="n">
        <v>1604</v>
      </c>
      <c r="T18" s="52" t="n">
        <v>600</v>
      </c>
    </row>
    <row r="19">
      <c r="B19" s="8" t="inlineStr">
        <is>
          <t>Mastère 2 — extinction</t>
        </is>
      </c>
      <c r="C19" s="58">
        <f>'08_Moteur'!AD37</f>
        <v/>
      </c>
      <c r="D19" s="84" t="n">
        <v>4</v>
      </c>
      <c r="E19" s="60">
        <f>IF(D19&lt;=0,0,MAX(1,ROUNDUP(D19/P19,0)))</f>
        <v/>
      </c>
      <c r="F19" s="24">
        <f>D19*R19</f>
        <v/>
      </c>
      <c r="G19" s="22">
        <f>F19-E19*Q19-D19*S19-D19*T19</f>
        <v/>
      </c>
      <c r="H19" s="24">
        <f>IFERROR($I$11/SUM($E$15:$E$19),0)</f>
        <v/>
      </c>
      <c r="I19" s="24">
        <f>E19*H19</f>
        <v/>
      </c>
      <c r="J19" s="22">
        <f>G19-I19</f>
        <v/>
      </c>
      <c r="K19" s="16" t="inlineStr">
        <is>
          <t>Fermer</t>
        </is>
      </c>
      <c r="L19" s="60">
        <f>IF(K19="Fermer",0,E19)</f>
        <v/>
      </c>
      <c r="M19" s="24">
        <f>IF(K19="Fermer",0,L19*IFERROR($I$11/SUM($L$15:$L$19),0))</f>
        <v/>
      </c>
      <c r="N19" s="22">
        <f>IF(K19="Fermer",0,G19-M19)</f>
        <v/>
      </c>
      <c r="P19" s="49" t="n">
        <v>26</v>
      </c>
      <c r="Q19" s="52" t="n">
        <v>32560</v>
      </c>
      <c r="R19" s="52" t="n">
        <v>9000</v>
      </c>
      <c r="S19" s="52" t="n">
        <v>1604</v>
      </c>
      <c r="T19" s="52" t="n">
        <v>0</v>
      </c>
    </row>
    <row r="20">
      <c r="B20" s="53" t="inlineStr">
        <is>
          <t>TOTAL</t>
        </is>
      </c>
      <c r="C20" s="55">
        <f>SUM(C15:C19)</f>
        <v/>
      </c>
      <c r="D20" s="55">
        <f>SUM(D15:D19)</f>
        <v/>
      </c>
      <c r="E20" s="55">
        <f>SUM(E15:E19)</f>
        <v/>
      </c>
      <c r="F20" s="56">
        <f>SUM(F15:F19)</f>
        <v/>
      </c>
      <c r="G20" s="56">
        <f>SUM(G15:G19)</f>
        <v/>
      </c>
      <c r="H20" s="54" t="inlineStr">
        <is>
          <t> </t>
        </is>
      </c>
      <c r="I20" s="56">
        <f>SUM(I15:I19)</f>
        <v/>
      </c>
      <c r="J20" s="56">
        <f>SUM(J15:J19)</f>
        <v/>
      </c>
      <c r="K20" s="54" t="inlineStr">
        <is>
          <t> </t>
        </is>
      </c>
      <c r="L20" s="55">
        <f>SUM(L15:L19)</f>
        <v/>
      </c>
      <c r="M20" s="56">
        <f>SUM(M15:M19)</f>
        <v/>
      </c>
      <c r="N20" s="56">
        <f>SUM(N15:N19)</f>
        <v/>
      </c>
    </row>
    <row r="22">
      <c r="B22" s="15" t="inlineStr">
        <is>
          <t>EBITDA campus AVANT :</t>
        </is>
      </c>
      <c r="F22" s="22">
        <f>SUM(G15:G19)-$I$11</f>
        <v/>
      </c>
      <c r="H22" s="15" t="inlineStr">
        <is>
          <t>EBITDA campus APRÈS :</t>
        </is>
      </c>
      <c r="J22" s="56">
        <f>SUMIFS(G15:G19,K15:K19,"&lt;&gt;Fermer")-$I$11</f>
        <v/>
      </c>
      <c r="M22" s="15" t="inlineStr">
        <is>
          <t>Δ EBITDA :</t>
        </is>
      </c>
      <c r="N22" s="28">
        <f>J22-F22</f>
        <v/>
      </c>
    </row>
    <row r="24">
      <c r="B24" s="12" t="inlineStr">
        <is>
          <t>🧪 LECTURE (vrai campus ISCOM Toulouse, bac à sable). On DÉCIDE sur la CONTRIBUTION (évitable), JAMAIS sur le résultat tout compris. Trois enseignements visibles ici : ① FERMER BÉNÉFIQUE — le Mastère 2 est en EXTINCTION (4 étudiants) : sa CONTRIBUTION est négative (une classe coûte plus qu'elle ne rapporte) → le fermer fait MONTER l'EBITDA campus (Δ = perte évitée). ② EFFET D'ENTRAÎNEMENT — en fermant, la structure non-évitable se redivise sur les classes restantes (÷ nb de classes) → le résultat tout compris du Bachelor 3 (déjà mince) bascule EN ROUGE, alors que l'EBITDA s'est amélioré : c'est un effet d'ALLOCATION comptable, pas une vraie perte. ③ LE PIÈGE — le Mastère 1 est EN ROUGE en résultat tout compris (il porte beaucoup de structure) MAIS sa CONTRIBUTION est POSITIVE (~+119 k€) → il NE FAUT PAS le fermer : le fermer FERAIT PERDRE cette contribution et alourdirait tout le monde. Essaie : mets le Mastère 1 sur « Fermer » → l'EBITDA CHUTE. N'affecte pas le P&amp;L officiel.</t>
        </is>
      </c>
    </row>
    <row r="25"/>
    <row r="26"/>
    <row r="27"/>
    <row r="28"/>
  </sheetData>
  <mergeCells count="14">
    <mergeCell ref="B5:N5"/>
    <mergeCell ref="B7:F7"/>
    <mergeCell ref="B6:F6"/>
    <mergeCell ref="B9:H9"/>
    <mergeCell ref="P13:T13"/>
    <mergeCell ref="H22:I22"/>
    <mergeCell ref="B13:N13"/>
    <mergeCell ref="B10:H10"/>
    <mergeCell ref="B8:F8"/>
    <mergeCell ref="B11:H11"/>
    <mergeCell ref="B24:N28"/>
    <mergeCell ref="B3:N3"/>
    <mergeCell ref="B2:N2"/>
    <mergeCell ref="B22:E22"/>
  </mergeCells>
  <conditionalFormatting sqref="J15:J19">
    <cfRule type="cellIs" priority="1" operator="lessThan" dxfId="0">
      <formula>0</formula>
    </cfRule>
  </conditionalFormatting>
  <conditionalFormatting sqref="N15:N19">
    <cfRule type="cellIs" priority="2" operator="lessThan" dxfId="0">
      <formula>0</formula>
    </cfRule>
  </conditionalFormatting>
  <dataValidations count="1">
    <dataValidation sqref="K15 K16 K17 K18 K19" showDropDown="0" showInputMessage="0" showErrorMessage="0" allowBlank="0" type="list">
      <formula1>"Maintenir,Fermer"</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S8"/>
  <sheetViews>
    <sheetView showGridLines="0" workbookViewId="0">
      <selection activeCell="A1" sqref="A1"/>
    </sheetView>
  </sheetViews>
  <sheetFormatPr baseColWidth="8" defaultRowHeight="15"/>
  <cols>
    <col width="2" customWidth="1" min="1" max="1"/>
    <col width="40" customWidth="1" min="2" max="2"/>
    <col width="16" customWidth="1" min="3" max="3"/>
    <col width="44" customWidth="1" min="4" max="4"/>
  </cols>
  <sheetData>
    <row r="1"/>
    <row r="2" ht="26" customHeight="1">
      <c r="B2" s="1" t="inlineStr">
        <is>
          <t>Sensibilité — impact € sur l'EBITDA par levier</t>
        </is>
      </c>
    </row>
    <row r="3">
      <c r="B3" s="2" t="inlineStr">
        <is>
          <t>Sens unique : tes leviers → EBITDA. Approximations vivantes au point courant. Pour combler l'écart de cadrage, lis quel levier pèse le plus.</t>
        </is>
      </c>
    </row>
    <row r="5">
      <c r="B5" s="20" t="inlineStr">
        <is>
          <t>Levier (pas)</t>
        </is>
      </c>
      <c r="C5" s="20" t="inlineStr">
        <is>
          <t>Impact EBITDA</t>
        </is>
      </c>
      <c r="D5" s="20" t="inlineStr">
        <is>
          <t>Lecture</t>
        </is>
      </c>
    </row>
    <row r="6" ht="26" customHeight="1">
      <c r="B6" s="14" t="inlineStr">
        <is>
          <t>+1 % de hausse tarifaire</t>
        </is>
      </c>
      <c r="C6" s="24">
        <f>0.01*SUMPRODUCT('08_Moteur'!$AD$3:$AD$60*'08_Moteur'!$AE$3:$AE$60*'08_Moteur'!$AF$3:$AF$60)</f>
        <v/>
      </c>
      <c r="D6" s="81" t="inlineStr">
        <is>
          <t>Tombe quasi intégralement en EBITDA.</t>
        </is>
      </c>
    </row>
    <row r="7" ht="26" customHeight="1">
      <c r="B7" s="14" t="inlineStr">
        <is>
          <t>+1 % de budget marketing</t>
        </is>
      </c>
      <c r="C7" s="24">
        <f>0.01*'01_Cadrage'!$H$27*SUMPRODUCT(('08_Moteur'!$F$3:$F$60=1)*'08_Moteur'!$AM$3:$AM$60)-0.01*SUMPRODUCT(('08_Moteur'!$F$3:$F$60=1)*'08_Moteur'!$H$3:$H$60*'08_Moteur'!$S$3:$S$60*(1+'08_Moteur'!$Y$3:$Y$60))</f>
        <v/>
      </c>
      <c r="D7" s="81" t="inlineStr">
        <is>
          <t>Plus de leads → plus d'inscrits, net du coût.</t>
        </is>
      </c>
    </row>
    <row r="8" ht="26" customHeight="1">
      <c r="B8" s="14" t="inlineStr">
        <is>
          <t>+1 point de taux de passage</t>
        </is>
      </c>
      <c r="C8" s="24">
        <f>0.01*SUMPRODUCT(('08_Moteur'!$F$3:$F$60=0)*'08_Moteur'!$K$3:$K$60)*IFERROR(SUM('08_Moteur'!$AM$3:$AM$60)/SUM('08_Moteur'!$AD$3:$AD$60),0)</f>
        <v/>
      </c>
      <c r="D8" s="81" t="inlineStr">
        <is>
          <t>Rétention : + d'étudiants qui poursuivent.</t>
        </is>
      </c>
    </row>
  </sheetData>
  <mergeCells count="2">
    <mergeCell ref="B3:D3"/>
    <mergeCell ref="B2:D2"/>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S13"/>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14" customWidth="1" min="5" max="5"/>
  </cols>
  <sheetData>
    <row r="1"/>
    <row r="2" ht="24" customHeight="1">
      <c r="B2" s="1" t="inlineStr">
        <is>
          <t>Tableau de bord — simulation</t>
        </is>
      </c>
    </row>
    <row r="3">
      <c r="B3" s="15" t="inlineStr">
        <is>
          <t>Scénario :</t>
        </is>
      </c>
      <c r="C3" s="64">
        <f>'01_Cadrage'!D3</f>
        <v/>
      </c>
    </row>
    <row r="5">
      <c r="B5" s="20" t="inlineStr">
        <is>
          <t>Indicateur</t>
        </is>
      </c>
      <c r="C5" s="20" t="inlineStr">
        <is>
          <t>Budget</t>
        </is>
      </c>
      <c r="D5" s="20" t="inlineStr">
        <is>
          <t>N-1</t>
        </is>
      </c>
      <c r="E5" s="20" t="inlineStr">
        <is>
          <t>Évolution</t>
        </is>
      </c>
    </row>
    <row r="6">
      <c r="B6" s="14" t="inlineStr">
        <is>
          <t>Effectif total</t>
        </is>
      </c>
      <c r="C6" s="60">
        <f>SUM('08_Moteur'!$AD$3:$AD$60)</f>
        <v/>
      </c>
      <c r="D6" s="60">
        <f>'07_Structure'!C18</f>
        <v/>
      </c>
      <c r="E6" s="62">
        <f>IFERROR(C6/D6-1,0)</f>
        <v/>
      </c>
    </row>
    <row r="7">
      <c r="B7" s="14" t="inlineStr">
        <is>
          <t>Chiffre d'affaires</t>
        </is>
      </c>
      <c r="C7" s="61">
        <f>SUM('08_Moteur'!$AH$3:$AH$60)</f>
        <v/>
      </c>
      <c r="D7" s="61">
        <f>'07_Structure'!D18</f>
        <v/>
      </c>
      <c r="E7" s="62">
        <f>IFERROR(C7/D7-1,0)</f>
        <v/>
      </c>
    </row>
    <row r="8">
      <c r="B8" s="14" t="inlineStr">
        <is>
          <t>Marge de contribution</t>
        </is>
      </c>
      <c r="C8" s="61">
        <f>SUM('08_Moteur'!$AM$3:$AM$60)</f>
        <v/>
      </c>
      <c r="D8" s="61">
        <f>'07_Structure'!E18</f>
        <v/>
      </c>
      <c r="E8" s="62">
        <f>IFERROR(C8/D8-1,0)</f>
        <v/>
      </c>
    </row>
    <row r="9">
      <c r="B9" s="14" t="inlineStr">
        <is>
          <t>EBITDA</t>
        </is>
      </c>
      <c r="C9" s="61">
        <f>'09_Allocation'!J20</f>
        <v/>
      </c>
      <c r="D9" s="61">
        <f>'07_Structure'!E18-'07_Structure'!F18-'07_Structure'!H18-2000000</f>
        <v/>
      </c>
      <c r="E9" s="62">
        <f>IFERROR(C9/D9-1,0)</f>
        <v/>
      </c>
    </row>
    <row r="10">
      <c r="B10" s="14" t="inlineStr">
        <is>
          <t>Marge EBITDA %</t>
        </is>
      </c>
      <c r="C10" s="62">
        <f>IFERROR('09_Allocation'!J20/SUM('08_Moteur'!$AH$3:$AH$60),0)</f>
        <v/>
      </c>
      <c r="D10" s="62">
        <f>IFERROR(('07_Structure'!E18-'07_Structure'!F18-'07_Structure'!H18-2000000)/'07_Structure'!D18,0)</f>
        <v/>
      </c>
      <c r="E10" s="62">
        <f>C10-D10</f>
        <v/>
      </c>
    </row>
    <row r="11">
      <c r="B11" s="14" t="inlineStr">
        <is>
          <t>Nombre de classes</t>
        </is>
      </c>
      <c r="C11" s="60">
        <f>SUM('08_Moteur'!$AI$3:$AI$60)</f>
        <v/>
      </c>
      <c r="D11" s="60">
        <f>SUM('08_Moteur'!$M$3:$M$60)</f>
        <v/>
      </c>
      <c r="E11" s="62">
        <f>IFERROR(C11/D11-1,0)</f>
        <v/>
      </c>
    </row>
    <row r="12">
      <c r="B12" s="14" t="inlineStr">
        <is>
          <t>Nouveaux inscrits</t>
        </is>
      </c>
      <c r="C12" s="60">
        <f>SUM('08_Moteur'!$AB$3:$AB$60)</f>
        <v/>
      </c>
      <c r="D12" s="60">
        <f>SUM('08_Moteur'!$H$3:$H$60)</f>
        <v/>
      </c>
      <c r="E12" s="62">
        <f>IFERROR(C12/D12-1,0)</f>
        <v/>
      </c>
    </row>
    <row r="13">
      <c r="B13" s="14" t="inlineStr">
        <is>
          <t>Taux d'alternance</t>
        </is>
      </c>
      <c r="C13" s="62">
        <f>IFERROR(SUMPRODUCT(('08_Moteur'!$E$3:$E$60="ALT")*'08_Moteur'!$AD$3:$AD$60)/SUM('08_Moteur'!$AD$3:$AD$60),0)</f>
        <v/>
      </c>
      <c r="D13" s="62">
        <f>IFERROR(SUMPRODUCT(('08_Moteur'!$E$3:$E$60="ALT")*'08_Moteur'!$G$3:$G$60)/SUM('08_Moteur'!$G$3:$G$60),0)</f>
        <v/>
      </c>
      <c r="E13" s="62">
        <f>C13-D13</f>
        <v/>
      </c>
    </row>
  </sheetData>
  <mergeCells count="1">
    <mergeCell ref="B2:E2"/>
  </mergeCell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S13"/>
  <sheetViews>
    <sheetView showGridLines="0" workbookViewId="0">
      <selection activeCell="A1" sqref="A1"/>
    </sheetView>
  </sheetViews>
  <sheetFormatPr baseColWidth="8" defaultRowHeight="15"/>
  <cols>
    <col width="2" customWidth="1" min="1" max="1"/>
    <col width="28" customWidth="1" min="2" max="2"/>
    <col width="28" customWidth="1" min="3" max="3"/>
    <col width="48" customWidth="1" min="4" max="4"/>
  </cols>
  <sheetData>
    <row r="1"/>
    <row r="2" ht="24" customHeight="1">
      <c r="B2" s="1" t="inlineStr">
        <is>
          <t>Passerelle vers CCH Tagetik</t>
        </is>
      </c>
    </row>
    <row r="4" ht="20" customHeight="1">
      <c r="B4" s="3" t="inlineStr">
        <is>
          <t>Correspondance modèle → Tagetik</t>
        </is>
      </c>
      <c r="C4" s="4" t="n"/>
      <c r="D4" s="4" t="n"/>
    </row>
    <row r="5">
      <c r="B5" s="20" t="inlineStr">
        <is>
          <t>Concept</t>
        </is>
      </c>
      <c r="C5" s="20" t="inlineStr">
        <is>
          <t>Objet Tagetik</t>
        </is>
      </c>
      <c r="D5" s="20" t="inlineStr">
        <is>
          <t>Détail</t>
        </is>
      </c>
    </row>
    <row r="6" ht="28" customHeight="1">
      <c r="B6" s="85" t="inlineStr">
        <is>
          <t>Marque / Campus</t>
        </is>
      </c>
      <c r="C6" s="6" t="inlineStr">
        <is>
          <t>Entity</t>
        </is>
      </c>
      <c r="D6" s="6" t="inlineStr">
        <is>
          <t>Hiérarchie Groupe→Marque→Campus</t>
        </is>
      </c>
    </row>
    <row r="7" ht="28" customHeight="1">
      <c r="B7" s="85" t="inlineStr">
        <is>
          <t>Programme × Année × Modalité</t>
        </is>
      </c>
      <c r="C7" s="6" t="inlineStr">
        <is>
          <t>Dimensions analytiques</t>
        </is>
      </c>
      <c r="D7" s="6" t="inlineStr">
        <is>
          <t>Maille fine, attributs initial/alternance</t>
        </is>
      </c>
    </row>
    <row r="8" ht="28" customHeight="1">
      <c r="B8" s="85" t="inlineStr">
        <is>
          <t>Params (capacité, heures…)</t>
        </is>
      </c>
      <c r="C8" s="6" t="inlineStr">
        <is>
          <t>Attributs de dimension / driver</t>
        </is>
      </c>
      <c r="D8" s="6" t="inlineStr">
        <is>
          <t>Données de référence par programme×année (feuille 05)</t>
        </is>
      </c>
    </row>
    <row r="9" ht="28" customHeight="1">
      <c r="B9" s="85" t="inlineStr">
        <is>
          <t>Historique N-2/N-1</t>
        </is>
      </c>
      <c r="C9" s="6" t="inlineStr">
        <is>
          <t>Category ACTUAL (multi-années)</t>
        </is>
      </c>
      <c r="D9" s="6" t="inlineStr">
        <is>
          <t>Plus de profondeur = élasticité marketing robuste</t>
        </is>
      </c>
    </row>
    <row r="10" ht="28" customHeight="1">
      <c r="B10" s="85" t="inlineStr">
        <is>
          <t>Cohortes / taux de passage</t>
        </is>
      </c>
      <c r="C10" s="6" t="inlineStr">
        <is>
          <t>Règle de calcul</t>
        </is>
      </c>
      <c r="D10" s="6" t="inlineStr">
        <is>
          <t>Progression B1→B2→B3</t>
        </is>
      </c>
    </row>
    <row r="11" ht="28" customHeight="1">
      <c r="B11" s="85" t="inlineStr">
        <is>
          <t>Objectifs (cadrage)</t>
        </is>
      </c>
      <c r="C11" s="6" t="inlineStr">
        <is>
          <t>Version cible + écart</t>
        </is>
      </c>
      <c r="D11" s="6" t="inlineStr">
        <is>
          <t>Top-down vs bottom-up</t>
        </is>
      </c>
    </row>
    <row r="12" ht="28" customHeight="1">
      <c r="B12" s="85" t="inlineStr">
        <is>
          <t>Décisions ouvrir/fermer</t>
        </is>
      </c>
      <c r="C12" s="6" t="inlineStr">
        <is>
          <t>Scénarios / versions</t>
        </is>
      </c>
      <c r="D12" s="6" t="inlineStr">
        <is>
          <t>Simulateur → snapshot</t>
        </is>
      </c>
    </row>
    <row r="13" ht="28" customHeight="1">
      <c r="B13" s="85" t="inlineStr">
        <is>
          <t>Allocation structure</t>
        </is>
      </c>
      <c r="C13" s="6" t="inlineStr">
        <is>
          <t>Cost allocation (driver)</t>
        </is>
      </c>
      <c r="D13" s="6" t="inlineStr">
        <is>
          <t>Effectif/CA/m²</t>
        </is>
      </c>
    </row>
  </sheetData>
  <mergeCells count="2">
    <mergeCell ref="B2:D2"/>
    <mergeCell ref="B4:D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2026-08-12T23:37:11Z</dcterms:created>
  <dcterms:modified xsi:type="dcterms:W3CDTF">2026-08-12T23:37:12Z</dcterms:modified>
</cp:coreProperties>
</file>