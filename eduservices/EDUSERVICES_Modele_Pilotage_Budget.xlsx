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Note_cadrage" sheetId="2" state="visible" r:id="rId2"/>
    <sheet name="02_Parametres" sheetId="3" state="visible" r:id="rId3"/>
    <sheet name="03_Coeff_Strateg" sheetId="4" state="visible" r:id="rId4"/>
    <sheet name="04_Referentiel" sheetId="5" state="visible" r:id="rId5"/>
    <sheet name="04_Param_Prog" sheetId="6" state="visible" r:id="rId6"/>
    <sheet name="05_Historique" sheetId="7" state="visible" r:id="rId7"/>
    <sheet name="06_Structure" sheetId="8" state="visible" r:id="rId8"/>
    <sheet name="07_Moteur" sheetId="9" state="visible" r:id="rId9"/>
    <sheet name="08_Allocation" sheetId="10" state="visible" r:id="rId10"/>
    <sheet name="09_PnL" sheetId="11" state="visible" r:id="rId11"/>
    <sheet name="10_Decision" sheetId="12" state="visible" r:id="rId12"/>
    <sheet name="11_Simulation" sheetId="13" state="visible" r:id="rId13"/>
    <sheet name="12_Mapping_Tagetik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b val="1"/>
      <color rgb="000000FF"/>
    </font>
    <font>
      <name val="Arial"/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165" fontId="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166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7" fillId="3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166" fontId="10" fillId="6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10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left" vertical="center"/>
    </xf>
    <xf numFmtId="165" fontId="10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10" fillId="3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6" customWidth="1" min="3" max="3"/>
    <col width="20" customWidth="1" min="4" max="4"/>
  </cols>
  <sheetData>
    <row r="2" ht="30" customHeight="1">
      <c r="B2" s="1" t="inlineStr">
        <is>
          <t>EDUSERVICES GROUP — Modèle de pilotage budgétaire</t>
        </is>
      </c>
    </row>
    <row r="3">
      <c r="B3" s="2" t="inlineStr">
        <is>
          <t>Budget par inducteurs à maille fine · funnel admissions · simulation · aide à la décision · pré-Tagetik</t>
        </is>
      </c>
    </row>
    <row r="5" ht="20" customHeight="1">
      <c r="B5" s="3" t="inlineStr">
        <is>
          <t>1. La logique du modèle (tout est lié)</t>
        </is>
      </c>
      <c r="C5" s="4" t="n"/>
      <c r="D5" s="4" t="n"/>
    </row>
    <row r="6">
      <c r="B6" s="5" t="inlineStr">
        <is>
          <t>Le budget se construit du bas vers le haut : chaque cellule fine (marque × campus × programme ×</t>
        </is>
      </c>
    </row>
    <row r="7">
      <c r="B7" s="5" t="inlineStr">
        <is>
          <t>niveau × modalité) part du RÉALISÉ, à laquelle on applique la NOTE DE CADRAGE (des % de volume et de</t>
        </is>
      </c>
    </row>
    <row r="8">
      <c r="B8" s="5" t="inlineStr">
        <is>
          <t>prix) modulée par des COEFFICIENTS STRATÉGIQUES par marque. Le funnel CRM (candidatures → inscrits)</t>
        </is>
      </c>
    </row>
    <row r="9">
      <c r="B9" s="5" t="inlineStr">
        <is>
          <t>projette les nouveaux entrants ; le nombre de CLASSES se déduit de l'effectif ; les coûts en découlent.</t>
        </is>
      </c>
    </row>
    <row r="10">
      <c r="B10" s="5" t="inlineStr">
        <is>
          <t>On obtient : P&amp;L consolidé, pont Prix/Volume, décisions d'ouverture/fermeture de classes, et allocation</t>
        </is>
      </c>
    </row>
    <row r="11">
      <c r="B11" s="5" t="inlineStr">
        <is>
          <t>des frais de structure par driver — le tout recalculé instantanément quand on change un levier.</t>
        </is>
      </c>
    </row>
    <row r="13" ht="20" customHeight="1">
      <c r="B13" s="3" t="inlineStr">
        <is>
          <t>2. Les feuilles</t>
        </is>
      </c>
      <c r="C13" s="4" t="n"/>
      <c r="D13" s="4" t="n"/>
    </row>
    <row r="14">
      <c r="B14" s="6" t="inlineStr">
        <is>
          <t>01_Note_cadrage</t>
        </is>
      </c>
      <c r="C14" s="7" t="inlineStr">
        <is>
          <t>Objectifs et hypothèses directrices (scénario central)</t>
        </is>
      </c>
    </row>
    <row r="15">
      <c r="B15" s="6" t="inlineStr">
        <is>
          <t>02_Parametres</t>
        </is>
      </c>
      <c r="C15" s="7" t="inlineStr">
        <is>
          <t>Sélecteur de scénario + leviers + constantes + driver d'allocation</t>
        </is>
      </c>
    </row>
    <row r="16">
      <c r="B16" s="6" t="inlineStr">
        <is>
          <t>03_Coeff_Strateg</t>
        </is>
      </c>
      <c r="C16" s="7" t="inlineStr">
        <is>
          <t>Coefficients stratégiques par marque (on challenge + ou –)</t>
        </is>
      </c>
    </row>
    <row r="17">
      <c r="B17" s="6" t="inlineStr">
        <is>
          <t>04_Referentiel</t>
        </is>
      </c>
      <c r="C17" s="7" t="inlineStr">
        <is>
          <t>Dimensions : entités, comptes (fixe/variable) — mapping Tagetik</t>
        </is>
      </c>
    </row>
    <row r="18">
      <c r="B18" s="6" t="inlineStr">
        <is>
          <t>04_Param_Prog</t>
        </is>
      </c>
      <c r="C18" s="7" t="inlineStr">
        <is>
          <t>Paramètres opérationnels PAR PROGRAMME (capacité, heures, taux, pédago)</t>
        </is>
      </c>
    </row>
    <row r="19">
      <c r="B19" s="6" t="inlineStr">
        <is>
          <t>05_Historique</t>
        </is>
      </c>
      <c r="C19" s="7" t="inlineStr">
        <is>
          <t>Réalisé fin par cellule : funnel CRM + effectifs + classes</t>
        </is>
      </c>
    </row>
    <row r="20">
      <c r="B20" s="6" t="inlineStr">
        <is>
          <t>06_Structure</t>
        </is>
      </c>
      <c r="C20" s="7" t="inlineStr">
        <is>
          <t>Réalisé par campus : loyers, ETP permanents, D&amp;A, m² (compta/SIRH/immo)</t>
        </is>
      </c>
    </row>
    <row r="21">
      <c r="B21" s="6" t="inlineStr">
        <is>
          <t>07_Moteur</t>
        </is>
      </c>
      <c r="C21" s="7" t="inlineStr">
        <is>
          <t>Moteur de budget par cellule (100% formules)</t>
        </is>
      </c>
    </row>
    <row r="22">
      <c r="B22" s="6" t="inlineStr">
        <is>
          <t>08_Allocation</t>
        </is>
      </c>
      <c r="C22" s="7" t="inlineStr">
        <is>
          <t>Frais de structure groupe alloués aux campus par driver</t>
        </is>
      </c>
    </row>
    <row r="23">
      <c r="B23" s="6" t="inlineStr">
        <is>
          <t>09_PnL</t>
        </is>
      </c>
      <c r="C23" s="7" t="inlineStr">
        <is>
          <t>Compte de résultat consolidé N-1 vs Budget + pont Prix/Volume</t>
        </is>
      </c>
    </row>
    <row r="24">
      <c r="B24" s="6" t="inlineStr">
        <is>
          <t>10_Decision</t>
        </is>
      </c>
      <c r="C24" s="7" t="inlineStr">
        <is>
          <t>Ouvrir/fermer une classe, remplissage, point mort, scoring 🟢🟡🔴</t>
        </is>
      </c>
    </row>
    <row r="25">
      <c r="B25" s="6" t="inlineStr">
        <is>
          <t>11_Simulation</t>
        </is>
      </c>
      <c r="C25" s="7" t="inlineStr">
        <is>
          <t>Tableau de bord : KPIs, scénarios, levier conversion</t>
        </is>
      </c>
    </row>
    <row r="26">
      <c r="B26" s="6" t="inlineStr">
        <is>
          <t>12_Mapping_Tagetik</t>
        </is>
      </c>
      <c r="C26" s="7" t="inlineStr">
        <is>
          <t>Passerelle : dimensions, versions/snapshot, workflow bottom-up</t>
        </is>
      </c>
    </row>
    <row r="28" ht="20" customHeight="1">
      <c r="B28" s="3" t="inlineStr">
        <is>
          <t>3. Légende &amp; avertissement</t>
        </is>
      </c>
      <c r="C28" s="4" t="n"/>
      <c r="D28" s="4" t="n"/>
    </row>
    <row r="29">
      <c r="B29" s="8" t="inlineStr">
        <is>
          <t xml:space="preserve">  exemple  </t>
        </is>
      </c>
      <c r="C29" s="9" t="inlineStr">
        <is>
          <t>Saisie / donnée réelle</t>
        </is>
      </c>
    </row>
    <row r="30">
      <c r="B30" s="10" t="inlineStr">
        <is>
          <t xml:space="preserve">  exemple  </t>
        </is>
      </c>
      <c r="C30" s="9" t="inlineStr">
        <is>
          <t>Formule / calcul</t>
        </is>
      </c>
    </row>
    <row r="31">
      <c r="B31" s="11" t="inlineStr">
        <is>
          <t xml:space="preserve">  exemple  </t>
        </is>
      </c>
      <c r="C31" s="9" t="inlineStr">
        <is>
          <t>Lien inter-feuilles</t>
        </is>
      </c>
    </row>
    <row r="32">
      <c r="B32" s="12" t="inlineStr">
        <is>
          <t xml:space="preserve">  exemple  </t>
        </is>
      </c>
      <c r="C32" s="9" t="inlineStr">
        <is>
          <t>Hypothèse clé à remplir</t>
        </is>
      </c>
    </row>
    <row r="34">
      <c r="B34" s="13" t="inlineStr">
        <is>
          <t>Marques et campus RÉELS d'EDUSERVICES, mais effectifs, tarifs et montants ILLUSTRATIFS, calibrés sur des ordres de grandeur sectoriels sourcés (frais de scolarité 8–11 k€, NPEC alternance ~7–10 k€, CAC ~0,8–2 k€, marge EBITDA ~15–22 %, taille de classe ~30). À remplacer par les données réelles.</t>
        </is>
      </c>
    </row>
    <row r="35"/>
    <row r="36"/>
  </sheetData>
  <mergeCells count="29">
    <mergeCell ref="B11:D11"/>
    <mergeCell ref="C24:D24"/>
    <mergeCell ref="C30:D30"/>
    <mergeCell ref="C15:D15"/>
    <mergeCell ref="B8:D8"/>
    <mergeCell ref="B13:D13"/>
    <mergeCell ref="C14:D14"/>
    <mergeCell ref="C26:D26"/>
    <mergeCell ref="B10:D10"/>
    <mergeCell ref="C20:D20"/>
    <mergeCell ref="B28:D28"/>
    <mergeCell ref="C29:D29"/>
    <mergeCell ref="C16:D16"/>
    <mergeCell ref="C25:D25"/>
    <mergeCell ref="B9:D9"/>
    <mergeCell ref="C22:D22"/>
    <mergeCell ref="B34:D36"/>
    <mergeCell ref="C31:D31"/>
    <mergeCell ref="B6:D6"/>
    <mergeCell ref="B5:D5"/>
    <mergeCell ref="C21:D21"/>
    <mergeCell ref="B7:D7"/>
    <mergeCell ref="C17:D17"/>
    <mergeCell ref="C23:D23"/>
    <mergeCell ref="B3:D3"/>
    <mergeCell ref="C32:D32"/>
    <mergeCell ref="C19:D19"/>
    <mergeCell ref="C18:D1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56" customWidth="1" min="4" max="4"/>
  </cols>
  <sheetData>
    <row r="2" ht="28" customHeight="1">
      <c r="B2" s="1" t="inlineStr">
        <is>
          <t>Note de cadrage budgétaire — Budget N+1</t>
        </is>
      </c>
    </row>
    <row r="3">
      <c r="B3" s="2" t="inlineStr">
        <is>
          <t>Valeurs du scénario CADRAGE (modifiables en 02_Parametres).</t>
        </is>
      </c>
    </row>
    <row r="5" ht="20" customHeight="1">
      <c r="B5" s="3" t="inlineStr">
        <is>
          <t>Objectifs</t>
        </is>
      </c>
      <c r="C5" s="4" t="n"/>
      <c r="D5" s="4" t="n"/>
    </row>
    <row r="6">
      <c r="B6" s="5" t="inlineStr">
        <is>
          <t>Croître les effectifs par un meilleur recrutement (volume) ET une meilleure conversion des admissions,</t>
        </is>
      </c>
    </row>
    <row r="7">
      <c r="B7" s="5" t="inlineStr">
        <is>
          <t>tout en revalorisant les tarifs de façon différenciée par marque, et en préservant la marge EBITDA.</t>
        </is>
      </c>
    </row>
    <row r="8">
      <c r="B8" s="5" t="inlineStr">
        <is>
          <t>Optimiser le remplissage des classes (ni sous-remplies coûteuses, ni surchargées).</t>
        </is>
      </c>
    </row>
    <row r="10" ht="20" customHeight="1">
      <c r="B10" s="3" t="inlineStr">
        <is>
          <t>Hypothèses directrices (cadrage)</t>
        </is>
      </c>
      <c r="C10" s="4" t="n"/>
      <c r="D10" s="4" t="n"/>
    </row>
    <row r="11">
      <c r="B11" s="14" t="inlineStr">
        <is>
          <t>Levier</t>
        </is>
      </c>
      <c r="C11" s="15" t="inlineStr">
        <is>
          <t>Valeur</t>
        </is>
      </c>
      <c r="D11" s="14" t="inlineStr">
        <is>
          <t>Commentaire</t>
        </is>
      </c>
    </row>
    <row r="12" ht="28" customHeight="1">
      <c r="B12" s="9" t="inlineStr">
        <is>
          <t>Croissance recrutement (volume)</t>
        </is>
      </c>
      <c r="C12" s="16">
        <f>'02_Parametres'!D6</f>
        <v/>
      </c>
      <c r="D12" s="17" t="inlineStr">
        <is>
          <t>Croissance des candidatures, avant coefficient stratégique par marque.</t>
        </is>
      </c>
    </row>
    <row r="13" ht="28" customHeight="1">
      <c r="B13" s="9" t="inlineStr">
        <is>
          <t>Hausse tarifaire (prix)</t>
        </is>
      </c>
      <c r="C13" s="16">
        <f>'02_Parametres'!D7</f>
        <v/>
      </c>
      <c r="D13" s="17" t="inlineStr">
        <is>
          <t>Revalorisation moyenne, modulée par marque.</t>
        </is>
      </c>
    </row>
    <row r="14" ht="28" customHeight="1">
      <c r="B14" s="9" t="inlineStr">
        <is>
          <t>Gain de conversion admissions</t>
        </is>
      </c>
      <c r="C14" s="16">
        <f>'02_Parametres'!D8</f>
        <v/>
      </c>
      <c r="D14" s="17" t="inlineStr">
        <is>
          <t>Points de conversion candidature→inscrit gagnés (pilotage admissions).</t>
        </is>
      </c>
    </row>
    <row r="15" ht="28" customHeight="1">
      <c r="B15" s="9" t="inlineStr">
        <is>
          <t>Taux de sécurisation contrat (≤ 3 mois)</t>
        </is>
      </c>
      <c r="C15" s="16">
        <f>'02_Parametres'!D9</f>
        <v/>
      </c>
      <c r="D15" s="17" t="inlineStr">
        <is>
          <t>Part des alternants dont le contrat est signé dans la fenêtre légale de 3 mois → financement OPCO rétroactif à 100%.</t>
        </is>
      </c>
    </row>
    <row r="16" ht="28" customHeight="1">
      <c r="B16" s="9" t="inlineStr">
        <is>
          <t>Taux de réinscription</t>
        </is>
      </c>
      <c r="C16" s="16">
        <f>'02_Parametres'!D10</f>
        <v/>
      </c>
      <c r="D16" s="17" t="inlineStr">
        <is>
          <t>Progression des étudiants d'une année sur l'autre.</t>
        </is>
      </c>
    </row>
    <row r="17" ht="28" customHeight="1">
      <c r="B17" s="9" t="inlineStr">
        <is>
          <t>Inflation des charges</t>
        </is>
      </c>
      <c r="C17" s="16">
        <f>'02_Parametres'!D11</f>
        <v/>
      </c>
      <c r="D17" s="17" t="inlineStr">
        <is>
          <t>Loyers, pédagogie, autres charges.</t>
        </is>
      </c>
    </row>
    <row r="18" ht="28" customHeight="1">
      <c r="B18" s="9" t="inlineStr">
        <is>
          <t>Politique salariale</t>
        </is>
      </c>
      <c r="C18" s="16">
        <f>'02_Parametres'!D12</f>
        <v/>
      </c>
      <c r="D18" s="17" t="inlineStr">
        <is>
          <t>Revalorisation des rémunérations chargées.</t>
        </is>
      </c>
    </row>
    <row r="19" ht="28" customHeight="1">
      <c r="B19" s="9" t="inlineStr">
        <is>
          <t>Coût d'acquisition (CAC)</t>
        </is>
      </c>
      <c r="C19" s="18">
        <f>'02_Parametres'!D13</f>
        <v/>
      </c>
      <c r="D19" s="17" t="inlineStr">
        <is>
          <t>Dépense marketing par nouvel inscrit.</t>
        </is>
      </c>
    </row>
    <row r="21" ht="20" customHeight="1">
      <c r="B21" s="3" t="inlineStr">
        <is>
          <t>Règles de gestion</t>
        </is>
      </c>
      <c r="C21" s="4" t="n"/>
      <c r="D21" s="4" t="n"/>
    </row>
    <row r="22">
      <c r="B22" s="5" t="inlineStr">
        <is>
          <t>Nouveaux inscrits = candidatures × (1+croissance×coef marque) × (conversion N-1 + gain conversion).</t>
        </is>
      </c>
    </row>
    <row r="23">
      <c r="B23" s="5" t="inlineStr">
        <is>
          <t>Réinscrits = réinscrits N-1 × (taux réinscription / référence).  Effectif = réinscrits + nouveaux.</t>
        </is>
      </c>
    </row>
    <row r="24">
      <c r="B24" s="5" t="inlineStr">
        <is>
          <t>Tarif budget = tarif N-1 × (1 + hausse prix × coef marque).</t>
        </is>
      </c>
    </row>
    <row r="25">
      <c r="B25" s="5" t="inlineStr">
        <is>
          <t>Nombre de classes = arrondi supérieur (effectif / capacité cible).  Coût enseignement = classes × heures × taux.</t>
        </is>
      </c>
    </row>
    <row r="26">
      <c r="B26" s="5" t="inlineStr">
        <is>
          <t>Contribution = CA − enseignement − pédagogie variable − marketing.  EBITDA = Σ contributions − loyers − permanents − structure.</t>
        </is>
      </c>
    </row>
  </sheetData>
  <mergeCells count="13">
    <mergeCell ref="B10:D10"/>
    <mergeCell ref="B3:D3"/>
    <mergeCell ref="B5:D5"/>
    <mergeCell ref="B23:D23"/>
    <mergeCell ref="B22:D22"/>
    <mergeCell ref="B8:D8"/>
    <mergeCell ref="B26:D26"/>
    <mergeCell ref="B21:D21"/>
    <mergeCell ref="B7:D7"/>
    <mergeCell ref="B25:D25"/>
    <mergeCell ref="B6:D6"/>
    <mergeCell ref="B24:D24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2" ht="28" customHeight="1">
      <c r="B2" s="1" t="inlineStr">
        <is>
          <t>Paramètres &amp; scénarios</t>
        </is>
      </c>
    </row>
    <row r="3">
      <c r="B3" s="19" t="inlineStr">
        <is>
          <t>Scénario actif :</t>
        </is>
      </c>
      <c r="C3" s="20" t="inlineStr">
        <is>
          <t>Cadrage</t>
        </is>
      </c>
      <c r="E3" s="2" t="inlineStr">
        <is>
          <t>◄ tout le modèle bascule automatiquement</t>
        </is>
      </c>
    </row>
    <row r="5">
      <c r="B5" s="14" t="inlineStr">
        <is>
          <t>Levier</t>
        </is>
      </c>
      <c r="C5" s="15" t="inlineStr">
        <is>
          <t>Unité</t>
        </is>
      </c>
      <c r="D5" s="15" t="inlineStr">
        <is>
          <t>Cadrage</t>
        </is>
      </c>
      <c r="E5" s="15" t="inlineStr">
        <is>
          <t>Optimiste</t>
        </is>
      </c>
      <c r="F5" s="15" t="inlineStr">
        <is>
          <t>Prudent</t>
        </is>
      </c>
      <c r="G5" s="21" t="inlineStr">
        <is>
          <t>ACTIF</t>
        </is>
      </c>
    </row>
    <row r="6">
      <c r="B6" s="9" t="inlineStr">
        <is>
          <t>Croissance recrutement (volume)</t>
        </is>
      </c>
      <c r="C6" s="22" t="inlineStr">
        <is>
          <t>%</t>
        </is>
      </c>
      <c r="D6" s="23" t="n">
        <v>0.04</v>
      </c>
      <c r="E6" s="23" t="n">
        <v>0.09</v>
      </c>
      <c r="F6" s="23" t="n">
        <v>-0.02</v>
      </c>
      <c r="G6" s="24">
        <f>INDEX(D6:F6,MATCH($C$3,$D$5:$F$5,0))</f>
        <v/>
      </c>
    </row>
    <row r="7">
      <c r="B7" s="9" t="inlineStr">
        <is>
          <t>Hausse tarifaire (prix)</t>
        </is>
      </c>
      <c r="C7" s="22" t="inlineStr">
        <is>
          <t>%</t>
        </is>
      </c>
      <c r="D7" s="23" t="n">
        <v>0.03</v>
      </c>
      <c r="E7" s="23" t="n">
        <v>0.04</v>
      </c>
      <c r="F7" s="23" t="n">
        <v>0.02</v>
      </c>
      <c r="G7" s="24">
        <f>INDEX(D7:F7,MATCH($C$3,$D$5:$F$5,0))</f>
        <v/>
      </c>
    </row>
    <row r="8">
      <c r="B8" s="9" t="inlineStr">
        <is>
          <t>Gain de conversion admissions</t>
        </is>
      </c>
      <c r="C8" s="22" t="inlineStr">
        <is>
          <t>pts</t>
        </is>
      </c>
      <c r="D8" s="23" t="n">
        <v>0.015</v>
      </c>
      <c r="E8" s="23" t="n">
        <v>0.04</v>
      </c>
      <c r="F8" s="23" t="n">
        <v>0</v>
      </c>
      <c r="G8" s="24">
        <f>INDEX(D8:F8,MATCH($C$3,$D$5:$F$5,0))</f>
        <v/>
      </c>
    </row>
    <row r="9">
      <c r="B9" s="9" t="inlineStr">
        <is>
          <t>Taux de sécurisation contrat (≤ 3 mois)</t>
        </is>
      </c>
      <c r="C9" s="22" t="inlineStr">
        <is>
          <t>%</t>
        </is>
      </c>
      <c r="D9" s="23" t="n">
        <v>0.88</v>
      </c>
      <c r="E9" s="23" t="n">
        <v>0.93</v>
      </c>
      <c r="F9" s="23" t="n">
        <v>0.8</v>
      </c>
      <c r="G9" s="24">
        <f>INDEX(D9:F9,MATCH($C$3,$D$5:$F$5,0))</f>
        <v/>
      </c>
    </row>
    <row r="10">
      <c r="B10" s="9" t="inlineStr">
        <is>
          <t>Taux de réinscription</t>
        </is>
      </c>
      <c r="C10" s="22" t="inlineStr">
        <is>
          <t>%</t>
        </is>
      </c>
      <c r="D10" s="23" t="n">
        <v>0.84</v>
      </c>
      <c r="E10" s="23" t="n">
        <v>0.87</v>
      </c>
      <c r="F10" s="23" t="n">
        <v>0.8</v>
      </c>
      <c r="G10" s="24">
        <f>INDEX(D10:F10,MATCH($C$3,$D$5:$F$5,0))</f>
        <v/>
      </c>
    </row>
    <row r="11">
      <c r="B11" s="9" t="inlineStr">
        <is>
          <t>Inflation des charges</t>
        </is>
      </c>
      <c r="C11" s="22" t="inlineStr">
        <is>
          <t>%</t>
        </is>
      </c>
      <c r="D11" s="23" t="n">
        <v>0.02</v>
      </c>
      <c r="E11" s="23" t="n">
        <v>0.015</v>
      </c>
      <c r="F11" s="23" t="n">
        <v>0.03</v>
      </c>
      <c r="G11" s="24">
        <f>INDEX(D11:F11,MATCH($C$3,$D$5:$F$5,0))</f>
        <v/>
      </c>
    </row>
    <row r="12">
      <c r="B12" s="9" t="inlineStr">
        <is>
          <t>Politique salariale</t>
        </is>
      </c>
      <c r="C12" s="22" t="inlineStr">
        <is>
          <t>%</t>
        </is>
      </c>
      <c r="D12" s="23" t="n">
        <v>0.025</v>
      </c>
      <c r="E12" s="23" t="n">
        <v>0.02</v>
      </c>
      <c r="F12" s="23" t="n">
        <v>0.03</v>
      </c>
      <c r="G12" s="24">
        <f>INDEX(D12:F12,MATCH($C$3,$D$5:$F$5,0))</f>
        <v/>
      </c>
    </row>
    <row r="13">
      <c r="B13" s="9" t="inlineStr">
        <is>
          <t>Coût d'acquisition (CAC)</t>
        </is>
      </c>
      <c r="C13" s="22" t="inlineStr">
        <is>
          <t>€</t>
        </is>
      </c>
      <c r="D13" s="25" t="n">
        <v>1300</v>
      </c>
      <c r="E13" s="25" t="n">
        <v>1150</v>
      </c>
      <c r="F13" s="25" t="n">
        <v>1600</v>
      </c>
      <c r="G13" s="26">
        <f>INDEX(D13:F13,MATCH($C$3,$D$5:$F$5,0))</f>
        <v/>
      </c>
    </row>
    <row r="15">
      <c r="B15" s="14" t="inlineStr">
        <is>
          <t>Constantes de politique (globales)</t>
        </is>
      </c>
      <c r="C15" s="27" t="inlineStr">
        <is>
          <t> </t>
        </is>
      </c>
      <c r="D15" s="27" t="inlineStr">
        <is>
          <t> </t>
        </is>
      </c>
      <c r="E15" s="27" t="inlineStr">
        <is>
          <t> </t>
        </is>
      </c>
      <c r="F15" s="27" t="inlineStr">
        <is>
          <t> </t>
        </is>
      </c>
      <c r="G15" s="27" t="inlineStr">
        <is>
          <t> </t>
        </is>
      </c>
    </row>
    <row r="16">
      <c r="B16" s="9" t="inlineStr">
        <is>
          <t>Capacité cible / classe (défaut)</t>
        </is>
      </c>
      <c r="C16" s="22" t="inlineStr">
        <is>
          <t>nb</t>
        </is>
      </c>
      <c r="D16" s="28" t="n">
        <v>30</v>
      </c>
      <c r="E16" s="29" t="inlineStr">
        <is>
          <t> </t>
        </is>
      </c>
      <c r="F16" s="29" t="inlineStr">
        <is>
          <t> </t>
        </is>
      </c>
      <c r="G16" s="30">
        <f>D16</f>
        <v/>
      </c>
    </row>
    <row r="17">
      <c r="B17" s="9" t="inlineStr">
        <is>
          <t>Seuil d'ouverture / classe (défaut)</t>
        </is>
      </c>
      <c r="C17" s="22" t="inlineStr">
        <is>
          <t>nb</t>
        </is>
      </c>
      <c r="D17" s="28" t="n">
        <v>15</v>
      </c>
      <c r="E17" s="29" t="inlineStr">
        <is>
          <t> </t>
        </is>
      </c>
      <c r="F17" s="29" t="inlineStr">
        <is>
          <t> </t>
        </is>
      </c>
      <c r="G17" s="30">
        <f>D17</f>
        <v/>
      </c>
    </row>
    <row r="18">
      <c r="B18" s="9" t="inlineStr">
        <is>
          <t>Heures d'enseignement / classe (défaut)</t>
        </is>
      </c>
      <c r="C18" s="22" t="inlineStr">
        <is>
          <t>h</t>
        </is>
      </c>
      <c r="D18" s="28" t="n">
        <v>550</v>
      </c>
      <c r="E18" s="29" t="inlineStr">
        <is>
          <t> </t>
        </is>
      </c>
      <c r="F18" s="29" t="inlineStr">
        <is>
          <t> </t>
        </is>
      </c>
      <c r="G18" s="30">
        <f>D18</f>
        <v/>
      </c>
    </row>
    <row r="19">
      <c r="B19" s="9" t="inlineStr">
        <is>
          <t>Taux horaire chargé (défaut)</t>
        </is>
      </c>
      <c r="C19" s="22" t="inlineStr">
        <is>
          <t>€</t>
        </is>
      </c>
      <c r="D19" s="25" t="n">
        <v>60</v>
      </c>
      <c r="E19" s="29" t="inlineStr">
        <is>
          <t> </t>
        </is>
      </c>
      <c r="F19" s="29" t="inlineStr">
        <is>
          <t> </t>
        </is>
      </c>
      <c r="G19" s="26">
        <f>D19</f>
        <v/>
      </c>
    </row>
    <row r="20">
      <c r="B20" s="9" t="inlineStr">
        <is>
          <t>Coût pédagogique / étudiant (défaut)</t>
        </is>
      </c>
      <c r="C20" s="22" t="inlineStr">
        <is>
          <t>€</t>
        </is>
      </c>
      <c r="D20" s="25" t="n">
        <v>400</v>
      </c>
      <c r="E20" s="29" t="inlineStr">
        <is>
          <t> </t>
        </is>
      </c>
      <c r="F20" s="29" t="inlineStr">
        <is>
          <t> </t>
        </is>
      </c>
      <c r="G20" s="26">
        <f>D20</f>
        <v/>
      </c>
    </row>
    <row r="21">
      <c r="B21" s="9" t="inlineStr">
        <is>
          <t>Coût chargé / ETP permanent</t>
        </is>
      </c>
      <c r="C21" s="22" t="inlineStr">
        <is>
          <t>€</t>
        </is>
      </c>
      <c r="D21" s="25" t="n">
        <v>48000</v>
      </c>
      <c r="E21" s="29" t="inlineStr">
        <is>
          <t> </t>
        </is>
      </c>
      <c r="F21" s="29" t="inlineStr">
        <is>
          <t> </t>
        </is>
      </c>
      <c r="G21" s="26">
        <f>D21</f>
        <v/>
      </c>
    </row>
    <row r="22">
      <c r="B22" s="9" t="inlineStr">
        <is>
          <t>Frais de dossier / nouvel inscrit</t>
        </is>
      </c>
      <c r="C22" s="22" t="inlineStr">
        <is>
          <t>€</t>
        </is>
      </c>
      <c r="D22" s="25" t="n">
        <v>90</v>
      </c>
      <c r="E22" s="29" t="inlineStr">
        <is>
          <t> </t>
        </is>
      </c>
      <c r="F22" s="29" t="inlineStr">
        <is>
          <t> </t>
        </is>
      </c>
      <c r="G22" s="26">
        <f>D22</f>
        <v/>
      </c>
    </row>
    <row r="23">
      <c r="B23" s="9" t="inlineStr">
        <is>
          <t>Réf. taux de réinscription</t>
        </is>
      </c>
      <c r="C23" s="22" t="inlineStr">
        <is>
          <t>%</t>
        </is>
      </c>
      <c r="D23" s="23" t="n">
        <v>0.84</v>
      </c>
      <c r="E23" s="29" t="inlineStr">
        <is>
          <t> </t>
        </is>
      </c>
      <c r="F23" s="29" t="inlineStr">
        <is>
          <t> </t>
        </is>
      </c>
      <c r="G23" s="24">
        <f>D23</f>
        <v/>
      </c>
    </row>
    <row r="24">
      <c r="B24" s="9" t="inlineStr">
        <is>
          <t>Frais de structure groupe (% CA)</t>
        </is>
      </c>
      <c r="C24" s="22" t="inlineStr">
        <is>
          <t>%</t>
        </is>
      </c>
      <c r="D24" s="23" t="n">
        <v>0.08</v>
      </c>
      <c r="E24" s="29" t="inlineStr">
        <is>
          <t> </t>
        </is>
      </c>
      <c r="F24" s="29" t="inlineStr">
        <is>
          <t> </t>
        </is>
      </c>
      <c r="G24" s="24">
        <f>D24</f>
        <v/>
      </c>
    </row>
    <row r="25">
      <c r="B25" s="9" t="inlineStr">
        <is>
          <t>Recouvrement reste à charge (employeur)</t>
        </is>
      </c>
      <c r="C25" s="22" t="inlineStr">
        <is>
          <t>%</t>
        </is>
      </c>
      <c r="D25" s="23" t="n">
        <v>0.85</v>
      </c>
      <c r="E25" s="29" t="inlineStr">
        <is>
          <t> </t>
        </is>
      </c>
      <c r="F25" s="29" t="inlineStr">
        <is>
          <t> </t>
        </is>
      </c>
      <c r="G25" s="24">
        <f>D25</f>
        <v/>
      </c>
    </row>
    <row r="26">
      <c r="B26" s="9" t="inlineStr">
        <is>
          <t>Réf. taux de sécurisation contrat N-1</t>
        </is>
      </c>
      <c r="C26" s="22" t="inlineStr">
        <is>
          <t>%</t>
        </is>
      </c>
      <c r="D26" s="23" t="n">
        <v>0.86</v>
      </c>
      <c r="E26" s="29" t="inlineStr">
        <is>
          <t> </t>
        </is>
      </c>
      <c r="F26" s="29" t="inlineStr">
        <is>
          <t> </t>
        </is>
      </c>
      <c r="G26" s="24">
        <f>D26</f>
        <v/>
      </c>
    </row>
    <row r="28">
      <c r="B28" s="2" t="inlineStr">
        <is>
          <t>Les paramètres capacité/heures/taux/pédago sont affinés PAR PROGRAMME (feuille 04_Param_Prog). Ci-dessus = valeurs de repli.</t>
        </is>
      </c>
    </row>
    <row r="30">
      <c r="B30" s="19" t="inlineStr">
        <is>
          <t>Driver d'allocation des frais de structure :</t>
        </is>
      </c>
      <c r="D30" s="20" t="inlineStr">
        <is>
          <t>Effectifs</t>
        </is>
      </c>
      <c r="E30" s="2" t="inlineStr">
        <is>
          <t>◄ change la clé de répartition (feuille 08)</t>
        </is>
      </c>
    </row>
  </sheetData>
  <mergeCells count="5">
    <mergeCell ref="B2:G2"/>
    <mergeCell ref="B30:C30"/>
    <mergeCell ref="B28:G28"/>
    <mergeCell ref="E3:G3"/>
    <mergeCell ref="E30:G30"/>
  </mergeCells>
  <dataValidations count="2">
    <dataValidation sqref="C3" showDropDown="0" showInputMessage="0" showErrorMessage="0" allowBlank="0" type="list">
      <formula1>"Cadrage,Optimiste,Prudent"</formula1>
    </dataValidation>
    <dataValidation sqref="D30" showDropDown="0" showInputMessage="0" showErrorMessage="0" allowBlank="0" type="list">
      <formula1>"Effectifs,Chiffre d'affaires,Surface m2"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2" ht="28" customHeight="1">
      <c r="B2" s="1" t="inlineStr">
        <is>
          <t>Coefficients stratégiques par marque</t>
        </is>
      </c>
    </row>
    <row r="3">
      <c r="B3" s="2" t="inlineStr">
        <is>
          <t>On « serre la vis » plus ou moins selon la marque : % appliqué = % note de cadrage × coefficient.</t>
        </is>
      </c>
    </row>
    <row r="5">
      <c r="B5" s="15" t="inlineStr">
        <is>
          <t>Marque</t>
        </is>
      </c>
      <c r="C5" s="15" t="inlineStr">
        <is>
          <t>Intensité VOLUME</t>
        </is>
      </c>
      <c r="D5" s="15" t="inlineStr">
        <is>
          <t>Intensité PRIX</t>
        </is>
      </c>
      <c r="E5" s="15" t="inlineStr">
        <is>
          <t>→ Volume appliqué</t>
        </is>
      </c>
      <c r="F5" s="15" t="inlineStr">
        <is>
          <t>→ Prix appliqué</t>
        </is>
      </c>
      <c r="G5" s="15" t="inlineStr">
        <is>
          <t>Posture</t>
        </is>
      </c>
    </row>
    <row r="6">
      <c r="B6" s="9" t="inlineStr">
        <is>
          <t>MBway</t>
        </is>
      </c>
      <c r="C6" s="31" t="n">
        <v>1.2</v>
      </c>
      <c r="D6" s="31" t="n">
        <v>1</v>
      </c>
      <c r="E6" s="32">
        <f>'02_Parametres'!$G$6*C6</f>
        <v/>
      </c>
      <c r="F6" s="32">
        <f>'02_Parametres'!$G$7*D6</f>
        <v/>
      </c>
      <c r="G6" s="10">
        <f>IF(C6&gt;=1.15,"Pousser",IF(C6&lt;=0.85,"Défendre","Maintenir"))</f>
        <v/>
      </c>
    </row>
    <row r="7">
      <c r="B7" s="9" t="inlineStr">
        <is>
          <t>ISCOM</t>
        </is>
      </c>
      <c r="C7" s="31" t="n">
        <v>1</v>
      </c>
      <c r="D7" s="31" t="n">
        <v>1.2</v>
      </c>
      <c r="E7" s="32">
        <f>'02_Parametres'!$G$6*C7</f>
        <v/>
      </c>
      <c r="F7" s="32">
        <f>'02_Parametres'!$G$7*D7</f>
        <v/>
      </c>
      <c r="G7" s="10">
        <f>IF(C7&gt;=1.15,"Pousser",IF(C7&lt;=0.85,"Défendre","Maintenir"))</f>
        <v/>
      </c>
    </row>
    <row r="8">
      <c r="B8" s="9" t="inlineStr">
        <is>
          <t>Ipac Bachelor Factory</t>
        </is>
      </c>
      <c r="C8" s="31" t="n">
        <v>1.3</v>
      </c>
      <c r="D8" s="31" t="n">
        <v>0.8</v>
      </c>
      <c r="E8" s="32">
        <f>'02_Parametres'!$G$6*C8</f>
        <v/>
      </c>
      <c r="F8" s="32">
        <f>'02_Parametres'!$G$7*D8</f>
        <v/>
      </c>
      <c r="G8" s="10">
        <f>IF(C8&gt;=1.15,"Pousser",IF(C8&lt;=0.85,"Défendre","Maintenir"))</f>
        <v/>
      </c>
    </row>
    <row r="9">
      <c r="B9" s="9" t="inlineStr">
        <is>
          <t>Pigier</t>
        </is>
      </c>
      <c r="C9" s="31" t="n">
        <v>0.7</v>
      </c>
      <c r="D9" s="31" t="n">
        <v>1</v>
      </c>
      <c r="E9" s="32">
        <f>'02_Parametres'!$G$6*C9</f>
        <v/>
      </c>
      <c r="F9" s="32">
        <f>'02_Parametres'!$G$7*D9</f>
        <v/>
      </c>
      <c r="G9" s="10">
        <f>IF(C9&gt;=1.15,"Pousser",IF(C9&lt;=0.85,"Défendre","Maintenir"))</f>
        <v/>
      </c>
    </row>
    <row r="10">
      <c r="B10" s="9" t="inlineStr">
        <is>
          <t>Tunon</t>
        </is>
      </c>
      <c r="C10" s="31" t="n">
        <v>1</v>
      </c>
      <c r="D10" s="31" t="n">
        <v>1.1</v>
      </c>
      <c r="E10" s="32">
        <f>'02_Parametres'!$G$6*C10</f>
        <v/>
      </c>
      <c r="F10" s="32">
        <f>'02_Parametres'!$G$7*D10</f>
        <v/>
      </c>
      <c r="G10" s="10">
        <f>IF(C10&gt;=1.15,"Pousser",IF(C10&lt;=0.85,"Défendre","Maintenir"))</f>
        <v/>
      </c>
    </row>
    <row r="12">
      <c r="B12" s="2" t="inlineStr">
        <is>
          <t>Coefficient 1,00 = on applique le cadrage tel quel · &gt;1 = on pousse · &lt;1 = on freine.</t>
        </is>
      </c>
    </row>
  </sheetData>
  <mergeCells count="3">
    <mergeCell ref="B3:G3"/>
    <mergeCell ref="B2:G2"/>
    <mergeCell ref="B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22" customWidth="1" min="4" max="4"/>
    <col width="12" customWidth="1" min="5" max="5"/>
    <col width="10" customWidth="1" min="6" max="6"/>
    <col width="14" customWidth="1" min="7" max="7"/>
  </cols>
  <sheetData>
    <row r="2" ht="28" customHeight="1">
      <c r="B2" s="1" t="inlineStr">
        <is>
          <t>Référentiel — dimensions (mapping Tagetik)</t>
        </is>
      </c>
    </row>
    <row r="4" ht="20" customHeight="1">
      <c r="B4" s="3" t="inlineStr">
        <is>
          <t>Dimension ENTITÉ : Groupe → Marque → Campus</t>
        </is>
      </c>
      <c r="C4" s="4" t="n"/>
      <c r="D4" s="4" t="n"/>
      <c r="E4" s="4" t="n"/>
      <c r="F4" s="4" t="n"/>
      <c r="G4" s="4" t="n"/>
    </row>
    <row r="5">
      <c r="B5" s="15" t="inlineStr">
        <is>
          <t>Marque</t>
        </is>
      </c>
      <c r="C5" s="15" t="inlineStr">
        <is>
          <t>Ville</t>
        </is>
      </c>
      <c r="D5" s="15" t="inlineStr">
        <is>
          <t>Domaine</t>
        </is>
      </c>
      <c r="E5" s="15" t="inlineStr">
        <is>
          <t>Niveau</t>
        </is>
      </c>
      <c r="F5" s="15" t="inlineStr">
        <is>
          <t>Devise</t>
        </is>
      </c>
      <c r="G5" s="15" t="inlineStr">
        <is>
          <t># programmes</t>
        </is>
      </c>
    </row>
    <row r="6">
      <c r="B6" s="33" t="inlineStr">
        <is>
          <t>EDUSERVICES GROUP</t>
        </is>
      </c>
      <c r="C6" s="34" t="inlineStr">
        <is>
          <t>—</t>
        </is>
      </c>
      <c r="D6" s="34" t="inlineStr">
        <is>
          <t>Tous</t>
        </is>
      </c>
      <c r="E6" s="35" t="inlineStr">
        <is>
          <t>Groupe</t>
        </is>
      </c>
      <c r="F6" s="34" t="inlineStr">
        <is>
          <t>EUR</t>
        </is>
      </c>
      <c r="G6" s="36" t="inlineStr">
        <is>
          <t> </t>
        </is>
      </c>
    </row>
    <row r="7">
      <c r="B7" s="37" t="inlineStr">
        <is>
          <t>MBway</t>
        </is>
      </c>
      <c r="C7" s="8" t="inlineStr">
        <is>
          <t>Paris</t>
        </is>
      </c>
      <c r="D7" s="22" t="inlineStr">
        <is>
          <t>Management</t>
        </is>
      </c>
      <c r="E7" s="22" t="inlineStr">
        <is>
          <t>Campus</t>
        </is>
      </c>
      <c r="F7" s="22" t="inlineStr">
        <is>
          <t>EUR</t>
        </is>
      </c>
      <c r="G7" s="22" t="n">
        <v>2</v>
      </c>
    </row>
    <row r="8">
      <c r="B8" s="37" t="inlineStr">
        <is>
          <t>MBway</t>
        </is>
      </c>
      <c r="C8" s="8" t="inlineStr">
        <is>
          <t>Lyon</t>
        </is>
      </c>
      <c r="D8" s="22" t="inlineStr">
        <is>
          <t>Management</t>
        </is>
      </c>
      <c r="E8" s="22" t="inlineStr">
        <is>
          <t>Campus</t>
        </is>
      </c>
      <c r="F8" s="22" t="inlineStr">
        <is>
          <t>EUR</t>
        </is>
      </c>
      <c r="G8" s="22" t="n">
        <v>2</v>
      </c>
    </row>
    <row r="9">
      <c r="B9" s="37" t="inlineStr">
        <is>
          <t>MBway</t>
        </is>
      </c>
      <c r="C9" s="8" t="inlineStr">
        <is>
          <t>Nantes</t>
        </is>
      </c>
      <c r="D9" s="22" t="inlineStr">
        <is>
          <t>Management</t>
        </is>
      </c>
      <c r="E9" s="22" t="inlineStr">
        <is>
          <t>Campus</t>
        </is>
      </c>
      <c r="F9" s="22" t="inlineStr">
        <is>
          <t>EUR</t>
        </is>
      </c>
      <c r="G9" s="22" t="n">
        <v>2</v>
      </c>
    </row>
    <row r="10">
      <c r="B10" s="37" t="inlineStr">
        <is>
          <t>MBway</t>
        </is>
      </c>
      <c r="C10" s="8" t="inlineStr">
        <is>
          <t>Bordeaux</t>
        </is>
      </c>
      <c r="D10" s="22" t="inlineStr">
        <is>
          <t>Management</t>
        </is>
      </c>
      <c r="E10" s="22" t="inlineStr">
        <is>
          <t>Campus</t>
        </is>
      </c>
      <c r="F10" s="22" t="inlineStr">
        <is>
          <t>EUR</t>
        </is>
      </c>
      <c r="G10" s="22" t="n">
        <v>2</v>
      </c>
    </row>
    <row r="11">
      <c r="B11" s="37" t="inlineStr">
        <is>
          <t>ISCOM</t>
        </is>
      </c>
      <c r="C11" s="8" t="inlineStr">
        <is>
          <t>Paris</t>
        </is>
      </c>
      <c r="D11" s="22" t="inlineStr">
        <is>
          <t>Communication</t>
        </is>
      </c>
      <c r="E11" s="22" t="inlineStr">
        <is>
          <t>Campus</t>
        </is>
      </c>
      <c r="F11" s="22" t="inlineStr">
        <is>
          <t>EUR</t>
        </is>
      </c>
      <c r="G11" s="22" t="n">
        <v>2</v>
      </c>
    </row>
    <row r="12">
      <c r="B12" s="37" t="inlineStr">
        <is>
          <t>ISCOM</t>
        </is>
      </c>
      <c r="C12" s="8" t="inlineStr">
        <is>
          <t>Lille</t>
        </is>
      </c>
      <c r="D12" s="22" t="inlineStr">
        <is>
          <t>Communication</t>
        </is>
      </c>
      <c r="E12" s="22" t="inlineStr">
        <is>
          <t>Campus</t>
        </is>
      </c>
      <c r="F12" s="22" t="inlineStr">
        <is>
          <t>EUR</t>
        </is>
      </c>
      <c r="G12" s="22" t="n">
        <v>2</v>
      </c>
    </row>
    <row r="13">
      <c r="B13" s="37" t="inlineStr">
        <is>
          <t>ISCOM</t>
        </is>
      </c>
      <c r="C13" s="8" t="inlineStr">
        <is>
          <t>Toulouse</t>
        </is>
      </c>
      <c r="D13" s="22" t="inlineStr">
        <is>
          <t>Communication</t>
        </is>
      </c>
      <c r="E13" s="22" t="inlineStr">
        <is>
          <t>Campus</t>
        </is>
      </c>
      <c r="F13" s="22" t="inlineStr">
        <is>
          <t>EUR</t>
        </is>
      </c>
      <c r="G13" s="22" t="n">
        <v>2</v>
      </c>
    </row>
    <row r="14">
      <c r="B14" s="37" t="inlineStr">
        <is>
          <t>Ipac Bachelor Factory</t>
        </is>
      </c>
      <c r="C14" s="8" t="inlineStr">
        <is>
          <t>Nantes</t>
        </is>
      </c>
      <c r="D14" s="22" t="inlineStr">
        <is>
          <t>Commerce</t>
        </is>
      </c>
      <c r="E14" s="22" t="inlineStr">
        <is>
          <t>Campus</t>
        </is>
      </c>
      <c r="F14" s="22" t="inlineStr">
        <is>
          <t>EUR</t>
        </is>
      </c>
      <c r="G14" s="22" t="n">
        <v>1</v>
      </c>
    </row>
    <row r="15">
      <c r="B15" s="37" t="inlineStr">
        <is>
          <t>Ipac Bachelor Factory</t>
        </is>
      </c>
      <c r="C15" s="8" t="inlineStr">
        <is>
          <t>Rennes</t>
        </is>
      </c>
      <c r="D15" s="22" t="inlineStr">
        <is>
          <t>Commerce</t>
        </is>
      </c>
      <c r="E15" s="22" t="inlineStr">
        <is>
          <t>Campus</t>
        </is>
      </c>
      <c r="F15" s="22" t="inlineStr">
        <is>
          <t>EUR</t>
        </is>
      </c>
      <c r="G15" s="22" t="n">
        <v>1</v>
      </c>
    </row>
    <row r="16">
      <c r="B16" s="37" t="inlineStr">
        <is>
          <t>Ipac Bachelor Factory</t>
        </is>
      </c>
      <c r="C16" s="8" t="inlineStr">
        <is>
          <t>Montpellier</t>
        </is>
      </c>
      <c r="D16" s="22" t="inlineStr">
        <is>
          <t>Commerce</t>
        </is>
      </c>
      <c r="E16" s="22" t="inlineStr">
        <is>
          <t>Campus</t>
        </is>
      </c>
      <c r="F16" s="22" t="inlineStr">
        <is>
          <t>EUR</t>
        </is>
      </c>
      <c r="G16" s="22" t="n">
        <v>1</v>
      </c>
    </row>
    <row r="17">
      <c r="B17" s="37" t="inlineStr">
        <is>
          <t>Pigier</t>
        </is>
      </c>
      <c r="C17" s="8" t="inlineStr">
        <is>
          <t>Lyon</t>
        </is>
      </c>
      <c r="D17" s="22" t="inlineStr">
        <is>
          <t>Commerce/RH</t>
        </is>
      </c>
      <c r="E17" s="22" t="inlineStr">
        <is>
          <t>Campus</t>
        </is>
      </c>
      <c r="F17" s="22" t="inlineStr">
        <is>
          <t>EUR</t>
        </is>
      </c>
      <c r="G17" s="22" t="n">
        <v>2</v>
      </c>
    </row>
    <row r="18">
      <c r="B18" s="37" t="inlineStr">
        <is>
          <t>Pigier</t>
        </is>
      </c>
      <c r="C18" s="8" t="inlineStr">
        <is>
          <t>Bordeaux</t>
        </is>
      </c>
      <c r="D18" s="22" t="inlineStr">
        <is>
          <t>Commerce/RH</t>
        </is>
      </c>
      <c r="E18" s="22" t="inlineStr">
        <is>
          <t>Campus</t>
        </is>
      </c>
      <c r="F18" s="22" t="inlineStr">
        <is>
          <t>EUR</t>
        </is>
      </c>
      <c r="G18" s="22" t="n">
        <v>2</v>
      </c>
    </row>
    <row r="19">
      <c r="B19" s="37" t="inlineStr">
        <is>
          <t>Tunon</t>
        </is>
      </c>
      <c r="C19" s="8" t="inlineStr">
        <is>
          <t>Paris</t>
        </is>
      </c>
      <c r="D19" s="22" t="inlineStr">
        <is>
          <t>Tourisme</t>
        </is>
      </c>
      <c r="E19" s="22" t="inlineStr">
        <is>
          <t>Campus</t>
        </is>
      </c>
      <c r="F19" s="22" t="inlineStr">
        <is>
          <t>EUR</t>
        </is>
      </c>
      <c r="G19" s="22" t="n">
        <v>1</v>
      </c>
    </row>
    <row r="20">
      <c r="B20" s="37" t="inlineStr">
        <is>
          <t>Tunon</t>
        </is>
      </c>
      <c r="C20" s="8" t="inlineStr">
        <is>
          <t>Lyon</t>
        </is>
      </c>
      <c r="D20" s="22" t="inlineStr">
        <is>
          <t>Tourisme</t>
        </is>
      </c>
      <c r="E20" s="22" t="inlineStr">
        <is>
          <t>Campus</t>
        </is>
      </c>
      <c r="F20" s="22" t="inlineStr">
        <is>
          <t>EUR</t>
        </is>
      </c>
      <c r="G20" s="22" t="n">
        <v>1</v>
      </c>
    </row>
    <row r="22" ht="20" customHeight="1">
      <c r="B22" s="3" t="inlineStr">
        <is>
          <t>Dimension COMPTE — nature fixe / variable</t>
        </is>
      </c>
      <c r="C22" s="4" t="n"/>
      <c r="D22" s="4" t="n"/>
      <c r="E22" s="4" t="n"/>
      <c r="F22" s="4" t="n"/>
      <c r="G22" s="4" t="n"/>
    </row>
    <row r="23">
      <c r="B23" s="15" t="inlineStr">
        <is>
          <t>Compte</t>
        </is>
      </c>
      <c r="C23" s="15" t="inlineStr">
        <is>
          <t>Libellé</t>
        </is>
      </c>
      <c r="D23" s="15" t="inlineStr">
        <is>
          <t>Rubrique</t>
        </is>
      </c>
      <c r="E23" s="15" t="inlineStr">
        <is>
          <t>Nature</t>
        </is>
      </c>
      <c r="F23" s="15" t="inlineStr">
        <is>
          <t>Inducteur</t>
        </is>
      </c>
    </row>
    <row r="24">
      <c r="B24" s="37" t="inlineStr">
        <is>
          <t>70600</t>
        </is>
      </c>
      <c r="C24" s="9" t="inlineStr">
        <is>
          <t>Scolarité</t>
        </is>
      </c>
      <c r="D24" s="22" t="inlineStr">
        <is>
          <t>Chiffre d'affaires</t>
        </is>
      </c>
      <c r="E24" s="22" t="inlineStr">
        <is>
          <t>—</t>
        </is>
      </c>
      <c r="F24" s="9" t="inlineStr">
        <is>
          <t>Effectif × tarif</t>
        </is>
      </c>
    </row>
    <row r="25">
      <c r="B25" s="37" t="inlineStr">
        <is>
          <t>70800</t>
        </is>
      </c>
      <c r="C25" s="9" t="inlineStr">
        <is>
          <t>Frais de dossier</t>
        </is>
      </c>
      <c r="D25" s="22" t="inlineStr">
        <is>
          <t>Chiffre d'affaires</t>
        </is>
      </c>
      <c r="E25" s="22" t="inlineStr">
        <is>
          <t>—</t>
        </is>
      </c>
      <c r="F25" s="9" t="inlineStr">
        <is>
          <t>Nouveaux inscrits</t>
        </is>
      </c>
    </row>
    <row r="26">
      <c r="B26" s="37" t="inlineStr">
        <is>
          <t>64100</t>
        </is>
      </c>
      <c r="C26" s="9" t="inlineStr">
        <is>
          <t>Enseignement (vacation)</t>
        </is>
      </c>
      <c r="D26" s="22" t="inlineStr">
        <is>
          <t>Coût direct</t>
        </is>
      </c>
      <c r="E26" s="22" t="inlineStr">
        <is>
          <t>Semi-fixe / classe</t>
        </is>
      </c>
      <c r="F26" s="9" t="inlineStr">
        <is>
          <t>Nb classes × heures</t>
        </is>
      </c>
    </row>
    <row r="27">
      <c r="B27" s="37" t="inlineStr">
        <is>
          <t>60700</t>
        </is>
      </c>
      <c r="C27" s="9" t="inlineStr">
        <is>
          <t>Pédagogie &amp; supports</t>
        </is>
      </c>
      <c r="D27" s="22" t="inlineStr">
        <is>
          <t>Coût direct</t>
        </is>
      </c>
      <c r="E27" s="22" t="inlineStr">
        <is>
          <t>Variable</t>
        </is>
      </c>
      <c r="F27" s="9" t="inlineStr">
        <is>
          <t>Effectif</t>
        </is>
      </c>
    </row>
    <row r="28">
      <c r="B28" s="37" t="inlineStr">
        <is>
          <t>62300</t>
        </is>
      </c>
      <c r="C28" s="9" t="inlineStr">
        <is>
          <t>Marketing &amp; acquisition</t>
        </is>
      </c>
      <c r="D28" s="22" t="inlineStr">
        <is>
          <t>Coût direct</t>
        </is>
      </c>
      <c r="E28" s="22" t="inlineStr">
        <is>
          <t>Variable</t>
        </is>
      </c>
      <c r="F28" s="9" t="inlineStr">
        <is>
          <t>Nouveaux inscrits</t>
        </is>
      </c>
    </row>
    <row r="29">
      <c r="B29" s="37" t="inlineStr">
        <is>
          <t>61300</t>
        </is>
      </c>
      <c r="C29" s="9" t="inlineStr">
        <is>
          <t>Loyers &amp; immobilier</t>
        </is>
      </c>
      <c r="D29" s="22" t="inlineStr">
        <is>
          <t>Structure</t>
        </is>
      </c>
      <c r="E29" s="22" t="inlineStr">
        <is>
          <t>Fixe</t>
        </is>
      </c>
      <c r="F29" s="9" t="inlineStr">
        <is>
          <t>Campus / m²</t>
        </is>
      </c>
    </row>
    <row r="30">
      <c r="B30" s="37" t="inlineStr">
        <is>
          <t>64000</t>
        </is>
      </c>
      <c r="C30" s="9" t="inlineStr">
        <is>
          <t>Personnel permanent</t>
        </is>
      </c>
      <c r="D30" s="22" t="inlineStr">
        <is>
          <t>Structure</t>
        </is>
      </c>
      <c r="E30" s="22" t="inlineStr">
        <is>
          <t>Fixe</t>
        </is>
      </c>
      <c r="F30" s="9" t="inlineStr">
        <is>
          <t>ETP par campus</t>
        </is>
      </c>
    </row>
    <row r="31">
      <c r="B31" s="37" t="inlineStr">
        <is>
          <t>65000</t>
        </is>
      </c>
      <c r="C31" s="9" t="inlineStr">
        <is>
          <t>Frais de structure groupe</t>
        </is>
      </c>
      <c r="D31" s="22" t="inlineStr">
        <is>
          <t>Structure</t>
        </is>
      </c>
      <c r="E31" s="22" t="inlineStr">
        <is>
          <t>Fixe (alloué)</t>
        </is>
      </c>
      <c r="F31" s="9" t="inlineStr">
        <is>
          <t>Driver (effectif/CA/m²)</t>
        </is>
      </c>
    </row>
    <row r="32">
      <c r="B32" s="37" t="inlineStr">
        <is>
          <t>68000</t>
        </is>
      </c>
      <c r="C32" s="9" t="inlineStr">
        <is>
          <t>Dotations amortissements</t>
        </is>
      </c>
      <c r="D32" s="22" t="inlineStr">
        <is>
          <t>D&amp;A</t>
        </is>
      </c>
      <c r="E32" s="22" t="inlineStr">
        <is>
          <t>Fixe</t>
        </is>
      </c>
      <c r="F32" s="9" t="inlineStr">
        <is>
          <t>Campus</t>
        </is>
      </c>
    </row>
  </sheetData>
  <mergeCells count="3">
    <mergeCell ref="B22:G22"/>
    <mergeCell ref="B2:G2"/>
    <mergeCell ref="B4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4" customWidth="1" min="4" max="4"/>
    <col width="15" customWidth="1" min="5" max="5"/>
    <col width="15" customWidth="1" min="6" max="6"/>
    <col width="16" customWidth="1" min="7" max="7"/>
  </cols>
  <sheetData>
    <row r="2" ht="26" customHeight="1">
      <c r="B2" s="1" t="inlineStr">
        <is>
          <t>Paramètres opérationnels par programme</t>
        </is>
      </c>
    </row>
    <row r="3">
      <c r="B3" s="2" t="inlineStr">
        <is>
          <t>Maille fine : un Mastère ≠ un BTS ≠ une école créative. Le moteur lit ces valeurs par cellule.</t>
        </is>
      </c>
    </row>
    <row r="5" ht="30" customHeight="1">
      <c r="B5" s="15" t="inlineStr">
        <is>
          <t>Programme</t>
        </is>
      </c>
      <c r="C5" s="15" t="inlineStr">
        <is>
          <t>Capacité cible</t>
        </is>
      </c>
      <c r="D5" s="15" t="inlineStr">
        <is>
          <t>Seuil ouverture</t>
        </is>
      </c>
      <c r="E5" s="15" t="inlineStr">
        <is>
          <t>Heures / classe</t>
        </is>
      </c>
      <c r="F5" s="15" t="inlineStr">
        <is>
          <t>Taux horaire</t>
        </is>
      </c>
      <c r="G5" s="15" t="inlineStr">
        <is>
          <t>Coût pédago / étu</t>
        </is>
      </c>
    </row>
    <row r="6">
      <c r="B6" s="37" t="inlineStr">
        <is>
          <t>Bachelor Management</t>
        </is>
      </c>
      <c r="C6" s="28" t="n">
        <v>32</v>
      </c>
      <c r="D6" s="28" t="n">
        <v>16</v>
      </c>
      <c r="E6" s="28" t="n">
        <v>560</v>
      </c>
      <c r="F6" s="25" t="n">
        <v>58</v>
      </c>
      <c r="G6" s="25" t="n">
        <v>400</v>
      </c>
    </row>
    <row r="7">
      <c r="B7" s="37" t="inlineStr">
        <is>
          <t>Mastère Management</t>
        </is>
      </c>
      <c r="C7" s="28" t="n">
        <v>25</v>
      </c>
      <c r="D7" s="28" t="n">
        <v>12</v>
      </c>
      <c r="E7" s="28" t="n">
        <v>480</v>
      </c>
      <c r="F7" s="25" t="n">
        <v>70</v>
      </c>
      <c r="G7" s="25" t="n">
        <v>500</v>
      </c>
    </row>
    <row r="8">
      <c r="B8" s="37" t="inlineStr">
        <is>
          <t>Bachelor Communication</t>
        </is>
      </c>
      <c r="C8" s="28" t="n">
        <v>30</v>
      </c>
      <c r="D8" s="28" t="n">
        <v>15</v>
      </c>
      <c r="E8" s="28" t="n">
        <v>580</v>
      </c>
      <c r="F8" s="25" t="n">
        <v>60</v>
      </c>
      <c r="G8" s="25" t="n">
        <v>550</v>
      </c>
    </row>
    <row r="9">
      <c r="B9" s="37" t="inlineStr">
        <is>
          <t>Mastère Communication</t>
        </is>
      </c>
      <c r="C9" s="28" t="n">
        <v>24</v>
      </c>
      <c r="D9" s="28" t="n">
        <v>12</v>
      </c>
      <c r="E9" s="28" t="n">
        <v>470</v>
      </c>
      <c r="F9" s="25" t="n">
        <v>72</v>
      </c>
      <c r="G9" s="25" t="n">
        <v>600</v>
      </c>
    </row>
    <row r="10">
      <c r="B10" s="37" t="inlineStr">
        <is>
          <t>Bachelor Commerce</t>
        </is>
      </c>
      <c r="C10" s="28" t="n">
        <v>34</v>
      </c>
      <c r="D10" s="28" t="n">
        <v>16</v>
      </c>
      <c r="E10" s="28" t="n">
        <v>540</v>
      </c>
      <c r="F10" s="25" t="n">
        <v>56</v>
      </c>
      <c r="G10" s="25" t="n">
        <v>380</v>
      </c>
    </row>
    <row r="11">
      <c r="B11" s="37" t="inlineStr">
        <is>
          <t>BTS Gestion</t>
        </is>
      </c>
      <c r="C11" s="28" t="n">
        <v>30</v>
      </c>
      <c r="D11" s="28" t="n">
        <v>15</v>
      </c>
      <c r="E11" s="28" t="n">
        <v>700</v>
      </c>
      <c r="F11" s="25" t="n">
        <v>55</v>
      </c>
      <c r="G11" s="25" t="n">
        <v>350</v>
      </c>
    </row>
    <row r="12">
      <c r="B12" s="37" t="inlineStr">
        <is>
          <t>Bachelor RH</t>
        </is>
      </c>
      <c r="C12" s="28" t="n">
        <v>30</v>
      </c>
      <c r="D12" s="28" t="n">
        <v>15</v>
      </c>
      <c r="E12" s="28" t="n">
        <v>550</v>
      </c>
      <c r="F12" s="25" t="n">
        <v>58</v>
      </c>
      <c r="G12" s="25" t="n">
        <v>400</v>
      </c>
    </row>
    <row r="13">
      <c r="B13" s="37" t="inlineStr">
        <is>
          <t>Bachelor Tourisme</t>
        </is>
      </c>
      <c r="C13" s="28" t="n">
        <v>30</v>
      </c>
      <c r="D13" s="28" t="n">
        <v>15</v>
      </c>
      <c r="E13" s="28" t="n">
        <v>560</v>
      </c>
      <c r="F13" s="25" t="n">
        <v>55</v>
      </c>
      <c r="G13" s="25" t="n">
        <v>450</v>
      </c>
    </row>
    <row r="15">
      <c r="B15" s="2" t="inlineStr">
        <is>
          <t>Bleu = saisie. Ces paramètres deviennent des attributs de dimension « Programme » dans Tagetik.</t>
        </is>
      </c>
    </row>
  </sheetData>
  <mergeCells count="3">
    <mergeCell ref="B3:G3"/>
    <mergeCell ref="B2:G2"/>
    <mergeCell ref="B15:G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7" customWidth="1" min="4" max="4"/>
    <col width="8" customWidth="1" min="5" max="5"/>
    <col width="9" customWidth="1" min="6" max="6"/>
    <col width="11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9" customWidth="1" min="13" max="13"/>
    <col width="9" customWidth="1" min="14" max="14"/>
  </cols>
  <sheetData>
    <row r="1" ht="24" customHeight="1">
      <c r="A1" s="1" t="inlineStr">
        <is>
          <t>Réalisé N-1 par cellule fine — funnel CRM + scolarité</t>
        </is>
      </c>
    </row>
    <row r="2">
      <c r="A2" s="2" t="inlineStr">
        <is>
          <t>Sources : CRM (candidatures/admis) + SI Scolarité (effectifs/classes) + tarifs. Bleu = à remplacer par le réel.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Type</t>
        </is>
      </c>
      <c r="E3" s="15" t="inlineStr">
        <is>
          <t>Niveau</t>
        </is>
      </c>
      <c r="F3" s="15" t="inlineStr">
        <is>
          <t>Modalité</t>
        </is>
      </c>
      <c r="G3" s="15" t="inlineStr">
        <is>
          <t>Candidatures N-1</t>
        </is>
      </c>
      <c r="H3" s="15" t="inlineStr">
        <is>
          <t>Admis N-1</t>
        </is>
      </c>
      <c r="I3" s="15" t="inlineStr">
        <is>
          <t>Nouveaux N-1</t>
        </is>
      </c>
      <c r="J3" s="15" t="inlineStr">
        <is>
          <t>Réinscrits N-1</t>
        </is>
      </c>
      <c r="K3" s="15" t="inlineStr">
        <is>
          <t>Effectif N-1</t>
        </is>
      </c>
      <c r="L3" s="15" t="inlineStr">
        <is>
          <t>Tarif N-1</t>
        </is>
      </c>
      <c r="M3" s="15" t="inlineStr">
        <is>
          <t>Classes N-1</t>
        </is>
      </c>
      <c r="N3" s="15" t="inlineStr">
        <is>
          <t>Conv. N-1</t>
        </is>
      </c>
    </row>
    <row r="4">
      <c r="A4" s="37" t="inlineStr">
        <is>
          <t>MBway</t>
        </is>
      </c>
      <c r="B4" s="8" t="inlineStr">
        <is>
          <t>Paris</t>
        </is>
      </c>
      <c r="C4" s="37" t="inlineStr">
        <is>
          <t>Bachelor Management</t>
        </is>
      </c>
      <c r="D4" s="8" t="inlineStr">
        <is>
          <t>BAC</t>
        </is>
      </c>
      <c r="E4" s="8" t="inlineStr">
        <is>
          <t>B1</t>
        </is>
      </c>
      <c r="F4" s="8" t="inlineStr">
        <is>
          <t>INIT</t>
        </is>
      </c>
      <c r="G4" s="28" t="n">
        <v>210</v>
      </c>
      <c r="H4" s="28" t="n">
        <v>130</v>
      </c>
      <c r="I4" s="28" t="n">
        <v>78</v>
      </c>
      <c r="J4" s="28" t="n">
        <v>0</v>
      </c>
      <c r="K4" s="28" t="n">
        <v>78</v>
      </c>
      <c r="L4" s="25" t="n">
        <v>8500</v>
      </c>
      <c r="M4" s="28" t="n">
        <v>3</v>
      </c>
      <c r="N4" s="32">
        <f>IFERROR(I4/G4,0)</f>
        <v/>
      </c>
    </row>
    <row r="5">
      <c r="A5" s="37" t="inlineStr">
        <is>
          <t>MBway</t>
        </is>
      </c>
      <c r="B5" s="8" t="inlineStr">
        <is>
          <t>Paris</t>
        </is>
      </c>
      <c r="C5" s="37" t="inlineStr">
        <is>
          <t>Bachelor Management</t>
        </is>
      </c>
      <c r="D5" s="8" t="inlineStr">
        <is>
          <t>BAC</t>
        </is>
      </c>
      <c r="E5" s="8" t="inlineStr">
        <is>
          <t>B2</t>
        </is>
      </c>
      <c r="F5" s="8" t="inlineStr">
        <is>
          <t>ALT</t>
        </is>
      </c>
      <c r="G5" s="28" t="n">
        <v>19</v>
      </c>
      <c r="H5" s="28" t="n">
        <v>12</v>
      </c>
      <c r="I5" s="28" t="n">
        <v>7</v>
      </c>
      <c r="J5" s="28" t="n">
        <v>59</v>
      </c>
      <c r="K5" s="28" t="n">
        <v>66</v>
      </c>
      <c r="L5" s="25" t="n">
        <v>8000</v>
      </c>
      <c r="M5" s="28" t="n">
        <v>3</v>
      </c>
      <c r="N5" s="32">
        <f>IFERROR(I5/G5,0)</f>
        <v/>
      </c>
    </row>
    <row r="6">
      <c r="A6" s="37" t="inlineStr">
        <is>
          <t>MBway</t>
        </is>
      </c>
      <c r="B6" s="8" t="inlineStr">
        <is>
          <t>Paris</t>
        </is>
      </c>
      <c r="C6" s="37" t="inlineStr">
        <is>
          <t>Bachelor Management</t>
        </is>
      </c>
      <c r="D6" s="8" t="inlineStr">
        <is>
          <t>BAC</t>
        </is>
      </c>
      <c r="E6" s="8" t="inlineStr">
        <is>
          <t>B3</t>
        </is>
      </c>
      <c r="F6" s="8" t="inlineStr">
        <is>
          <t>ALT</t>
        </is>
      </c>
      <c r="G6" s="28" t="n">
        <v>13</v>
      </c>
      <c r="H6" s="28" t="n">
        <v>8</v>
      </c>
      <c r="I6" s="28" t="n">
        <v>5</v>
      </c>
      <c r="J6" s="28" t="n">
        <v>53</v>
      </c>
      <c r="K6" s="28" t="n">
        <v>58</v>
      </c>
      <c r="L6" s="25" t="n">
        <v>8000</v>
      </c>
      <c r="M6" s="28" t="n">
        <v>2</v>
      </c>
      <c r="N6" s="32">
        <f>IFERROR(I6/G6,0)</f>
        <v/>
      </c>
    </row>
    <row r="7">
      <c r="A7" s="37" t="inlineStr">
        <is>
          <t>MBway</t>
        </is>
      </c>
      <c r="B7" s="8" t="inlineStr">
        <is>
          <t>Paris</t>
        </is>
      </c>
      <c r="C7" s="37" t="inlineStr">
        <is>
          <t>Mastère Management</t>
        </is>
      </c>
      <c r="D7" s="8" t="inlineStr">
        <is>
          <t>MAST</t>
        </is>
      </c>
      <c r="E7" s="8" t="inlineStr">
        <is>
          <t>M1</t>
        </is>
      </c>
      <c r="F7" s="8" t="inlineStr">
        <is>
          <t>ALT</t>
        </is>
      </c>
      <c r="G7" s="28" t="n">
        <v>126</v>
      </c>
      <c r="H7" s="28" t="n">
        <v>78</v>
      </c>
      <c r="I7" s="28" t="n">
        <v>47</v>
      </c>
      <c r="J7" s="28" t="n">
        <v>0</v>
      </c>
      <c r="K7" s="28" t="n">
        <v>47</v>
      </c>
      <c r="L7" s="25" t="n">
        <v>9000</v>
      </c>
      <c r="M7" s="28" t="n">
        <v>2</v>
      </c>
      <c r="N7" s="32">
        <f>IFERROR(I7/G7,0)</f>
        <v/>
      </c>
    </row>
    <row r="8">
      <c r="A8" s="37" t="inlineStr">
        <is>
          <t>MBway</t>
        </is>
      </c>
      <c r="B8" s="8" t="inlineStr">
        <is>
          <t>Paris</t>
        </is>
      </c>
      <c r="C8" s="37" t="inlineStr">
        <is>
          <t>Mastère Management</t>
        </is>
      </c>
      <c r="D8" s="8" t="inlineStr">
        <is>
          <t>MAST</t>
        </is>
      </c>
      <c r="E8" s="8" t="inlineStr">
        <is>
          <t>M2</t>
        </is>
      </c>
      <c r="F8" s="8" t="inlineStr">
        <is>
          <t>ALT</t>
        </is>
      </c>
      <c r="G8" s="28" t="n">
        <v>5</v>
      </c>
      <c r="H8" s="28" t="n">
        <v>3</v>
      </c>
      <c r="I8" s="28" t="n">
        <v>2</v>
      </c>
      <c r="J8" s="28" t="n">
        <v>40</v>
      </c>
      <c r="K8" s="28" t="n">
        <v>42</v>
      </c>
      <c r="L8" s="25" t="n">
        <v>9000</v>
      </c>
      <c r="M8" s="28" t="n">
        <v>2</v>
      </c>
      <c r="N8" s="32">
        <f>IFERROR(I8/G8,0)</f>
        <v/>
      </c>
    </row>
    <row r="9">
      <c r="A9" s="37" t="inlineStr">
        <is>
          <t>MBway</t>
        </is>
      </c>
      <c r="B9" s="8" t="inlineStr">
        <is>
          <t>Lyon</t>
        </is>
      </c>
      <c r="C9" s="37" t="inlineStr">
        <is>
          <t>Bachelor Management</t>
        </is>
      </c>
      <c r="D9" s="8" t="inlineStr">
        <is>
          <t>BAC</t>
        </is>
      </c>
      <c r="E9" s="8" t="inlineStr">
        <is>
          <t>B1</t>
        </is>
      </c>
      <c r="F9" s="8" t="inlineStr">
        <is>
          <t>INIT</t>
        </is>
      </c>
      <c r="G9" s="28" t="n">
        <v>177</v>
      </c>
      <c r="H9" s="28" t="n">
        <v>110</v>
      </c>
      <c r="I9" s="28" t="n">
        <v>66</v>
      </c>
      <c r="J9" s="28" t="n">
        <v>0</v>
      </c>
      <c r="K9" s="28" t="n">
        <v>66</v>
      </c>
      <c r="L9" s="25" t="n">
        <v>8500</v>
      </c>
      <c r="M9" s="28" t="n">
        <v>3</v>
      </c>
      <c r="N9" s="32">
        <f>IFERROR(I9/G9,0)</f>
        <v/>
      </c>
    </row>
    <row r="10">
      <c r="A10" s="37" t="inlineStr">
        <is>
          <t>MBway</t>
        </is>
      </c>
      <c r="B10" s="8" t="inlineStr">
        <is>
          <t>Lyon</t>
        </is>
      </c>
      <c r="C10" s="37" t="inlineStr">
        <is>
          <t>Bachelor Management</t>
        </is>
      </c>
      <c r="D10" s="8" t="inlineStr">
        <is>
          <t>BAC</t>
        </is>
      </c>
      <c r="E10" s="8" t="inlineStr">
        <is>
          <t>B2</t>
        </is>
      </c>
      <c r="F10" s="8" t="inlineStr">
        <is>
          <t>ALT</t>
        </is>
      </c>
      <c r="G10" s="28" t="n">
        <v>16</v>
      </c>
      <c r="H10" s="28" t="n">
        <v>10</v>
      </c>
      <c r="I10" s="28" t="n">
        <v>6</v>
      </c>
      <c r="J10" s="28" t="n">
        <v>50</v>
      </c>
      <c r="K10" s="28" t="n">
        <v>56</v>
      </c>
      <c r="L10" s="25" t="n">
        <v>8000</v>
      </c>
      <c r="M10" s="28" t="n">
        <v>2</v>
      </c>
      <c r="N10" s="32">
        <f>IFERROR(I10/G10,0)</f>
        <v/>
      </c>
    </row>
    <row r="11">
      <c r="A11" s="37" t="inlineStr">
        <is>
          <t>MBway</t>
        </is>
      </c>
      <c r="B11" s="8" t="inlineStr">
        <is>
          <t>Lyon</t>
        </is>
      </c>
      <c r="C11" s="37" t="inlineStr">
        <is>
          <t>Bachelor Management</t>
        </is>
      </c>
      <c r="D11" s="8" t="inlineStr">
        <is>
          <t>BAC</t>
        </is>
      </c>
      <c r="E11" s="8" t="inlineStr">
        <is>
          <t>B3</t>
        </is>
      </c>
      <c r="F11" s="8" t="inlineStr">
        <is>
          <t>ALT</t>
        </is>
      </c>
      <c r="G11" s="28" t="n">
        <v>11</v>
      </c>
      <c r="H11" s="28" t="n">
        <v>7</v>
      </c>
      <c r="I11" s="28" t="n">
        <v>4</v>
      </c>
      <c r="J11" s="28" t="n">
        <v>46</v>
      </c>
      <c r="K11" s="28" t="n">
        <v>50</v>
      </c>
      <c r="L11" s="25" t="n">
        <v>8000</v>
      </c>
      <c r="M11" s="28" t="n">
        <v>2</v>
      </c>
      <c r="N11" s="32">
        <f>IFERROR(I11/G11,0)</f>
        <v/>
      </c>
    </row>
    <row r="12">
      <c r="A12" s="37" t="inlineStr">
        <is>
          <t>MBway</t>
        </is>
      </c>
      <c r="B12" s="8" t="inlineStr">
        <is>
          <t>Lyon</t>
        </is>
      </c>
      <c r="C12" s="37" t="inlineStr">
        <is>
          <t>Mastère Management</t>
        </is>
      </c>
      <c r="D12" s="8" t="inlineStr">
        <is>
          <t>MAST</t>
        </is>
      </c>
      <c r="E12" s="8" t="inlineStr">
        <is>
          <t>M1</t>
        </is>
      </c>
      <c r="F12" s="8" t="inlineStr">
        <is>
          <t>ALT</t>
        </is>
      </c>
      <c r="G12" s="28" t="n">
        <v>108</v>
      </c>
      <c r="H12" s="28" t="n">
        <v>67</v>
      </c>
      <c r="I12" s="28" t="n">
        <v>40</v>
      </c>
      <c r="J12" s="28" t="n">
        <v>0</v>
      </c>
      <c r="K12" s="28" t="n">
        <v>40</v>
      </c>
      <c r="L12" s="25" t="n">
        <v>9000</v>
      </c>
      <c r="M12" s="28" t="n">
        <v>2</v>
      </c>
      <c r="N12" s="32">
        <f>IFERROR(I12/G12,0)</f>
        <v/>
      </c>
    </row>
    <row r="13">
      <c r="A13" s="37" t="inlineStr">
        <is>
          <t>MBway</t>
        </is>
      </c>
      <c r="B13" s="8" t="inlineStr">
        <is>
          <t>Lyon</t>
        </is>
      </c>
      <c r="C13" s="37" t="inlineStr">
        <is>
          <t>Mastère Management</t>
        </is>
      </c>
      <c r="D13" s="8" t="inlineStr">
        <is>
          <t>MAST</t>
        </is>
      </c>
      <c r="E13" s="8" t="inlineStr">
        <is>
          <t>M2</t>
        </is>
      </c>
      <c r="F13" s="8" t="inlineStr">
        <is>
          <t>ALT</t>
        </is>
      </c>
      <c r="G13" s="28" t="n">
        <v>5</v>
      </c>
      <c r="H13" s="28" t="n">
        <v>3</v>
      </c>
      <c r="I13" s="28" t="n">
        <v>2</v>
      </c>
      <c r="J13" s="28" t="n">
        <v>34</v>
      </c>
      <c r="K13" s="28" t="n">
        <v>36</v>
      </c>
      <c r="L13" s="25" t="n">
        <v>9000</v>
      </c>
      <c r="M13" s="28" t="n">
        <v>2</v>
      </c>
      <c r="N13" s="32">
        <f>IFERROR(I13/G13,0)</f>
        <v/>
      </c>
    </row>
    <row r="14">
      <c r="A14" s="37" t="inlineStr">
        <is>
          <t>MBway</t>
        </is>
      </c>
      <c r="B14" s="8" t="inlineStr">
        <is>
          <t>Nantes</t>
        </is>
      </c>
      <c r="C14" s="37" t="inlineStr">
        <is>
          <t>Bachelor Management</t>
        </is>
      </c>
      <c r="D14" s="8" t="inlineStr">
        <is>
          <t>BAC</t>
        </is>
      </c>
      <c r="E14" s="8" t="inlineStr">
        <is>
          <t>B1</t>
        </is>
      </c>
      <c r="F14" s="8" t="inlineStr">
        <is>
          <t>INIT</t>
        </is>
      </c>
      <c r="G14" s="28" t="n">
        <v>161</v>
      </c>
      <c r="H14" s="28" t="n">
        <v>100</v>
      </c>
      <c r="I14" s="28" t="n">
        <v>60</v>
      </c>
      <c r="J14" s="28" t="n">
        <v>0</v>
      </c>
      <c r="K14" s="28" t="n">
        <v>60</v>
      </c>
      <c r="L14" s="25" t="n">
        <v>8500</v>
      </c>
      <c r="M14" s="28" t="n">
        <v>2</v>
      </c>
      <c r="N14" s="32">
        <f>IFERROR(I14/G14,0)</f>
        <v/>
      </c>
    </row>
    <row r="15">
      <c r="A15" s="37" t="inlineStr">
        <is>
          <t>MBway</t>
        </is>
      </c>
      <c r="B15" s="8" t="inlineStr">
        <is>
          <t>Nantes</t>
        </is>
      </c>
      <c r="C15" s="37" t="inlineStr">
        <is>
          <t>Bachelor Management</t>
        </is>
      </c>
      <c r="D15" s="8" t="inlineStr">
        <is>
          <t>BAC</t>
        </is>
      </c>
      <c r="E15" s="8" t="inlineStr">
        <is>
          <t>B2</t>
        </is>
      </c>
      <c r="F15" s="8" t="inlineStr">
        <is>
          <t>ALT</t>
        </is>
      </c>
      <c r="G15" s="28" t="n">
        <v>13</v>
      </c>
      <c r="H15" s="28" t="n">
        <v>8</v>
      </c>
      <c r="I15" s="28" t="n">
        <v>5</v>
      </c>
      <c r="J15" s="28" t="n">
        <v>46</v>
      </c>
      <c r="K15" s="28" t="n">
        <v>51</v>
      </c>
      <c r="L15" s="25" t="n">
        <v>8000</v>
      </c>
      <c r="M15" s="28" t="n">
        <v>2</v>
      </c>
      <c r="N15" s="32">
        <f>IFERROR(I15/G15,0)</f>
        <v/>
      </c>
    </row>
    <row r="16">
      <c r="A16" s="37" t="inlineStr">
        <is>
          <t>MBway</t>
        </is>
      </c>
      <c r="B16" s="8" t="inlineStr">
        <is>
          <t>Nantes</t>
        </is>
      </c>
      <c r="C16" s="37" t="inlineStr">
        <is>
          <t>Bachelor Management</t>
        </is>
      </c>
      <c r="D16" s="8" t="inlineStr">
        <is>
          <t>BAC</t>
        </is>
      </c>
      <c r="E16" s="8" t="inlineStr">
        <is>
          <t>B3</t>
        </is>
      </c>
      <c r="F16" s="8" t="inlineStr">
        <is>
          <t>ALT</t>
        </is>
      </c>
      <c r="G16" s="28" t="n">
        <v>11</v>
      </c>
      <c r="H16" s="28" t="n">
        <v>7</v>
      </c>
      <c r="I16" s="28" t="n">
        <v>4</v>
      </c>
      <c r="J16" s="28" t="n">
        <v>41</v>
      </c>
      <c r="K16" s="28" t="n">
        <v>45</v>
      </c>
      <c r="L16" s="25" t="n">
        <v>8000</v>
      </c>
      <c r="M16" s="28" t="n">
        <v>2</v>
      </c>
      <c r="N16" s="32">
        <f>IFERROR(I16/G16,0)</f>
        <v/>
      </c>
    </row>
    <row r="17">
      <c r="A17" s="37" t="inlineStr">
        <is>
          <t>MBway</t>
        </is>
      </c>
      <c r="B17" s="8" t="inlineStr">
        <is>
          <t>Nantes</t>
        </is>
      </c>
      <c r="C17" s="37" t="inlineStr">
        <is>
          <t>Mastère Management</t>
        </is>
      </c>
      <c r="D17" s="8" t="inlineStr">
        <is>
          <t>MAST</t>
        </is>
      </c>
      <c r="E17" s="8" t="inlineStr">
        <is>
          <t>M1</t>
        </is>
      </c>
      <c r="F17" s="8" t="inlineStr">
        <is>
          <t>ALT</t>
        </is>
      </c>
      <c r="G17" s="28" t="n">
        <v>97</v>
      </c>
      <c r="H17" s="28" t="n">
        <v>60</v>
      </c>
      <c r="I17" s="28" t="n">
        <v>36</v>
      </c>
      <c r="J17" s="28" t="n">
        <v>0</v>
      </c>
      <c r="K17" s="28" t="n">
        <v>36</v>
      </c>
      <c r="L17" s="25" t="n">
        <v>9000</v>
      </c>
      <c r="M17" s="28" t="n">
        <v>2</v>
      </c>
      <c r="N17" s="32">
        <f>IFERROR(I17/G17,0)</f>
        <v/>
      </c>
    </row>
    <row r="18">
      <c r="A18" s="37" t="inlineStr">
        <is>
          <t>MBway</t>
        </is>
      </c>
      <c r="B18" s="8" t="inlineStr">
        <is>
          <t>Nantes</t>
        </is>
      </c>
      <c r="C18" s="37" t="inlineStr">
        <is>
          <t>Mastère Management</t>
        </is>
      </c>
      <c r="D18" s="8" t="inlineStr">
        <is>
          <t>MAST</t>
        </is>
      </c>
      <c r="E18" s="8" t="inlineStr">
        <is>
          <t>M2</t>
        </is>
      </c>
      <c r="F18" s="8" t="inlineStr">
        <is>
          <t>ALT</t>
        </is>
      </c>
      <c r="G18" s="28" t="n">
        <v>5</v>
      </c>
      <c r="H18" s="28" t="n">
        <v>3</v>
      </c>
      <c r="I18" s="28" t="n">
        <v>2</v>
      </c>
      <c r="J18" s="28" t="n">
        <v>30</v>
      </c>
      <c r="K18" s="28" t="n">
        <v>32</v>
      </c>
      <c r="L18" s="25" t="n">
        <v>9000</v>
      </c>
      <c r="M18" s="28" t="n">
        <v>2</v>
      </c>
      <c r="N18" s="32">
        <f>IFERROR(I18/G18,0)</f>
        <v/>
      </c>
    </row>
    <row r="19">
      <c r="A19" s="37" t="inlineStr">
        <is>
          <t>MBway</t>
        </is>
      </c>
      <c r="B19" s="8" t="inlineStr">
        <is>
          <t>Bordeaux</t>
        </is>
      </c>
      <c r="C19" s="37" t="inlineStr">
        <is>
          <t>Bachelor Management</t>
        </is>
      </c>
      <c r="D19" s="8" t="inlineStr">
        <is>
          <t>BAC</t>
        </is>
      </c>
      <c r="E19" s="8" t="inlineStr">
        <is>
          <t>B1</t>
        </is>
      </c>
      <c r="F19" s="8" t="inlineStr">
        <is>
          <t>INIT</t>
        </is>
      </c>
      <c r="G19" s="28" t="n">
        <v>137</v>
      </c>
      <c r="H19" s="28" t="n">
        <v>85</v>
      </c>
      <c r="I19" s="28" t="n">
        <v>51</v>
      </c>
      <c r="J19" s="28" t="n">
        <v>0</v>
      </c>
      <c r="K19" s="28" t="n">
        <v>51</v>
      </c>
      <c r="L19" s="25" t="n">
        <v>8500</v>
      </c>
      <c r="M19" s="28" t="n">
        <v>2</v>
      </c>
      <c r="N19" s="32">
        <f>IFERROR(I19/G19,0)</f>
        <v/>
      </c>
    </row>
    <row r="20">
      <c r="A20" s="37" t="inlineStr">
        <is>
          <t>MBway</t>
        </is>
      </c>
      <c r="B20" s="8" t="inlineStr">
        <is>
          <t>Bordeaux</t>
        </is>
      </c>
      <c r="C20" s="37" t="inlineStr">
        <is>
          <t>Bachelor Management</t>
        </is>
      </c>
      <c r="D20" s="8" t="inlineStr">
        <is>
          <t>BAC</t>
        </is>
      </c>
      <c r="E20" s="8" t="inlineStr">
        <is>
          <t>B2</t>
        </is>
      </c>
      <c r="F20" s="8" t="inlineStr">
        <is>
          <t>ALT</t>
        </is>
      </c>
      <c r="G20" s="28" t="n">
        <v>11</v>
      </c>
      <c r="H20" s="28" t="n">
        <v>7</v>
      </c>
      <c r="I20" s="28" t="n">
        <v>4</v>
      </c>
      <c r="J20" s="28" t="n">
        <v>39</v>
      </c>
      <c r="K20" s="28" t="n">
        <v>43</v>
      </c>
      <c r="L20" s="25" t="n">
        <v>8000</v>
      </c>
      <c r="M20" s="28" t="n">
        <v>2</v>
      </c>
      <c r="N20" s="32">
        <f>IFERROR(I20/G20,0)</f>
        <v/>
      </c>
    </row>
    <row r="21">
      <c r="A21" s="37" t="inlineStr">
        <is>
          <t>MBway</t>
        </is>
      </c>
      <c r="B21" s="8" t="inlineStr">
        <is>
          <t>Bordeaux</t>
        </is>
      </c>
      <c r="C21" s="37" t="inlineStr">
        <is>
          <t>Bachelor Management</t>
        </is>
      </c>
      <c r="D21" s="8" t="inlineStr">
        <is>
          <t>BAC</t>
        </is>
      </c>
      <c r="E21" s="8" t="inlineStr">
        <is>
          <t>B3</t>
        </is>
      </c>
      <c r="F21" s="8" t="inlineStr">
        <is>
          <t>ALT</t>
        </is>
      </c>
      <c r="G21" s="28" t="n">
        <v>8</v>
      </c>
      <c r="H21" s="28" t="n">
        <v>5</v>
      </c>
      <c r="I21" s="28" t="n">
        <v>3</v>
      </c>
      <c r="J21" s="28" t="n">
        <v>35</v>
      </c>
      <c r="K21" s="28" t="n">
        <v>38</v>
      </c>
      <c r="L21" s="25" t="n">
        <v>8000</v>
      </c>
      <c r="M21" s="28" t="n">
        <v>2</v>
      </c>
      <c r="N21" s="32">
        <f>IFERROR(I21/G21,0)</f>
        <v/>
      </c>
    </row>
    <row r="22">
      <c r="A22" s="37" t="inlineStr">
        <is>
          <t>MBway</t>
        </is>
      </c>
      <c r="B22" s="8" t="inlineStr">
        <is>
          <t>Bordeaux</t>
        </is>
      </c>
      <c r="C22" s="37" t="inlineStr">
        <is>
          <t>Mastère Management</t>
        </is>
      </c>
      <c r="D22" s="8" t="inlineStr">
        <is>
          <t>MAST</t>
        </is>
      </c>
      <c r="E22" s="8" t="inlineStr">
        <is>
          <t>M1</t>
        </is>
      </c>
      <c r="F22" s="8" t="inlineStr">
        <is>
          <t>ALT</t>
        </is>
      </c>
      <c r="G22" s="28" t="n">
        <v>83</v>
      </c>
      <c r="H22" s="28" t="n">
        <v>51</v>
      </c>
      <c r="I22" s="28" t="n">
        <v>31</v>
      </c>
      <c r="J22" s="28" t="n">
        <v>0</v>
      </c>
      <c r="K22" s="28" t="n">
        <v>31</v>
      </c>
      <c r="L22" s="25" t="n">
        <v>9000</v>
      </c>
      <c r="M22" s="28" t="n">
        <v>2</v>
      </c>
      <c r="N22" s="32">
        <f>IFERROR(I22/G22,0)</f>
        <v/>
      </c>
    </row>
    <row r="23">
      <c r="A23" s="37" t="inlineStr">
        <is>
          <t>MBway</t>
        </is>
      </c>
      <c r="B23" s="8" t="inlineStr">
        <is>
          <t>Bordeaux</t>
        </is>
      </c>
      <c r="C23" s="37" t="inlineStr">
        <is>
          <t>Mastère Management</t>
        </is>
      </c>
      <c r="D23" s="8" t="inlineStr">
        <is>
          <t>MAST</t>
        </is>
      </c>
      <c r="E23" s="8" t="inlineStr">
        <is>
          <t>M2</t>
        </is>
      </c>
      <c r="F23" s="8" t="inlineStr">
        <is>
          <t>ALT</t>
        </is>
      </c>
      <c r="G23" s="28" t="n">
        <v>3</v>
      </c>
      <c r="H23" s="28" t="n">
        <v>2</v>
      </c>
      <c r="I23" s="28" t="n">
        <v>1</v>
      </c>
      <c r="J23" s="28" t="n">
        <v>27</v>
      </c>
      <c r="K23" s="28" t="n">
        <v>28</v>
      </c>
      <c r="L23" s="25" t="n">
        <v>9000</v>
      </c>
      <c r="M23" s="28" t="n">
        <v>2</v>
      </c>
      <c r="N23" s="32">
        <f>IFERROR(I23/G23,0)</f>
        <v/>
      </c>
    </row>
    <row r="24">
      <c r="A24" s="37" t="inlineStr">
        <is>
          <t>ISCOM</t>
        </is>
      </c>
      <c r="B24" s="8" t="inlineStr">
        <is>
          <t>Paris</t>
        </is>
      </c>
      <c r="C24" s="37" t="inlineStr">
        <is>
          <t>Bachelor Communication</t>
        </is>
      </c>
      <c r="D24" s="8" t="inlineStr">
        <is>
          <t>BAC</t>
        </is>
      </c>
      <c r="E24" s="8" t="inlineStr">
        <is>
          <t>B1</t>
        </is>
      </c>
      <c r="F24" s="8" t="inlineStr">
        <is>
          <t>INIT</t>
        </is>
      </c>
      <c r="G24" s="28" t="n">
        <v>194</v>
      </c>
      <c r="H24" s="28" t="n">
        <v>120</v>
      </c>
      <c r="I24" s="28" t="n">
        <v>72</v>
      </c>
      <c r="J24" s="28" t="n">
        <v>0</v>
      </c>
      <c r="K24" s="28" t="n">
        <v>72</v>
      </c>
      <c r="L24" s="25" t="n">
        <v>8500</v>
      </c>
      <c r="M24" s="28" t="n">
        <v>3</v>
      </c>
      <c r="N24" s="32">
        <f>IFERROR(I24/G24,0)</f>
        <v/>
      </c>
    </row>
    <row r="25">
      <c r="A25" s="37" t="inlineStr">
        <is>
          <t>ISCOM</t>
        </is>
      </c>
      <c r="B25" s="8" t="inlineStr">
        <is>
          <t>Paris</t>
        </is>
      </c>
      <c r="C25" s="37" t="inlineStr">
        <is>
          <t>Bachelor Communication</t>
        </is>
      </c>
      <c r="D25" s="8" t="inlineStr">
        <is>
          <t>BAC</t>
        </is>
      </c>
      <c r="E25" s="8" t="inlineStr">
        <is>
          <t>B2</t>
        </is>
      </c>
      <c r="F25" s="8" t="inlineStr">
        <is>
          <t>ALT</t>
        </is>
      </c>
      <c r="G25" s="28" t="n">
        <v>16</v>
      </c>
      <c r="H25" s="28" t="n">
        <v>10</v>
      </c>
      <c r="I25" s="28" t="n">
        <v>6</v>
      </c>
      <c r="J25" s="28" t="n">
        <v>55</v>
      </c>
      <c r="K25" s="28" t="n">
        <v>61</v>
      </c>
      <c r="L25" s="25" t="n">
        <v>8000</v>
      </c>
      <c r="M25" s="28" t="n">
        <v>3</v>
      </c>
      <c r="N25" s="32">
        <f>IFERROR(I25/G25,0)</f>
        <v/>
      </c>
    </row>
    <row r="26">
      <c r="A26" s="37" t="inlineStr">
        <is>
          <t>ISCOM</t>
        </is>
      </c>
      <c r="B26" s="8" t="inlineStr">
        <is>
          <t>Paris</t>
        </is>
      </c>
      <c r="C26" s="37" t="inlineStr">
        <is>
          <t>Bachelor Communication</t>
        </is>
      </c>
      <c r="D26" s="8" t="inlineStr">
        <is>
          <t>BAC</t>
        </is>
      </c>
      <c r="E26" s="8" t="inlineStr">
        <is>
          <t>B3</t>
        </is>
      </c>
      <c r="F26" s="8" t="inlineStr">
        <is>
          <t>ALT</t>
        </is>
      </c>
      <c r="G26" s="28" t="n">
        <v>11</v>
      </c>
      <c r="H26" s="28" t="n">
        <v>7</v>
      </c>
      <c r="I26" s="28" t="n">
        <v>4</v>
      </c>
      <c r="J26" s="28" t="n">
        <v>50</v>
      </c>
      <c r="K26" s="28" t="n">
        <v>54</v>
      </c>
      <c r="L26" s="25" t="n">
        <v>8000</v>
      </c>
      <c r="M26" s="28" t="n">
        <v>2</v>
      </c>
      <c r="N26" s="32">
        <f>IFERROR(I26/G26,0)</f>
        <v/>
      </c>
    </row>
    <row r="27">
      <c r="A27" s="37" t="inlineStr">
        <is>
          <t>ISCOM</t>
        </is>
      </c>
      <c r="B27" s="8" t="inlineStr">
        <is>
          <t>Paris</t>
        </is>
      </c>
      <c r="C27" s="37" t="inlineStr">
        <is>
          <t>Mastère Communication</t>
        </is>
      </c>
      <c r="D27" s="8" t="inlineStr">
        <is>
          <t>MAST</t>
        </is>
      </c>
      <c r="E27" s="8" t="inlineStr">
        <is>
          <t>M1</t>
        </is>
      </c>
      <c r="F27" s="8" t="inlineStr">
        <is>
          <t>ALT</t>
        </is>
      </c>
      <c r="G27" s="28" t="n">
        <v>116</v>
      </c>
      <c r="H27" s="28" t="n">
        <v>72</v>
      </c>
      <c r="I27" s="28" t="n">
        <v>43</v>
      </c>
      <c r="J27" s="28" t="n">
        <v>0</v>
      </c>
      <c r="K27" s="28" t="n">
        <v>43</v>
      </c>
      <c r="L27" s="25" t="n">
        <v>9000</v>
      </c>
      <c r="M27" s="28" t="n">
        <v>2</v>
      </c>
      <c r="N27" s="32">
        <f>IFERROR(I27/G27,0)</f>
        <v/>
      </c>
    </row>
    <row r="28">
      <c r="A28" s="37" t="inlineStr">
        <is>
          <t>ISCOM</t>
        </is>
      </c>
      <c r="B28" s="8" t="inlineStr">
        <is>
          <t>Paris</t>
        </is>
      </c>
      <c r="C28" s="37" t="inlineStr">
        <is>
          <t>Mastère Communication</t>
        </is>
      </c>
      <c r="D28" s="8" t="inlineStr">
        <is>
          <t>MAST</t>
        </is>
      </c>
      <c r="E28" s="8" t="inlineStr">
        <is>
          <t>M2</t>
        </is>
      </c>
      <c r="F28" s="8" t="inlineStr">
        <is>
          <t>ALT</t>
        </is>
      </c>
      <c r="G28" s="28" t="n">
        <v>5</v>
      </c>
      <c r="H28" s="28" t="n">
        <v>3</v>
      </c>
      <c r="I28" s="28" t="n">
        <v>2</v>
      </c>
      <c r="J28" s="28" t="n">
        <v>37</v>
      </c>
      <c r="K28" s="28" t="n">
        <v>39</v>
      </c>
      <c r="L28" s="25" t="n">
        <v>9000</v>
      </c>
      <c r="M28" s="28" t="n">
        <v>2</v>
      </c>
      <c r="N28" s="32">
        <f>IFERROR(I28/G28,0)</f>
        <v/>
      </c>
    </row>
    <row r="29">
      <c r="A29" s="37" t="inlineStr">
        <is>
          <t>ISCOM</t>
        </is>
      </c>
      <c r="B29" s="8" t="inlineStr">
        <is>
          <t>Lille</t>
        </is>
      </c>
      <c r="C29" s="37" t="inlineStr">
        <is>
          <t>Bachelor Communication</t>
        </is>
      </c>
      <c r="D29" s="8" t="inlineStr">
        <is>
          <t>BAC</t>
        </is>
      </c>
      <c r="E29" s="8" t="inlineStr">
        <is>
          <t>B1</t>
        </is>
      </c>
      <c r="F29" s="8" t="inlineStr">
        <is>
          <t>INIT</t>
        </is>
      </c>
      <c r="G29" s="28" t="n">
        <v>134</v>
      </c>
      <c r="H29" s="28" t="n">
        <v>83</v>
      </c>
      <c r="I29" s="28" t="n">
        <v>50</v>
      </c>
      <c r="J29" s="28" t="n">
        <v>0</v>
      </c>
      <c r="K29" s="28" t="n">
        <v>50</v>
      </c>
      <c r="L29" s="25" t="n">
        <v>8500</v>
      </c>
      <c r="M29" s="28" t="n">
        <v>2</v>
      </c>
      <c r="N29" s="32">
        <f>IFERROR(I29/G29,0)</f>
        <v/>
      </c>
    </row>
    <row r="30">
      <c r="A30" s="37" t="inlineStr">
        <is>
          <t>ISCOM</t>
        </is>
      </c>
      <c r="B30" s="8" t="inlineStr">
        <is>
          <t>Lille</t>
        </is>
      </c>
      <c r="C30" s="37" t="inlineStr">
        <is>
          <t>Bachelor Communication</t>
        </is>
      </c>
      <c r="D30" s="8" t="inlineStr">
        <is>
          <t>BAC</t>
        </is>
      </c>
      <c r="E30" s="8" t="inlineStr">
        <is>
          <t>B2</t>
        </is>
      </c>
      <c r="F30" s="8" t="inlineStr">
        <is>
          <t>ALT</t>
        </is>
      </c>
      <c r="G30" s="28" t="n">
        <v>11</v>
      </c>
      <c r="H30" s="28" t="n">
        <v>7</v>
      </c>
      <c r="I30" s="28" t="n">
        <v>4</v>
      </c>
      <c r="J30" s="28" t="n">
        <v>38</v>
      </c>
      <c r="K30" s="28" t="n">
        <v>42</v>
      </c>
      <c r="L30" s="25" t="n">
        <v>8000</v>
      </c>
      <c r="M30" s="28" t="n">
        <v>2</v>
      </c>
      <c r="N30" s="32">
        <f>IFERROR(I30/G30,0)</f>
        <v/>
      </c>
    </row>
    <row r="31">
      <c r="A31" s="37" t="inlineStr">
        <is>
          <t>ISCOM</t>
        </is>
      </c>
      <c r="B31" s="8" t="inlineStr">
        <is>
          <t>Lille</t>
        </is>
      </c>
      <c r="C31" s="37" t="inlineStr">
        <is>
          <t>Bachelor Communication</t>
        </is>
      </c>
      <c r="D31" s="8" t="inlineStr">
        <is>
          <t>BAC</t>
        </is>
      </c>
      <c r="E31" s="8" t="inlineStr">
        <is>
          <t>B3</t>
        </is>
      </c>
      <c r="F31" s="8" t="inlineStr">
        <is>
          <t>ALT</t>
        </is>
      </c>
      <c r="G31" s="28" t="n">
        <v>8</v>
      </c>
      <c r="H31" s="28" t="n">
        <v>5</v>
      </c>
      <c r="I31" s="28" t="n">
        <v>3</v>
      </c>
      <c r="J31" s="28" t="n">
        <v>35</v>
      </c>
      <c r="K31" s="28" t="n">
        <v>38</v>
      </c>
      <c r="L31" s="25" t="n">
        <v>8000</v>
      </c>
      <c r="M31" s="28" t="n">
        <v>2</v>
      </c>
      <c r="N31" s="32">
        <f>IFERROR(I31/G31,0)</f>
        <v/>
      </c>
    </row>
    <row r="32">
      <c r="A32" s="37" t="inlineStr">
        <is>
          <t>ISCOM</t>
        </is>
      </c>
      <c r="B32" s="8" t="inlineStr">
        <is>
          <t>Lille</t>
        </is>
      </c>
      <c r="C32" s="37" t="inlineStr">
        <is>
          <t>Mastère Communication</t>
        </is>
      </c>
      <c r="D32" s="8" t="inlineStr">
        <is>
          <t>MAST</t>
        </is>
      </c>
      <c r="E32" s="8" t="inlineStr">
        <is>
          <t>M1</t>
        </is>
      </c>
      <c r="F32" s="8" t="inlineStr">
        <is>
          <t>ALT</t>
        </is>
      </c>
      <c r="G32" s="28" t="n">
        <v>81</v>
      </c>
      <c r="H32" s="28" t="n">
        <v>50</v>
      </c>
      <c r="I32" s="28" t="n">
        <v>30</v>
      </c>
      <c r="J32" s="28" t="n">
        <v>0</v>
      </c>
      <c r="K32" s="28" t="n">
        <v>30</v>
      </c>
      <c r="L32" s="25" t="n">
        <v>9000</v>
      </c>
      <c r="M32" s="28" t="n">
        <v>2</v>
      </c>
      <c r="N32" s="32">
        <f>IFERROR(I32/G32,0)</f>
        <v/>
      </c>
    </row>
    <row r="33">
      <c r="A33" s="37" t="inlineStr">
        <is>
          <t>ISCOM</t>
        </is>
      </c>
      <c r="B33" s="8" t="inlineStr">
        <is>
          <t>Lille</t>
        </is>
      </c>
      <c r="C33" s="37" t="inlineStr">
        <is>
          <t>Mastère Communication</t>
        </is>
      </c>
      <c r="D33" s="8" t="inlineStr">
        <is>
          <t>MAST</t>
        </is>
      </c>
      <c r="E33" s="8" t="inlineStr">
        <is>
          <t>M2</t>
        </is>
      </c>
      <c r="F33" s="8" t="inlineStr">
        <is>
          <t>ALT</t>
        </is>
      </c>
      <c r="G33" s="28" t="n">
        <v>3</v>
      </c>
      <c r="H33" s="28" t="n">
        <v>2</v>
      </c>
      <c r="I33" s="28" t="n">
        <v>1</v>
      </c>
      <c r="J33" s="28" t="n">
        <v>26</v>
      </c>
      <c r="K33" s="28" t="n">
        <v>27</v>
      </c>
      <c r="L33" s="25" t="n">
        <v>9000</v>
      </c>
      <c r="M33" s="28" t="n">
        <v>2</v>
      </c>
      <c r="N33" s="32">
        <f>IFERROR(I33/G33,0)</f>
        <v/>
      </c>
    </row>
    <row r="34">
      <c r="A34" s="37" t="inlineStr">
        <is>
          <t>ISCOM</t>
        </is>
      </c>
      <c r="B34" s="8" t="inlineStr">
        <is>
          <t>Toulouse</t>
        </is>
      </c>
      <c r="C34" s="37" t="inlineStr">
        <is>
          <t>Bachelor Communication</t>
        </is>
      </c>
      <c r="D34" s="8" t="inlineStr">
        <is>
          <t>BAC</t>
        </is>
      </c>
      <c r="E34" s="8" t="inlineStr">
        <is>
          <t>B1</t>
        </is>
      </c>
      <c r="F34" s="8" t="inlineStr">
        <is>
          <t>INIT</t>
        </is>
      </c>
      <c r="G34" s="28" t="n">
        <v>126</v>
      </c>
      <c r="H34" s="28" t="n">
        <v>78</v>
      </c>
      <c r="I34" s="28" t="n">
        <v>47</v>
      </c>
      <c r="J34" s="28" t="n">
        <v>0</v>
      </c>
      <c r="K34" s="28" t="n">
        <v>47</v>
      </c>
      <c r="L34" s="25" t="n">
        <v>8500</v>
      </c>
      <c r="M34" s="28" t="n">
        <v>2</v>
      </c>
      <c r="N34" s="32">
        <f>IFERROR(I34/G34,0)</f>
        <v/>
      </c>
    </row>
    <row r="35">
      <c r="A35" s="37" t="inlineStr">
        <is>
          <t>ISCOM</t>
        </is>
      </c>
      <c r="B35" s="8" t="inlineStr">
        <is>
          <t>Toulouse</t>
        </is>
      </c>
      <c r="C35" s="37" t="inlineStr">
        <is>
          <t>Bachelor Communication</t>
        </is>
      </c>
      <c r="D35" s="8" t="inlineStr">
        <is>
          <t>BAC</t>
        </is>
      </c>
      <c r="E35" s="8" t="inlineStr">
        <is>
          <t>B2</t>
        </is>
      </c>
      <c r="F35" s="8" t="inlineStr">
        <is>
          <t>ALT</t>
        </is>
      </c>
      <c r="G35" s="28" t="n">
        <v>11</v>
      </c>
      <c r="H35" s="28" t="n">
        <v>7</v>
      </c>
      <c r="I35" s="28" t="n">
        <v>4</v>
      </c>
      <c r="J35" s="28" t="n">
        <v>36</v>
      </c>
      <c r="K35" s="28" t="n">
        <v>40</v>
      </c>
      <c r="L35" s="25" t="n">
        <v>8000</v>
      </c>
      <c r="M35" s="28" t="n">
        <v>2</v>
      </c>
      <c r="N35" s="32">
        <f>IFERROR(I35/G35,0)</f>
        <v/>
      </c>
    </row>
    <row r="36">
      <c r="A36" s="37" t="inlineStr">
        <is>
          <t>ISCOM</t>
        </is>
      </c>
      <c r="B36" s="8" t="inlineStr">
        <is>
          <t>Toulouse</t>
        </is>
      </c>
      <c r="C36" s="37" t="inlineStr">
        <is>
          <t>Bachelor Communication</t>
        </is>
      </c>
      <c r="D36" s="8" t="inlineStr">
        <is>
          <t>BAC</t>
        </is>
      </c>
      <c r="E36" s="8" t="inlineStr">
        <is>
          <t>B3</t>
        </is>
      </c>
      <c r="F36" s="8" t="inlineStr">
        <is>
          <t>ALT</t>
        </is>
      </c>
      <c r="G36" s="28" t="n">
        <v>8</v>
      </c>
      <c r="H36" s="28" t="n">
        <v>5</v>
      </c>
      <c r="I36" s="28" t="n">
        <v>3</v>
      </c>
      <c r="J36" s="28" t="n">
        <v>32</v>
      </c>
      <c r="K36" s="28" t="n">
        <v>35</v>
      </c>
      <c r="L36" s="25" t="n">
        <v>8000</v>
      </c>
      <c r="M36" s="28" t="n">
        <v>2</v>
      </c>
      <c r="N36" s="32">
        <f>IFERROR(I36/G36,0)</f>
        <v/>
      </c>
    </row>
    <row r="37">
      <c r="A37" s="37" t="inlineStr">
        <is>
          <t>ISCOM</t>
        </is>
      </c>
      <c r="B37" s="8" t="inlineStr">
        <is>
          <t>Toulouse</t>
        </is>
      </c>
      <c r="C37" s="37" t="inlineStr">
        <is>
          <t>Mastère Communication</t>
        </is>
      </c>
      <c r="D37" s="8" t="inlineStr">
        <is>
          <t>MAST</t>
        </is>
      </c>
      <c r="E37" s="8" t="inlineStr">
        <is>
          <t>M1</t>
        </is>
      </c>
      <c r="F37" s="8" t="inlineStr">
        <is>
          <t>ALT</t>
        </is>
      </c>
      <c r="G37" s="28" t="n">
        <v>75</v>
      </c>
      <c r="H37" s="28" t="n">
        <v>46</v>
      </c>
      <c r="I37" s="28" t="n">
        <v>28</v>
      </c>
      <c r="J37" s="28" t="n">
        <v>0</v>
      </c>
      <c r="K37" s="28" t="n">
        <v>28</v>
      </c>
      <c r="L37" s="25" t="n">
        <v>9000</v>
      </c>
      <c r="M37" s="28" t="n">
        <v>2</v>
      </c>
      <c r="N37" s="32">
        <f>IFERROR(I37/G37,0)</f>
        <v/>
      </c>
    </row>
    <row r="38">
      <c r="A38" s="37" t="inlineStr">
        <is>
          <t>ISCOM</t>
        </is>
      </c>
      <c r="B38" s="8" t="inlineStr">
        <is>
          <t>Toulouse</t>
        </is>
      </c>
      <c r="C38" s="37" t="inlineStr">
        <is>
          <t>Mastère Communication</t>
        </is>
      </c>
      <c r="D38" s="8" t="inlineStr">
        <is>
          <t>MAST</t>
        </is>
      </c>
      <c r="E38" s="8" t="inlineStr">
        <is>
          <t>M2</t>
        </is>
      </c>
      <c r="F38" s="8" t="inlineStr">
        <is>
          <t>ALT</t>
        </is>
      </c>
      <c r="G38" s="28" t="n">
        <v>3</v>
      </c>
      <c r="H38" s="28" t="n">
        <v>2</v>
      </c>
      <c r="I38" s="28" t="n">
        <v>1</v>
      </c>
      <c r="J38" s="28" t="n">
        <v>24</v>
      </c>
      <c r="K38" s="28" t="n">
        <v>25</v>
      </c>
      <c r="L38" s="25" t="n">
        <v>9000</v>
      </c>
      <c r="M38" s="28" t="n">
        <v>2</v>
      </c>
      <c r="N38" s="32">
        <f>IFERROR(I38/G38,0)</f>
        <v/>
      </c>
    </row>
    <row r="39">
      <c r="A39" s="37" t="inlineStr">
        <is>
          <t>Ipac Bachelor Factory</t>
        </is>
      </c>
      <c r="B39" s="8" t="inlineStr">
        <is>
          <t>Nantes</t>
        </is>
      </c>
      <c r="C39" s="37" t="inlineStr">
        <is>
          <t>Bachelor Commerce</t>
        </is>
      </c>
      <c r="D39" s="8" t="inlineStr">
        <is>
          <t>BAC</t>
        </is>
      </c>
      <c r="E39" s="8" t="inlineStr">
        <is>
          <t>B1</t>
        </is>
      </c>
      <c r="F39" s="8" t="inlineStr">
        <is>
          <t>ALT</t>
        </is>
      </c>
      <c r="G39" s="28" t="n">
        <v>134</v>
      </c>
      <c r="H39" s="28" t="n">
        <v>83</v>
      </c>
      <c r="I39" s="28" t="n">
        <v>50</v>
      </c>
      <c r="J39" s="28" t="n">
        <v>0</v>
      </c>
      <c r="K39" s="28" t="n">
        <v>50</v>
      </c>
      <c r="L39" s="25" t="n">
        <v>8000</v>
      </c>
      <c r="M39" s="28" t="n">
        <v>2</v>
      </c>
      <c r="N39" s="32">
        <f>IFERROR(I39/G39,0)</f>
        <v/>
      </c>
    </row>
    <row r="40">
      <c r="A40" s="37" t="inlineStr">
        <is>
          <t>Ipac Bachelor Factory</t>
        </is>
      </c>
      <c r="B40" s="8" t="inlineStr">
        <is>
          <t>Nantes</t>
        </is>
      </c>
      <c r="C40" s="37" t="inlineStr">
        <is>
          <t>Bachelor Commerce</t>
        </is>
      </c>
      <c r="D40" s="8" t="inlineStr">
        <is>
          <t>BAC</t>
        </is>
      </c>
      <c r="E40" s="8" t="inlineStr">
        <is>
          <t>B2</t>
        </is>
      </c>
      <c r="F40" s="8" t="inlineStr">
        <is>
          <t>ALT</t>
        </is>
      </c>
      <c r="G40" s="28" t="n">
        <v>11</v>
      </c>
      <c r="H40" s="28" t="n">
        <v>7</v>
      </c>
      <c r="I40" s="28" t="n">
        <v>4</v>
      </c>
      <c r="J40" s="28" t="n">
        <v>38</v>
      </c>
      <c r="K40" s="28" t="n">
        <v>42</v>
      </c>
      <c r="L40" s="25" t="n">
        <v>8000</v>
      </c>
      <c r="M40" s="28" t="n">
        <v>2</v>
      </c>
      <c r="N40" s="32">
        <f>IFERROR(I40/G40,0)</f>
        <v/>
      </c>
    </row>
    <row r="41">
      <c r="A41" s="37" t="inlineStr">
        <is>
          <t>Ipac Bachelor Factory</t>
        </is>
      </c>
      <c r="B41" s="8" t="inlineStr">
        <is>
          <t>Nantes</t>
        </is>
      </c>
      <c r="C41" s="37" t="inlineStr">
        <is>
          <t>Bachelor Commerce</t>
        </is>
      </c>
      <c r="D41" s="8" t="inlineStr">
        <is>
          <t>BAC</t>
        </is>
      </c>
      <c r="E41" s="8" t="inlineStr">
        <is>
          <t>B3</t>
        </is>
      </c>
      <c r="F41" s="8" t="inlineStr">
        <is>
          <t>ALT</t>
        </is>
      </c>
      <c r="G41" s="28" t="n">
        <v>8</v>
      </c>
      <c r="H41" s="28" t="n">
        <v>5</v>
      </c>
      <c r="I41" s="28" t="n">
        <v>3</v>
      </c>
      <c r="J41" s="28" t="n">
        <v>35</v>
      </c>
      <c r="K41" s="28" t="n">
        <v>38</v>
      </c>
      <c r="L41" s="25" t="n">
        <v>8000</v>
      </c>
      <c r="M41" s="28" t="n">
        <v>2</v>
      </c>
      <c r="N41" s="32">
        <f>IFERROR(I41/G41,0)</f>
        <v/>
      </c>
    </row>
    <row r="42">
      <c r="A42" s="37" t="inlineStr">
        <is>
          <t>Ipac Bachelor Factory</t>
        </is>
      </c>
      <c r="B42" s="8" t="inlineStr">
        <is>
          <t>Rennes</t>
        </is>
      </c>
      <c r="C42" s="37" t="inlineStr">
        <is>
          <t>Bachelor Commerce</t>
        </is>
      </c>
      <c r="D42" s="8" t="inlineStr">
        <is>
          <t>BAC</t>
        </is>
      </c>
      <c r="E42" s="8" t="inlineStr">
        <is>
          <t>B1</t>
        </is>
      </c>
      <c r="F42" s="8" t="inlineStr">
        <is>
          <t>ALT</t>
        </is>
      </c>
      <c r="G42" s="28" t="n">
        <v>108</v>
      </c>
      <c r="H42" s="28" t="n">
        <v>67</v>
      </c>
      <c r="I42" s="28" t="n">
        <v>40</v>
      </c>
      <c r="J42" s="28" t="n">
        <v>0</v>
      </c>
      <c r="K42" s="28" t="n">
        <v>40</v>
      </c>
      <c r="L42" s="25" t="n">
        <v>8000</v>
      </c>
      <c r="M42" s="28" t="n">
        <v>2</v>
      </c>
      <c r="N42" s="32">
        <f>IFERROR(I42/G42,0)</f>
        <v/>
      </c>
    </row>
    <row r="43">
      <c r="A43" s="37" t="inlineStr">
        <is>
          <t>Ipac Bachelor Factory</t>
        </is>
      </c>
      <c r="B43" s="8" t="inlineStr">
        <is>
          <t>Rennes</t>
        </is>
      </c>
      <c r="C43" s="37" t="inlineStr">
        <is>
          <t>Bachelor Commerce</t>
        </is>
      </c>
      <c r="D43" s="8" t="inlineStr">
        <is>
          <t>BAC</t>
        </is>
      </c>
      <c r="E43" s="8" t="inlineStr">
        <is>
          <t>B2</t>
        </is>
      </c>
      <c r="F43" s="8" t="inlineStr">
        <is>
          <t>ALT</t>
        </is>
      </c>
      <c r="G43" s="28" t="n">
        <v>8</v>
      </c>
      <c r="H43" s="28" t="n">
        <v>5</v>
      </c>
      <c r="I43" s="28" t="n">
        <v>3</v>
      </c>
      <c r="J43" s="28" t="n">
        <v>31</v>
      </c>
      <c r="K43" s="28" t="n">
        <v>34</v>
      </c>
      <c r="L43" s="25" t="n">
        <v>8000</v>
      </c>
      <c r="M43" s="28" t="n">
        <v>1</v>
      </c>
      <c r="N43" s="32">
        <f>IFERROR(I43/G43,0)</f>
        <v/>
      </c>
    </row>
    <row r="44">
      <c r="A44" s="37" t="inlineStr">
        <is>
          <t>Ipac Bachelor Factory</t>
        </is>
      </c>
      <c r="B44" s="8" t="inlineStr">
        <is>
          <t>Rennes</t>
        </is>
      </c>
      <c r="C44" s="37" t="inlineStr">
        <is>
          <t>Bachelor Commerce</t>
        </is>
      </c>
      <c r="D44" s="8" t="inlineStr">
        <is>
          <t>BAC</t>
        </is>
      </c>
      <c r="E44" s="8" t="inlineStr">
        <is>
          <t>B3</t>
        </is>
      </c>
      <c r="F44" s="8" t="inlineStr">
        <is>
          <t>ALT</t>
        </is>
      </c>
      <c r="G44" s="28" t="n">
        <v>5</v>
      </c>
      <c r="H44" s="28" t="n">
        <v>3</v>
      </c>
      <c r="I44" s="28" t="n">
        <v>2</v>
      </c>
      <c r="J44" s="28" t="n">
        <v>28</v>
      </c>
      <c r="K44" s="28" t="n">
        <v>30</v>
      </c>
      <c r="L44" s="25" t="n">
        <v>8000</v>
      </c>
      <c r="M44" s="28" t="n">
        <v>1</v>
      </c>
      <c r="N44" s="32">
        <f>IFERROR(I44/G44,0)</f>
        <v/>
      </c>
    </row>
    <row r="45">
      <c r="A45" s="37" t="inlineStr">
        <is>
          <t>Ipac Bachelor Factory</t>
        </is>
      </c>
      <c r="B45" s="8" t="inlineStr">
        <is>
          <t>Montpellier</t>
        </is>
      </c>
      <c r="C45" s="37" t="inlineStr">
        <is>
          <t>Bachelor Commerce</t>
        </is>
      </c>
      <c r="D45" s="8" t="inlineStr">
        <is>
          <t>BAC</t>
        </is>
      </c>
      <c r="E45" s="8" t="inlineStr">
        <is>
          <t>B1</t>
        </is>
      </c>
      <c r="F45" s="8" t="inlineStr">
        <is>
          <t>ALT</t>
        </is>
      </c>
      <c r="G45" s="28" t="n">
        <v>108</v>
      </c>
      <c r="H45" s="28" t="n">
        <v>67</v>
      </c>
      <c r="I45" s="28" t="n">
        <v>40</v>
      </c>
      <c r="J45" s="28" t="n">
        <v>0</v>
      </c>
      <c r="K45" s="28" t="n">
        <v>40</v>
      </c>
      <c r="L45" s="25" t="n">
        <v>8000</v>
      </c>
      <c r="M45" s="28" t="n">
        <v>2</v>
      </c>
      <c r="N45" s="32">
        <f>IFERROR(I45/G45,0)</f>
        <v/>
      </c>
    </row>
    <row r="46">
      <c r="A46" s="37" t="inlineStr">
        <is>
          <t>Ipac Bachelor Factory</t>
        </is>
      </c>
      <c r="B46" s="8" t="inlineStr">
        <is>
          <t>Montpellier</t>
        </is>
      </c>
      <c r="C46" s="37" t="inlineStr">
        <is>
          <t>Bachelor Commerce</t>
        </is>
      </c>
      <c r="D46" s="8" t="inlineStr">
        <is>
          <t>BAC</t>
        </is>
      </c>
      <c r="E46" s="8" t="inlineStr">
        <is>
          <t>B2</t>
        </is>
      </c>
      <c r="F46" s="8" t="inlineStr">
        <is>
          <t>ALT</t>
        </is>
      </c>
      <c r="G46" s="28" t="n">
        <v>8</v>
      </c>
      <c r="H46" s="28" t="n">
        <v>5</v>
      </c>
      <c r="I46" s="28" t="n">
        <v>3</v>
      </c>
      <c r="J46" s="28" t="n">
        <v>31</v>
      </c>
      <c r="K46" s="28" t="n">
        <v>34</v>
      </c>
      <c r="L46" s="25" t="n">
        <v>8000</v>
      </c>
      <c r="M46" s="28" t="n">
        <v>1</v>
      </c>
      <c r="N46" s="32">
        <f>IFERROR(I46/G46,0)</f>
        <v/>
      </c>
    </row>
    <row r="47">
      <c r="A47" s="37" t="inlineStr">
        <is>
          <t>Ipac Bachelor Factory</t>
        </is>
      </c>
      <c r="B47" s="8" t="inlineStr">
        <is>
          <t>Montpellier</t>
        </is>
      </c>
      <c r="C47" s="37" t="inlineStr">
        <is>
          <t>Bachelor Commerce</t>
        </is>
      </c>
      <c r="D47" s="8" t="inlineStr">
        <is>
          <t>BAC</t>
        </is>
      </c>
      <c r="E47" s="8" t="inlineStr">
        <is>
          <t>B3</t>
        </is>
      </c>
      <c r="F47" s="8" t="inlineStr">
        <is>
          <t>ALT</t>
        </is>
      </c>
      <c r="G47" s="28" t="n">
        <v>5</v>
      </c>
      <c r="H47" s="28" t="n">
        <v>3</v>
      </c>
      <c r="I47" s="28" t="n">
        <v>2</v>
      </c>
      <c r="J47" s="28" t="n">
        <v>28</v>
      </c>
      <c r="K47" s="28" t="n">
        <v>30</v>
      </c>
      <c r="L47" s="25" t="n">
        <v>8000</v>
      </c>
      <c r="M47" s="28" t="n">
        <v>1</v>
      </c>
      <c r="N47" s="32">
        <f>IFERROR(I47/G47,0)</f>
        <v/>
      </c>
    </row>
    <row r="48">
      <c r="A48" s="37" t="inlineStr">
        <is>
          <t>Pigier</t>
        </is>
      </c>
      <c r="B48" s="8" t="inlineStr">
        <is>
          <t>Lyon</t>
        </is>
      </c>
      <c r="C48" s="37" t="inlineStr">
        <is>
          <t>BTS Gestion</t>
        </is>
      </c>
      <c r="D48" s="8" t="inlineStr">
        <is>
          <t>BTS</t>
        </is>
      </c>
      <c r="E48" s="8" t="inlineStr">
        <is>
          <t>1</t>
        </is>
      </c>
      <c r="F48" s="8" t="inlineStr">
        <is>
          <t>ALT</t>
        </is>
      </c>
      <c r="G48" s="28" t="n">
        <v>99</v>
      </c>
      <c r="H48" s="28" t="n">
        <v>61</v>
      </c>
      <c r="I48" s="28" t="n">
        <v>37</v>
      </c>
      <c r="J48" s="28" t="n">
        <v>0</v>
      </c>
      <c r="K48" s="28" t="n">
        <v>37</v>
      </c>
      <c r="L48" s="25" t="n">
        <v>7000</v>
      </c>
      <c r="M48" s="28" t="n">
        <v>2</v>
      </c>
      <c r="N48" s="32">
        <f>IFERROR(I48/G48,0)</f>
        <v/>
      </c>
    </row>
    <row r="49">
      <c r="A49" s="37" t="inlineStr">
        <is>
          <t>Pigier</t>
        </is>
      </c>
      <c r="B49" s="8" t="inlineStr">
        <is>
          <t>Lyon</t>
        </is>
      </c>
      <c r="C49" s="37" t="inlineStr">
        <is>
          <t>BTS Gestion</t>
        </is>
      </c>
      <c r="D49" s="8" t="inlineStr">
        <is>
          <t>BTS</t>
        </is>
      </c>
      <c r="E49" s="8" t="inlineStr">
        <is>
          <t>2</t>
        </is>
      </c>
      <c r="F49" s="8" t="inlineStr">
        <is>
          <t>ALT</t>
        </is>
      </c>
      <c r="G49" s="28" t="n">
        <v>5</v>
      </c>
      <c r="H49" s="28" t="n">
        <v>3</v>
      </c>
      <c r="I49" s="28" t="n">
        <v>2</v>
      </c>
      <c r="J49" s="28" t="n">
        <v>30</v>
      </c>
      <c r="K49" s="28" t="n">
        <v>32</v>
      </c>
      <c r="L49" s="25" t="n">
        <v>7000</v>
      </c>
      <c r="M49" s="28" t="n">
        <v>2</v>
      </c>
      <c r="N49" s="32">
        <f>IFERROR(I49/G49,0)</f>
        <v/>
      </c>
    </row>
    <row r="50">
      <c r="A50" s="37" t="inlineStr">
        <is>
          <t>Pigier</t>
        </is>
      </c>
      <c r="B50" s="8" t="inlineStr">
        <is>
          <t>Lyon</t>
        </is>
      </c>
      <c r="C50" s="37" t="inlineStr">
        <is>
          <t>Bachelor RH</t>
        </is>
      </c>
      <c r="D50" s="8" t="inlineStr">
        <is>
          <t>BAC</t>
        </is>
      </c>
      <c r="E50" s="8" t="inlineStr">
        <is>
          <t>B1</t>
        </is>
      </c>
      <c r="F50" s="8" t="inlineStr">
        <is>
          <t>ALT</t>
        </is>
      </c>
      <c r="G50" s="28" t="n">
        <v>124</v>
      </c>
      <c r="H50" s="28" t="n">
        <v>77</v>
      </c>
      <c r="I50" s="28" t="n">
        <v>46</v>
      </c>
      <c r="J50" s="28" t="n">
        <v>0</v>
      </c>
      <c r="K50" s="28" t="n">
        <v>46</v>
      </c>
      <c r="L50" s="25" t="n">
        <v>8000</v>
      </c>
      <c r="M50" s="28" t="n">
        <v>2</v>
      </c>
      <c r="N50" s="32">
        <f>IFERROR(I50/G50,0)</f>
        <v/>
      </c>
    </row>
    <row r="51">
      <c r="A51" s="37" t="inlineStr">
        <is>
          <t>Pigier</t>
        </is>
      </c>
      <c r="B51" s="8" t="inlineStr">
        <is>
          <t>Lyon</t>
        </is>
      </c>
      <c r="C51" s="37" t="inlineStr">
        <is>
          <t>Bachelor RH</t>
        </is>
      </c>
      <c r="D51" s="8" t="inlineStr">
        <is>
          <t>BAC</t>
        </is>
      </c>
      <c r="E51" s="8" t="inlineStr">
        <is>
          <t>B3</t>
        </is>
      </c>
      <c r="F51" s="8" t="inlineStr">
        <is>
          <t>ALT</t>
        </is>
      </c>
      <c r="G51" s="28" t="n">
        <v>8</v>
      </c>
      <c r="H51" s="28" t="n">
        <v>5</v>
      </c>
      <c r="I51" s="28" t="n">
        <v>3</v>
      </c>
      <c r="J51" s="28" t="n">
        <v>31</v>
      </c>
      <c r="K51" s="28" t="n">
        <v>34</v>
      </c>
      <c r="L51" s="25" t="n">
        <v>8000</v>
      </c>
      <c r="M51" s="28" t="n">
        <v>2</v>
      </c>
      <c r="N51" s="32">
        <f>IFERROR(I51/G51,0)</f>
        <v/>
      </c>
    </row>
    <row r="52">
      <c r="A52" s="37" t="inlineStr">
        <is>
          <t>Pigier</t>
        </is>
      </c>
      <c r="B52" s="8" t="inlineStr">
        <is>
          <t>Bordeaux</t>
        </is>
      </c>
      <c r="C52" s="37" t="inlineStr">
        <is>
          <t>BTS Gestion</t>
        </is>
      </c>
      <c r="D52" s="8" t="inlineStr">
        <is>
          <t>BTS</t>
        </is>
      </c>
      <c r="E52" s="8" t="inlineStr">
        <is>
          <t>1</t>
        </is>
      </c>
      <c r="F52" s="8" t="inlineStr">
        <is>
          <t>ALT</t>
        </is>
      </c>
      <c r="G52" s="28" t="n">
        <v>78</v>
      </c>
      <c r="H52" s="28" t="n">
        <v>48</v>
      </c>
      <c r="I52" s="28" t="n">
        <v>29</v>
      </c>
      <c r="J52" s="28" t="n">
        <v>0</v>
      </c>
      <c r="K52" s="28" t="n">
        <v>29</v>
      </c>
      <c r="L52" s="25" t="n">
        <v>7000</v>
      </c>
      <c r="M52" s="28" t="n">
        <v>1</v>
      </c>
      <c r="N52" s="32">
        <f>IFERROR(I52/G52,0)</f>
        <v/>
      </c>
    </row>
    <row r="53">
      <c r="A53" s="37" t="inlineStr">
        <is>
          <t>Pigier</t>
        </is>
      </c>
      <c r="B53" s="8" t="inlineStr">
        <is>
          <t>Bordeaux</t>
        </is>
      </c>
      <c r="C53" s="37" t="inlineStr">
        <is>
          <t>BTS Gestion</t>
        </is>
      </c>
      <c r="D53" s="8" t="inlineStr">
        <is>
          <t>BTS</t>
        </is>
      </c>
      <c r="E53" s="8" t="inlineStr">
        <is>
          <t>2</t>
        </is>
      </c>
      <c r="F53" s="8" t="inlineStr">
        <is>
          <t>ALT</t>
        </is>
      </c>
      <c r="G53" s="28" t="n">
        <v>3</v>
      </c>
      <c r="H53" s="28" t="n">
        <v>2</v>
      </c>
      <c r="I53" s="28" t="n">
        <v>1</v>
      </c>
      <c r="J53" s="28" t="n">
        <v>24</v>
      </c>
      <c r="K53" s="28" t="n">
        <v>25</v>
      </c>
      <c r="L53" s="25" t="n">
        <v>7000</v>
      </c>
      <c r="M53" s="28" t="n">
        <v>1</v>
      </c>
      <c r="N53" s="32">
        <f>IFERROR(I53/G53,0)</f>
        <v/>
      </c>
    </row>
    <row r="54">
      <c r="A54" s="37" t="inlineStr">
        <is>
          <t>Pigier</t>
        </is>
      </c>
      <c r="B54" s="8" t="inlineStr">
        <is>
          <t>Bordeaux</t>
        </is>
      </c>
      <c r="C54" s="37" t="inlineStr">
        <is>
          <t>Bachelor RH</t>
        </is>
      </c>
      <c r="D54" s="8" t="inlineStr">
        <is>
          <t>BAC</t>
        </is>
      </c>
      <c r="E54" s="8" t="inlineStr">
        <is>
          <t>B1</t>
        </is>
      </c>
      <c r="F54" s="8" t="inlineStr">
        <is>
          <t>ALT</t>
        </is>
      </c>
      <c r="G54" s="28" t="n">
        <v>97</v>
      </c>
      <c r="H54" s="28" t="n">
        <v>60</v>
      </c>
      <c r="I54" s="28" t="n">
        <v>36</v>
      </c>
      <c r="J54" s="28" t="n">
        <v>0</v>
      </c>
      <c r="K54" s="28" t="n">
        <v>36</v>
      </c>
      <c r="L54" s="25" t="n">
        <v>8000</v>
      </c>
      <c r="M54" s="28" t="n">
        <v>2</v>
      </c>
      <c r="N54" s="32">
        <f>IFERROR(I54/G54,0)</f>
        <v/>
      </c>
    </row>
    <row r="55">
      <c r="A55" s="37" t="inlineStr">
        <is>
          <t>Pigier</t>
        </is>
      </c>
      <c r="B55" s="8" t="inlineStr">
        <is>
          <t>Bordeaux</t>
        </is>
      </c>
      <c r="C55" s="37" t="inlineStr">
        <is>
          <t>Bachelor RH</t>
        </is>
      </c>
      <c r="D55" s="8" t="inlineStr">
        <is>
          <t>BAC</t>
        </is>
      </c>
      <c r="E55" s="8" t="inlineStr">
        <is>
          <t>B3</t>
        </is>
      </c>
      <c r="F55" s="8" t="inlineStr">
        <is>
          <t>ALT</t>
        </is>
      </c>
      <c r="G55" s="28" t="n">
        <v>5</v>
      </c>
      <c r="H55" s="28" t="n">
        <v>3</v>
      </c>
      <c r="I55" s="28" t="n">
        <v>2</v>
      </c>
      <c r="J55" s="28" t="n">
        <v>25</v>
      </c>
      <c r="K55" s="28" t="n">
        <v>27</v>
      </c>
      <c r="L55" s="25" t="n">
        <v>8000</v>
      </c>
      <c r="M55" s="28" t="n">
        <v>1</v>
      </c>
      <c r="N55" s="32">
        <f>IFERROR(I55/G55,0)</f>
        <v/>
      </c>
    </row>
    <row r="56">
      <c r="A56" s="37" t="inlineStr">
        <is>
          <t>Tunon</t>
        </is>
      </c>
      <c r="B56" s="8" t="inlineStr">
        <is>
          <t>Paris</t>
        </is>
      </c>
      <c r="C56" s="37" t="inlineStr">
        <is>
          <t>Bachelor Tourisme</t>
        </is>
      </c>
      <c r="D56" s="8" t="inlineStr">
        <is>
          <t>BAC</t>
        </is>
      </c>
      <c r="E56" s="8" t="inlineStr">
        <is>
          <t>B1</t>
        </is>
      </c>
      <c r="F56" s="8" t="inlineStr">
        <is>
          <t>ALT</t>
        </is>
      </c>
      <c r="G56" s="28" t="n">
        <v>126</v>
      </c>
      <c r="H56" s="28" t="n">
        <v>78</v>
      </c>
      <c r="I56" s="28" t="n">
        <v>47</v>
      </c>
      <c r="J56" s="28" t="n">
        <v>0</v>
      </c>
      <c r="K56" s="28" t="n">
        <v>47</v>
      </c>
      <c r="L56" s="25" t="n">
        <v>8000</v>
      </c>
      <c r="M56" s="28" t="n">
        <v>2</v>
      </c>
      <c r="N56" s="32">
        <f>IFERROR(I56/G56,0)</f>
        <v/>
      </c>
    </row>
    <row r="57">
      <c r="A57" s="37" t="inlineStr">
        <is>
          <t>Tunon</t>
        </is>
      </c>
      <c r="B57" s="8" t="inlineStr">
        <is>
          <t>Paris</t>
        </is>
      </c>
      <c r="C57" s="37" t="inlineStr">
        <is>
          <t>Bachelor Tourisme</t>
        </is>
      </c>
      <c r="D57" s="8" t="inlineStr">
        <is>
          <t>BAC</t>
        </is>
      </c>
      <c r="E57" s="8" t="inlineStr">
        <is>
          <t>B2</t>
        </is>
      </c>
      <c r="F57" s="8" t="inlineStr">
        <is>
          <t>ALT</t>
        </is>
      </c>
      <c r="G57" s="28" t="n">
        <v>11</v>
      </c>
      <c r="H57" s="28" t="n">
        <v>7</v>
      </c>
      <c r="I57" s="28" t="n">
        <v>4</v>
      </c>
      <c r="J57" s="28" t="n">
        <v>36</v>
      </c>
      <c r="K57" s="28" t="n">
        <v>40</v>
      </c>
      <c r="L57" s="25" t="n">
        <v>8000</v>
      </c>
      <c r="M57" s="28" t="n">
        <v>2</v>
      </c>
      <c r="N57" s="32">
        <f>IFERROR(I57/G57,0)</f>
        <v/>
      </c>
    </row>
    <row r="58">
      <c r="A58" s="37" t="inlineStr">
        <is>
          <t>Tunon</t>
        </is>
      </c>
      <c r="B58" s="8" t="inlineStr">
        <is>
          <t>Paris</t>
        </is>
      </c>
      <c r="C58" s="37" t="inlineStr">
        <is>
          <t>Bachelor Tourisme</t>
        </is>
      </c>
      <c r="D58" s="8" t="inlineStr">
        <is>
          <t>BAC</t>
        </is>
      </c>
      <c r="E58" s="8" t="inlineStr">
        <is>
          <t>B3</t>
        </is>
      </c>
      <c r="F58" s="8" t="inlineStr">
        <is>
          <t>ALT</t>
        </is>
      </c>
      <c r="G58" s="28" t="n">
        <v>8</v>
      </c>
      <c r="H58" s="28" t="n">
        <v>5</v>
      </c>
      <c r="I58" s="28" t="n">
        <v>3</v>
      </c>
      <c r="J58" s="28" t="n">
        <v>32</v>
      </c>
      <c r="K58" s="28" t="n">
        <v>35</v>
      </c>
      <c r="L58" s="25" t="n">
        <v>8000</v>
      </c>
      <c r="M58" s="28" t="n">
        <v>2</v>
      </c>
      <c r="N58" s="32">
        <f>IFERROR(I58/G58,0)</f>
        <v/>
      </c>
    </row>
    <row r="59">
      <c r="A59" s="37" t="inlineStr">
        <is>
          <t>Tunon</t>
        </is>
      </c>
      <c r="B59" s="8" t="inlineStr">
        <is>
          <t>Lyon</t>
        </is>
      </c>
      <c r="C59" s="37" t="inlineStr">
        <is>
          <t>Bachelor Tourisme</t>
        </is>
      </c>
      <c r="D59" s="8" t="inlineStr">
        <is>
          <t>BAC</t>
        </is>
      </c>
      <c r="E59" s="8" t="inlineStr">
        <is>
          <t>B1</t>
        </is>
      </c>
      <c r="F59" s="8" t="inlineStr">
        <is>
          <t>ALT</t>
        </is>
      </c>
      <c r="G59" s="28" t="n">
        <v>108</v>
      </c>
      <c r="H59" s="28" t="n">
        <v>67</v>
      </c>
      <c r="I59" s="28" t="n">
        <v>40</v>
      </c>
      <c r="J59" s="28" t="n">
        <v>0</v>
      </c>
      <c r="K59" s="28" t="n">
        <v>40</v>
      </c>
      <c r="L59" s="25" t="n">
        <v>8000</v>
      </c>
      <c r="M59" s="28" t="n">
        <v>2</v>
      </c>
      <c r="N59" s="32">
        <f>IFERROR(I59/G59,0)</f>
        <v/>
      </c>
    </row>
    <row r="60">
      <c r="A60" s="37" t="inlineStr">
        <is>
          <t>Tunon</t>
        </is>
      </c>
      <c r="B60" s="8" t="inlineStr">
        <is>
          <t>Lyon</t>
        </is>
      </c>
      <c r="C60" s="37" t="inlineStr">
        <is>
          <t>Bachelor Tourisme</t>
        </is>
      </c>
      <c r="D60" s="8" t="inlineStr">
        <is>
          <t>BAC</t>
        </is>
      </c>
      <c r="E60" s="8" t="inlineStr">
        <is>
          <t>B2</t>
        </is>
      </c>
      <c r="F60" s="8" t="inlineStr">
        <is>
          <t>ALT</t>
        </is>
      </c>
      <c r="G60" s="28" t="n">
        <v>8</v>
      </c>
      <c r="H60" s="28" t="n">
        <v>5</v>
      </c>
      <c r="I60" s="28" t="n">
        <v>3</v>
      </c>
      <c r="J60" s="28" t="n">
        <v>31</v>
      </c>
      <c r="K60" s="28" t="n">
        <v>34</v>
      </c>
      <c r="L60" s="25" t="n">
        <v>8000</v>
      </c>
      <c r="M60" s="28" t="n">
        <v>2</v>
      </c>
      <c r="N60" s="32">
        <f>IFERROR(I60/G60,0)</f>
        <v/>
      </c>
    </row>
    <row r="61">
      <c r="A61" s="37" t="inlineStr">
        <is>
          <t>Tunon</t>
        </is>
      </c>
      <c r="B61" s="8" t="inlineStr">
        <is>
          <t>Lyon</t>
        </is>
      </c>
      <c r="C61" s="37" t="inlineStr">
        <is>
          <t>Bachelor Tourisme</t>
        </is>
      </c>
      <c r="D61" s="8" t="inlineStr">
        <is>
          <t>BAC</t>
        </is>
      </c>
      <c r="E61" s="8" t="inlineStr">
        <is>
          <t>B3</t>
        </is>
      </c>
      <c r="F61" s="8" t="inlineStr">
        <is>
          <t>ALT</t>
        </is>
      </c>
      <c r="G61" s="28" t="n">
        <v>5</v>
      </c>
      <c r="H61" s="28" t="n">
        <v>3</v>
      </c>
      <c r="I61" s="28" t="n">
        <v>2</v>
      </c>
      <c r="J61" s="28" t="n">
        <v>28</v>
      </c>
      <c r="K61" s="28" t="n">
        <v>30</v>
      </c>
      <c r="L61" s="25" t="n">
        <v>8000</v>
      </c>
      <c r="M61" s="28" t="n">
        <v>1</v>
      </c>
      <c r="N61" s="32">
        <f>IFERROR(I61/G61,0)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4" customWidth="1" min="5" max="5"/>
    <col width="12" customWidth="1" min="6" max="6"/>
    <col width="10" customWidth="1" min="7" max="7"/>
    <col width="14" customWidth="1" min="8" max="8"/>
    <col width="11" customWidth="1" min="9" max="9"/>
    <col width="10" customWidth="1" min="10" max="10"/>
    <col width="15" customWidth="1" min="11" max="11"/>
  </cols>
  <sheetData>
    <row r="1" ht="24" customHeight="1">
      <c r="A1" s="1" t="inlineStr">
        <is>
          <t>Réalisé N-1 par campus — structure (compta / SIRH / immobilier)</t>
        </is>
      </c>
    </row>
    <row r="2">
      <c r="A2" s="2" t="inlineStr">
        <is>
          <t>Contribution = agrégée depuis 05/coûts directs. Loyer, ETP, D&amp;A, m² = saisies structurelles (bleu).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Effectif N-1</t>
        </is>
      </c>
      <c r="D3" s="15" t="inlineStr">
        <is>
          <t>CA N-1</t>
        </is>
      </c>
      <c r="E3" s="15" t="inlineStr">
        <is>
          <t>Contribution N-1</t>
        </is>
      </c>
      <c r="F3" s="15" t="inlineStr">
        <is>
          <t>Loyer N-1</t>
        </is>
      </c>
      <c r="G3" s="15" t="inlineStr">
        <is>
          <t>ETP perm.</t>
        </is>
      </c>
      <c r="H3" s="15" t="inlineStr">
        <is>
          <t>Masse perm. N-1</t>
        </is>
      </c>
      <c r="I3" s="15" t="inlineStr">
        <is>
          <t>D&amp;A N-1</t>
        </is>
      </c>
      <c r="J3" s="15" t="inlineStr">
        <is>
          <t>Surface m²</t>
        </is>
      </c>
      <c r="K3" s="15" t="inlineStr">
        <is>
          <t>EBITDA campus N-1</t>
        </is>
      </c>
    </row>
    <row r="4">
      <c r="A4" s="37" t="inlineStr">
        <is>
          <t>MBway</t>
        </is>
      </c>
      <c r="B4" s="8" t="inlineStr">
        <is>
          <t>Paris</t>
        </is>
      </c>
      <c r="C4" s="28" t="n">
        <v>291</v>
      </c>
      <c r="D4" s="38" t="n">
        <v>2430857</v>
      </c>
      <c r="E4" s="38" t="n">
        <v>1779267</v>
      </c>
      <c r="F4" s="38" t="n">
        <v>267000</v>
      </c>
      <c r="G4" s="28" t="n">
        <v>14</v>
      </c>
      <c r="H4" s="39">
        <f>G4*'02_Parametres'!$D$21</f>
        <v/>
      </c>
      <c r="I4" s="38" t="n">
        <v>73000</v>
      </c>
      <c r="J4" s="28" t="n">
        <v>2328</v>
      </c>
      <c r="K4" s="39">
        <f>E4-F4-H4</f>
        <v/>
      </c>
    </row>
    <row r="5">
      <c r="A5" s="37" t="inlineStr">
        <is>
          <t>MBway</t>
        </is>
      </c>
      <c r="B5" s="8" t="inlineStr">
        <is>
          <t>Lyon</t>
        </is>
      </c>
      <c r="C5" s="28" t="n">
        <v>248</v>
      </c>
      <c r="D5" s="38" t="n">
        <v>2071448</v>
      </c>
      <c r="E5" s="38" t="n">
        <v>1490788</v>
      </c>
      <c r="F5" s="38" t="n">
        <v>228000</v>
      </c>
      <c r="G5" s="28" t="n">
        <v>12</v>
      </c>
      <c r="H5" s="39">
        <f>G5*'02_Parametres'!$D$21</f>
        <v/>
      </c>
      <c r="I5" s="38" t="n">
        <v>62000</v>
      </c>
      <c r="J5" s="28" t="n">
        <v>1984</v>
      </c>
      <c r="K5" s="39">
        <f>E5-F5-H5</f>
        <v/>
      </c>
    </row>
    <row r="6">
      <c r="A6" s="37" t="inlineStr">
        <is>
          <t>MBway</t>
        </is>
      </c>
      <c r="B6" s="8" t="inlineStr">
        <is>
          <t>Nantes</t>
        </is>
      </c>
      <c r="C6" s="28" t="n">
        <v>224</v>
      </c>
      <c r="D6" s="38" t="n">
        <v>1870650</v>
      </c>
      <c r="E6" s="38" t="n">
        <v>1343320</v>
      </c>
      <c r="F6" s="38" t="n">
        <v>206000</v>
      </c>
      <c r="G6" s="28" t="n">
        <v>11</v>
      </c>
      <c r="H6" s="39">
        <f>G6*'02_Parametres'!$D$21</f>
        <v/>
      </c>
      <c r="I6" s="38" t="n">
        <v>56000</v>
      </c>
      <c r="J6" s="28" t="n">
        <v>1792</v>
      </c>
      <c r="K6" s="39">
        <f>E6-F6-H6</f>
        <v/>
      </c>
    </row>
    <row r="7">
      <c r="A7" s="37" t="inlineStr">
        <is>
          <t>MBway</t>
        </is>
      </c>
      <c r="B7" s="8" t="inlineStr">
        <is>
          <t>Bordeaux</t>
        </is>
      </c>
      <c r="C7" s="28" t="n">
        <v>191</v>
      </c>
      <c r="D7" s="38" t="n">
        <v>1595841</v>
      </c>
      <c r="E7" s="38" t="n">
        <v>1098761</v>
      </c>
      <c r="F7" s="38" t="n">
        <v>176000</v>
      </c>
      <c r="G7" s="28" t="n">
        <v>10</v>
      </c>
      <c r="H7" s="39">
        <f>G7*'02_Parametres'!$D$21</f>
        <v/>
      </c>
      <c r="I7" s="38" t="n">
        <v>48000</v>
      </c>
      <c r="J7" s="28" t="n">
        <v>1528</v>
      </c>
      <c r="K7" s="39">
        <f>E7-F7-H7</f>
        <v/>
      </c>
    </row>
    <row r="8">
      <c r="A8" s="37" t="inlineStr">
        <is>
          <t>ISCOM</t>
        </is>
      </c>
      <c r="B8" s="8" t="inlineStr">
        <is>
          <t>Paris</t>
        </is>
      </c>
      <c r="C8" s="28" t="n">
        <v>269</v>
      </c>
      <c r="D8" s="38" t="n">
        <v>2246612</v>
      </c>
      <c r="E8" s="38" t="n">
        <v>1560152</v>
      </c>
      <c r="F8" s="38" t="n">
        <v>247000</v>
      </c>
      <c r="G8" s="28" t="n">
        <v>13</v>
      </c>
      <c r="H8" s="39">
        <f>G8*'02_Parametres'!$D$21</f>
        <v/>
      </c>
      <c r="I8" s="38" t="n">
        <v>67000</v>
      </c>
      <c r="J8" s="28" t="n">
        <v>2152</v>
      </c>
      <c r="K8" s="39">
        <f>E8-F8-H8</f>
        <v/>
      </c>
    </row>
    <row r="9">
      <c r="A9" s="37" t="inlineStr">
        <is>
          <t>ISCOM</t>
        </is>
      </c>
      <c r="B9" s="8" t="inlineStr">
        <is>
          <t>Lille</t>
        </is>
      </c>
      <c r="C9" s="28" t="n">
        <v>187</v>
      </c>
      <c r="D9" s="38" t="n">
        <v>1561707</v>
      </c>
      <c r="E9" s="38" t="n">
        <v>1028247</v>
      </c>
      <c r="F9" s="38" t="n">
        <v>172000</v>
      </c>
      <c r="G9" s="28" t="n">
        <v>9</v>
      </c>
      <c r="H9" s="39">
        <f>G9*'02_Parametres'!$D$21</f>
        <v/>
      </c>
      <c r="I9" s="38" t="n">
        <v>47000</v>
      </c>
      <c r="J9" s="28" t="n">
        <v>1496</v>
      </c>
      <c r="K9" s="39">
        <f>E9-F9-H9</f>
        <v/>
      </c>
    </row>
    <row r="10">
      <c r="A10" s="37" t="inlineStr">
        <is>
          <t>ISCOM</t>
        </is>
      </c>
      <c r="B10" s="8" t="inlineStr">
        <is>
          <t>Toulouse</t>
        </is>
      </c>
      <c r="C10" s="28" t="n">
        <v>175</v>
      </c>
      <c r="D10" s="38" t="n">
        <v>1461353</v>
      </c>
      <c r="E10" s="38" t="n">
        <v>939443</v>
      </c>
      <c r="F10" s="38" t="n">
        <v>161000</v>
      </c>
      <c r="G10" s="28" t="n">
        <v>9</v>
      </c>
      <c r="H10" s="39">
        <f>G10*'02_Parametres'!$D$21</f>
        <v/>
      </c>
      <c r="I10" s="38" t="n">
        <v>44000</v>
      </c>
      <c r="J10" s="28" t="n">
        <v>1400</v>
      </c>
      <c r="K10" s="39">
        <f>E10-F10-H10</f>
        <v/>
      </c>
    </row>
    <row r="11">
      <c r="A11" s="37" t="inlineStr">
        <is>
          <t>Ipac Bachelor Factory</t>
        </is>
      </c>
      <c r="B11" s="8" t="inlineStr">
        <is>
          <t>Nantes</t>
        </is>
      </c>
      <c r="C11" s="28" t="n">
        <v>130</v>
      </c>
      <c r="D11" s="38" t="n">
        <v>1023290</v>
      </c>
      <c r="E11" s="38" t="n">
        <v>738300</v>
      </c>
      <c r="F11" s="38" t="n">
        <v>113000</v>
      </c>
      <c r="G11" s="28" t="n">
        <v>7</v>
      </c>
      <c r="H11" s="39">
        <f>G11*'02_Parametres'!$D$21</f>
        <v/>
      </c>
      <c r="I11" s="38" t="n">
        <v>31000</v>
      </c>
      <c r="J11" s="28" t="n">
        <v>1040</v>
      </c>
      <c r="K11" s="39">
        <f>E11-F11-H11</f>
        <v/>
      </c>
    </row>
    <row r="12">
      <c r="A12" s="37" t="inlineStr">
        <is>
          <t>Ipac Bachelor Factory</t>
        </is>
      </c>
      <c r="B12" s="8" t="inlineStr">
        <is>
          <t>Rennes</t>
        </is>
      </c>
      <c r="C12" s="28" t="n">
        <v>104</v>
      </c>
      <c r="D12" s="38" t="n">
        <v>818578</v>
      </c>
      <c r="E12" s="38" t="n">
        <v>615348</v>
      </c>
      <c r="F12" s="38" t="n">
        <v>90000</v>
      </c>
      <c r="G12" s="28" t="n">
        <v>6</v>
      </c>
      <c r="H12" s="39">
        <f>G12*'02_Parametres'!$D$21</f>
        <v/>
      </c>
      <c r="I12" s="38" t="n">
        <v>25000</v>
      </c>
      <c r="J12" s="28" t="n">
        <v>832</v>
      </c>
      <c r="K12" s="39">
        <f>E12-F12-H12</f>
        <v/>
      </c>
    </row>
    <row r="13">
      <c r="A13" s="37" t="inlineStr">
        <is>
          <t>Ipac Bachelor Factory</t>
        </is>
      </c>
      <c r="B13" s="8" t="inlineStr">
        <is>
          <t>Montpellier</t>
        </is>
      </c>
      <c r="C13" s="28" t="n">
        <v>104</v>
      </c>
      <c r="D13" s="38" t="n">
        <v>818578</v>
      </c>
      <c r="E13" s="38" t="n">
        <v>615348</v>
      </c>
      <c r="F13" s="38" t="n">
        <v>90000</v>
      </c>
      <c r="G13" s="28" t="n">
        <v>6</v>
      </c>
      <c r="H13" s="39">
        <f>G13*'02_Parametres'!$D$21</f>
        <v/>
      </c>
      <c r="I13" s="38" t="n">
        <v>25000</v>
      </c>
      <c r="J13" s="28" t="n">
        <v>832</v>
      </c>
      <c r="K13" s="39">
        <f>E13-F13-H13</f>
        <v/>
      </c>
    </row>
    <row r="14">
      <c r="A14" s="37" t="inlineStr">
        <is>
          <t>Pigier</t>
        </is>
      </c>
      <c r="B14" s="8" t="inlineStr">
        <is>
          <t>Lyon</t>
        </is>
      </c>
      <c r="C14" s="28" t="n">
        <v>149</v>
      </c>
      <c r="D14" s="38" t="n">
        <v>1107337</v>
      </c>
      <c r="E14" s="38" t="n">
        <v>685987</v>
      </c>
      <c r="F14" s="38" t="n">
        <v>122000</v>
      </c>
      <c r="G14" s="28" t="n">
        <v>8</v>
      </c>
      <c r="H14" s="39">
        <f>G14*'02_Parametres'!$D$21</f>
        <v/>
      </c>
      <c r="I14" s="38" t="n">
        <v>33000</v>
      </c>
      <c r="J14" s="28" t="n">
        <v>1192</v>
      </c>
      <c r="K14" s="39">
        <f>E14-F14-H14</f>
        <v/>
      </c>
    </row>
    <row r="15">
      <c r="A15" s="37" t="inlineStr">
        <is>
          <t>Pigier</t>
        </is>
      </c>
      <c r="B15" s="8" t="inlineStr">
        <is>
          <t>Bordeaux</t>
        </is>
      </c>
      <c r="C15" s="28" t="n">
        <v>117</v>
      </c>
      <c r="D15" s="38" t="n">
        <v>869598</v>
      </c>
      <c r="E15" s="38" t="n">
        <v>588198</v>
      </c>
      <c r="F15" s="38" t="n">
        <v>96000</v>
      </c>
      <c r="G15" s="28" t="n">
        <v>7</v>
      </c>
      <c r="H15" s="39">
        <f>G15*'02_Parametres'!$D$21</f>
        <v/>
      </c>
      <c r="I15" s="38" t="n">
        <v>26000</v>
      </c>
      <c r="J15" s="28" t="n">
        <v>936</v>
      </c>
      <c r="K15" s="39">
        <f>E15-F15-H15</f>
        <v/>
      </c>
    </row>
    <row r="16">
      <c r="A16" s="37" t="inlineStr">
        <is>
          <t>Tunon</t>
        </is>
      </c>
      <c r="B16" s="8" t="inlineStr">
        <is>
          <t>Paris</t>
        </is>
      </c>
      <c r="C16" s="28" t="n">
        <v>122</v>
      </c>
      <c r="D16" s="38" t="n">
        <v>960364</v>
      </c>
      <c r="E16" s="38" t="n">
        <v>669364</v>
      </c>
      <c r="F16" s="38" t="n">
        <v>106000</v>
      </c>
      <c r="G16" s="28" t="n">
        <v>7</v>
      </c>
      <c r="H16" s="39">
        <f>G16*'02_Parametres'!$D$21</f>
        <v/>
      </c>
      <c r="I16" s="38" t="n">
        <v>29000</v>
      </c>
      <c r="J16" s="28" t="n">
        <v>976</v>
      </c>
      <c r="K16" s="39">
        <f>E16-F16-H16</f>
        <v/>
      </c>
    </row>
    <row r="17">
      <c r="A17" s="37" t="inlineStr">
        <is>
          <t>Tunon</t>
        </is>
      </c>
      <c r="B17" s="8" t="inlineStr">
        <is>
          <t>Lyon</t>
        </is>
      </c>
      <c r="C17" s="28" t="n">
        <v>104</v>
      </c>
      <c r="D17" s="38" t="n">
        <v>818578</v>
      </c>
      <c r="E17" s="38" t="n">
        <v>575028</v>
      </c>
      <c r="F17" s="38" t="n">
        <v>90000</v>
      </c>
      <c r="G17" s="28" t="n">
        <v>6</v>
      </c>
      <c r="H17" s="39">
        <f>G17*'02_Parametres'!$D$21</f>
        <v/>
      </c>
      <c r="I17" s="38" t="n">
        <v>25000</v>
      </c>
      <c r="J17" s="28" t="n">
        <v>832</v>
      </c>
      <c r="K17" s="39">
        <f>E17-F17-H17</f>
        <v/>
      </c>
    </row>
    <row r="18">
      <c r="A18" s="40" t="inlineStr">
        <is>
          <t>TOTAL GROUPE</t>
        </is>
      </c>
      <c r="B18" s="36" t="inlineStr">
        <is>
          <t> </t>
        </is>
      </c>
      <c r="C18" s="41">
        <f>SUM(C4:C17)</f>
        <v/>
      </c>
      <c r="D18" s="42">
        <f>SUM(D4:D17)</f>
        <v/>
      </c>
      <c r="E18" s="42">
        <f>SUM(E4:E17)</f>
        <v/>
      </c>
      <c r="F18" s="42">
        <f>SUM(F4:F17)</f>
        <v/>
      </c>
      <c r="G18" s="41">
        <f>SUM(G4:G17)</f>
        <v/>
      </c>
      <c r="H18" s="42">
        <f>SUM(H4:H17)</f>
        <v/>
      </c>
      <c r="I18" s="42">
        <f>SUM(I4:I17)</f>
        <v/>
      </c>
      <c r="J18" s="41">
        <f>SUM(J4:J17)</f>
        <v/>
      </c>
      <c r="K18" s="42">
        <f>SUM(K4:K17)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4" customHeight="1">
      <c r="A1" s="1" t="inlineStr">
        <is>
          <t>Moteur de budget par cellule fine (100 % formules — réagit aux leviers, coefficients &amp; paramètres programme)</t>
        </is>
      </c>
    </row>
    <row r="2" ht="30" customHeight="1">
      <c r="A2" s="15" t="inlineStr">
        <is>
          <t>Marque</t>
        </is>
      </c>
      <c r="B2" s="15" t="inlineStr">
        <is>
          <t>Ville</t>
        </is>
      </c>
      <c r="C2" s="15" t="inlineStr">
        <is>
          <t>Programme</t>
        </is>
      </c>
      <c r="D2" s="15" t="inlineStr">
        <is>
          <t>Niveau</t>
        </is>
      </c>
      <c r="E2" s="15" t="inlineStr">
        <is>
          <t>Mod.</t>
        </is>
      </c>
      <c r="F2" s="15" t="inlineStr">
        <is>
          <t>Eff. N-1</t>
        </is>
      </c>
      <c r="G2" s="15" t="inlineStr">
        <is>
          <t>Nouv N-1</t>
        </is>
      </c>
      <c r="H2" s="15" t="inlineStr">
        <is>
          <t>Réins N-1</t>
        </is>
      </c>
      <c r="I2" s="15" t="inlineStr">
        <is>
          <t>Cand N-1</t>
        </is>
      </c>
      <c r="J2" s="15" t="inlineStr">
        <is>
          <t>Tarif N-1</t>
        </is>
      </c>
      <c r="K2" s="15" t="inlineStr">
        <is>
          <t>Cl. N-1</t>
        </is>
      </c>
      <c r="L2" s="15" t="inlineStr">
        <is>
          <t>coef Vol</t>
        </is>
      </c>
      <c r="M2" s="15" t="inlineStr">
        <is>
          <t>coef Prix</t>
        </is>
      </c>
      <c r="N2" s="15" t="inlineStr">
        <is>
          <t>Cand Bud</t>
        </is>
      </c>
      <c r="O2" s="15" t="inlineStr">
        <is>
          <t>Conv Bud</t>
        </is>
      </c>
      <c r="P2" s="15" t="inlineStr">
        <is>
          <t>Nouv Bud</t>
        </is>
      </c>
      <c r="Q2" s="15" t="inlineStr">
        <is>
          <t>Réins Bud</t>
        </is>
      </c>
      <c r="R2" s="15" t="inlineStr">
        <is>
          <t>Effectif Bud</t>
        </is>
      </c>
      <c r="S2" s="15" t="inlineStr">
        <is>
          <t>Tarif Bud</t>
        </is>
      </c>
      <c r="T2" s="15" t="inlineStr">
        <is>
          <t>CA Bud</t>
        </is>
      </c>
      <c r="U2" s="15" t="inlineStr">
        <is>
          <t>Cl. besoin</t>
        </is>
      </c>
      <c r="V2" s="15" t="inlineStr">
        <is>
          <t>Enseign.</t>
        </is>
      </c>
      <c r="W2" s="15" t="inlineStr">
        <is>
          <t>Pédago</t>
        </is>
      </c>
      <c r="X2" s="15" t="inlineStr">
        <is>
          <t>Marketing</t>
        </is>
      </c>
      <c r="Y2" s="15" t="inlineStr">
        <is>
          <t>Contribution</t>
        </is>
      </c>
      <c r="Z2" s="15" t="inlineStr">
        <is>
          <t>Rempl.</t>
        </is>
      </c>
      <c r="AA2" s="15" t="inlineStr">
        <is>
          <t>Contr/étu</t>
        </is>
      </c>
      <c r="AB2" s="15" t="inlineStr">
        <is>
          <t>Sig N-1</t>
        </is>
      </c>
      <c r="AC2" s="15" t="inlineStr">
        <is>
          <t>Sig Bud</t>
        </is>
      </c>
      <c r="AD2" s="15" t="inlineStr">
        <is>
          <t>Cap(prog)</t>
        </is>
      </c>
      <c r="AE2" s="15" t="inlineStr">
        <is>
          <t>Heures(prog)</t>
        </is>
      </c>
      <c r="AF2" s="15" t="inlineStr">
        <is>
          <t>Taux(prog)</t>
        </is>
      </c>
      <c r="AG2" s="15" t="inlineStr">
        <is>
          <t>Pédago(prog)</t>
        </is>
      </c>
      <c r="AH2" s="15" t="inlineStr">
        <is>
          <t>Seuil(prog)</t>
        </is>
      </c>
      <c r="AI2" s="15" t="inlineStr">
        <is>
          <t>Coût/classe</t>
        </is>
      </c>
    </row>
    <row r="3">
      <c r="A3" s="43">
        <f>'05_Historique'!A4</f>
        <v/>
      </c>
      <c r="B3" s="11">
        <f>'05_Historique'!B4</f>
        <v/>
      </c>
      <c r="C3" s="43">
        <f>'05_Historique'!C4</f>
        <v/>
      </c>
      <c r="D3" s="11">
        <f>'05_Historique'!E4</f>
        <v/>
      </c>
      <c r="E3" s="11">
        <f>'05_Historique'!F4</f>
        <v/>
      </c>
      <c r="F3" s="44">
        <f>'05_Historique'!K4</f>
        <v/>
      </c>
      <c r="G3" s="44">
        <f>'05_Historique'!I4</f>
        <v/>
      </c>
      <c r="H3" s="44">
        <f>'05_Historique'!J4</f>
        <v/>
      </c>
      <c r="I3" s="44">
        <f>'05_Historique'!G4</f>
        <v/>
      </c>
      <c r="J3" s="18">
        <f>'05_Historique'!L4</f>
        <v/>
      </c>
      <c r="K3" s="44">
        <f>'05_Historique'!M4</f>
        <v/>
      </c>
      <c r="L3" s="45">
        <f>INDEX('03_Coeff_Strateg'!$C$6:$C$10,MATCH(A3,'03_Coeff_Strateg'!$B$6:$B$10,0))</f>
        <v/>
      </c>
      <c r="M3" s="45">
        <f>INDEX('03_Coeff_Strateg'!$D$6:$D$10,MATCH(A3,'03_Coeff_Strateg'!$B$6:$B$10,0))</f>
        <v/>
      </c>
      <c r="N3" s="46">
        <f>I3*(1+'02_Parametres'!$G$6*L3)</f>
        <v/>
      </c>
      <c r="O3" s="32">
        <f>IFERROR(G3/I3,0)+'02_Parametres'!$G$8</f>
        <v/>
      </c>
      <c r="P3" s="46">
        <f>N3*O3</f>
        <v/>
      </c>
      <c r="Q3" s="46">
        <f>H3*('02_Parametres'!$G$10/'02_Parametres'!$D$23)</f>
        <v/>
      </c>
      <c r="R3" s="47">
        <f>P3+Q3</f>
        <v/>
      </c>
      <c r="S3" s="48">
        <f>J3*(1+'02_Parametres'!$G$7*M3)</f>
        <v/>
      </c>
      <c r="T3" s="39">
        <f>R3*S3*AC3+P3*'02_Parametres'!$D$22</f>
        <v/>
      </c>
      <c r="U3" s="46">
        <f>IF(R3&lt;=0,0,MAX(1,ROUNDUP(R3/AD3,0)))</f>
        <v/>
      </c>
      <c r="V3" s="39">
        <f>U3*AI3</f>
        <v/>
      </c>
      <c r="W3" s="39">
        <f>R3*AG3*(1+'02_Parametres'!$G$11)</f>
        <v/>
      </c>
      <c r="X3" s="39">
        <f>P3*'02_Parametres'!$G$13</f>
        <v/>
      </c>
      <c r="Y3" s="49">
        <f>T3-V3-W3-X3</f>
        <v/>
      </c>
      <c r="Z3" s="32">
        <f>IFERROR(R3/(U3*AD3),0)</f>
        <v/>
      </c>
      <c r="AA3" s="48">
        <f>IFERROR(Y3/R3,0)</f>
        <v/>
      </c>
      <c r="AB3" s="45">
        <f>IF(E3="ALT",'02_Parametres'!$D$26+(1-'02_Parametres'!$D$26)*'02_Parametres'!$D$25,1)</f>
        <v/>
      </c>
      <c r="AC3" s="45">
        <f>IF(E3="ALT",'02_Parametres'!$G$9+(1-'02_Parametres'!$G$9)*'02_Parametres'!$D$25,1)</f>
        <v/>
      </c>
      <c r="AD3" s="46">
        <f>IFERROR(INDEX('04_Param_Prog'!$C$6:$C$13,MATCH(C3,'04_Param_Prog'!$B$6:$B$13,0)),'02_Parametres'!$D$16)</f>
        <v/>
      </c>
      <c r="AE3" s="46">
        <f>IFERROR(INDEX('04_Param_Prog'!$E$6:$E$13,MATCH(C3,'04_Param_Prog'!$B$6:$B$13,0)),'02_Parametres'!$D$18)</f>
        <v/>
      </c>
      <c r="AF3" s="48">
        <f>IFERROR(INDEX('04_Param_Prog'!$F$6:$F$13,MATCH(C3,'04_Param_Prog'!$B$6:$B$13,0)),'02_Parametres'!$D$19)</f>
        <v/>
      </c>
      <c r="AG3" s="48">
        <f>IFERROR(INDEX('04_Param_Prog'!$G$6:$G$13,MATCH(C3,'04_Param_Prog'!$B$6:$B$13,0)),'02_Parametres'!$D$20)</f>
        <v/>
      </c>
      <c r="AH3" s="46">
        <f>IFERROR(INDEX('04_Param_Prog'!$D$6:$D$13,MATCH(C3,'04_Param_Prog'!$B$6:$B$13,0)),'02_Parametres'!$D$17)</f>
        <v/>
      </c>
      <c r="AI3" s="48">
        <f>AE3*AF3*(1+'02_Parametres'!$G$12)</f>
        <v/>
      </c>
    </row>
    <row r="4">
      <c r="A4" s="43">
        <f>'05_Historique'!A5</f>
        <v/>
      </c>
      <c r="B4" s="11">
        <f>'05_Historique'!B5</f>
        <v/>
      </c>
      <c r="C4" s="43">
        <f>'05_Historique'!C5</f>
        <v/>
      </c>
      <c r="D4" s="11">
        <f>'05_Historique'!E5</f>
        <v/>
      </c>
      <c r="E4" s="11">
        <f>'05_Historique'!F5</f>
        <v/>
      </c>
      <c r="F4" s="44">
        <f>'05_Historique'!K5</f>
        <v/>
      </c>
      <c r="G4" s="44">
        <f>'05_Historique'!I5</f>
        <v/>
      </c>
      <c r="H4" s="44">
        <f>'05_Historique'!J5</f>
        <v/>
      </c>
      <c r="I4" s="44">
        <f>'05_Historique'!G5</f>
        <v/>
      </c>
      <c r="J4" s="18">
        <f>'05_Historique'!L5</f>
        <v/>
      </c>
      <c r="K4" s="44">
        <f>'05_Historique'!M5</f>
        <v/>
      </c>
      <c r="L4" s="45">
        <f>INDEX('03_Coeff_Strateg'!$C$6:$C$10,MATCH(A4,'03_Coeff_Strateg'!$B$6:$B$10,0))</f>
        <v/>
      </c>
      <c r="M4" s="45">
        <f>INDEX('03_Coeff_Strateg'!$D$6:$D$10,MATCH(A4,'03_Coeff_Strateg'!$B$6:$B$10,0))</f>
        <v/>
      </c>
      <c r="N4" s="46">
        <f>I4*(1+'02_Parametres'!$G$6*L4)</f>
        <v/>
      </c>
      <c r="O4" s="32">
        <f>IFERROR(G4/I4,0)+'02_Parametres'!$G$8</f>
        <v/>
      </c>
      <c r="P4" s="46">
        <f>N4*O4</f>
        <v/>
      </c>
      <c r="Q4" s="46">
        <f>H4*('02_Parametres'!$G$10/'02_Parametres'!$D$23)</f>
        <v/>
      </c>
      <c r="R4" s="47">
        <f>P4+Q4</f>
        <v/>
      </c>
      <c r="S4" s="48">
        <f>J4*(1+'02_Parametres'!$G$7*M4)</f>
        <v/>
      </c>
      <c r="T4" s="39">
        <f>R4*S4*AC4+P4*'02_Parametres'!$D$22</f>
        <v/>
      </c>
      <c r="U4" s="46">
        <f>IF(R4&lt;=0,0,MAX(1,ROUNDUP(R4/AD4,0)))</f>
        <v/>
      </c>
      <c r="V4" s="39">
        <f>U4*AI4</f>
        <v/>
      </c>
      <c r="W4" s="39">
        <f>R4*AG4*(1+'02_Parametres'!$G$11)</f>
        <v/>
      </c>
      <c r="X4" s="39">
        <f>P4*'02_Parametres'!$G$13</f>
        <v/>
      </c>
      <c r="Y4" s="49">
        <f>T4-V4-W4-X4</f>
        <v/>
      </c>
      <c r="Z4" s="32">
        <f>IFERROR(R4/(U4*AD4),0)</f>
        <v/>
      </c>
      <c r="AA4" s="48">
        <f>IFERROR(Y4/R4,0)</f>
        <v/>
      </c>
      <c r="AB4" s="45">
        <f>IF(E4="ALT",'02_Parametres'!$D$26+(1-'02_Parametres'!$D$26)*'02_Parametres'!$D$25,1)</f>
        <v/>
      </c>
      <c r="AC4" s="45">
        <f>IF(E4="ALT",'02_Parametres'!$G$9+(1-'02_Parametres'!$G$9)*'02_Parametres'!$D$25,1)</f>
        <v/>
      </c>
      <c r="AD4" s="46">
        <f>IFERROR(INDEX('04_Param_Prog'!$C$6:$C$13,MATCH(C4,'04_Param_Prog'!$B$6:$B$13,0)),'02_Parametres'!$D$16)</f>
        <v/>
      </c>
      <c r="AE4" s="46">
        <f>IFERROR(INDEX('04_Param_Prog'!$E$6:$E$13,MATCH(C4,'04_Param_Prog'!$B$6:$B$13,0)),'02_Parametres'!$D$18)</f>
        <v/>
      </c>
      <c r="AF4" s="48">
        <f>IFERROR(INDEX('04_Param_Prog'!$F$6:$F$13,MATCH(C4,'04_Param_Prog'!$B$6:$B$13,0)),'02_Parametres'!$D$19)</f>
        <v/>
      </c>
      <c r="AG4" s="48">
        <f>IFERROR(INDEX('04_Param_Prog'!$G$6:$G$13,MATCH(C4,'04_Param_Prog'!$B$6:$B$13,0)),'02_Parametres'!$D$20)</f>
        <v/>
      </c>
      <c r="AH4" s="46">
        <f>IFERROR(INDEX('04_Param_Prog'!$D$6:$D$13,MATCH(C4,'04_Param_Prog'!$B$6:$B$13,0)),'02_Parametres'!$D$17)</f>
        <v/>
      </c>
      <c r="AI4" s="48">
        <f>AE4*AF4*(1+'02_Parametres'!$G$12)</f>
        <v/>
      </c>
    </row>
    <row r="5">
      <c r="A5" s="43">
        <f>'05_Historique'!A6</f>
        <v/>
      </c>
      <c r="B5" s="11">
        <f>'05_Historique'!B6</f>
        <v/>
      </c>
      <c r="C5" s="43">
        <f>'05_Historique'!C6</f>
        <v/>
      </c>
      <c r="D5" s="11">
        <f>'05_Historique'!E6</f>
        <v/>
      </c>
      <c r="E5" s="11">
        <f>'05_Historique'!F6</f>
        <v/>
      </c>
      <c r="F5" s="44">
        <f>'05_Historique'!K6</f>
        <v/>
      </c>
      <c r="G5" s="44">
        <f>'05_Historique'!I6</f>
        <v/>
      </c>
      <c r="H5" s="44">
        <f>'05_Historique'!J6</f>
        <v/>
      </c>
      <c r="I5" s="44">
        <f>'05_Historique'!G6</f>
        <v/>
      </c>
      <c r="J5" s="18">
        <f>'05_Historique'!L6</f>
        <v/>
      </c>
      <c r="K5" s="44">
        <f>'05_Historique'!M6</f>
        <v/>
      </c>
      <c r="L5" s="45">
        <f>INDEX('03_Coeff_Strateg'!$C$6:$C$10,MATCH(A5,'03_Coeff_Strateg'!$B$6:$B$10,0))</f>
        <v/>
      </c>
      <c r="M5" s="45">
        <f>INDEX('03_Coeff_Strateg'!$D$6:$D$10,MATCH(A5,'03_Coeff_Strateg'!$B$6:$B$10,0))</f>
        <v/>
      </c>
      <c r="N5" s="46">
        <f>I5*(1+'02_Parametres'!$G$6*L5)</f>
        <v/>
      </c>
      <c r="O5" s="32">
        <f>IFERROR(G5/I5,0)+'02_Parametres'!$G$8</f>
        <v/>
      </c>
      <c r="P5" s="46">
        <f>N5*O5</f>
        <v/>
      </c>
      <c r="Q5" s="46">
        <f>H5*('02_Parametres'!$G$10/'02_Parametres'!$D$23)</f>
        <v/>
      </c>
      <c r="R5" s="47">
        <f>P5+Q5</f>
        <v/>
      </c>
      <c r="S5" s="48">
        <f>J5*(1+'02_Parametres'!$G$7*M5)</f>
        <v/>
      </c>
      <c r="T5" s="39">
        <f>R5*S5*AC5+P5*'02_Parametres'!$D$22</f>
        <v/>
      </c>
      <c r="U5" s="46">
        <f>IF(R5&lt;=0,0,MAX(1,ROUNDUP(R5/AD5,0)))</f>
        <v/>
      </c>
      <c r="V5" s="39">
        <f>U5*AI5</f>
        <v/>
      </c>
      <c r="W5" s="39">
        <f>R5*AG5*(1+'02_Parametres'!$G$11)</f>
        <v/>
      </c>
      <c r="X5" s="39">
        <f>P5*'02_Parametres'!$G$13</f>
        <v/>
      </c>
      <c r="Y5" s="49">
        <f>T5-V5-W5-X5</f>
        <v/>
      </c>
      <c r="Z5" s="32">
        <f>IFERROR(R5/(U5*AD5),0)</f>
        <v/>
      </c>
      <c r="AA5" s="48">
        <f>IFERROR(Y5/R5,0)</f>
        <v/>
      </c>
      <c r="AB5" s="45">
        <f>IF(E5="ALT",'02_Parametres'!$D$26+(1-'02_Parametres'!$D$26)*'02_Parametres'!$D$25,1)</f>
        <v/>
      </c>
      <c r="AC5" s="45">
        <f>IF(E5="ALT",'02_Parametres'!$G$9+(1-'02_Parametres'!$G$9)*'02_Parametres'!$D$25,1)</f>
        <v/>
      </c>
      <c r="AD5" s="46">
        <f>IFERROR(INDEX('04_Param_Prog'!$C$6:$C$13,MATCH(C5,'04_Param_Prog'!$B$6:$B$13,0)),'02_Parametres'!$D$16)</f>
        <v/>
      </c>
      <c r="AE5" s="46">
        <f>IFERROR(INDEX('04_Param_Prog'!$E$6:$E$13,MATCH(C5,'04_Param_Prog'!$B$6:$B$13,0)),'02_Parametres'!$D$18)</f>
        <v/>
      </c>
      <c r="AF5" s="48">
        <f>IFERROR(INDEX('04_Param_Prog'!$F$6:$F$13,MATCH(C5,'04_Param_Prog'!$B$6:$B$13,0)),'02_Parametres'!$D$19)</f>
        <v/>
      </c>
      <c r="AG5" s="48">
        <f>IFERROR(INDEX('04_Param_Prog'!$G$6:$G$13,MATCH(C5,'04_Param_Prog'!$B$6:$B$13,0)),'02_Parametres'!$D$20)</f>
        <v/>
      </c>
      <c r="AH5" s="46">
        <f>IFERROR(INDEX('04_Param_Prog'!$D$6:$D$13,MATCH(C5,'04_Param_Prog'!$B$6:$B$13,0)),'02_Parametres'!$D$17)</f>
        <v/>
      </c>
      <c r="AI5" s="48">
        <f>AE5*AF5*(1+'02_Parametres'!$G$12)</f>
        <v/>
      </c>
    </row>
    <row r="6">
      <c r="A6" s="43">
        <f>'05_Historique'!A7</f>
        <v/>
      </c>
      <c r="B6" s="11">
        <f>'05_Historique'!B7</f>
        <v/>
      </c>
      <c r="C6" s="43">
        <f>'05_Historique'!C7</f>
        <v/>
      </c>
      <c r="D6" s="11">
        <f>'05_Historique'!E7</f>
        <v/>
      </c>
      <c r="E6" s="11">
        <f>'05_Historique'!F7</f>
        <v/>
      </c>
      <c r="F6" s="44">
        <f>'05_Historique'!K7</f>
        <v/>
      </c>
      <c r="G6" s="44">
        <f>'05_Historique'!I7</f>
        <v/>
      </c>
      <c r="H6" s="44">
        <f>'05_Historique'!J7</f>
        <v/>
      </c>
      <c r="I6" s="44">
        <f>'05_Historique'!G7</f>
        <v/>
      </c>
      <c r="J6" s="18">
        <f>'05_Historique'!L7</f>
        <v/>
      </c>
      <c r="K6" s="44">
        <f>'05_Historique'!M7</f>
        <v/>
      </c>
      <c r="L6" s="45">
        <f>INDEX('03_Coeff_Strateg'!$C$6:$C$10,MATCH(A6,'03_Coeff_Strateg'!$B$6:$B$10,0))</f>
        <v/>
      </c>
      <c r="M6" s="45">
        <f>INDEX('03_Coeff_Strateg'!$D$6:$D$10,MATCH(A6,'03_Coeff_Strateg'!$B$6:$B$10,0))</f>
        <v/>
      </c>
      <c r="N6" s="46">
        <f>I6*(1+'02_Parametres'!$G$6*L6)</f>
        <v/>
      </c>
      <c r="O6" s="32">
        <f>IFERROR(G6/I6,0)+'02_Parametres'!$G$8</f>
        <v/>
      </c>
      <c r="P6" s="46">
        <f>N6*O6</f>
        <v/>
      </c>
      <c r="Q6" s="46">
        <f>H6*('02_Parametres'!$G$10/'02_Parametres'!$D$23)</f>
        <v/>
      </c>
      <c r="R6" s="47">
        <f>P6+Q6</f>
        <v/>
      </c>
      <c r="S6" s="48">
        <f>J6*(1+'02_Parametres'!$G$7*M6)</f>
        <v/>
      </c>
      <c r="T6" s="39">
        <f>R6*S6*AC6+P6*'02_Parametres'!$D$22</f>
        <v/>
      </c>
      <c r="U6" s="46">
        <f>IF(R6&lt;=0,0,MAX(1,ROUNDUP(R6/AD6,0)))</f>
        <v/>
      </c>
      <c r="V6" s="39">
        <f>U6*AI6</f>
        <v/>
      </c>
      <c r="W6" s="39">
        <f>R6*AG6*(1+'02_Parametres'!$G$11)</f>
        <v/>
      </c>
      <c r="X6" s="39">
        <f>P6*'02_Parametres'!$G$13</f>
        <v/>
      </c>
      <c r="Y6" s="49">
        <f>T6-V6-W6-X6</f>
        <v/>
      </c>
      <c r="Z6" s="32">
        <f>IFERROR(R6/(U6*AD6),0)</f>
        <v/>
      </c>
      <c r="AA6" s="48">
        <f>IFERROR(Y6/R6,0)</f>
        <v/>
      </c>
      <c r="AB6" s="45">
        <f>IF(E6="ALT",'02_Parametres'!$D$26+(1-'02_Parametres'!$D$26)*'02_Parametres'!$D$25,1)</f>
        <v/>
      </c>
      <c r="AC6" s="45">
        <f>IF(E6="ALT",'02_Parametres'!$G$9+(1-'02_Parametres'!$G$9)*'02_Parametres'!$D$25,1)</f>
        <v/>
      </c>
      <c r="AD6" s="46">
        <f>IFERROR(INDEX('04_Param_Prog'!$C$6:$C$13,MATCH(C6,'04_Param_Prog'!$B$6:$B$13,0)),'02_Parametres'!$D$16)</f>
        <v/>
      </c>
      <c r="AE6" s="46">
        <f>IFERROR(INDEX('04_Param_Prog'!$E$6:$E$13,MATCH(C6,'04_Param_Prog'!$B$6:$B$13,0)),'02_Parametres'!$D$18)</f>
        <v/>
      </c>
      <c r="AF6" s="48">
        <f>IFERROR(INDEX('04_Param_Prog'!$F$6:$F$13,MATCH(C6,'04_Param_Prog'!$B$6:$B$13,0)),'02_Parametres'!$D$19)</f>
        <v/>
      </c>
      <c r="AG6" s="48">
        <f>IFERROR(INDEX('04_Param_Prog'!$G$6:$G$13,MATCH(C6,'04_Param_Prog'!$B$6:$B$13,0)),'02_Parametres'!$D$20)</f>
        <v/>
      </c>
      <c r="AH6" s="46">
        <f>IFERROR(INDEX('04_Param_Prog'!$D$6:$D$13,MATCH(C6,'04_Param_Prog'!$B$6:$B$13,0)),'02_Parametres'!$D$17)</f>
        <v/>
      </c>
      <c r="AI6" s="48">
        <f>AE6*AF6*(1+'02_Parametres'!$G$12)</f>
        <v/>
      </c>
    </row>
    <row r="7">
      <c r="A7" s="43">
        <f>'05_Historique'!A8</f>
        <v/>
      </c>
      <c r="B7" s="11">
        <f>'05_Historique'!B8</f>
        <v/>
      </c>
      <c r="C7" s="43">
        <f>'05_Historique'!C8</f>
        <v/>
      </c>
      <c r="D7" s="11">
        <f>'05_Historique'!E8</f>
        <v/>
      </c>
      <c r="E7" s="11">
        <f>'05_Historique'!F8</f>
        <v/>
      </c>
      <c r="F7" s="44">
        <f>'05_Historique'!K8</f>
        <v/>
      </c>
      <c r="G7" s="44">
        <f>'05_Historique'!I8</f>
        <v/>
      </c>
      <c r="H7" s="44">
        <f>'05_Historique'!J8</f>
        <v/>
      </c>
      <c r="I7" s="44">
        <f>'05_Historique'!G8</f>
        <v/>
      </c>
      <c r="J7" s="18">
        <f>'05_Historique'!L8</f>
        <v/>
      </c>
      <c r="K7" s="44">
        <f>'05_Historique'!M8</f>
        <v/>
      </c>
      <c r="L7" s="45">
        <f>INDEX('03_Coeff_Strateg'!$C$6:$C$10,MATCH(A7,'03_Coeff_Strateg'!$B$6:$B$10,0))</f>
        <v/>
      </c>
      <c r="M7" s="45">
        <f>INDEX('03_Coeff_Strateg'!$D$6:$D$10,MATCH(A7,'03_Coeff_Strateg'!$B$6:$B$10,0))</f>
        <v/>
      </c>
      <c r="N7" s="46">
        <f>I7*(1+'02_Parametres'!$G$6*L7)</f>
        <v/>
      </c>
      <c r="O7" s="32">
        <f>IFERROR(G7/I7,0)+'02_Parametres'!$G$8</f>
        <v/>
      </c>
      <c r="P7" s="46">
        <f>N7*O7</f>
        <v/>
      </c>
      <c r="Q7" s="46">
        <f>H7*('02_Parametres'!$G$10/'02_Parametres'!$D$23)</f>
        <v/>
      </c>
      <c r="R7" s="47">
        <f>P7+Q7</f>
        <v/>
      </c>
      <c r="S7" s="48">
        <f>J7*(1+'02_Parametres'!$G$7*M7)</f>
        <v/>
      </c>
      <c r="T7" s="39">
        <f>R7*S7*AC7+P7*'02_Parametres'!$D$22</f>
        <v/>
      </c>
      <c r="U7" s="46">
        <f>IF(R7&lt;=0,0,MAX(1,ROUNDUP(R7/AD7,0)))</f>
        <v/>
      </c>
      <c r="V7" s="39">
        <f>U7*AI7</f>
        <v/>
      </c>
      <c r="W7" s="39">
        <f>R7*AG7*(1+'02_Parametres'!$G$11)</f>
        <v/>
      </c>
      <c r="X7" s="39">
        <f>P7*'02_Parametres'!$G$13</f>
        <v/>
      </c>
      <c r="Y7" s="49">
        <f>T7-V7-W7-X7</f>
        <v/>
      </c>
      <c r="Z7" s="32">
        <f>IFERROR(R7/(U7*AD7),0)</f>
        <v/>
      </c>
      <c r="AA7" s="48">
        <f>IFERROR(Y7/R7,0)</f>
        <v/>
      </c>
      <c r="AB7" s="45">
        <f>IF(E7="ALT",'02_Parametres'!$D$26+(1-'02_Parametres'!$D$26)*'02_Parametres'!$D$25,1)</f>
        <v/>
      </c>
      <c r="AC7" s="45">
        <f>IF(E7="ALT",'02_Parametres'!$G$9+(1-'02_Parametres'!$G$9)*'02_Parametres'!$D$25,1)</f>
        <v/>
      </c>
      <c r="AD7" s="46">
        <f>IFERROR(INDEX('04_Param_Prog'!$C$6:$C$13,MATCH(C7,'04_Param_Prog'!$B$6:$B$13,0)),'02_Parametres'!$D$16)</f>
        <v/>
      </c>
      <c r="AE7" s="46">
        <f>IFERROR(INDEX('04_Param_Prog'!$E$6:$E$13,MATCH(C7,'04_Param_Prog'!$B$6:$B$13,0)),'02_Parametres'!$D$18)</f>
        <v/>
      </c>
      <c r="AF7" s="48">
        <f>IFERROR(INDEX('04_Param_Prog'!$F$6:$F$13,MATCH(C7,'04_Param_Prog'!$B$6:$B$13,0)),'02_Parametres'!$D$19)</f>
        <v/>
      </c>
      <c r="AG7" s="48">
        <f>IFERROR(INDEX('04_Param_Prog'!$G$6:$G$13,MATCH(C7,'04_Param_Prog'!$B$6:$B$13,0)),'02_Parametres'!$D$20)</f>
        <v/>
      </c>
      <c r="AH7" s="46">
        <f>IFERROR(INDEX('04_Param_Prog'!$D$6:$D$13,MATCH(C7,'04_Param_Prog'!$B$6:$B$13,0)),'02_Parametres'!$D$17)</f>
        <v/>
      </c>
      <c r="AI7" s="48">
        <f>AE7*AF7*(1+'02_Parametres'!$G$12)</f>
        <v/>
      </c>
    </row>
    <row r="8">
      <c r="A8" s="43">
        <f>'05_Historique'!A9</f>
        <v/>
      </c>
      <c r="B8" s="11">
        <f>'05_Historique'!B9</f>
        <v/>
      </c>
      <c r="C8" s="43">
        <f>'05_Historique'!C9</f>
        <v/>
      </c>
      <c r="D8" s="11">
        <f>'05_Historique'!E9</f>
        <v/>
      </c>
      <c r="E8" s="11">
        <f>'05_Historique'!F9</f>
        <v/>
      </c>
      <c r="F8" s="44">
        <f>'05_Historique'!K9</f>
        <v/>
      </c>
      <c r="G8" s="44">
        <f>'05_Historique'!I9</f>
        <v/>
      </c>
      <c r="H8" s="44">
        <f>'05_Historique'!J9</f>
        <v/>
      </c>
      <c r="I8" s="44">
        <f>'05_Historique'!G9</f>
        <v/>
      </c>
      <c r="J8" s="18">
        <f>'05_Historique'!L9</f>
        <v/>
      </c>
      <c r="K8" s="44">
        <f>'05_Historique'!M9</f>
        <v/>
      </c>
      <c r="L8" s="45">
        <f>INDEX('03_Coeff_Strateg'!$C$6:$C$10,MATCH(A8,'03_Coeff_Strateg'!$B$6:$B$10,0))</f>
        <v/>
      </c>
      <c r="M8" s="45">
        <f>INDEX('03_Coeff_Strateg'!$D$6:$D$10,MATCH(A8,'03_Coeff_Strateg'!$B$6:$B$10,0))</f>
        <v/>
      </c>
      <c r="N8" s="46">
        <f>I8*(1+'02_Parametres'!$G$6*L8)</f>
        <v/>
      </c>
      <c r="O8" s="32">
        <f>IFERROR(G8/I8,0)+'02_Parametres'!$G$8</f>
        <v/>
      </c>
      <c r="P8" s="46">
        <f>N8*O8</f>
        <v/>
      </c>
      <c r="Q8" s="46">
        <f>H8*('02_Parametres'!$G$10/'02_Parametres'!$D$23)</f>
        <v/>
      </c>
      <c r="R8" s="47">
        <f>P8+Q8</f>
        <v/>
      </c>
      <c r="S8" s="48">
        <f>J8*(1+'02_Parametres'!$G$7*M8)</f>
        <v/>
      </c>
      <c r="T8" s="39">
        <f>R8*S8*AC8+P8*'02_Parametres'!$D$22</f>
        <v/>
      </c>
      <c r="U8" s="46">
        <f>IF(R8&lt;=0,0,MAX(1,ROUNDUP(R8/AD8,0)))</f>
        <v/>
      </c>
      <c r="V8" s="39">
        <f>U8*AI8</f>
        <v/>
      </c>
      <c r="W8" s="39">
        <f>R8*AG8*(1+'02_Parametres'!$G$11)</f>
        <v/>
      </c>
      <c r="X8" s="39">
        <f>P8*'02_Parametres'!$G$13</f>
        <v/>
      </c>
      <c r="Y8" s="49">
        <f>T8-V8-W8-X8</f>
        <v/>
      </c>
      <c r="Z8" s="32">
        <f>IFERROR(R8/(U8*AD8),0)</f>
        <v/>
      </c>
      <c r="AA8" s="48">
        <f>IFERROR(Y8/R8,0)</f>
        <v/>
      </c>
      <c r="AB8" s="45">
        <f>IF(E8="ALT",'02_Parametres'!$D$26+(1-'02_Parametres'!$D$26)*'02_Parametres'!$D$25,1)</f>
        <v/>
      </c>
      <c r="AC8" s="45">
        <f>IF(E8="ALT",'02_Parametres'!$G$9+(1-'02_Parametres'!$G$9)*'02_Parametres'!$D$25,1)</f>
        <v/>
      </c>
      <c r="AD8" s="46">
        <f>IFERROR(INDEX('04_Param_Prog'!$C$6:$C$13,MATCH(C8,'04_Param_Prog'!$B$6:$B$13,0)),'02_Parametres'!$D$16)</f>
        <v/>
      </c>
      <c r="AE8" s="46">
        <f>IFERROR(INDEX('04_Param_Prog'!$E$6:$E$13,MATCH(C8,'04_Param_Prog'!$B$6:$B$13,0)),'02_Parametres'!$D$18)</f>
        <v/>
      </c>
      <c r="AF8" s="48">
        <f>IFERROR(INDEX('04_Param_Prog'!$F$6:$F$13,MATCH(C8,'04_Param_Prog'!$B$6:$B$13,0)),'02_Parametres'!$D$19)</f>
        <v/>
      </c>
      <c r="AG8" s="48">
        <f>IFERROR(INDEX('04_Param_Prog'!$G$6:$G$13,MATCH(C8,'04_Param_Prog'!$B$6:$B$13,0)),'02_Parametres'!$D$20)</f>
        <v/>
      </c>
      <c r="AH8" s="46">
        <f>IFERROR(INDEX('04_Param_Prog'!$D$6:$D$13,MATCH(C8,'04_Param_Prog'!$B$6:$B$13,0)),'02_Parametres'!$D$17)</f>
        <v/>
      </c>
      <c r="AI8" s="48">
        <f>AE8*AF8*(1+'02_Parametres'!$G$12)</f>
        <v/>
      </c>
    </row>
    <row r="9">
      <c r="A9" s="43">
        <f>'05_Historique'!A10</f>
        <v/>
      </c>
      <c r="B9" s="11">
        <f>'05_Historique'!B10</f>
        <v/>
      </c>
      <c r="C9" s="43">
        <f>'05_Historique'!C10</f>
        <v/>
      </c>
      <c r="D9" s="11">
        <f>'05_Historique'!E10</f>
        <v/>
      </c>
      <c r="E9" s="11">
        <f>'05_Historique'!F10</f>
        <v/>
      </c>
      <c r="F9" s="44">
        <f>'05_Historique'!K10</f>
        <v/>
      </c>
      <c r="G9" s="44">
        <f>'05_Historique'!I10</f>
        <v/>
      </c>
      <c r="H9" s="44">
        <f>'05_Historique'!J10</f>
        <v/>
      </c>
      <c r="I9" s="44">
        <f>'05_Historique'!G10</f>
        <v/>
      </c>
      <c r="J9" s="18">
        <f>'05_Historique'!L10</f>
        <v/>
      </c>
      <c r="K9" s="44">
        <f>'05_Historique'!M10</f>
        <v/>
      </c>
      <c r="L9" s="45">
        <f>INDEX('03_Coeff_Strateg'!$C$6:$C$10,MATCH(A9,'03_Coeff_Strateg'!$B$6:$B$10,0))</f>
        <v/>
      </c>
      <c r="M9" s="45">
        <f>INDEX('03_Coeff_Strateg'!$D$6:$D$10,MATCH(A9,'03_Coeff_Strateg'!$B$6:$B$10,0))</f>
        <v/>
      </c>
      <c r="N9" s="46">
        <f>I9*(1+'02_Parametres'!$G$6*L9)</f>
        <v/>
      </c>
      <c r="O9" s="32">
        <f>IFERROR(G9/I9,0)+'02_Parametres'!$G$8</f>
        <v/>
      </c>
      <c r="P9" s="46">
        <f>N9*O9</f>
        <v/>
      </c>
      <c r="Q9" s="46">
        <f>H9*('02_Parametres'!$G$10/'02_Parametres'!$D$23)</f>
        <v/>
      </c>
      <c r="R9" s="47">
        <f>P9+Q9</f>
        <v/>
      </c>
      <c r="S9" s="48">
        <f>J9*(1+'02_Parametres'!$G$7*M9)</f>
        <v/>
      </c>
      <c r="T9" s="39">
        <f>R9*S9*AC9+P9*'02_Parametres'!$D$22</f>
        <v/>
      </c>
      <c r="U9" s="46">
        <f>IF(R9&lt;=0,0,MAX(1,ROUNDUP(R9/AD9,0)))</f>
        <v/>
      </c>
      <c r="V9" s="39">
        <f>U9*AI9</f>
        <v/>
      </c>
      <c r="W9" s="39">
        <f>R9*AG9*(1+'02_Parametres'!$G$11)</f>
        <v/>
      </c>
      <c r="X9" s="39">
        <f>P9*'02_Parametres'!$G$13</f>
        <v/>
      </c>
      <c r="Y9" s="49">
        <f>T9-V9-W9-X9</f>
        <v/>
      </c>
      <c r="Z9" s="32">
        <f>IFERROR(R9/(U9*AD9),0)</f>
        <v/>
      </c>
      <c r="AA9" s="48">
        <f>IFERROR(Y9/R9,0)</f>
        <v/>
      </c>
      <c r="AB9" s="45">
        <f>IF(E9="ALT",'02_Parametres'!$D$26+(1-'02_Parametres'!$D$26)*'02_Parametres'!$D$25,1)</f>
        <v/>
      </c>
      <c r="AC9" s="45">
        <f>IF(E9="ALT",'02_Parametres'!$G$9+(1-'02_Parametres'!$G$9)*'02_Parametres'!$D$25,1)</f>
        <v/>
      </c>
      <c r="AD9" s="46">
        <f>IFERROR(INDEX('04_Param_Prog'!$C$6:$C$13,MATCH(C9,'04_Param_Prog'!$B$6:$B$13,0)),'02_Parametres'!$D$16)</f>
        <v/>
      </c>
      <c r="AE9" s="46">
        <f>IFERROR(INDEX('04_Param_Prog'!$E$6:$E$13,MATCH(C9,'04_Param_Prog'!$B$6:$B$13,0)),'02_Parametres'!$D$18)</f>
        <v/>
      </c>
      <c r="AF9" s="48">
        <f>IFERROR(INDEX('04_Param_Prog'!$F$6:$F$13,MATCH(C9,'04_Param_Prog'!$B$6:$B$13,0)),'02_Parametres'!$D$19)</f>
        <v/>
      </c>
      <c r="AG9" s="48">
        <f>IFERROR(INDEX('04_Param_Prog'!$G$6:$G$13,MATCH(C9,'04_Param_Prog'!$B$6:$B$13,0)),'02_Parametres'!$D$20)</f>
        <v/>
      </c>
      <c r="AH9" s="46">
        <f>IFERROR(INDEX('04_Param_Prog'!$D$6:$D$13,MATCH(C9,'04_Param_Prog'!$B$6:$B$13,0)),'02_Parametres'!$D$17)</f>
        <v/>
      </c>
      <c r="AI9" s="48">
        <f>AE9*AF9*(1+'02_Parametres'!$G$12)</f>
        <v/>
      </c>
    </row>
    <row r="10">
      <c r="A10" s="43">
        <f>'05_Historique'!A11</f>
        <v/>
      </c>
      <c r="B10" s="11">
        <f>'05_Historique'!B11</f>
        <v/>
      </c>
      <c r="C10" s="43">
        <f>'05_Historique'!C11</f>
        <v/>
      </c>
      <c r="D10" s="11">
        <f>'05_Historique'!E11</f>
        <v/>
      </c>
      <c r="E10" s="11">
        <f>'05_Historique'!F11</f>
        <v/>
      </c>
      <c r="F10" s="44">
        <f>'05_Historique'!K11</f>
        <v/>
      </c>
      <c r="G10" s="44">
        <f>'05_Historique'!I11</f>
        <v/>
      </c>
      <c r="H10" s="44">
        <f>'05_Historique'!J11</f>
        <v/>
      </c>
      <c r="I10" s="44">
        <f>'05_Historique'!G11</f>
        <v/>
      </c>
      <c r="J10" s="18">
        <f>'05_Historique'!L11</f>
        <v/>
      </c>
      <c r="K10" s="44">
        <f>'05_Historique'!M11</f>
        <v/>
      </c>
      <c r="L10" s="45">
        <f>INDEX('03_Coeff_Strateg'!$C$6:$C$10,MATCH(A10,'03_Coeff_Strateg'!$B$6:$B$10,0))</f>
        <v/>
      </c>
      <c r="M10" s="45">
        <f>INDEX('03_Coeff_Strateg'!$D$6:$D$10,MATCH(A10,'03_Coeff_Strateg'!$B$6:$B$10,0))</f>
        <v/>
      </c>
      <c r="N10" s="46">
        <f>I10*(1+'02_Parametres'!$G$6*L10)</f>
        <v/>
      </c>
      <c r="O10" s="32">
        <f>IFERROR(G10/I10,0)+'02_Parametres'!$G$8</f>
        <v/>
      </c>
      <c r="P10" s="46">
        <f>N10*O10</f>
        <v/>
      </c>
      <c r="Q10" s="46">
        <f>H10*('02_Parametres'!$G$10/'02_Parametres'!$D$23)</f>
        <v/>
      </c>
      <c r="R10" s="47">
        <f>P10+Q10</f>
        <v/>
      </c>
      <c r="S10" s="48">
        <f>J10*(1+'02_Parametres'!$G$7*M10)</f>
        <v/>
      </c>
      <c r="T10" s="39">
        <f>R10*S10*AC10+P10*'02_Parametres'!$D$22</f>
        <v/>
      </c>
      <c r="U10" s="46">
        <f>IF(R10&lt;=0,0,MAX(1,ROUNDUP(R10/AD10,0)))</f>
        <v/>
      </c>
      <c r="V10" s="39">
        <f>U10*AI10</f>
        <v/>
      </c>
      <c r="W10" s="39">
        <f>R10*AG10*(1+'02_Parametres'!$G$11)</f>
        <v/>
      </c>
      <c r="X10" s="39">
        <f>P10*'02_Parametres'!$G$13</f>
        <v/>
      </c>
      <c r="Y10" s="49">
        <f>T10-V10-W10-X10</f>
        <v/>
      </c>
      <c r="Z10" s="32">
        <f>IFERROR(R10/(U10*AD10),0)</f>
        <v/>
      </c>
      <c r="AA10" s="48">
        <f>IFERROR(Y10/R10,0)</f>
        <v/>
      </c>
      <c r="AB10" s="45">
        <f>IF(E10="ALT",'02_Parametres'!$D$26+(1-'02_Parametres'!$D$26)*'02_Parametres'!$D$25,1)</f>
        <v/>
      </c>
      <c r="AC10" s="45">
        <f>IF(E10="ALT",'02_Parametres'!$G$9+(1-'02_Parametres'!$G$9)*'02_Parametres'!$D$25,1)</f>
        <v/>
      </c>
      <c r="AD10" s="46">
        <f>IFERROR(INDEX('04_Param_Prog'!$C$6:$C$13,MATCH(C10,'04_Param_Prog'!$B$6:$B$13,0)),'02_Parametres'!$D$16)</f>
        <v/>
      </c>
      <c r="AE10" s="46">
        <f>IFERROR(INDEX('04_Param_Prog'!$E$6:$E$13,MATCH(C10,'04_Param_Prog'!$B$6:$B$13,0)),'02_Parametres'!$D$18)</f>
        <v/>
      </c>
      <c r="AF10" s="48">
        <f>IFERROR(INDEX('04_Param_Prog'!$F$6:$F$13,MATCH(C10,'04_Param_Prog'!$B$6:$B$13,0)),'02_Parametres'!$D$19)</f>
        <v/>
      </c>
      <c r="AG10" s="48">
        <f>IFERROR(INDEX('04_Param_Prog'!$G$6:$G$13,MATCH(C10,'04_Param_Prog'!$B$6:$B$13,0)),'02_Parametres'!$D$20)</f>
        <v/>
      </c>
      <c r="AH10" s="46">
        <f>IFERROR(INDEX('04_Param_Prog'!$D$6:$D$13,MATCH(C10,'04_Param_Prog'!$B$6:$B$13,0)),'02_Parametres'!$D$17)</f>
        <v/>
      </c>
      <c r="AI10" s="48">
        <f>AE10*AF10*(1+'02_Parametres'!$G$12)</f>
        <v/>
      </c>
    </row>
    <row r="11">
      <c r="A11" s="43">
        <f>'05_Historique'!A12</f>
        <v/>
      </c>
      <c r="B11" s="11">
        <f>'05_Historique'!B12</f>
        <v/>
      </c>
      <c r="C11" s="43">
        <f>'05_Historique'!C12</f>
        <v/>
      </c>
      <c r="D11" s="11">
        <f>'05_Historique'!E12</f>
        <v/>
      </c>
      <c r="E11" s="11">
        <f>'05_Historique'!F12</f>
        <v/>
      </c>
      <c r="F11" s="44">
        <f>'05_Historique'!K12</f>
        <v/>
      </c>
      <c r="G11" s="44">
        <f>'05_Historique'!I12</f>
        <v/>
      </c>
      <c r="H11" s="44">
        <f>'05_Historique'!J12</f>
        <v/>
      </c>
      <c r="I11" s="44">
        <f>'05_Historique'!G12</f>
        <v/>
      </c>
      <c r="J11" s="18">
        <f>'05_Historique'!L12</f>
        <v/>
      </c>
      <c r="K11" s="44">
        <f>'05_Historique'!M12</f>
        <v/>
      </c>
      <c r="L11" s="45">
        <f>INDEX('03_Coeff_Strateg'!$C$6:$C$10,MATCH(A11,'03_Coeff_Strateg'!$B$6:$B$10,0))</f>
        <v/>
      </c>
      <c r="M11" s="45">
        <f>INDEX('03_Coeff_Strateg'!$D$6:$D$10,MATCH(A11,'03_Coeff_Strateg'!$B$6:$B$10,0))</f>
        <v/>
      </c>
      <c r="N11" s="46">
        <f>I11*(1+'02_Parametres'!$G$6*L11)</f>
        <v/>
      </c>
      <c r="O11" s="32">
        <f>IFERROR(G11/I11,0)+'02_Parametres'!$G$8</f>
        <v/>
      </c>
      <c r="P11" s="46">
        <f>N11*O11</f>
        <v/>
      </c>
      <c r="Q11" s="46">
        <f>H11*('02_Parametres'!$G$10/'02_Parametres'!$D$23)</f>
        <v/>
      </c>
      <c r="R11" s="47">
        <f>P11+Q11</f>
        <v/>
      </c>
      <c r="S11" s="48">
        <f>J11*(1+'02_Parametres'!$G$7*M11)</f>
        <v/>
      </c>
      <c r="T11" s="39">
        <f>R11*S11*AC11+P11*'02_Parametres'!$D$22</f>
        <v/>
      </c>
      <c r="U11" s="46">
        <f>IF(R11&lt;=0,0,MAX(1,ROUNDUP(R11/AD11,0)))</f>
        <v/>
      </c>
      <c r="V11" s="39">
        <f>U11*AI11</f>
        <v/>
      </c>
      <c r="W11" s="39">
        <f>R11*AG11*(1+'02_Parametres'!$G$11)</f>
        <v/>
      </c>
      <c r="X11" s="39">
        <f>P11*'02_Parametres'!$G$13</f>
        <v/>
      </c>
      <c r="Y11" s="49">
        <f>T11-V11-W11-X11</f>
        <v/>
      </c>
      <c r="Z11" s="32">
        <f>IFERROR(R11/(U11*AD11),0)</f>
        <v/>
      </c>
      <c r="AA11" s="48">
        <f>IFERROR(Y11/R11,0)</f>
        <v/>
      </c>
      <c r="AB11" s="45">
        <f>IF(E11="ALT",'02_Parametres'!$D$26+(1-'02_Parametres'!$D$26)*'02_Parametres'!$D$25,1)</f>
        <v/>
      </c>
      <c r="AC11" s="45">
        <f>IF(E11="ALT",'02_Parametres'!$G$9+(1-'02_Parametres'!$G$9)*'02_Parametres'!$D$25,1)</f>
        <v/>
      </c>
      <c r="AD11" s="46">
        <f>IFERROR(INDEX('04_Param_Prog'!$C$6:$C$13,MATCH(C11,'04_Param_Prog'!$B$6:$B$13,0)),'02_Parametres'!$D$16)</f>
        <v/>
      </c>
      <c r="AE11" s="46">
        <f>IFERROR(INDEX('04_Param_Prog'!$E$6:$E$13,MATCH(C11,'04_Param_Prog'!$B$6:$B$13,0)),'02_Parametres'!$D$18)</f>
        <v/>
      </c>
      <c r="AF11" s="48">
        <f>IFERROR(INDEX('04_Param_Prog'!$F$6:$F$13,MATCH(C11,'04_Param_Prog'!$B$6:$B$13,0)),'02_Parametres'!$D$19)</f>
        <v/>
      </c>
      <c r="AG11" s="48">
        <f>IFERROR(INDEX('04_Param_Prog'!$G$6:$G$13,MATCH(C11,'04_Param_Prog'!$B$6:$B$13,0)),'02_Parametres'!$D$20)</f>
        <v/>
      </c>
      <c r="AH11" s="46">
        <f>IFERROR(INDEX('04_Param_Prog'!$D$6:$D$13,MATCH(C11,'04_Param_Prog'!$B$6:$B$13,0)),'02_Parametres'!$D$17)</f>
        <v/>
      </c>
      <c r="AI11" s="48">
        <f>AE11*AF11*(1+'02_Parametres'!$G$12)</f>
        <v/>
      </c>
    </row>
    <row r="12">
      <c r="A12" s="43">
        <f>'05_Historique'!A13</f>
        <v/>
      </c>
      <c r="B12" s="11">
        <f>'05_Historique'!B13</f>
        <v/>
      </c>
      <c r="C12" s="43">
        <f>'05_Historique'!C13</f>
        <v/>
      </c>
      <c r="D12" s="11">
        <f>'05_Historique'!E13</f>
        <v/>
      </c>
      <c r="E12" s="11">
        <f>'05_Historique'!F13</f>
        <v/>
      </c>
      <c r="F12" s="44">
        <f>'05_Historique'!K13</f>
        <v/>
      </c>
      <c r="G12" s="44">
        <f>'05_Historique'!I13</f>
        <v/>
      </c>
      <c r="H12" s="44">
        <f>'05_Historique'!J13</f>
        <v/>
      </c>
      <c r="I12" s="44">
        <f>'05_Historique'!G13</f>
        <v/>
      </c>
      <c r="J12" s="18">
        <f>'05_Historique'!L13</f>
        <v/>
      </c>
      <c r="K12" s="44">
        <f>'05_Historique'!M13</f>
        <v/>
      </c>
      <c r="L12" s="45">
        <f>INDEX('03_Coeff_Strateg'!$C$6:$C$10,MATCH(A12,'03_Coeff_Strateg'!$B$6:$B$10,0))</f>
        <v/>
      </c>
      <c r="M12" s="45">
        <f>INDEX('03_Coeff_Strateg'!$D$6:$D$10,MATCH(A12,'03_Coeff_Strateg'!$B$6:$B$10,0))</f>
        <v/>
      </c>
      <c r="N12" s="46">
        <f>I12*(1+'02_Parametres'!$G$6*L12)</f>
        <v/>
      </c>
      <c r="O12" s="32">
        <f>IFERROR(G12/I12,0)+'02_Parametres'!$G$8</f>
        <v/>
      </c>
      <c r="P12" s="46">
        <f>N12*O12</f>
        <v/>
      </c>
      <c r="Q12" s="46">
        <f>H12*('02_Parametres'!$G$10/'02_Parametres'!$D$23)</f>
        <v/>
      </c>
      <c r="R12" s="47">
        <f>P12+Q12</f>
        <v/>
      </c>
      <c r="S12" s="48">
        <f>J12*(1+'02_Parametres'!$G$7*M12)</f>
        <v/>
      </c>
      <c r="T12" s="39">
        <f>R12*S12*AC12+P12*'02_Parametres'!$D$22</f>
        <v/>
      </c>
      <c r="U12" s="46">
        <f>IF(R12&lt;=0,0,MAX(1,ROUNDUP(R12/AD12,0)))</f>
        <v/>
      </c>
      <c r="V12" s="39">
        <f>U12*AI12</f>
        <v/>
      </c>
      <c r="W12" s="39">
        <f>R12*AG12*(1+'02_Parametres'!$G$11)</f>
        <v/>
      </c>
      <c r="X12" s="39">
        <f>P12*'02_Parametres'!$G$13</f>
        <v/>
      </c>
      <c r="Y12" s="49">
        <f>T12-V12-W12-X12</f>
        <v/>
      </c>
      <c r="Z12" s="32">
        <f>IFERROR(R12/(U12*AD12),0)</f>
        <v/>
      </c>
      <c r="AA12" s="48">
        <f>IFERROR(Y12/R12,0)</f>
        <v/>
      </c>
      <c r="AB12" s="45">
        <f>IF(E12="ALT",'02_Parametres'!$D$26+(1-'02_Parametres'!$D$26)*'02_Parametres'!$D$25,1)</f>
        <v/>
      </c>
      <c r="AC12" s="45">
        <f>IF(E12="ALT",'02_Parametres'!$G$9+(1-'02_Parametres'!$G$9)*'02_Parametres'!$D$25,1)</f>
        <v/>
      </c>
      <c r="AD12" s="46">
        <f>IFERROR(INDEX('04_Param_Prog'!$C$6:$C$13,MATCH(C12,'04_Param_Prog'!$B$6:$B$13,0)),'02_Parametres'!$D$16)</f>
        <v/>
      </c>
      <c r="AE12" s="46">
        <f>IFERROR(INDEX('04_Param_Prog'!$E$6:$E$13,MATCH(C12,'04_Param_Prog'!$B$6:$B$13,0)),'02_Parametres'!$D$18)</f>
        <v/>
      </c>
      <c r="AF12" s="48">
        <f>IFERROR(INDEX('04_Param_Prog'!$F$6:$F$13,MATCH(C12,'04_Param_Prog'!$B$6:$B$13,0)),'02_Parametres'!$D$19)</f>
        <v/>
      </c>
      <c r="AG12" s="48">
        <f>IFERROR(INDEX('04_Param_Prog'!$G$6:$G$13,MATCH(C12,'04_Param_Prog'!$B$6:$B$13,0)),'02_Parametres'!$D$20)</f>
        <v/>
      </c>
      <c r="AH12" s="46">
        <f>IFERROR(INDEX('04_Param_Prog'!$D$6:$D$13,MATCH(C12,'04_Param_Prog'!$B$6:$B$13,0)),'02_Parametres'!$D$17)</f>
        <v/>
      </c>
      <c r="AI12" s="48">
        <f>AE12*AF12*(1+'02_Parametres'!$G$12)</f>
        <v/>
      </c>
    </row>
    <row r="13">
      <c r="A13" s="43">
        <f>'05_Historique'!A14</f>
        <v/>
      </c>
      <c r="B13" s="11">
        <f>'05_Historique'!B14</f>
        <v/>
      </c>
      <c r="C13" s="43">
        <f>'05_Historique'!C14</f>
        <v/>
      </c>
      <c r="D13" s="11">
        <f>'05_Historique'!E14</f>
        <v/>
      </c>
      <c r="E13" s="11">
        <f>'05_Historique'!F14</f>
        <v/>
      </c>
      <c r="F13" s="44">
        <f>'05_Historique'!K14</f>
        <v/>
      </c>
      <c r="G13" s="44">
        <f>'05_Historique'!I14</f>
        <v/>
      </c>
      <c r="H13" s="44">
        <f>'05_Historique'!J14</f>
        <v/>
      </c>
      <c r="I13" s="44">
        <f>'05_Historique'!G14</f>
        <v/>
      </c>
      <c r="J13" s="18">
        <f>'05_Historique'!L14</f>
        <v/>
      </c>
      <c r="K13" s="44">
        <f>'05_Historique'!M14</f>
        <v/>
      </c>
      <c r="L13" s="45">
        <f>INDEX('03_Coeff_Strateg'!$C$6:$C$10,MATCH(A13,'03_Coeff_Strateg'!$B$6:$B$10,0))</f>
        <v/>
      </c>
      <c r="M13" s="45">
        <f>INDEX('03_Coeff_Strateg'!$D$6:$D$10,MATCH(A13,'03_Coeff_Strateg'!$B$6:$B$10,0))</f>
        <v/>
      </c>
      <c r="N13" s="46">
        <f>I13*(1+'02_Parametres'!$G$6*L13)</f>
        <v/>
      </c>
      <c r="O13" s="32">
        <f>IFERROR(G13/I13,0)+'02_Parametres'!$G$8</f>
        <v/>
      </c>
      <c r="P13" s="46">
        <f>N13*O13</f>
        <v/>
      </c>
      <c r="Q13" s="46">
        <f>H13*('02_Parametres'!$G$10/'02_Parametres'!$D$23)</f>
        <v/>
      </c>
      <c r="R13" s="47">
        <f>P13+Q13</f>
        <v/>
      </c>
      <c r="S13" s="48">
        <f>J13*(1+'02_Parametres'!$G$7*M13)</f>
        <v/>
      </c>
      <c r="T13" s="39">
        <f>R13*S13*AC13+P13*'02_Parametres'!$D$22</f>
        <v/>
      </c>
      <c r="U13" s="46">
        <f>IF(R13&lt;=0,0,MAX(1,ROUNDUP(R13/AD13,0)))</f>
        <v/>
      </c>
      <c r="V13" s="39">
        <f>U13*AI13</f>
        <v/>
      </c>
      <c r="W13" s="39">
        <f>R13*AG13*(1+'02_Parametres'!$G$11)</f>
        <v/>
      </c>
      <c r="X13" s="39">
        <f>P13*'02_Parametres'!$G$13</f>
        <v/>
      </c>
      <c r="Y13" s="49">
        <f>T13-V13-W13-X13</f>
        <v/>
      </c>
      <c r="Z13" s="32">
        <f>IFERROR(R13/(U13*AD13),0)</f>
        <v/>
      </c>
      <c r="AA13" s="48">
        <f>IFERROR(Y13/R13,0)</f>
        <v/>
      </c>
      <c r="AB13" s="45">
        <f>IF(E13="ALT",'02_Parametres'!$D$26+(1-'02_Parametres'!$D$26)*'02_Parametres'!$D$25,1)</f>
        <v/>
      </c>
      <c r="AC13" s="45">
        <f>IF(E13="ALT",'02_Parametres'!$G$9+(1-'02_Parametres'!$G$9)*'02_Parametres'!$D$25,1)</f>
        <v/>
      </c>
      <c r="AD13" s="46">
        <f>IFERROR(INDEX('04_Param_Prog'!$C$6:$C$13,MATCH(C13,'04_Param_Prog'!$B$6:$B$13,0)),'02_Parametres'!$D$16)</f>
        <v/>
      </c>
      <c r="AE13" s="46">
        <f>IFERROR(INDEX('04_Param_Prog'!$E$6:$E$13,MATCH(C13,'04_Param_Prog'!$B$6:$B$13,0)),'02_Parametres'!$D$18)</f>
        <v/>
      </c>
      <c r="AF13" s="48">
        <f>IFERROR(INDEX('04_Param_Prog'!$F$6:$F$13,MATCH(C13,'04_Param_Prog'!$B$6:$B$13,0)),'02_Parametres'!$D$19)</f>
        <v/>
      </c>
      <c r="AG13" s="48">
        <f>IFERROR(INDEX('04_Param_Prog'!$G$6:$G$13,MATCH(C13,'04_Param_Prog'!$B$6:$B$13,0)),'02_Parametres'!$D$20)</f>
        <v/>
      </c>
      <c r="AH13" s="46">
        <f>IFERROR(INDEX('04_Param_Prog'!$D$6:$D$13,MATCH(C13,'04_Param_Prog'!$B$6:$B$13,0)),'02_Parametres'!$D$17)</f>
        <v/>
      </c>
      <c r="AI13" s="48">
        <f>AE13*AF13*(1+'02_Parametres'!$G$12)</f>
        <v/>
      </c>
    </row>
    <row r="14">
      <c r="A14" s="43">
        <f>'05_Historique'!A15</f>
        <v/>
      </c>
      <c r="B14" s="11">
        <f>'05_Historique'!B15</f>
        <v/>
      </c>
      <c r="C14" s="43">
        <f>'05_Historique'!C15</f>
        <v/>
      </c>
      <c r="D14" s="11">
        <f>'05_Historique'!E15</f>
        <v/>
      </c>
      <c r="E14" s="11">
        <f>'05_Historique'!F15</f>
        <v/>
      </c>
      <c r="F14" s="44">
        <f>'05_Historique'!K15</f>
        <v/>
      </c>
      <c r="G14" s="44">
        <f>'05_Historique'!I15</f>
        <v/>
      </c>
      <c r="H14" s="44">
        <f>'05_Historique'!J15</f>
        <v/>
      </c>
      <c r="I14" s="44">
        <f>'05_Historique'!G15</f>
        <v/>
      </c>
      <c r="J14" s="18">
        <f>'05_Historique'!L15</f>
        <v/>
      </c>
      <c r="K14" s="44">
        <f>'05_Historique'!M15</f>
        <v/>
      </c>
      <c r="L14" s="45">
        <f>INDEX('03_Coeff_Strateg'!$C$6:$C$10,MATCH(A14,'03_Coeff_Strateg'!$B$6:$B$10,0))</f>
        <v/>
      </c>
      <c r="M14" s="45">
        <f>INDEX('03_Coeff_Strateg'!$D$6:$D$10,MATCH(A14,'03_Coeff_Strateg'!$B$6:$B$10,0))</f>
        <v/>
      </c>
      <c r="N14" s="46">
        <f>I14*(1+'02_Parametres'!$G$6*L14)</f>
        <v/>
      </c>
      <c r="O14" s="32">
        <f>IFERROR(G14/I14,0)+'02_Parametres'!$G$8</f>
        <v/>
      </c>
      <c r="P14" s="46">
        <f>N14*O14</f>
        <v/>
      </c>
      <c r="Q14" s="46">
        <f>H14*('02_Parametres'!$G$10/'02_Parametres'!$D$23)</f>
        <v/>
      </c>
      <c r="R14" s="47">
        <f>P14+Q14</f>
        <v/>
      </c>
      <c r="S14" s="48">
        <f>J14*(1+'02_Parametres'!$G$7*M14)</f>
        <v/>
      </c>
      <c r="T14" s="39">
        <f>R14*S14*AC14+P14*'02_Parametres'!$D$22</f>
        <v/>
      </c>
      <c r="U14" s="46">
        <f>IF(R14&lt;=0,0,MAX(1,ROUNDUP(R14/AD14,0)))</f>
        <v/>
      </c>
      <c r="V14" s="39">
        <f>U14*AI14</f>
        <v/>
      </c>
      <c r="W14" s="39">
        <f>R14*AG14*(1+'02_Parametres'!$G$11)</f>
        <v/>
      </c>
      <c r="X14" s="39">
        <f>P14*'02_Parametres'!$G$13</f>
        <v/>
      </c>
      <c r="Y14" s="49">
        <f>T14-V14-W14-X14</f>
        <v/>
      </c>
      <c r="Z14" s="32">
        <f>IFERROR(R14/(U14*AD14),0)</f>
        <v/>
      </c>
      <c r="AA14" s="48">
        <f>IFERROR(Y14/R14,0)</f>
        <v/>
      </c>
      <c r="AB14" s="45">
        <f>IF(E14="ALT",'02_Parametres'!$D$26+(1-'02_Parametres'!$D$26)*'02_Parametres'!$D$25,1)</f>
        <v/>
      </c>
      <c r="AC14" s="45">
        <f>IF(E14="ALT",'02_Parametres'!$G$9+(1-'02_Parametres'!$G$9)*'02_Parametres'!$D$25,1)</f>
        <v/>
      </c>
      <c r="AD14" s="46">
        <f>IFERROR(INDEX('04_Param_Prog'!$C$6:$C$13,MATCH(C14,'04_Param_Prog'!$B$6:$B$13,0)),'02_Parametres'!$D$16)</f>
        <v/>
      </c>
      <c r="AE14" s="46">
        <f>IFERROR(INDEX('04_Param_Prog'!$E$6:$E$13,MATCH(C14,'04_Param_Prog'!$B$6:$B$13,0)),'02_Parametres'!$D$18)</f>
        <v/>
      </c>
      <c r="AF14" s="48">
        <f>IFERROR(INDEX('04_Param_Prog'!$F$6:$F$13,MATCH(C14,'04_Param_Prog'!$B$6:$B$13,0)),'02_Parametres'!$D$19)</f>
        <v/>
      </c>
      <c r="AG14" s="48">
        <f>IFERROR(INDEX('04_Param_Prog'!$G$6:$G$13,MATCH(C14,'04_Param_Prog'!$B$6:$B$13,0)),'02_Parametres'!$D$20)</f>
        <v/>
      </c>
      <c r="AH14" s="46">
        <f>IFERROR(INDEX('04_Param_Prog'!$D$6:$D$13,MATCH(C14,'04_Param_Prog'!$B$6:$B$13,0)),'02_Parametres'!$D$17)</f>
        <v/>
      </c>
      <c r="AI14" s="48">
        <f>AE14*AF14*(1+'02_Parametres'!$G$12)</f>
        <v/>
      </c>
    </row>
    <row r="15">
      <c r="A15" s="43">
        <f>'05_Historique'!A16</f>
        <v/>
      </c>
      <c r="B15" s="11">
        <f>'05_Historique'!B16</f>
        <v/>
      </c>
      <c r="C15" s="43">
        <f>'05_Historique'!C16</f>
        <v/>
      </c>
      <c r="D15" s="11">
        <f>'05_Historique'!E16</f>
        <v/>
      </c>
      <c r="E15" s="11">
        <f>'05_Historique'!F16</f>
        <v/>
      </c>
      <c r="F15" s="44">
        <f>'05_Historique'!K16</f>
        <v/>
      </c>
      <c r="G15" s="44">
        <f>'05_Historique'!I16</f>
        <v/>
      </c>
      <c r="H15" s="44">
        <f>'05_Historique'!J16</f>
        <v/>
      </c>
      <c r="I15" s="44">
        <f>'05_Historique'!G16</f>
        <v/>
      </c>
      <c r="J15" s="18">
        <f>'05_Historique'!L16</f>
        <v/>
      </c>
      <c r="K15" s="44">
        <f>'05_Historique'!M16</f>
        <v/>
      </c>
      <c r="L15" s="45">
        <f>INDEX('03_Coeff_Strateg'!$C$6:$C$10,MATCH(A15,'03_Coeff_Strateg'!$B$6:$B$10,0))</f>
        <v/>
      </c>
      <c r="M15" s="45">
        <f>INDEX('03_Coeff_Strateg'!$D$6:$D$10,MATCH(A15,'03_Coeff_Strateg'!$B$6:$B$10,0))</f>
        <v/>
      </c>
      <c r="N15" s="46">
        <f>I15*(1+'02_Parametres'!$G$6*L15)</f>
        <v/>
      </c>
      <c r="O15" s="32">
        <f>IFERROR(G15/I15,0)+'02_Parametres'!$G$8</f>
        <v/>
      </c>
      <c r="P15" s="46">
        <f>N15*O15</f>
        <v/>
      </c>
      <c r="Q15" s="46">
        <f>H15*('02_Parametres'!$G$10/'02_Parametres'!$D$23)</f>
        <v/>
      </c>
      <c r="R15" s="47">
        <f>P15+Q15</f>
        <v/>
      </c>
      <c r="S15" s="48">
        <f>J15*(1+'02_Parametres'!$G$7*M15)</f>
        <v/>
      </c>
      <c r="T15" s="39">
        <f>R15*S15*AC15+P15*'02_Parametres'!$D$22</f>
        <v/>
      </c>
      <c r="U15" s="46">
        <f>IF(R15&lt;=0,0,MAX(1,ROUNDUP(R15/AD15,0)))</f>
        <v/>
      </c>
      <c r="V15" s="39">
        <f>U15*AI15</f>
        <v/>
      </c>
      <c r="W15" s="39">
        <f>R15*AG15*(1+'02_Parametres'!$G$11)</f>
        <v/>
      </c>
      <c r="X15" s="39">
        <f>P15*'02_Parametres'!$G$13</f>
        <v/>
      </c>
      <c r="Y15" s="49">
        <f>T15-V15-W15-X15</f>
        <v/>
      </c>
      <c r="Z15" s="32">
        <f>IFERROR(R15/(U15*AD15),0)</f>
        <v/>
      </c>
      <c r="AA15" s="48">
        <f>IFERROR(Y15/R15,0)</f>
        <v/>
      </c>
      <c r="AB15" s="45">
        <f>IF(E15="ALT",'02_Parametres'!$D$26+(1-'02_Parametres'!$D$26)*'02_Parametres'!$D$25,1)</f>
        <v/>
      </c>
      <c r="AC15" s="45">
        <f>IF(E15="ALT",'02_Parametres'!$G$9+(1-'02_Parametres'!$G$9)*'02_Parametres'!$D$25,1)</f>
        <v/>
      </c>
      <c r="AD15" s="46">
        <f>IFERROR(INDEX('04_Param_Prog'!$C$6:$C$13,MATCH(C15,'04_Param_Prog'!$B$6:$B$13,0)),'02_Parametres'!$D$16)</f>
        <v/>
      </c>
      <c r="AE15" s="46">
        <f>IFERROR(INDEX('04_Param_Prog'!$E$6:$E$13,MATCH(C15,'04_Param_Prog'!$B$6:$B$13,0)),'02_Parametres'!$D$18)</f>
        <v/>
      </c>
      <c r="AF15" s="48">
        <f>IFERROR(INDEX('04_Param_Prog'!$F$6:$F$13,MATCH(C15,'04_Param_Prog'!$B$6:$B$13,0)),'02_Parametres'!$D$19)</f>
        <v/>
      </c>
      <c r="AG15" s="48">
        <f>IFERROR(INDEX('04_Param_Prog'!$G$6:$G$13,MATCH(C15,'04_Param_Prog'!$B$6:$B$13,0)),'02_Parametres'!$D$20)</f>
        <v/>
      </c>
      <c r="AH15" s="46">
        <f>IFERROR(INDEX('04_Param_Prog'!$D$6:$D$13,MATCH(C15,'04_Param_Prog'!$B$6:$B$13,0)),'02_Parametres'!$D$17)</f>
        <v/>
      </c>
      <c r="AI15" s="48">
        <f>AE15*AF15*(1+'02_Parametres'!$G$12)</f>
        <v/>
      </c>
    </row>
    <row r="16">
      <c r="A16" s="43">
        <f>'05_Historique'!A17</f>
        <v/>
      </c>
      <c r="B16" s="11">
        <f>'05_Historique'!B17</f>
        <v/>
      </c>
      <c r="C16" s="43">
        <f>'05_Historique'!C17</f>
        <v/>
      </c>
      <c r="D16" s="11">
        <f>'05_Historique'!E17</f>
        <v/>
      </c>
      <c r="E16" s="11">
        <f>'05_Historique'!F17</f>
        <v/>
      </c>
      <c r="F16" s="44">
        <f>'05_Historique'!K17</f>
        <v/>
      </c>
      <c r="G16" s="44">
        <f>'05_Historique'!I17</f>
        <v/>
      </c>
      <c r="H16" s="44">
        <f>'05_Historique'!J17</f>
        <v/>
      </c>
      <c r="I16" s="44">
        <f>'05_Historique'!G17</f>
        <v/>
      </c>
      <c r="J16" s="18">
        <f>'05_Historique'!L17</f>
        <v/>
      </c>
      <c r="K16" s="44">
        <f>'05_Historique'!M17</f>
        <v/>
      </c>
      <c r="L16" s="45">
        <f>INDEX('03_Coeff_Strateg'!$C$6:$C$10,MATCH(A16,'03_Coeff_Strateg'!$B$6:$B$10,0))</f>
        <v/>
      </c>
      <c r="M16" s="45">
        <f>INDEX('03_Coeff_Strateg'!$D$6:$D$10,MATCH(A16,'03_Coeff_Strateg'!$B$6:$B$10,0))</f>
        <v/>
      </c>
      <c r="N16" s="46">
        <f>I16*(1+'02_Parametres'!$G$6*L16)</f>
        <v/>
      </c>
      <c r="O16" s="32">
        <f>IFERROR(G16/I16,0)+'02_Parametres'!$G$8</f>
        <v/>
      </c>
      <c r="P16" s="46">
        <f>N16*O16</f>
        <v/>
      </c>
      <c r="Q16" s="46">
        <f>H16*('02_Parametres'!$G$10/'02_Parametres'!$D$23)</f>
        <v/>
      </c>
      <c r="R16" s="47">
        <f>P16+Q16</f>
        <v/>
      </c>
      <c r="S16" s="48">
        <f>J16*(1+'02_Parametres'!$G$7*M16)</f>
        <v/>
      </c>
      <c r="T16" s="39">
        <f>R16*S16*AC16+P16*'02_Parametres'!$D$22</f>
        <v/>
      </c>
      <c r="U16" s="46">
        <f>IF(R16&lt;=0,0,MAX(1,ROUNDUP(R16/AD16,0)))</f>
        <v/>
      </c>
      <c r="V16" s="39">
        <f>U16*AI16</f>
        <v/>
      </c>
      <c r="W16" s="39">
        <f>R16*AG16*(1+'02_Parametres'!$G$11)</f>
        <v/>
      </c>
      <c r="X16" s="39">
        <f>P16*'02_Parametres'!$G$13</f>
        <v/>
      </c>
      <c r="Y16" s="49">
        <f>T16-V16-W16-X16</f>
        <v/>
      </c>
      <c r="Z16" s="32">
        <f>IFERROR(R16/(U16*AD16),0)</f>
        <v/>
      </c>
      <c r="AA16" s="48">
        <f>IFERROR(Y16/R16,0)</f>
        <v/>
      </c>
      <c r="AB16" s="45">
        <f>IF(E16="ALT",'02_Parametres'!$D$26+(1-'02_Parametres'!$D$26)*'02_Parametres'!$D$25,1)</f>
        <v/>
      </c>
      <c r="AC16" s="45">
        <f>IF(E16="ALT",'02_Parametres'!$G$9+(1-'02_Parametres'!$G$9)*'02_Parametres'!$D$25,1)</f>
        <v/>
      </c>
      <c r="AD16" s="46">
        <f>IFERROR(INDEX('04_Param_Prog'!$C$6:$C$13,MATCH(C16,'04_Param_Prog'!$B$6:$B$13,0)),'02_Parametres'!$D$16)</f>
        <v/>
      </c>
      <c r="AE16" s="46">
        <f>IFERROR(INDEX('04_Param_Prog'!$E$6:$E$13,MATCH(C16,'04_Param_Prog'!$B$6:$B$13,0)),'02_Parametres'!$D$18)</f>
        <v/>
      </c>
      <c r="AF16" s="48">
        <f>IFERROR(INDEX('04_Param_Prog'!$F$6:$F$13,MATCH(C16,'04_Param_Prog'!$B$6:$B$13,0)),'02_Parametres'!$D$19)</f>
        <v/>
      </c>
      <c r="AG16" s="48">
        <f>IFERROR(INDEX('04_Param_Prog'!$G$6:$G$13,MATCH(C16,'04_Param_Prog'!$B$6:$B$13,0)),'02_Parametres'!$D$20)</f>
        <v/>
      </c>
      <c r="AH16" s="46">
        <f>IFERROR(INDEX('04_Param_Prog'!$D$6:$D$13,MATCH(C16,'04_Param_Prog'!$B$6:$B$13,0)),'02_Parametres'!$D$17)</f>
        <v/>
      </c>
      <c r="AI16" s="48">
        <f>AE16*AF16*(1+'02_Parametres'!$G$12)</f>
        <v/>
      </c>
    </row>
    <row r="17">
      <c r="A17" s="43">
        <f>'05_Historique'!A18</f>
        <v/>
      </c>
      <c r="B17" s="11">
        <f>'05_Historique'!B18</f>
        <v/>
      </c>
      <c r="C17" s="43">
        <f>'05_Historique'!C18</f>
        <v/>
      </c>
      <c r="D17" s="11">
        <f>'05_Historique'!E18</f>
        <v/>
      </c>
      <c r="E17" s="11">
        <f>'05_Historique'!F18</f>
        <v/>
      </c>
      <c r="F17" s="44">
        <f>'05_Historique'!K18</f>
        <v/>
      </c>
      <c r="G17" s="44">
        <f>'05_Historique'!I18</f>
        <v/>
      </c>
      <c r="H17" s="44">
        <f>'05_Historique'!J18</f>
        <v/>
      </c>
      <c r="I17" s="44">
        <f>'05_Historique'!G18</f>
        <v/>
      </c>
      <c r="J17" s="18">
        <f>'05_Historique'!L18</f>
        <v/>
      </c>
      <c r="K17" s="44">
        <f>'05_Historique'!M18</f>
        <v/>
      </c>
      <c r="L17" s="45">
        <f>INDEX('03_Coeff_Strateg'!$C$6:$C$10,MATCH(A17,'03_Coeff_Strateg'!$B$6:$B$10,0))</f>
        <v/>
      </c>
      <c r="M17" s="45">
        <f>INDEX('03_Coeff_Strateg'!$D$6:$D$10,MATCH(A17,'03_Coeff_Strateg'!$B$6:$B$10,0))</f>
        <v/>
      </c>
      <c r="N17" s="46">
        <f>I17*(1+'02_Parametres'!$G$6*L17)</f>
        <v/>
      </c>
      <c r="O17" s="32">
        <f>IFERROR(G17/I17,0)+'02_Parametres'!$G$8</f>
        <v/>
      </c>
      <c r="P17" s="46">
        <f>N17*O17</f>
        <v/>
      </c>
      <c r="Q17" s="46">
        <f>H17*('02_Parametres'!$G$10/'02_Parametres'!$D$23)</f>
        <v/>
      </c>
      <c r="R17" s="47">
        <f>P17+Q17</f>
        <v/>
      </c>
      <c r="S17" s="48">
        <f>J17*(1+'02_Parametres'!$G$7*M17)</f>
        <v/>
      </c>
      <c r="T17" s="39">
        <f>R17*S17*AC17+P17*'02_Parametres'!$D$22</f>
        <v/>
      </c>
      <c r="U17" s="46">
        <f>IF(R17&lt;=0,0,MAX(1,ROUNDUP(R17/AD17,0)))</f>
        <v/>
      </c>
      <c r="V17" s="39">
        <f>U17*AI17</f>
        <v/>
      </c>
      <c r="W17" s="39">
        <f>R17*AG17*(1+'02_Parametres'!$G$11)</f>
        <v/>
      </c>
      <c r="X17" s="39">
        <f>P17*'02_Parametres'!$G$13</f>
        <v/>
      </c>
      <c r="Y17" s="49">
        <f>T17-V17-W17-X17</f>
        <v/>
      </c>
      <c r="Z17" s="32">
        <f>IFERROR(R17/(U17*AD17),0)</f>
        <v/>
      </c>
      <c r="AA17" s="48">
        <f>IFERROR(Y17/R17,0)</f>
        <v/>
      </c>
      <c r="AB17" s="45">
        <f>IF(E17="ALT",'02_Parametres'!$D$26+(1-'02_Parametres'!$D$26)*'02_Parametres'!$D$25,1)</f>
        <v/>
      </c>
      <c r="AC17" s="45">
        <f>IF(E17="ALT",'02_Parametres'!$G$9+(1-'02_Parametres'!$G$9)*'02_Parametres'!$D$25,1)</f>
        <v/>
      </c>
      <c r="AD17" s="46">
        <f>IFERROR(INDEX('04_Param_Prog'!$C$6:$C$13,MATCH(C17,'04_Param_Prog'!$B$6:$B$13,0)),'02_Parametres'!$D$16)</f>
        <v/>
      </c>
      <c r="AE17" s="46">
        <f>IFERROR(INDEX('04_Param_Prog'!$E$6:$E$13,MATCH(C17,'04_Param_Prog'!$B$6:$B$13,0)),'02_Parametres'!$D$18)</f>
        <v/>
      </c>
      <c r="AF17" s="48">
        <f>IFERROR(INDEX('04_Param_Prog'!$F$6:$F$13,MATCH(C17,'04_Param_Prog'!$B$6:$B$13,0)),'02_Parametres'!$D$19)</f>
        <v/>
      </c>
      <c r="AG17" s="48">
        <f>IFERROR(INDEX('04_Param_Prog'!$G$6:$G$13,MATCH(C17,'04_Param_Prog'!$B$6:$B$13,0)),'02_Parametres'!$D$20)</f>
        <v/>
      </c>
      <c r="AH17" s="46">
        <f>IFERROR(INDEX('04_Param_Prog'!$D$6:$D$13,MATCH(C17,'04_Param_Prog'!$B$6:$B$13,0)),'02_Parametres'!$D$17)</f>
        <v/>
      </c>
      <c r="AI17" s="48">
        <f>AE17*AF17*(1+'02_Parametres'!$G$12)</f>
        <v/>
      </c>
    </row>
    <row r="18">
      <c r="A18" s="43">
        <f>'05_Historique'!A19</f>
        <v/>
      </c>
      <c r="B18" s="11">
        <f>'05_Historique'!B19</f>
        <v/>
      </c>
      <c r="C18" s="43">
        <f>'05_Historique'!C19</f>
        <v/>
      </c>
      <c r="D18" s="11">
        <f>'05_Historique'!E19</f>
        <v/>
      </c>
      <c r="E18" s="11">
        <f>'05_Historique'!F19</f>
        <v/>
      </c>
      <c r="F18" s="44">
        <f>'05_Historique'!K19</f>
        <v/>
      </c>
      <c r="G18" s="44">
        <f>'05_Historique'!I19</f>
        <v/>
      </c>
      <c r="H18" s="44">
        <f>'05_Historique'!J19</f>
        <v/>
      </c>
      <c r="I18" s="44">
        <f>'05_Historique'!G19</f>
        <v/>
      </c>
      <c r="J18" s="18">
        <f>'05_Historique'!L19</f>
        <v/>
      </c>
      <c r="K18" s="44">
        <f>'05_Historique'!M19</f>
        <v/>
      </c>
      <c r="L18" s="45">
        <f>INDEX('03_Coeff_Strateg'!$C$6:$C$10,MATCH(A18,'03_Coeff_Strateg'!$B$6:$B$10,0))</f>
        <v/>
      </c>
      <c r="M18" s="45">
        <f>INDEX('03_Coeff_Strateg'!$D$6:$D$10,MATCH(A18,'03_Coeff_Strateg'!$B$6:$B$10,0))</f>
        <v/>
      </c>
      <c r="N18" s="46">
        <f>I18*(1+'02_Parametres'!$G$6*L18)</f>
        <v/>
      </c>
      <c r="O18" s="32">
        <f>IFERROR(G18/I18,0)+'02_Parametres'!$G$8</f>
        <v/>
      </c>
      <c r="P18" s="46">
        <f>N18*O18</f>
        <v/>
      </c>
      <c r="Q18" s="46">
        <f>H18*('02_Parametres'!$G$10/'02_Parametres'!$D$23)</f>
        <v/>
      </c>
      <c r="R18" s="47">
        <f>P18+Q18</f>
        <v/>
      </c>
      <c r="S18" s="48">
        <f>J18*(1+'02_Parametres'!$G$7*M18)</f>
        <v/>
      </c>
      <c r="T18" s="39">
        <f>R18*S18*AC18+P18*'02_Parametres'!$D$22</f>
        <v/>
      </c>
      <c r="U18" s="46">
        <f>IF(R18&lt;=0,0,MAX(1,ROUNDUP(R18/AD18,0)))</f>
        <v/>
      </c>
      <c r="V18" s="39">
        <f>U18*AI18</f>
        <v/>
      </c>
      <c r="W18" s="39">
        <f>R18*AG18*(1+'02_Parametres'!$G$11)</f>
        <v/>
      </c>
      <c r="X18" s="39">
        <f>P18*'02_Parametres'!$G$13</f>
        <v/>
      </c>
      <c r="Y18" s="49">
        <f>T18-V18-W18-X18</f>
        <v/>
      </c>
      <c r="Z18" s="32">
        <f>IFERROR(R18/(U18*AD18),0)</f>
        <v/>
      </c>
      <c r="AA18" s="48">
        <f>IFERROR(Y18/R18,0)</f>
        <v/>
      </c>
      <c r="AB18" s="45">
        <f>IF(E18="ALT",'02_Parametres'!$D$26+(1-'02_Parametres'!$D$26)*'02_Parametres'!$D$25,1)</f>
        <v/>
      </c>
      <c r="AC18" s="45">
        <f>IF(E18="ALT",'02_Parametres'!$G$9+(1-'02_Parametres'!$G$9)*'02_Parametres'!$D$25,1)</f>
        <v/>
      </c>
      <c r="AD18" s="46">
        <f>IFERROR(INDEX('04_Param_Prog'!$C$6:$C$13,MATCH(C18,'04_Param_Prog'!$B$6:$B$13,0)),'02_Parametres'!$D$16)</f>
        <v/>
      </c>
      <c r="AE18" s="46">
        <f>IFERROR(INDEX('04_Param_Prog'!$E$6:$E$13,MATCH(C18,'04_Param_Prog'!$B$6:$B$13,0)),'02_Parametres'!$D$18)</f>
        <v/>
      </c>
      <c r="AF18" s="48">
        <f>IFERROR(INDEX('04_Param_Prog'!$F$6:$F$13,MATCH(C18,'04_Param_Prog'!$B$6:$B$13,0)),'02_Parametres'!$D$19)</f>
        <v/>
      </c>
      <c r="AG18" s="48">
        <f>IFERROR(INDEX('04_Param_Prog'!$G$6:$G$13,MATCH(C18,'04_Param_Prog'!$B$6:$B$13,0)),'02_Parametres'!$D$20)</f>
        <v/>
      </c>
      <c r="AH18" s="46">
        <f>IFERROR(INDEX('04_Param_Prog'!$D$6:$D$13,MATCH(C18,'04_Param_Prog'!$B$6:$B$13,0)),'02_Parametres'!$D$17)</f>
        <v/>
      </c>
      <c r="AI18" s="48">
        <f>AE18*AF18*(1+'02_Parametres'!$G$12)</f>
        <v/>
      </c>
    </row>
    <row r="19">
      <c r="A19" s="43">
        <f>'05_Historique'!A20</f>
        <v/>
      </c>
      <c r="B19" s="11">
        <f>'05_Historique'!B20</f>
        <v/>
      </c>
      <c r="C19" s="43">
        <f>'05_Historique'!C20</f>
        <v/>
      </c>
      <c r="D19" s="11">
        <f>'05_Historique'!E20</f>
        <v/>
      </c>
      <c r="E19" s="11">
        <f>'05_Historique'!F20</f>
        <v/>
      </c>
      <c r="F19" s="44">
        <f>'05_Historique'!K20</f>
        <v/>
      </c>
      <c r="G19" s="44">
        <f>'05_Historique'!I20</f>
        <v/>
      </c>
      <c r="H19" s="44">
        <f>'05_Historique'!J20</f>
        <v/>
      </c>
      <c r="I19" s="44">
        <f>'05_Historique'!G20</f>
        <v/>
      </c>
      <c r="J19" s="18">
        <f>'05_Historique'!L20</f>
        <v/>
      </c>
      <c r="K19" s="44">
        <f>'05_Historique'!M20</f>
        <v/>
      </c>
      <c r="L19" s="45">
        <f>INDEX('03_Coeff_Strateg'!$C$6:$C$10,MATCH(A19,'03_Coeff_Strateg'!$B$6:$B$10,0))</f>
        <v/>
      </c>
      <c r="M19" s="45">
        <f>INDEX('03_Coeff_Strateg'!$D$6:$D$10,MATCH(A19,'03_Coeff_Strateg'!$B$6:$B$10,0))</f>
        <v/>
      </c>
      <c r="N19" s="46">
        <f>I19*(1+'02_Parametres'!$G$6*L19)</f>
        <v/>
      </c>
      <c r="O19" s="32">
        <f>IFERROR(G19/I19,0)+'02_Parametres'!$G$8</f>
        <v/>
      </c>
      <c r="P19" s="46">
        <f>N19*O19</f>
        <v/>
      </c>
      <c r="Q19" s="46">
        <f>H19*('02_Parametres'!$G$10/'02_Parametres'!$D$23)</f>
        <v/>
      </c>
      <c r="R19" s="47">
        <f>P19+Q19</f>
        <v/>
      </c>
      <c r="S19" s="48">
        <f>J19*(1+'02_Parametres'!$G$7*M19)</f>
        <v/>
      </c>
      <c r="T19" s="39">
        <f>R19*S19*AC19+P19*'02_Parametres'!$D$22</f>
        <v/>
      </c>
      <c r="U19" s="46">
        <f>IF(R19&lt;=0,0,MAX(1,ROUNDUP(R19/AD19,0)))</f>
        <v/>
      </c>
      <c r="V19" s="39">
        <f>U19*AI19</f>
        <v/>
      </c>
      <c r="W19" s="39">
        <f>R19*AG19*(1+'02_Parametres'!$G$11)</f>
        <v/>
      </c>
      <c r="X19" s="39">
        <f>P19*'02_Parametres'!$G$13</f>
        <v/>
      </c>
      <c r="Y19" s="49">
        <f>T19-V19-W19-X19</f>
        <v/>
      </c>
      <c r="Z19" s="32">
        <f>IFERROR(R19/(U19*AD19),0)</f>
        <v/>
      </c>
      <c r="AA19" s="48">
        <f>IFERROR(Y19/R19,0)</f>
        <v/>
      </c>
      <c r="AB19" s="45">
        <f>IF(E19="ALT",'02_Parametres'!$D$26+(1-'02_Parametres'!$D$26)*'02_Parametres'!$D$25,1)</f>
        <v/>
      </c>
      <c r="AC19" s="45">
        <f>IF(E19="ALT",'02_Parametres'!$G$9+(1-'02_Parametres'!$G$9)*'02_Parametres'!$D$25,1)</f>
        <v/>
      </c>
      <c r="AD19" s="46">
        <f>IFERROR(INDEX('04_Param_Prog'!$C$6:$C$13,MATCH(C19,'04_Param_Prog'!$B$6:$B$13,0)),'02_Parametres'!$D$16)</f>
        <v/>
      </c>
      <c r="AE19" s="46">
        <f>IFERROR(INDEX('04_Param_Prog'!$E$6:$E$13,MATCH(C19,'04_Param_Prog'!$B$6:$B$13,0)),'02_Parametres'!$D$18)</f>
        <v/>
      </c>
      <c r="AF19" s="48">
        <f>IFERROR(INDEX('04_Param_Prog'!$F$6:$F$13,MATCH(C19,'04_Param_Prog'!$B$6:$B$13,0)),'02_Parametres'!$D$19)</f>
        <v/>
      </c>
      <c r="AG19" s="48">
        <f>IFERROR(INDEX('04_Param_Prog'!$G$6:$G$13,MATCH(C19,'04_Param_Prog'!$B$6:$B$13,0)),'02_Parametres'!$D$20)</f>
        <v/>
      </c>
      <c r="AH19" s="46">
        <f>IFERROR(INDEX('04_Param_Prog'!$D$6:$D$13,MATCH(C19,'04_Param_Prog'!$B$6:$B$13,0)),'02_Parametres'!$D$17)</f>
        <v/>
      </c>
      <c r="AI19" s="48">
        <f>AE19*AF19*(1+'02_Parametres'!$G$12)</f>
        <v/>
      </c>
    </row>
    <row r="20">
      <c r="A20" s="43">
        <f>'05_Historique'!A21</f>
        <v/>
      </c>
      <c r="B20" s="11">
        <f>'05_Historique'!B21</f>
        <v/>
      </c>
      <c r="C20" s="43">
        <f>'05_Historique'!C21</f>
        <v/>
      </c>
      <c r="D20" s="11">
        <f>'05_Historique'!E21</f>
        <v/>
      </c>
      <c r="E20" s="11">
        <f>'05_Historique'!F21</f>
        <v/>
      </c>
      <c r="F20" s="44">
        <f>'05_Historique'!K21</f>
        <v/>
      </c>
      <c r="G20" s="44">
        <f>'05_Historique'!I21</f>
        <v/>
      </c>
      <c r="H20" s="44">
        <f>'05_Historique'!J21</f>
        <v/>
      </c>
      <c r="I20" s="44">
        <f>'05_Historique'!G21</f>
        <v/>
      </c>
      <c r="J20" s="18">
        <f>'05_Historique'!L21</f>
        <v/>
      </c>
      <c r="K20" s="44">
        <f>'05_Historique'!M21</f>
        <v/>
      </c>
      <c r="L20" s="45">
        <f>INDEX('03_Coeff_Strateg'!$C$6:$C$10,MATCH(A20,'03_Coeff_Strateg'!$B$6:$B$10,0))</f>
        <v/>
      </c>
      <c r="M20" s="45">
        <f>INDEX('03_Coeff_Strateg'!$D$6:$D$10,MATCH(A20,'03_Coeff_Strateg'!$B$6:$B$10,0))</f>
        <v/>
      </c>
      <c r="N20" s="46">
        <f>I20*(1+'02_Parametres'!$G$6*L20)</f>
        <v/>
      </c>
      <c r="O20" s="32">
        <f>IFERROR(G20/I20,0)+'02_Parametres'!$G$8</f>
        <v/>
      </c>
      <c r="P20" s="46">
        <f>N20*O20</f>
        <v/>
      </c>
      <c r="Q20" s="46">
        <f>H20*('02_Parametres'!$G$10/'02_Parametres'!$D$23)</f>
        <v/>
      </c>
      <c r="R20" s="47">
        <f>P20+Q20</f>
        <v/>
      </c>
      <c r="S20" s="48">
        <f>J20*(1+'02_Parametres'!$G$7*M20)</f>
        <v/>
      </c>
      <c r="T20" s="39">
        <f>R20*S20*AC20+P20*'02_Parametres'!$D$22</f>
        <v/>
      </c>
      <c r="U20" s="46">
        <f>IF(R20&lt;=0,0,MAX(1,ROUNDUP(R20/AD20,0)))</f>
        <v/>
      </c>
      <c r="V20" s="39">
        <f>U20*AI20</f>
        <v/>
      </c>
      <c r="W20" s="39">
        <f>R20*AG20*(1+'02_Parametres'!$G$11)</f>
        <v/>
      </c>
      <c r="X20" s="39">
        <f>P20*'02_Parametres'!$G$13</f>
        <v/>
      </c>
      <c r="Y20" s="49">
        <f>T20-V20-W20-X20</f>
        <v/>
      </c>
      <c r="Z20" s="32">
        <f>IFERROR(R20/(U20*AD20),0)</f>
        <v/>
      </c>
      <c r="AA20" s="48">
        <f>IFERROR(Y20/R20,0)</f>
        <v/>
      </c>
      <c r="AB20" s="45">
        <f>IF(E20="ALT",'02_Parametres'!$D$26+(1-'02_Parametres'!$D$26)*'02_Parametres'!$D$25,1)</f>
        <v/>
      </c>
      <c r="AC20" s="45">
        <f>IF(E20="ALT",'02_Parametres'!$G$9+(1-'02_Parametres'!$G$9)*'02_Parametres'!$D$25,1)</f>
        <v/>
      </c>
      <c r="AD20" s="46">
        <f>IFERROR(INDEX('04_Param_Prog'!$C$6:$C$13,MATCH(C20,'04_Param_Prog'!$B$6:$B$13,0)),'02_Parametres'!$D$16)</f>
        <v/>
      </c>
      <c r="AE20" s="46">
        <f>IFERROR(INDEX('04_Param_Prog'!$E$6:$E$13,MATCH(C20,'04_Param_Prog'!$B$6:$B$13,0)),'02_Parametres'!$D$18)</f>
        <v/>
      </c>
      <c r="AF20" s="48">
        <f>IFERROR(INDEX('04_Param_Prog'!$F$6:$F$13,MATCH(C20,'04_Param_Prog'!$B$6:$B$13,0)),'02_Parametres'!$D$19)</f>
        <v/>
      </c>
      <c r="AG20" s="48">
        <f>IFERROR(INDEX('04_Param_Prog'!$G$6:$G$13,MATCH(C20,'04_Param_Prog'!$B$6:$B$13,0)),'02_Parametres'!$D$20)</f>
        <v/>
      </c>
      <c r="AH20" s="46">
        <f>IFERROR(INDEX('04_Param_Prog'!$D$6:$D$13,MATCH(C20,'04_Param_Prog'!$B$6:$B$13,0)),'02_Parametres'!$D$17)</f>
        <v/>
      </c>
      <c r="AI20" s="48">
        <f>AE20*AF20*(1+'02_Parametres'!$G$12)</f>
        <v/>
      </c>
    </row>
    <row r="21">
      <c r="A21" s="43">
        <f>'05_Historique'!A22</f>
        <v/>
      </c>
      <c r="B21" s="11">
        <f>'05_Historique'!B22</f>
        <v/>
      </c>
      <c r="C21" s="43">
        <f>'05_Historique'!C22</f>
        <v/>
      </c>
      <c r="D21" s="11">
        <f>'05_Historique'!E22</f>
        <v/>
      </c>
      <c r="E21" s="11">
        <f>'05_Historique'!F22</f>
        <v/>
      </c>
      <c r="F21" s="44">
        <f>'05_Historique'!K22</f>
        <v/>
      </c>
      <c r="G21" s="44">
        <f>'05_Historique'!I22</f>
        <v/>
      </c>
      <c r="H21" s="44">
        <f>'05_Historique'!J22</f>
        <v/>
      </c>
      <c r="I21" s="44">
        <f>'05_Historique'!G22</f>
        <v/>
      </c>
      <c r="J21" s="18">
        <f>'05_Historique'!L22</f>
        <v/>
      </c>
      <c r="K21" s="44">
        <f>'05_Historique'!M22</f>
        <v/>
      </c>
      <c r="L21" s="45">
        <f>INDEX('03_Coeff_Strateg'!$C$6:$C$10,MATCH(A21,'03_Coeff_Strateg'!$B$6:$B$10,0))</f>
        <v/>
      </c>
      <c r="M21" s="45">
        <f>INDEX('03_Coeff_Strateg'!$D$6:$D$10,MATCH(A21,'03_Coeff_Strateg'!$B$6:$B$10,0))</f>
        <v/>
      </c>
      <c r="N21" s="46">
        <f>I21*(1+'02_Parametres'!$G$6*L21)</f>
        <v/>
      </c>
      <c r="O21" s="32">
        <f>IFERROR(G21/I21,0)+'02_Parametres'!$G$8</f>
        <v/>
      </c>
      <c r="P21" s="46">
        <f>N21*O21</f>
        <v/>
      </c>
      <c r="Q21" s="46">
        <f>H21*('02_Parametres'!$G$10/'02_Parametres'!$D$23)</f>
        <v/>
      </c>
      <c r="R21" s="47">
        <f>P21+Q21</f>
        <v/>
      </c>
      <c r="S21" s="48">
        <f>J21*(1+'02_Parametres'!$G$7*M21)</f>
        <v/>
      </c>
      <c r="T21" s="39">
        <f>R21*S21*AC21+P21*'02_Parametres'!$D$22</f>
        <v/>
      </c>
      <c r="U21" s="46">
        <f>IF(R21&lt;=0,0,MAX(1,ROUNDUP(R21/AD21,0)))</f>
        <v/>
      </c>
      <c r="V21" s="39">
        <f>U21*AI21</f>
        <v/>
      </c>
      <c r="W21" s="39">
        <f>R21*AG21*(1+'02_Parametres'!$G$11)</f>
        <v/>
      </c>
      <c r="X21" s="39">
        <f>P21*'02_Parametres'!$G$13</f>
        <v/>
      </c>
      <c r="Y21" s="49">
        <f>T21-V21-W21-X21</f>
        <v/>
      </c>
      <c r="Z21" s="32">
        <f>IFERROR(R21/(U21*AD21),0)</f>
        <v/>
      </c>
      <c r="AA21" s="48">
        <f>IFERROR(Y21/R21,0)</f>
        <v/>
      </c>
      <c r="AB21" s="45">
        <f>IF(E21="ALT",'02_Parametres'!$D$26+(1-'02_Parametres'!$D$26)*'02_Parametres'!$D$25,1)</f>
        <v/>
      </c>
      <c r="AC21" s="45">
        <f>IF(E21="ALT",'02_Parametres'!$G$9+(1-'02_Parametres'!$G$9)*'02_Parametres'!$D$25,1)</f>
        <v/>
      </c>
      <c r="AD21" s="46">
        <f>IFERROR(INDEX('04_Param_Prog'!$C$6:$C$13,MATCH(C21,'04_Param_Prog'!$B$6:$B$13,0)),'02_Parametres'!$D$16)</f>
        <v/>
      </c>
      <c r="AE21" s="46">
        <f>IFERROR(INDEX('04_Param_Prog'!$E$6:$E$13,MATCH(C21,'04_Param_Prog'!$B$6:$B$13,0)),'02_Parametres'!$D$18)</f>
        <v/>
      </c>
      <c r="AF21" s="48">
        <f>IFERROR(INDEX('04_Param_Prog'!$F$6:$F$13,MATCH(C21,'04_Param_Prog'!$B$6:$B$13,0)),'02_Parametres'!$D$19)</f>
        <v/>
      </c>
      <c r="AG21" s="48">
        <f>IFERROR(INDEX('04_Param_Prog'!$G$6:$G$13,MATCH(C21,'04_Param_Prog'!$B$6:$B$13,0)),'02_Parametres'!$D$20)</f>
        <v/>
      </c>
      <c r="AH21" s="46">
        <f>IFERROR(INDEX('04_Param_Prog'!$D$6:$D$13,MATCH(C21,'04_Param_Prog'!$B$6:$B$13,0)),'02_Parametres'!$D$17)</f>
        <v/>
      </c>
      <c r="AI21" s="48">
        <f>AE21*AF21*(1+'02_Parametres'!$G$12)</f>
        <v/>
      </c>
    </row>
    <row r="22">
      <c r="A22" s="43">
        <f>'05_Historique'!A23</f>
        <v/>
      </c>
      <c r="B22" s="11">
        <f>'05_Historique'!B23</f>
        <v/>
      </c>
      <c r="C22" s="43">
        <f>'05_Historique'!C23</f>
        <v/>
      </c>
      <c r="D22" s="11">
        <f>'05_Historique'!E23</f>
        <v/>
      </c>
      <c r="E22" s="11">
        <f>'05_Historique'!F23</f>
        <v/>
      </c>
      <c r="F22" s="44">
        <f>'05_Historique'!K23</f>
        <v/>
      </c>
      <c r="G22" s="44">
        <f>'05_Historique'!I23</f>
        <v/>
      </c>
      <c r="H22" s="44">
        <f>'05_Historique'!J23</f>
        <v/>
      </c>
      <c r="I22" s="44">
        <f>'05_Historique'!G23</f>
        <v/>
      </c>
      <c r="J22" s="18">
        <f>'05_Historique'!L23</f>
        <v/>
      </c>
      <c r="K22" s="44">
        <f>'05_Historique'!M23</f>
        <v/>
      </c>
      <c r="L22" s="45">
        <f>INDEX('03_Coeff_Strateg'!$C$6:$C$10,MATCH(A22,'03_Coeff_Strateg'!$B$6:$B$10,0))</f>
        <v/>
      </c>
      <c r="M22" s="45">
        <f>INDEX('03_Coeff_Strateg'!$D$6:$D$10,MATCH(A22,'03_Coeff_Strateg'!$B$6:$B$10,0))</f>
        <v/>
      </c>
      <c r="N22" s="46">
        <f>I22*(1+'02_Parametres'!$G$6*L22)</f>
        <v/>
      </c>
      <c r="O22" s="32">
        <f>IFERROR(G22/I22,0)+'02_Parametres'!$G$8</f>
        <v/>
      </c>
      <c r="P22" s="46">
        <f>N22*O22</f>
        <v/>
      </c>
      <c r="Q22" s="46">
        <f>H22*('02_Parametres'!$G$10/'02_Parametres'!$D$23)</f>
        <v/>
      </c>
      <c r="R22" s="47">
        <f>P22+Q22</f>
        <v/>
      </c>
      <c r="S22" s="48">
        <f>J22*(1+'02_Parametres'!$G$7*M22)</f>
        <v/>
      </c>
      <c r="T22" s="39">
        <f>R22*S22*AC22+P22*'02_Parametres'!$D$22</f>
        <v/>
      </c>
      <c r="U22" s="46">
        <f>IF(R22&lt;=0,0,MAX(1,ROUNDUP(R22/AD22,0)))</f>
        <v/>
      </c>
      <c r="V22" s="39">
        <f>U22*AI22</f>
        <v/>
      </c>
      <c r="W22" s="39">
        <f>R22*AG22*(1+'02_Parametres'!$G$11)</f>
        <v/>
      </c>
      <c r="X22" s="39">
        <f>P22*'02_Parametres'!$G$13</f>
        <v/>
      </c>
      <c r="Y22" s="49">
        <f>T22-V22-W22-X22</f>
        <v/>
      </c>
      <c r="Z22" s="32">
        <f>IFERROR(R22/(U22*AD22),0)</f>
        <v/>
      </c>
      <c r="AA22" s="48">
        <f>IFERROR(Y22/R22,0)</f>
        <v/>
      </c>
      <c r="AB22" s="45">
        <f>IF(E22="ALT",'02_Parametres'!$D$26+(1-'02_Parametres'!$D$26)*'02_Parametres'!$D$25,1)</f>
        <v/>
      </c>
      <c r="AC22" s="45">
        <f>IF(E22="ALT",'02_Parametres'!$G$9+(1-'02_Parametres'!$G$9)*'02_Parametres'!$D$25,1)</f>
        <v/>
      </c>
      <c r="AD22" s="46">
        <f>IFERROR(INDEX('04_Param_Prog'!$C$6:$C$13,MATCH(C22,'04_Param_Prog'!$B$6:$B$13,0)),'02_Parametres'!$D$16)</f>
        <v/>
      </c>
      <c r="AE22" s="46">
        <f>IFERROR(INDEX('04_Param_Prog'!$E$6:$E$13,MATCH(C22,'04_Param_Prog'!$B$6:$B$13,0)),'02_Parametres'!$D$18)</f>
        <v/>
      </c>
      <c r="AF22" s="48">
        <f>IFERROR(INDEX('04_Param_Prog'!$F$6:$F$13,MATCH(C22,'04_Param_Prog'!$B$6:$B$13,0)),'02_Parametres'!$D$19)</f>
        <v/>
      </c>
      <c r="AG22" s="48">
        <f>IFERROR(INDEX('04_Param_Prog'!$G$6:$G$13,MATCH(C22,'04_Param_Prog'!$B$6:$B$13,0)),'02_Parametres'!$D$20)</f>
        <v/>
      </c>
      <c r="AH22" s="46">
        <f>IFERROR(INDEX('04_Param_Prog'!$D$6:$D$13,MATCH(C22,'04_Param_Prog'!$B$6:$B$13,0)),'02_Parametres'!$D$17)</f>
        <v/>
      </c>
      <c r="AI22" s="48">
        <f>AE22*AF22*(1+'02_Parametres'!$G$12)</f>
        <v/>
      </c>
    </row>
    <row r="23">
      <c r="A23" s="43">
        <f>'05_Historique'!A24</f>
        <v/>
      </c>
      <c r="B23" s="11">
        <f>'05_Historique'!B24</f>
        <v/>
      </c>
      <c r="C23" s="43">
        <f>'05_Historique'!C24</f>
        <v/>
      </c>
      <c r="D23" s="11">
        <f>'05_Historique'!E24</f>
        <v/>
      </c>
      <c r="E23" s="11">
        <f>'05_Historique'!F24</f>
        <v/>
      </c>
      <c r="F23" s="44">
        <f>'05_Historique'!K24</f>
        <v/>
      </c>
      <c r="G23" s="44">
        <f>'05_Historique'!I24</f>
        <v/>
      </c>
      <c r="H23" s="44">
        <f>'05_Historique'!J24</f>
        <v/>
      </c>
      <c r="I23" s="44">
        <f>'05_Historique'!G24</f>
        <v/>
      </c>
      <c r="J23" s="18">
        <f>'05_Historique'!L24</f>
        <v/>
      </c>
      <c r="K23" s="44">
        <f>'05_Historique'!M24</f>
        <v/>
      </c>
      <c r="L23" s="45">
        <f>INDEX('03_Coeff_Strateg'!$C$6:$C$10,MATCH(A23,'03_Coeff_Strateg'!$B$6:$B$10,0))</f>
        <v/>
      </c>
      <c r="M23" s="45">
        <f>INDEX('03_Coeff_Strateg'!$D$6:$D$10,MATCH(A23,'03_Coeff_Strateg'!$B$6:$B$10,0))</f>
        <v/>
      </c>
      <c r="N23" s="46">
        <f>I23*(1+'02_Parametres'!$G$6*L23)</f>
        <v/>
      </c>
      <c r="O23" s="32">
        <f>IFERROR(G23/I23,0)+'02_Parametres'!$G$8</f>
        <v/>
      </c>
      <c r="P23" s="46">
        <f>N23*O23</f>
        <v/>
      </c>
      <c r="Q23" s="46">
        <f>H23*('02_Parametres'!$G$10/'02_Parametres'!$D$23)</f>
        <v/>
      </c>
      <c r="R23" s="47">
        <f>P23+Q23</f>
        <v/>
      </c>
      <c r="S23" s="48">
        <f>J23*(1+'02_Parametres'!$G$7*M23)</f>
        <v/>
      </c>
      <c r="T23" s="39">
        <f>R23*S23*AC23+P23*'02_Parametres'!$D$22</f>
        <v/>
      </c>
      <c r="U23" s="46">
        <f>IF(R23&lt;=0,0,MAX(1,ROUNDUP(R23/AD23,0)))</f>
        <v/>
      </c>
      <c r="V23" s="39">
        <f>U23*AI23</f>
        <v/>
      </c>
      <c r="W23" s="39">
        <f>R23*AG23*(1+'02_Parametres'!$G$11)</f>
        <v/>
      </c>
      <c r="X23" s="39">
        <f>P23*'02_Parametres'!$G$13</f>
        <v/>
      </c>
      <c r="Y23" s="49">
        <f>T23-V23-W23-X23</f>
        <v/>
      </c>
      <c r="Z23" s="32">
        <f>IFERROR(R23/(U23*AD23),0)</f>
        <v/>
      </c>
      <c r="AA23" s="48">
        <f>IFERROR(Y23/R23,0)</f>
        <v/>
      </c>
      <c r="AB23" s="45">
        <f>IF(E23="ALT",'02_Parametres'!$D$26+(1-'02_Parametres'!$D$26)*'02_Parametres'!$D$25,1)</f>
        <v/>
      </c>
      <c r="AC23" s="45">
        <f>IF(E23="ALT",'02_Parametres'!$G$9+(1-'02_Parametres'!$G$9)*'02_Parametres'!$D$25,1)</f>
        <v/>
      </c>
      <c r="AD23" s="46">
        <f>IFERROR(INDEX('04_Param_Prog'!$C$6:$C$13,MATCH(C23,'04_Param_Prog'!$B$6:$B$13,0)),'02_Parametres'!$D$16)</f>
        <v/>
      </c>
      <c r="AE23" s="46">
        <f>IFERROR(INDEX('04_Param_Prog'!$E$6:$E$13,MATCH(C23,'04_Param_Prog'!$B$6:$B$13,0)),'02_Parametres'!$D$18)</f>
        <v/>
      </c>
      <c r="AF23" s="48">
        <f>IFERROR(INDEX('04_Param_Prog'!$F$6:$F$13,MATCH(C23,'04_Param_Prog'!$B$6:$B$13,0)),'02_Parametres'!$D$19)</f>
        <v/>
      </c>
      <c r="AG23" s="48">
        <f>IFERROR(INDEX('04_Param_Prog'!$G$6:$G$13,MATCH(C23,'04_Param_Prog'!$B$6:$B$13,0)),'02_Parametres'!$D$20)</f>
        <v/>
      </c>
      <c r="AH23" s="46">
        <f>IFERROR(INDEX('04_Param_Prog'!$D$6:$D$13,MATCH(C23,'04_Param_Prog'!$B$6:$B$13,0)),'02_Parametres'!$D$17)</f>
        <v/>
      </c>
      <c r="AI23" s="48">
        <f>AE23*AF23*(1+'02_Parametres'!$G$12)</f>
        <v/>
      </c>
    </row>
    <row r="24">
      <c r="A24" s="43">
        <f>'05_Historique'!A25</f>
        <v/>
      </c>
      <c r="B24" s="11">
        <f>'05_Historique'!B25</f>
        <v/>
      </c>
      <c r="C24" s="43">
        <f>'05_Historique'!C25</f>
        <v/>
      </c>
      <c r="D24" s="11">
        <f>'05_Historique'!E25</f>
        <v/>
      </c>
      <c r="E24" s="11">
        <f>'05_Historique'!F25</f>
        <v/>
      </c>
      <c r="F24" s="44">
        <f>'05_Historique'!K25</f>
        <v/>
      </c>
      <c r="G24" s="44">
        <f>'05_Historique'!I25</f>
        <v/>
      </c>
      <c r="H24" s="44">
        <f>'05_Historique'!J25</f>
        <v/>
      </c>
      <c r="I24" s="44">
        <f>'05_Historique'!G25</f>
        <v/>
      </c>
      <c r="J24" s="18">
        <f>'05_Historique'!L25</f>
        <v/>
      </c>
      <c r="K24" s="44">
        <f>'05_Historique'!M25</f>
        <v/>
      </c>
      <c r="L24" s="45">
        <f>INDEX('03_Coeff_Strateg'!$C$6:$C$10,MATCH(A24,'03_Coeff_Strateg'!$B$6:$B$10,0))</f>
        <v/>
      </c>
      <c r="M24" s="45">
        <f>INDEX('03_Coeff_Strateg'!$D$6:$D$10,MATCH(A24,'03_Coeff_Strateg'!$B$6:$B$10,0))</f>
        <v/>
      </c>
      <c r="N24" s="46">
        <f>I24*(1+'02_Parametres'!$G$6*L24)</f>
        <v/>
      </c>
      <c r="O24" s="32">
        <f>IFERROR(G24/I24,0)+'02_Parametres'!$G$8</f>
        <v/>
      </c>
      <c r="P24" s="46">
        <f>N24*O24</f>
        <v/>
      </c>
      <c r="Q24" s="46">
        <f>H24*('02_Parametres'!$G$10/'02_Parametres'!$D$23)</f>
        <v/>
      </c>
      <c r="R24" s="47">
        <f>P24+Q24</f>
        <v/>
      </c>
      <c r="S24" s="48">
        <f>J24*(1+'02_Parametres'!$G$7*M24)</f>
        <v/>
      </c>
      <c r="T24" s="39">
        <f>R24*S24*AC24+P24*'02_Parametres'!$D$22</f>
        <v/>
      </c>
      <c r="U24" s="46">
        <f>IF(R24&lt;=0,0,MAX(1,ROUNDUP(R24/AD24,0)))</f>
        <v/>
      </c>
      <c r="V24" s="39">
        <f>U24*AI24</f>
        <v/>
      </c>
      <c r="W24" s="39">
        <f>R24*AG24*(1+'02_Parametres'!$G$11)</f>
        <v/>
      </c>
      <c r="X24" s="39">
        <f>P24*'02_Parametres'!$G$13</f>
        <v/>
      </c>
      <c r="Y24" s="49">
        <f>T24-V24-W24-X24</f>
        <v/>
      </c>
      <c r="Z24" s="32">
        <f>IFERROR(R24/(U24*AD24),0)</f>
        <v/>
      </c>
      <c r="AA24" s="48">
        <f>IFERROR(Y24/R24,0)</f>
        <v/>
      </c>
      <c r="AB24" s="45">
        <f>IF(E24="ALT",'02_Parametres'!$D$26+(1-'02_Parametres'!$D$26)*'02_Parametres'!$D$25,1)</f>
        <v/>
      </c>
      <c r="AC24" s="45">
        <f>IF(E24="ALT",'02_Parametres'!$G$9+(1-'02_Parametres'!$G$9)*'02_Parametres'!$D$25,1)</f>
        <v/>
      </c>
      <c r="AD24" s="46">
        <f>IFERROR(INDEX('04_Param_Prog'!$C$6:$C$13,MATCH(C24,'04_Param_Prog'!$B$6:$B$13,0)),'02_Parametres'!$D$16)</f>
        <v/>
      </c>
      <c r="AE24" s="46">
        <f>IFERROR(INDEX('04_Param_Prog'!$E$6:$E$13,MATCH(C24,'04_Param_Prog'!$B$6:$B$13,0)),'02_Parametres'!$D$18)</f>
        <v/>
      </c>
      <c r="AF24" s="48">
        <f>IFERROR(INDEX('04_Param_Prog'!$F$6:$F$13,MATCH(C24,'04_Param_Prog'!$B$6:$B$13,0)),'02_Parametres'!$D$19)</f>
        <v/>
      </c>
      <c r="AG24" s="48">
        <f>IFERROR(INDEX('04_Param_Prog'!$G$6:$G$13,MATCH(C24,'04_Param_Prog'!$B$6:$B$13,0)),'02_Parametres'!$D$20)</f>
        <v/>
      </c>
      <c r="AH24" s="46">
        <f>IFERROR(INDEX('04_Param_Prog'!$D$6:$D$13,MATCH(C24,'04_Param_Prog'!$B$6:$B$13,0)),'02_Parametres'!$D$17)</f>
        <v/>
      </c>
      <c r="AI24" s="48">
        <f>AE24*AF24*(1+'02_Parametres'!$G$12)</f>
        <v/>
      </c>
    </row>
    <row r="25">
      <c r="A25" s="43">
        <f>'05_Historique'!A26</f>
        <v/>
      </c>
      <c r="B25" s="11">
        <f>'05_Historique'!B26</f>
        <v/>
      </c>
      <c r="C25" s="43">
        <f>'05_Historique'!C26</f>
        <v/>
      </c>
      <c r="D25" s="11">
        <f>'05_Historique'!E26</f>
        <v/>
      </c>
      <c r="E25" s="11">
        <f>'05_Historique'!F26</f>
        <v/>
      </c>
      <c r="F25" s="44">
        <f>'05_Historique'!K26</f>
        <v/>
      </c>
      <c r="G25" s="44">
        <f>'05_Historique'!I26</f>
        <v/>
      </c>
      <c r="H25" s="44">
        <f>'05_Historique'!J26</f>
        <v/>
      </c>
      <c r="I25" s="44">
        <f>'05_Historique'!G26</f>
        <v/>
      </c>
      <c r="J25" s="18">
        <f>'05_Historique'!L26</f>
        <v/>
      </c>
      <c r="K25" s="44">
        <f>'05_Historique'!M26</f>
        <v/>
      </c>
      <c r="L25" s="45">
        <f>INDEX('03_Coeff_Strateg'!$C$6:$C$10,MATCH(A25,'03_Coeff_Strateg'!$B$6:$B$10,0))</f>
        <v/>
      </c>
      <c r="M25" s="45">
        <f>INDEX('03_Coeff_Strateg'!$D$6:$D$10,MATCH(A25,'03_Coeff_Strateg'!$B$6:$B$10,0))</f>
        <v/>
      </c>
      <c r="N25" s="46">
        <f>I25*(1+'02_Parametres'!$G$6*L25)</f>
        <v/>
      </c>
      <c r="O25" s="32">
        <f>IFERROR(G25/I25,0)+'02_Parametres'!$G$8</f>
        <v/>
      </c>
      <c r="P25" s="46">
        <f>N25*O25</f>
        <v/>
      </c>
      <c r="Q25" s="46">
        <f>H25*('02_Parametres'!$G$10/'02_Parametres'!$D$23)</f>
        <v/>
      </c>
      <c r="R25" s="47">
        <f>P25+Q25</f>
        <v/>
      </c>
      <c r="S25" s="48">
        <f>J25*(1+'02_Parametres'!$G$7*M25)</f>
        <v/>
      </c>
      <c r="T25" s="39">
        <f>R25*S25*AC25+P25*'02_Parametres'!$D$22</f>
        <v/>
      </c>
      <c r="U25" s="46">
        <f>IF(R25&lt;=0,0,MAX(1,ROUNDUP(R25/AD25,0)))</f>
        <v/>
      </c>
      <c r="V25" s="39">
        <f>U25*AI25</f>
        <v/>
      </c>
      <c r="W25" s="39">
        <f>R25*AG25*(1+'02_Parametres'!$G$11)</f>
        <v/>
      </c>
      <c r="X25" s="39">
        <f>P25*'02_Parametres'!$G$13</f>
        <v/>
      </c>
      <c r="Y25" s="49">
        <f>T25-V25-W25-X25</f>
        <v/>
      </c>
      <c r="Z25" s="32">
        <f>IFERROR(R25/(U25*AD25),0)</f>
        <v/>
      </c>
      <c r="AA25" s="48">
        <f>IFERROR(Y25/R25,0)</f>
        <v/>
      </c>
      <c r="AB25" s="45">
        <f>IF(E25="ALT",'02_Parametres'!$D$26+(1-'02_Parametres'!$D$26)*'02_Parametres'!$D$25,1)</f>
        <v/>
      </c>
      <c r="AC25" s="45">
        <f>IF(E25="ALT",'02_Parametres'!$G$9+(1-'02_Parametres'!$G$9)*'02_Parametres'!$D$25,1)</f>
        <v/>
      </c>
      <c r="AD25" s="46">
        <f>IFERROR(INDEX('04_Param_Prog'!$C$6:$C$13,MATCH(C25,'04_Param_Prog'!$B$6:$B$13,0)),'02_Parametres'!$D$16)</f>
        <v/>
      </c>
      <c r="AE25" s="46">
        <f>IFERROR(INDEX('04_Param_Prog'!$E$6:$E$13,MATCH(C25,'04_Param_Prog'!$B$6:$B$13,0)),'02_Parametres'!$D$18)</f>
        <v/>
      </c>
      <c r="AF25" s="48">
        <f>IFERROR(INDEX('04_Param_Prog'!$F$6:$F$13,MATCH(C25,'04_Param_Prog'!$B$6:$B$13,0)),'02_Parametres'!$D$19)</f>
        <v/>
      </c>
      <c r="AG25" s="48">
        <f>IFERROR(INDEX('04_Param_Prog'!$G$6:$G$13,MATCH(C25,'04_Param_Prog'!$B$6:$B$13,0)),'02_Parametres'!$D$20)</f>
        <v/>
      </c>
      <c r="AH25" s="46">
        <f>IFERROR(INDEX('04_Param_Prog'!$D$6:$D$13,MATCH(C25,'04_Param_Prog'!$B$6:$B$13,0)),'02_Parametres'!$D$17)</f>
        <v/>
      </c>
      <c r="AI25" s="48">
        <f>AE25*AF25*(1+'02_Parametres'!$G$12)</f>
        <v/>
      </c>
    </row>
    <row r="26">
      <c r="A26" s="43">
        <f>'05_Historique'!A27</f>
        <v/>
      </c>
      <c r="B26" s="11">
        <f>'05_Historique'!B27</f>
        <v/>
      </c>
      <c r="C26" s="43">
        <f>'05_Historique'!C27</f>
        <v/>
      </c>
      <c r="D26" s="11">
        <f>'05_Historique'!E27</f>
        <v/>
      </c>
      <c r="E26" s="11">
        <f>'05_Historique'!F27</f>
        <v/>
      </c>
      <c r="F26" s="44">
        <f>'05_Historique'!K27</f>
        <v/>
      </c>
      <c r="G26" s="44">
        <f>'05_Historique'!I27</f>
        <v/>
      </c>
      <c r="H26" s="44">
        <f>'05_Historique'!J27</f>
        <v/>
      </c>
      <c r="I26" s="44">
        <f>'05_Historique'!G27</f>
        <v/>
      </c>
      <c r="J26" s="18">
        <f>'05_Historique'!L27</f>
        <v/>
      </c>
      <c r="K26" s="44">
        <f>'05_Historique'!M27</f>
        <v/>
      </c>
      <c r="L26" s="45">
        <f>INDEX('03_Coeff_Strateg'!$C$6:$C$10,MATCH(A26,'03_Coeff_Strateg'!$B$6:$B$10,0))</f>
        <v/>
      </c>
      <c r="M26" s="45">
        <f>INDEX('03_Coeff_Strateg'!$D$6:$D$10,MATCH(A26,'03_Coeff_Strateg'!$B$6:$B$10,0))</f>
        <v/>
      </c>
      <c r="N26" s="46">
        <f>I26*(1+'02_Parametres'!$G$6*L26)</f>
        <v/>
      </c>
      <c r="O26" s="32">
        <f>IFERROR(G26/I26,0)+'02_Parametres'!$G$8</f>
        <v/>
      </c>
      <c r="P26" s="46">
        <f>N26*O26</f>
        <v/>
      </c>
      <c r="Q26" s="46">
        <f>H26*('02_Parametres'!$G$10/'02_Parametres'!$D$23)</f>
        <v/>
      </c>
      <c r="R26" s="47">
        <f>P26+Q26</f>
        <v/>
      </c>
      <c r="S26" s="48">
        <f>J26*(1+'02_Parametres'!$G$7*M26)</f>
        <v/>
      </c>
      <c r="T26" s="39">
        <f>R26*S26*AC26+P26*'02_Parametres'!$D$22</f>
        <v/>
      </c>
      <c r="U26" s="46">
        <f>IF(R26&lt;=0,0,MAX(1,ROUNDUP(R26/AD26,0)))</f>
        <v/>
      </c>
      <c r="V26" s="39">
        <f>U26*AI26</f>
        <v/>
      </c>
      <c r="W26" s="39">
        <f>R26*AG26*(1+'02_Parametres'!$G$11)</f>
        <v/>
      </c>
      <c r="X26" s="39">
        <f>P26*'02_Parametres'!$G$13</f>
        <v/>
      </c>
      <c r="Y26" s="49">
        <f>T26-V26-W26-X26</f>
        <v/>
      </c>
      <c r="Z26" s="32">
        <f>IFERROR(R26/(U26*AD26),0)</f>
        <v/>
      </c>
      <c r="AA26" s="48">
        <f>IFERROR(Y26/R26,0)</f>
        <v/>
      </c>
      <c r="AB26" s="45">
        <f>IF(E26="ALT",'02_Parametres'!$D$26+(1-'02_Parametres'!$D$26)*'02_Parametres'!$D$25,1)</f>
        <v/>
      </c>
      <c r="AC26" s="45">
        <f>IF(E26="ALT",'02_Parametres'!$G$9+(1-'02_Parametres'!$G$9)*'02_Parametres'!$D$25,1)</f>
        <v/>
      </c>
      <c r="AD26" s="46">
        <f>IFERROR(INDEX('04_Param_Prog'!$C$6:$C$13,MATCH(C26,'04_Param_Prog'!$B$6:$B$13,0)),'02_Parametres'!$D$16)</f>
        <v/>
      </c>
      <c r="AE26" s="46">
        <f>IFERROR(INDEX('04_Param_Prog'!$E$6:$E$13,MATCH(C26,'04_Param_Prog'!$B$6:$B$13,0)),'02_Parametres'!$D$18)</f>
        <v/>
      </c>
      <c r="AF26" s="48">
        <f>IFERROR(INDEX('04_Param_Prog'!$F$6:$F$13,MATCH(C26,'04_Param_Prog'!$B$6:$B$13,0)),'02_Parametres'!$D$19)</f>
        <v/>
      </c>
      <c r="AG26" s="48">
        <f>IFERROR(INDEX('04_Param_Prog'!$G$6:$G$13,MATCH(C26,'04_Param_Prog'!$B$6:$B$13,0)),'02_Parametres'!$D$20)</f>
        <v/>
      </c>
      <c r="AH26" s="46">
        <f>IFERROR(INDEX('04_Param_Prog'!$D$6:$D$13,MATCH(C26,'04_Param_Prog'!$B$6:$B$13,0)),'02_Parametres'!$D$17)</f>
        <v/>
      </c>
      <c r="AI26" s="48">
        <f>AE26*AF26*(1+'02_Parametres'!$G$12)</f>
        <v/>
      </c>
    </row>
    <row r="27">
      <c r="A27" s="43">
        <f>'05_Historique'!A28</f>
        <v/>
      </c>
      <c r="B27" s="11">
        <f>'05_Historique'!B28</f>
        <v/>
      </c>
      <c r="C27" s="43">
        <f>'05_Historique'!C28</f>
        <v/>
      </c>
      <c r="D27" s="11">
        <f>'05_Historique'!E28</f>
        <v/>
      </c>
      <c r="E27" s="11">
        <f>'05_Historique'!F28</f>
        <v/>
      </c>
      <c r="F27" s="44">
        <f>'05_Historique'!K28</f>
        <v/>
      </c>
      <c r="G27" s="44">
        <f>'05_Historique'!I28</f>
        <v/>
      </c>
      <c r="H27" s="44">
        <f>'05_Historique'!J28</f>
        <v/>
      </c>
      <c r="I27" s="44">
        <f>'05_Historique'!G28</f>
        <v/>
      </c>
      <c r="J27" s="18">
        <f>'05_Historique'!L28</f>
        <v/>
      </c>
      <c r="K27" s="44">
        <f>'05_Historique'!M28</f>
        <v/>
      </c>
      <c r="L27" s="45">
        <f>INDEX('03_Coeff_Strateg'!$C$6:$C$10,MATCH(A27,'03_Coeff_Strateg'!$B$6:$B$10,0))</f>
        <v/>
      </c>
      <c r="M27" s="45">
        <f>INDEX('03_Coeff_Strateg'!$D$6:$D$10,MATCH(A27,'03_Coeff_Strateg'!$B$6:$B$10,0))</f>
        <v/>
      </c>
      <c r="N27" s="46">
        <f>I27*(1+'02_Parametres'!$G$6*L27)</f>
        <v/>
      </c>
      <c r="O27" s="32">
        <f>IFERROR(G27/I27,0)+'02_Parametres'!$G$8</f>
        <v/>
      </c>
      <c r="P27" s="46">
        <f>N27*O27</f>
        <v/>
      </c>
      <c r="Q27" s="46">
        <f>H27*('02_Parametres'!$G$10/'02_Parametres'!$D$23)</f>
        <v/>
      </c>
      <c r="R27" s="47">
        <f>P27+Q27</f>
        <v/>
      </c>
      <c r="S27" s="48">
        <f>J27*(1+'02_Parametres'!$G$7*M27)</f>
        <v/>
      </c>
      <c r="T27" s="39">
        <f>R27*S27*AC27+P27*'02_Parametres'!$D$22</f>
        <v/>
      </c>
      <c r="U27" s="46">
        <f>IF(R27&lt;=0,0,MAX(1,ROUNDUP(R27/AD27,0)))</f>
        <v/>
      </c>
      <c r="V27" s="39">
        <f>U27*AI27</f>
        <v/>
      </c>
      <c r="W27" s="39">
        <f>R27*AG27*(1+'02_Parametres'!$G$11)</f>
        <v/>
      </c>
      <c r="X27" s="39">
        <f>P27*'02_Parametres'!$G$13</f>
        <v/>
      </c>
      <c r="Y27" s="49">
        <f>T27-V27-W27-X27</f>
        <v/>
      </c>
      <c r="Z27" s="32">
        <f>IFERROR(R27/(U27*AD27),0)</f>
        <v/>
      </c>
      <c r="AA27" s="48">
        <f>IFERROR(Y27/R27,0)</f>
        <v/>
      </c>
      <c r="AB27" s="45">
        <f>IF(E27="ALT",'02_Parametres'!$D$26+(1-'02_Parametres'!$D$26)*'02_Parametres'!$D$25,1)</f>
        <v/>
      </c>
      <c r="AC27" s="45">
        <f>IF(E27="ALT",'02_Parametres'!$G$9+(1-'02_Parametres'!$G$9)*'02_Parametres'!$D$25,1)</f>
        <v/>
      </c>
      <c r="AD27" s="46">
        <f>IFERROR(INDEX('04_Param_Prog'!$C$6:$C$13,MATCH(C27,'04_Param_Prog'!$B$6:$B$13,0)),'02_Parametres'!$D$16)</f>
        <v/>
      </c>
      <c r="AE27" s="46">
        <f>IFERROR(INDEX('04_Param_Prog'!$E$6:$E$13,MATCH(C27,'04_Param_Prog'!$B$6:$B$13,0)),'02_Parametres'!$D$18)</f>
        <v/>
      </c>
      <c r="AF27" s="48">
        <f>IFERROR(INDEX('04_Param_Prog'!$F$6:$F$13,MATCH(C27,'04_Param_Prog'!$B$6:$B$13,0)),'02_Parametres'!$D$19)</f>
        <v/>
      </c>
      <c r="AG27" s="48">
        <f>IFERROR(INDEX('04_Param_Prog'!$G$6:$G$13,MATCH(C27,'04_Param_Prog'!$B$6:$B$13,0)),'02_Parametres'!$D$20)</f>
        <v/>
      </c>
      <c r="AH27" s="46">
        <f>IFERROR(INDEX('04_Param_Prog'!$D$6:$D$13,MATCH(C27,'04_Param_Prog'!$B$6:$B$13,0)),'02_Parametres'!$D$17)</f>
        <v/>
      </c>
      <c r="AI27" s="48">
        <f>AE27*AF27*(1+'02_Parametres'!$G$12)</f>
        <v/>
      </c>
    </row>
    <row r="28">
      <c r="A28" s="43">
        <f>'05_Historique'!A29</f>
        <v/>
      </c>
      <c r="B28" s="11">
        <f>'05_Historique'!B29</f>
        <v/>
      </c>
      <c r="C28" s="43">
        <f>'05_Historique'!C29</f>
        <v/>
      </c>
      <c r="D28" s="11">
        <f>'05_Historique'!E29</f>
        <v/>
      </c>
      <c r="E28" s="11">
        <f>'05_Historique'!F29</f>
        <v/>
      </c>
      <c r="F28" s="44">
        <f>'05_Historique'!K29</f>
        <v/>
      </c>
      <c r="G28" s="44">
        <f>'05_Historique'!I29</f>
        <v/>
      </c>
      <c r="H28" s="44">
        <f>'05_Historique'!J29</f>
        <v/>
      </c>
      <c r="I28" s="44">
        <f>'05_Historique'!G29</f>
        <v/>
      </c>
      <c r="J28" s="18">
        <f>'05_Historique'!L29</f>
        <v/>
      </c>
      <c r="K28" s="44">
        <f>'05_Historique'!M29</f>
        <v/>
      </c>
      <c r="L28" s="45">
        <f>INDEX('03_Coeff_Strateg'!$C$6:$C$10,MATCH(A28,'03_Coeff_Strateg'!$B$6:$B$10,0))</f>
        <v/>
      </c>
      <c r="M28" s="45">
        <f>INDEX('03_Coeff_Strateg'!$D$6:$D$10,MATCH(A28,'03_Coeff_Strateg'!$B$6:$B$10,0))</f>
        <v/>
      </c>
      <c r="N28" s="46">
        <f>I28*(1+'02_Parametres'!$G$6*L28)</f>
        <v/>
      </c>
      <c r="O28" s="32">
        <f>IFERROR(G28/I28,0)+'02_Parametres'!$G$8</f>
        <v/>
      </c>
      <c r="P28" s="46">
        <f>N28*O28</f>
        <v/>
      </c>
      <c r="Q28" s="46">
        <f>H28*('02_Parametres'!$G$10/'02_Parametres'!$D$23)</f>
        <v/>
      </c>
      <c r="R28" s="47">
        <f>P28+Q28</f>
        <v/>
      </c>
      <c r="S28" s="48">
        <f>J28*(1+'02_Parametres'!$G$7*M28)</f>
        <v/>
      </c>
      <c r="T28" s="39">
        <f>R28*S28*AC28+P28*'02_Parametres'!$D$22</f>
        <v/>
      </c>
      <c r="U28" s="46">
        <f>IF(R28&lt;=0,0,MAX(1,ROUNDUP(R28/AD28,0)))</f>
        <v/>
      </c>
      <c r="V28" s="39">
        <f>U28*AI28</f>
        <v/>
      </c>
      <c r="W28" s="39">
        <f>R28*AG28*(1+'02_Parametres'!$G$11)</f>
        <v/>
      </c>
      <c r="X28" s="39">
        <f>P28*'02_Parametres'!$G$13</f>
        <v/>
      </c>
      <c r="Y28" s="49">
        <f>T28-V28-W28-X28</f>
        <v/>
      </c>
      <c r="Z28" s="32">
        <f>IFERROR(R28/(U28*AD28),0)</f>
        <v/>
      </c>
      <c r="AA28" s="48">
        <f>IFERROR(Y28/R28,0)</f>
        <v/>
      </c>
      <c r="AB28" s="45">
        <f>IF(E28="ALT",'02_Parametres'!$D$26+(1-'02_Parametres'!$D$26)*'02_Parametres'!$D$25,1)</f>
        <v/>
      </c>
      <c r="AC28" s="45">
        <f>IF(E28="ALT",'02_Parametres'!$G$9+(1-'02_Parametres'!$G$9)*'02_Parametres'!$D$25,1)</f>
        <v/>
      </c>
      <c r="AD28" s="46">
        <f>IFERROR(INDEX('04_Param_Prog'!$C$6:$C$13,MATCH(C28,'04_Param_Prog'!$B$6:$B$13,0)),'02_Parametres'!$D$16)</f>
        <v/>
      </c>
      <c r="AE28" s="46">
        <f>IFERROR(INDEX('04_Param_Prog'!$E$6:$E$13,MATCH(C28,'04_Param_Prog'!$B$6:$B$13,0)),'02_Parametres'!$D$18)</f>
        <v/>
      </c>
      <c r="AF28" s="48">
        <f>IFERROR(INDEX('04_Param_Prog'!$F$6:$F$13,MATCH(C28,'04_Param_Prog'!$B$6:$B$13,0)),'02_Parametres'!$D$19)</f>
        <v/>
      </c>
      <c r="AG28" s="48">
        <f>IFERROR(INDEX('04_Param_Prog'!$G$6:$G$13,MATCH(C28,'04_Param_Prog'!$B$6:$B$13,0)),'02_Parametres'!$D$20)</f>
        <v/>
      </c>
      <c r="AH28" s="46">
        <f>IFERROR(INDEX('04_Param_Prog'!$D$6:$D$13,MATCH(C28,'04_Param_Prog'!$B$6:$B$13,0)),'02_Parametres'!$D$17)</f>
        <v/>
      </c>
      <c r="AI28" s="48">
        <f>AE28*AF28*(1+'02_Parametres'!$G$12)</f>
        <v/>
      </c>
    </row>
    <row r="29">
      <c r="A29" s="43">
        <f>'05_Historique'!A30</f>
        <v/>
      </c>
      <c r="B29" s="11">
        <f>'05_Historique'!B30</f>
        <v/>
      </c>
      <c r="C29" s="43">
        <f>'05_Historique'!C30</f>
        <v/>
      </c>
      <c r="D29" s="11">
        <f>'05_Historique'!E30</f>
        <v/>
      </c>
      <c r="E29" s="11">
        <f>'05_Historique'!F30</f>
        <v/>
      </c>
      <c r="F29" s="44">
        <f>'05_Historique'!K30</f>
        <v/>
      </c>
      <c r="G29" s="44">
        <f>'05_Historique'!I30</f>
        <v/>
      </c>
      <c r="H29" s="44">
        <f>'05_Historique'!J30</f>
        <v/>
      </c>
      <c r="I29" s="44">
        <f>'05_Historique'!G30</f>
        <v/>
      </c>
      <c r="J29" s="18">
        <f>'05_Historique'!L30</f>
        <v/>
      </c>
      <c r="K29" s="44">
        <f>'05_Historique'!M30</f>
        <v/>
      </c>
      <c r="L29" s="45">
        <f>INDEX('03_Coeff_Strateg'!$C$6:$C$10,MATCH(A29,'03_Coeff_Strateg'!$B$6:$B$10,0))</f>
        <v/>
      </c>
      <c r="M29" s="45">
        <f>INDEX('03_Coeff_Strateg'!$D$6:$D$10,MATCH(A29,'03_Coeff_Strateg'!$B$6:$B$10,0))</f>
        <v/>
      </c>
      <c r="N29" s="46">
        <f>I29*(1+'02_Parametres'!$G$6*L29)</f>
        <v/>
      </c>
      <c r="O29" s="32">
        <f>IFERROR(G29/I29,0)+'02_Parametres'!$G$8</f>
        <v/>
      </c>
      <c r="P29" s="46">
        <f>N29*O29</f>
        <v/>
      </c>
      <c r="Q29" s="46">
        <f>H29*('02_Parametres'!$G$10/'02_Parametres'!$D$23)</f>
        <v/>
      </c>
      <c r="R29" s="47">
        <f>P29+Q29</f>
        <v/>
      </c>
      <c r="S29" s="48">
        <f>J29*(1+'02_Parametres'!$G$7*M29)</f>
        <v/>
      </c>
      <c r="T29" s="39">
        <f>R29*S29*AC29+P29*'02_Parametres'!$D$22</f>
        <v/>
      </c>
      <c r="U29" s="46">
        <f>IF(R29&lt;=0,0,MAX(1,ROUNDUP(R29/AD29,0)))</f>
        <v/>
      </c>
      <c r="V29" s="39">
        <f>U29*AI29</f>
        <v/>
      </c>
      <c r="W29" s="39">
        <f>R29*AG29*(1+'02_Parametres'!$G$11)</f>
        <v/>
      </c>
      <c r="X29" s="39">
        <f>P29*'02_Parametres'!$G$13</f>
        <v/>
      </c>
      <c r="Y29" s="49">
        <f>T29-V29-W29-X29</f>
        <v/>
      </c>
      <c r="Z29" s="32">
        <f>IFERROR(R29/(U29*AD29),0)</f>
        <v/>
      </c>
      <c r="AA29" s="48">
        <f>IFERROR(Y29/R29,0)</f>
        <v/>
      </c>
      <c r="AB29" s="45">
        <f>IF(E29="ALT",'02_Parametres'!$D$26+(1-'02_Parametres'!$D$26)*'02_Parametres'!$D$25,1)</f>
        <v/>
      </c>
      <c r="AC29" s="45">
        <f>IF(E29="ALT",'02_Parametres'!$G$9+(1-'02_Parametres'!$G$9)*'02_Parametres'!$D$25,1)</f>
        <v/>
      </c>
      <c r="AD29" s="46">
        <f>IFERROR(INDEX('04_Param_Prog'!$C$6:$C$13,MATCH(C29,'04_Param_Prog'!$B$6:$B$13,0)),'02_Parametres'!$D$16)</f>
        <v/>
      </c>
      <c r="AE29" s="46">
        <f>IFERROR(INDEX('04_Param_Prog'!$E$6:$E$13,MATCH(C29,'04_Param_Prog'!$B$6:$B$13,0)),'02_Parametres'!$D$18)</f>
        <v/>
      </c>
      <c r="AF29" s="48">
        <f>IFERROR(INDEX('04_Param_Prog'!$F$6:$F$13,MATCH(C29,'04_Param_Prog'!$B$6:$B$13,0)),'02_Parametres'!$D$19)</f>
        <v/>
      </c>
      <c r="AG29" s="48">
        <f>IFERROR(INDEX('04_Param_Prog'!$G$6:$G$13,MATCH(C29,'04_Param_Prog'!$B$6:$B$13,0)),'02_Parametres'!$D$20)</f>
        <v/>
      </c>
      <c r="AH29" s="46">
        <f>IFERROR(INDEX('04_Param_Prog'!$D$6:$D$13,MATCH(C29,'04_Param_Prog'!$B$6:$B$13,0)),'02_Parametres'!$D$17)</f>
        <v/>
      </c>
      <c r="AI29" s="48">
        <f>AE29*AF29*(1+'02_Parametres'!$G$12)</f>
        <v/>
      </c>
    </row>
    <row r="30">
      <c r="A30" s="43">
        <f>'05_Historique'!A31</f>
        <v/>
      </c>
      <c r="B30" s="11">
        <f>'05_Historique'!B31</f>
        <v/>
      </c>
      <c r="C30" s="43">
        <f>'05_Historique'!C31</f>
        <v/>
      </c>
      <c r="D30" s="11">
        <f>'05_Historique'!E31</f>
        <v/>
      </c>
      <c r="E30" s="11">
        <f>'05_Historique'!F31</f>
        <v/>
      </c>
      <c r="F30" s="44">
        <f>'05_Historique'!K31</f>
        <v/>
      </c>
      <c r="G30" s="44">
        <f>'05_Historique'!I31</f>
        <v/>
      </c>
      <c r="H30" s="44">
        <f>'05_Historique'!J31</f>
        <v/>
      </c>
      <c r="I30" s="44">
        <f>'05_Historique'!G31</f>
        <v/>
      </c>
      <c r="J30" s="18">
        <f>'05_Historique'!L31</f>
        <v/>
      </c>
      <c r="K30" s="44">
        <f>'05_Historique'!M31</f>
        <v/>
      </c>
      <c r="L30" s="45">
        <f>INDEX('03_Coeff_Strateg'!$C$6:$C$10,MATCH(A30,'03_Coeff_Strateg'!$B$6:$B$10,0))</f>
        <v/>
      </c>
      <c r="M30" s="45">
        <f>INDEX('03_Coeff_Strateg'!$D$6:$D$10,MATCH(A30,'03_Coeff_Strateg'!$B$6:$B$10,0))</f>
        <v/>
      </c>
      <c r="N30" s="46">
        <f>I30*(1+'02_Parametres'!$G$6*L30)</f>
        <v/>
      </c>
      <c r="O30" s="32">
        <f>IFERROR(G30/I30,0)+'02_Parametres'!$G$8</f>
        <v/>
      </c>
      <c r="P30" s="46">
        <f>N30*O30</f>
        <v/>
      </c>
      <c r="Q30" s="46">
        <f>H30*('02_Parametres'!$G$10/'02_Parametres'!$D$23)</f>
        <v/>
      </c>
      <c r="R30" s="47">
        <f>P30+Q30</f>
        <v/>
      </c>
      <c r="S30" s="48">
        <f>J30*(1+'02_Parametres'!$G$7*M30)</f>
        <v/>
      </c>
      <c r="T30" s="39">
        <f>R30*S30*AC30+P30*'02_Parametres'!$D$22</f>
        <v/>
      </c>
      <c r="U30" s="46">
        <f>IF(R30&lt;=0,0,MAX(1,ROUNDUP(R30/AD30,0)))</f>
        <v/>
      </c>
      <c r="V30" s="39">
        <f>U30*AI30</f>
        <v/>
      </c>
      <c r="W30" s="39">
        <f>R30*AG30*(1+'02_Parametres'!$G$11)</f>
        <v/>
      </c>
      <c r="X30" s="39">
        <f>P30*'02_Parametres'!$G$13</f>
        <v/>
      </c>
      <c r="Y30" s="49">
        <f>T30-V30-W30-X30</f>
        <v/>
      </c>
      <c r="Z30" s="32">
        <f>IFERROR(R30/(U30*AD30),0)</f>
        <v/>
      </c>
      <c r="AA30" s="48">
        <f>IFERROR(Y30/R30,0)</f>
        <v/>
      </c>
      <c r="AB30" s="45">
        <f>IF(E30="ALT",'02_Parametres'!$D$26+(1-'02_Parametres'!$D$26)*'02_Parametres'!$D$25,1)</f>
        <v/>
      </c>
      <c r="AC30" s="45">
        <f>IF(E30="ALT",'02_Parametres'!$G$9+(1-'02_Parametres'!$G$9)*'02_Parametres'!$D$25,1)</f>
        <v/>
      </c>
      <c r="AD30" s="46">
        <f>IFERROR(INDEX('04_Param_Prog'!$C$6:$C$13,MATCH(C30,'04_Param_Prog'!$B$6:$B$13,0)),'02_Parametres'!$D$16)</f>
        <v/>
      </c>
      <c r="AE30" s="46">
        <f>IFERROR(INDEX('04_Param_Prog'!$E$6:$E$13,MATCH(C30,'04_Param_Prog'!$B$6:$B$13,0)),'02_Parametres'!$D$18)</f>
        <v/>
      </c>
      <c r="AF30" s="48">
        <f>IFERROR(INDEX('04_Param_Prog'!$F$6:$F$13,MATCH(C30,'04_Param_Prog'!$B$6:$B$13,0)),'02_Parametres'!$D$19)</f>
        <v/>
      </c>
      <c r="AG30" s="48">
        <f>IFERROR(INDEX('04_Param_Prog'!$G$6:$G$13,MATCH(C30,'04_Param_Prog'!$B$6:$B$13,0)),'02_Parametres'!$D$20)</f>
        <v/>
      </c>
      <c r="AH30" s="46">
        <f>IFERROR(INDEX('04_Param_Prog'!$D$6:$D$13,MATCH(C30,'04_Param_Prog'!$B$6:$B$13,0)),'02_Parametres'!$D$17)</f>
        <v/>
      </c>
      <c r="AI30" s="48">
        <f>AE30*AF30*(1+'02_Parametres'!$G$12)</f>
        <v/>
      </c>
    </row>
    <row r="31">
      <c r="A31" s="43">
        <f>'05_Historique'!A32</f>
        <v/>
      </c>
      <c r="B31" s="11">
        <f>'05_Historique'!B32</f>
        <v/>
      </c>
      <c r="C31" s="43">
        <f>'05_Historique'!C32</f>
        <v/>
      </c>
      <c r="D31" s="11">
        <f>'05_Historique'!E32</f>
        <v/>
      </c>
      <c r="E31" s="11">
        <f>'05_Historique'!F32</f>
        <v/>
      </c>
      <c r="F31" s="44">
        <f>'05_Historique'!K32</f>
        <v/>
      </c>
      <c r="G31" s="44">
        <f>'05_Historique'!I32</f>
        <v/>
      </c>
      <c r="H31" s="44">
        <f>'05_Historique'!J32</f>
        <v/>
      </c>
      <c r="I31" s="44">
        <f>'05_Historique'!G32</f>
        <v/>
      </c>
      <c r="J31" s="18">
        <f>'05_Historique'!L32</f>
        <v/>
      </c>
      <c r="K31" s="44">
        <f>'05_Historique'!M32</f>
        <v/>
      </c>
      <c r="L31" s="45">
        <f>INDEX('03_Coeff_Strateg'!$C$6:$C$10,MATCH(A31,'03_Coeff_Strateg'!$B$6:$B$10,0))</f>
        <v/>
      </c>
      <c r="M31" s="45">
        <f>INDEX('03_Coeff_Strateg'!$D$6:$D$10,MATCH(A31,'03_Coeff_Strateg'!$B$6:$B$10,0))</f>
        <v/>
      </c>
      <c r="N31" s="46">
        <f>I31*(1+'02_Parametres'!$G$6*L31)</f>
        <v/>
      </c>
      <c r="O31" s="32">
        <f>IFERROR(G31/I31,0)+'02_Parametres'!$G$8</f>
        <v/>
      </c>
      <c r="P31" s="46">
        <f>N31*O31</f>
        <v/>
      </c>
      <c r="Q31" s="46">
        <f>H31*('02_Parametres'!$G$10/'02_Parametres'!$D$23)</f>
        <v/>
      </c>
      <c r="R31" s="47">
        <f>P31+Q31</f>
        <v/>
      </c>
      <c r="S31" s="48">
        <f>J31*(1+'02_Parametres'!$G$7*M31)</f>
        <v/>
      </c>
      <c r="T31" s="39">
        <f>R31*S31*AC31+P31*'02_Parametres'!$D$22</f>
        <v/>
      </c>
      <c r="U31" s="46">
        <f>IF(R31&lt;=0,0,MAX(1,ROUNDUP(R31/AD31,0)))</f>
        <v/>
      </c>
      <c r="V31" s="39">
        <f>U31*AI31</f>
        <v/>
      </c>
      <c r="W31" s="39">
        <f>R31*AG31*(1+'02_Parametres'!$G$11)</f>
        <v/>
      </c>
      <c r="X31" s="39">
        <f>P31*'02_Parametres'!$G$13</f>
        <v/>
      </c>
      <c r="Y31" s="49">
        <f>T31-V31-W31-X31</f>
        <v/>
      </c>
      <c r="Z31" s="32">
        <f>IFERROR(R31/(U31*AD31),0)</f>
        <v/>
      </c>
      <c r="AA31" s="48">
        <f>IFERROR(Y31/R31,0)</f>
        <v/>
      </c>
      <c r="AB31" s="45">
        <f>IF(E31="ALT",'02_Parametres'!$D$26+(1-'02_Parametres'!$D$26)*'02_Parametres'!$D$25,1)</f>
        <v/>
      </c>
      <c r="AC31" s="45">
        <f>IF(E31="ALT",'02_Parametres'!$G$9+(1-'02_Parametres'!$G$9)*'02_Parametres'!$D$25,1)</f>
        <v/>
      </c>
      <c r="AD31" s="46">
        <f>IFERROR(INDEX('04_Param_Prog'!$C$6:$C$13,MATCH(C31,'04_Param_Prog'!$B$6:$B$13,0)),'02_Parametres'!$D$16)</f>
        <v/>
      </c>
      <c r="AE31" s="46">
        <f>IFERROR(INDEX('04_Param_Prog'!$E$6:$E$13,MATCH(C31,'04_Param_Prog'!$B$6:$B$13,0)),'02_Parametres'!$D$18)</f>
        <v/>
      </c>
      <c r="AF31" s="48">
        <f>IFERROR(INDEX('04_Param_Prog'!$F$6:$F$13,MATCH(C31,'04_Param_Prog'!$B$6:$B$13,0)),'02_Parametres'!$D$19)</f>
        <v/>
      </c>
      <c r="AG31" s="48">
        <f>IFERROR(INDEX('04_Param_Prog'!$G$6:$G$13,MATCH(C31,'04_Param_Prog'!$B$6:$B$13,0)),'02_Parametres'!$D$20)</f>
        <v/>
      </c>
      <c r="AH31" s="46">
        <f>IFERROR(INDEX('04_Param_Prog'!$D$6:$D$13,MATCH(C31,'04_Param_Prog'!$B$6:$B$13,0)),'02_Parametres'!$D$17)</f>
        <v/>
      </c>
      <c r="AI31" s="48">
        <f>AE31*AF31*(1+'02_Parametres'!$G$12)</f>
        <v/>
      </c>
    </row>
    <row r="32">
      <c r="A32" s="43">
        <f>'05_Historique'!A33</f>
        <v/>
      </c>
      <c r="B32" s="11">
        <f>'05_Historique'!B33</f>
        <v/>
      </c>
      <c r="C32" s="43">
        <f>'05_Historique'!C33</f>
        <v/>
      </c>
      <c r="D32" s="11">
        <f>'05_Historique'!E33</f>
        <v/>
      </c>
      <c r="E32" s="11">
        <f>'05_Historique'!F33</f>
        <v/>
      </c>
      <c r="F32" s="44">
        <f>'05_Historique'!K33</f>
        <v/>
      </c>
      <c r="G32" s="44">
        <f>'05_Historique'!I33</f>
        <v/>
      </c>
      <c r="H32" s="44">
        <f>'05_Historique'!J33</f>
        <v/>
      </c>
      <c r="I32" s="44">
        <f>'05_Historique'!G33</f>
        <v/>
      </c>
      <c r="J32" s="18">
        <f>'05_Historique'!L33</f>
        <v/>
      </c>
      <c r="K32" s="44">
        <f>'05_Historique'!M33</f>
        <v/>
      </c>
      <c r="L32" s="45">
        <f>INDEX('03_Coeff_Strateg'!$C$6:$C$10,MATCH(A32,'03_Coeff_Strateg'!$B$6:$B$10,0))</f>
        <v/>
      </c>
      <c r="M32" s="45">
        <f>INDEX('03_Coeff_Strateg'!$D$6:$D$10,MATCH(A32,'03_Coeff_Strateg'!$B$6:$B$10,0))</f>
        <v/>
      </c>
      <c r="N32" s="46">
        <f>I32*(1+'02_Parametres'!$G$6*L32)</f>
        <v/>
      </c>
      <c r="O32" s="32">
        <f>IFERROR(G32/I32,0)+'02_Parametres'!$G$8</f>
        <v/>
      </c>
      <c r="P32" s="46">
        <f>N32*O32</f>
        <v/>
      </c>
      <c r="Q32" s="46">
        <f>H32*('02_Parametres'!$G$10/'02_Parametres'!$D$23)</f>
        <v/>
      </c>
      <c r="R32" s="47">
        <f>P32+Q32</f>
        <v/>
      </c>
      <c r="S32" s="48">
        <f>J32*(1+'02_Parametres'!$G$7*M32)</f>
        <v/>
      </c>
      <c r="T32" s="39">
        <f>R32*S32*AC32+P32*'02_Parametres'!$D$22</f>
        <v/>
      </c>
      <c r="U32" s="46">
        <f>IF(R32&lt;=0,0,MAX(1,ROUNDUP(R32/AD32,0)))</f>
        <v/>
      </c>
      <c r="V32" s="39">
        <f>U32*AI32</f>
        <v/>
      </c>
      <c r="W32" s="39">
        <f>R32*AG32*(1+'02_Parametres'!$G$11)</f>
        <v/>
      </c>
      <c r="X32" s="39">
        <f>P32*'02_Parametres'!$G$13</f>
        <v/>
      </c>
      <c r="Y32" s="49">
        <f>T32-V32-W32-X32</f>
        <v/>
      </c>
      <c r="Z32" s="32">
        <f>IFERROR(R32/(U32*AD32),0)</f>
        <v/>
      </c>
      <c r="AA32" s="48">
        <f>IFERROR(Y32/R32,0)</f>
        <v/>
      </c>
      <c r="AB32" s="45">
        <f>IF(E32="ALT",'02_Parametres'!$D$26+(1-'02_Parametres'!$D$26)*'02_Parametres'!$D$25,1)</f>
        <v/>
      </c>
      <c r="AC32" s="45">
        <f>IF(E32="ALT",'02_Parametres'!$G$9+(1-'02_Parametres'!$G$9)*'02_Parametres'!$D$25,1)</f>
        <v/>
      </c>
      <c r="AD32" s="46">
        <f>IFERROR(INDEX('04_Param_Prog'!$C$6:$C$13,MATCH(C32,'04_Param_Prog'!$B$6:$B$13,0)),'02_Parametres'!$D$16)</f>
        <v/>
      </c>
      <c r="AE32" s="46">
        <f>IFERROR(INDEX('04_Param_Prog'!$E$6:$E$13,MATCH(C32,'04_Param_Prog'!$B$6:$B$13,0)),'02_Parametres'!$D$18)</f>
        <v/>
      </c>
      <c r="AF32" s="48">
        <f>IFERROR(INDEX('04_Param_Prog'!$F$6:$F$13,MATCH(C32,'04_Param_Prog'!$B$6:$B$13,0)),'02_Parametres'!$D$19)</f>
        <v/>
      </c>
      <c r="AG32" s="48">
        <f>IFERROR(INDEX('04_Param_Prog'!$G$6:$G$13,MATCH(C32,'04_Param_Prog'!$B$6:$B$13,0)),'02_Parametres'!$D$20)</f>
        <v/>
      </c>
      <c r="AH32" s="46">
        <f>IFERROR(INDEX('04_Param_Prog'!$D$6:$D$13,MATCH(C32,'04_Param_Prog'!$B$6:$B$13,0)),'02_Parametres'!$D$17)</f>
        <v/>
      </c>
      <c r="AI32" s="48">
        <f>AE32*AF32*(1+'02_Parametres'!$G$12)</f>
        <v/>
      </c>
    </row>
    <row r="33">
      <c r="A33" s="43">
        <f>'05_Historique'!A34</f>
        <v/>
      </c>
      <c r="B33" s="11">
        <f>'05_Historique'!B34</f>
        <v/>
      </c>
      <c r="C33" s="43">
        <f>'05_Historique'!C34</f>
        <v/>
      </c>
      <c r="D33" s="11">
        <f>'05_Historique'!E34</f>
        <v/>
      </c>
      <c r="E33" s="11">
        <f>'05_Historique'!F34</f>
        <v/>
      </c>
      <c r="F33" s="44">
        <f>'05_Historique'!K34</f>
        <v/>
      </c>
      <c r="G33" s="44">
        <f>'05_Historique'!I34</f>
        <v/>
      </c>
      <c r="H33" s="44">
        <f>'05_Historique'!J34</f>
        <v/>
      </c>
      <c r="I33" s="44">
        <f>'05_Historique'!G34</f>
        <v/>
      </c>
      <c r="J33" s="18">
        <f>'05_Historique'!L34</f>
        <v/>
      </c>
      <c r="K33" s="44">
        <f>'05_Historique'!M34</f>
        <v/>
      </c>
      <c r="L33" s="45">
        <f>INDEX('03_Coeff_Strateg'!$C$6:$C$10,MATCH(A33,'03_Coeff_Strateg'!$B$6:$B$10,0))</f>
        <v/>
      </c>
      <c r="M33" s="45">
        <f>INDEX('03_Coeff_Strateg'!$D$6:$D$10,MATCH(A33,'03_Coeff_Strateg'!$B$6:$B$10,0))</f>
        <v/>
      </c>
      <c r="N33" s="46">
        <f>I33*(1+'02_Parametres'!$G$6*L33)</f>
        <v/>
      </c>
      <c r="O33" s="32">
        <f>IFERROR(G33/I33,0)+'02_Parametres'!$G$8</f>
        <v/>
      </c>
      <c r="P33" s="46">
        <f>N33*O33</f>
        <v/>
      </c>
      <c r="Q33" s="46">
        <f>H33*('02_Parametres'!$G$10/'02_Parametres'!$D$23)</f>
        <v/>
      </c>
      <c r="R33" s="47">
        <f>P33+Q33</f>
        <v/>
      </c>
      <c r="S33" s="48">
        <f>J33*(1+'02_Parametres'!$G$7*M33)</f>
        <v/>
      </c>
      <c r="T33" s="39">
        <f>R33*S33*AC33+P33*'02_Parametres'!$D$22</f>
        <v/>
      </c>
      <c r="U33" s="46">
        <f>IF(R33&lt;=0,0,MAX(1,ROUNDUP(R33/AD33,0)))</f>
        <v/>
      </c>
      <c r="V33" s="39">
        <f>U33*AI33</f>
        <v/>
      </c>
      <c r="W33" s="39">
        <f>R33*AG33*(1+'02_Parametres'!$G$11)</f>
        <v/>
      </c>
      <c r="X33" s="39">
        <f>P33*'02_Parametres'!$G$13</f>
        <v/>
      </c>
      <c r="Y33" s="49">
        <f>T33-V33-W33-X33</f>
        <v/>
      </c>
      <c r="Z33" s="32">
        <f>IFERROR(R33/(U33*AD33),0)</f>
        <v/>
      </c>
      <c r="AA33" s="48">
        <f>IFERROR(Y33/R33,0)</f>
        <v/>
      </c>
      <c r="AB33" s="45">
        <f>IF(E33="ALT",'02_Parametres'!$D$26+(1-'02_Parametres'!$D$26)*'02_Parametres'!$D$25,1)</f>
        <v/>
      </c>
      <c r="AC33" s="45">
        <f>IF(E33="ALT",'02_Parametres'!$G$9+(1-'02_Parametres'!$G$9)*'02_Parametres'!$D$25,1)</f>
        <v/>
      </c>
      <c r="AD33" s="46">
        <f>IFERROR(INDEX('04_Param_Prog'!$C$6:$C$13,MATCH(C33,'04_Param_Prog'!$B$6:$B$13,0)),'02_Parametres'!$D$16)</f>
        <v/>
      </c>
      <c r="AE33" s="46">
        <f>IFERROR(INDEX('04_Param_Prog'!$E$6:$E$13,MATCH(C33,'04_Param_Prog'!$B$6:$B$13,0)),'02_Parametres'!$D$18)</f>
        <v/>
      </c>
      <c r="AF33" s="48">
        <f>IFERROR(INDEX('04_Param_Prog'!$F$6:$F$13,MATCH(C33,'04_Param_Prog'!$B$6:$B$13,0)),'02_Parametres'!$D$19)</f>
        <v/>
      </c>
      <c r="AG33" s="48">
        <f>IFERROR(INDEX('04_Param_Prog'!$G$6:$G$13,MATCH(C33,'04_Param_Prog'!$B$6:$B$13,0)),'02_Parametres'!$D$20)</f>
        <v/>
      </c>
      <c r="AH33" s="46">
        <f>IFERROR(INDEX('04_Param_Prog'!$D$6:$D$13,MATCH(C33,'04_Param_Prog'!$B$6:$B$13,0)),'02_Parametres'!$D$17)</f>
        <v/>
      </c>
      <c r="AI33" s="48">
        <f>AE33*AF33*(1+'02_Parametres'!$G$12)</f>
        <v/>
      </c>
    </row>
    <row r="34">
      <c r="A34" s="43">
        <f>'05_Historique'!A35</f>
        <v/>
      </c>
      <c r="B34" s="11">
        <f>'05_Historique'!B35</f>
        <v/>
      </c>
      <c r="C34" s="43">
        <f>'05_Historique'!C35</f>
        <v/>
      </c>
      <c r="D34" s="11">
        <f>'05_Historique'!E35</f>
        <v/>
      </c>
      <c r="E34" s="11">
        <f>'05_Historique'!F35</f>
        <v/>
      </c>
      <c r="F34" s="44">
        <f>'05_Historique'!K35</f>
        <v/>
      </c>
      <c r="G34" s="44">
        <f>'05_Historique'!I35</f>
        <v/>
      </c>
      <c r="H34" s="44">
        <f>'05_Historique'!J35</f>
        <v/>
      </c>
      <c r="I34" s="44">
        <f>'05_Historique'!G35</f>
        <v/>
      </c>
      <c r="J34" s="18">
        <f>'05_Historique'!L35</f>
        <v/>
      </c>
      <c r="K34" s="44">
        <f>'05_Historique'!M35</f>
        <v/>
      </c>
      <c r="L34" s="45">
        <f>INDEX('03_Coeff_Strateg'!$C$6:$C$10,MATCH(A34,'03_Coeff_Strateg'!$B$6:$B$10,0))</f>
        <v/>
      </c>
      <c r="M34" s="45">
        <f>INDEX('03_Coeff_Strateg'!$D$6:$D$10,MATCH(A34,'03_Coeff_Strateg'!$B$6:$B$10,0))</f>
        <v/>
      </c>
      <c r="N34" s="46">
        <f>I34*(1+'02_Parametres'!$G$6*L34)</f>
        <v/>
      </c>
      <c r="O34" s="32">
        <f>IFERROR(G34/I34,0)+'02_Parametres'!$G$8</f>
        <v/>
      </c>
      <c r="P34" s="46">
        <f>N34*O34</f>
        <v/>
      </c>
      <c r="Q34" s="46">
        <f>H34*('02_Parametres'!$G$10/'02_Parametres'!$D$23)</f>
        <v/>
      </c>
      <c r="R34" s="47">
        <f>P34+Q34</f>
        <v/>
      </c>
      <c r="S34" s="48">
        <f>J34*(1+'02_Parametres'!$G$7*M34)</f>
        <v/>
      </c>
      <c r="T34" s="39">
        <f>R34*S34*AC34+P34*'02_Parametres'!$D$22</f>
        <v/>
      </c>
      <c r="U34" s="46">
        <f>IF(R34&lt;=0,0,MAX(1,ROUNDUP(R34/AD34,0)))</f>
        <v/>
      </c>
      <c r="V34" s="39">
        <f>U34*AI34</f>
        <v/>
      </c>
      <c r="W34" s="39">
        <f>R34*AG34*(1+'02_Parametres'!$G$11)</f>
        <v/>
      </c>
      <c r="X34" s="39">
        <f>P34*'02_Parametres'!$G$13</f>
        <v/>
      </c>
      <c r="Y34" s="49">
        <f>T34-V34-W34-X34</f>
        <v/>
      </c>
      <c r="Z34" s="32">
        <f>IFERROR(R34/(U34*AD34),0)</f>
        <v/>
      </c>
      <c r="AA34" s="48">
        <f>IFERROR(Y34/R34,0)</f>
        <v/>
      </c>
      <c r="AB34" s="45">
        <f>IF(E34="ALT",'02_Parametres'!$D$26+(1-'02_Parametres'!$D$26)*'02_Parametres'!$D$25,1)</f>
        <v/>
      </c>
      <c r="AC34" s="45">
        <f>IF(E34="ALT",'02_Parametres'!$G$9+(1-'02_Parametres'!$G$9)*'02_Parametres'!$D$25,1)</f>
        <v/>
      </c>
      <c r="AD34" s="46">
        <f>IFERROR(INDEX('04_Param_Prog'!$C$6:$C$13,MATCH(C34,'04_Param_Prog'!$B$6:$B$13,0)),'02_Parametres'!$D$16)</f>
        <v/>
      </c>
      <c r="AE34" s="46">
        <f>IFERROR(INDEX('04_Param_Prog'!$E$6:$E$13,MATCH(C34,'04_Param_Prog'!$B$6:$B$13,0)),'02_Parametres'!$D$18)</f>
        <v/>
      </c>
      <c r="AF34" s="48">
        <f>IFERROR(INDEX('04_Param_Prog'!$F$6:$F$13,MATCH(C34,'04_Param_Prog'!$B$6:$B$13,0)),'02_Parametres'!$D$19)</f>
        <v/>
      </c>
      <c r="AG34" s="48">
        <f>IFERROR(INDEX('04_Param_Prog'!$G$6:$G$13,MATCH(C34,'04_Param_Prog'!$B$6:$B$13,0)),'02_Parametres'!$D$20)</f>
        <v/>
      </c>
      <c r="AH34" s="46">
        <f>IFERROR(INDEX('04_Param_Prog'!$D$6:$D$13,MATCH(C34,'04_Param_Prog'!$B$6:$B$13,0)),'02_Parametres'!$D$17)</f>
        <v/>
      </c>
      <c r="AI34" s="48">
        <f>AE34*AF34*(1+'02_Parametres'!$G$12)</f>
        <v/>
      </c>
    </row>
    <row r="35">
      <c r="A35" s="43">
        <f>'05_Historique'!A36</f>
        <v/>
      </c>
      <c r="B35" s="11">
        <f>'05_Historique'!B36</f>
        <v/>
      </c>
      <c r="C35" s="43">
        <f>'05_Historique'!C36</f>
        <v/>
      </c>
      <c r="D35" s="11">
        <f>'05_Historique'!E36</f>
        <v/>
      </c>
      <c r="E35" s="11">
        <f>'05_Historique'!F36</f>
        <v/>
      </c>
      <c r="F35" s="44">
        <f>'05_Historique'!K36</f>
        <v/>
      </c>
      <c r="G35" s="44">
        <f>'05_Historique'!I36</f>
        <v/>
      </c>
      <c r="H35" s="44">
        <f>'05_Historique'!J36</f>
        <v/>
      </c>
      <c r="I35" s="44">
        <f>'05_Historique'!G36</f>
        <v/>
      </c>
      <c r="J35" s="18">
        <f>'05_Historique'!L36</f>
        <v/>
      </c>
      <c r="K35" s="44">
        <f>'05_Historique'!M36</f>
        <v/>
      </c>
      <c r="L35" s="45">
        <f>INDEX('03_Coeff_Strateg'!$C$6:$C$10,MATCH(A35,'03_Coeff_Strateg'!$B$6:$B$10,0))</f>
        <v/>
      </c>
      <c r="M35" s="45">
        <f>INDEX('03_Coeff_Strateg'!$D$6:$D$10,MATCH(A35,'03_Coeff_Strateg'!$B$6:$B$10,0))</f>
        <v/>
      </c>
      <c r="N35" s="46">
        <f>I35*(1+'02_Parametres'!$G$6*L35)</f>
        <v/>
      </c>
      <c r="O35" s="32">
        <f>IFERROR(G35/I35,0)+'02_Parametres'!$G$8</f>
        <v/>
      </c>
      <c r="P35" s="46">
        <f>N35*O35</f>
        <v/>
      </c>
      <c r="Q35" s="46">
        <f>H35*('02_Parametres'!$G$10/'02_Parametres'!$D$23)</f>
        <v/>
      </c>
      <c r="R35" s="47">
        <f>P35+Q35</f>
        <v/>
      </c>
      <c r="S35" s="48">
        <f>J35*(1+'02_Parametres'!$G$7*M35)</f>
        <v/>
      </c>
      <c r="T35" s="39">
        <f>R35*S35*AC35+P35*'02_Parametres'!$D$22</f>
        <v/>
      </c>
      <c r="U35" s="46">
        <f>IF(R35&lt;=0,0,MAX(1,ROUNDUP(R35/AD35,0)))</f>
        <v/>
      </c>
      <c r="V35" s="39">
        <f>U35*AI35</f>
        <v/>
      </c>
      <c r="W35" s="39">
        <f>R35*AG35*(1+'02_Parametres'!$G$11)</f>
        <v/>
      </c>
      <c r="X35" s="39">
        <f>P35*'02_Parametres'!$G$13</f>
        <v/>
      </c>
      <c r="Y35" s="49">
        <f>T35-V35-W35-X35</f>
        <v/>
      </c>
      <c r="Z35" s="32">
        <f>IFERROR(R35/(U35*AD35),0)</f>
        <v/>
      </c>
      <c r="AA35" s="48">
        <f>IFERROR(Y35/R35,0)</f>
        <v/>
      </c>
      <c r="AB35" s="45">
        <f>IF(E35="ALT",'02_Parametres'!$D$26+(1-'02_Parametres'!$D$26)*'02_Parametres'!$D$25,1)</f>
        <v/>
      </c>
      <c r="AC35" s="45">
        <f>IF(E35="ALT",'02_Parametres'!$G$9+(1-'02_Parametres'!$G$9)*'02_Parametres'!$D$25,1)</f>
        <v/>
      </c>
      <c r="AD35" s="46">
        <f>IFERROR(INDEX('04_Param_Prog'!$C$6:$C$13,MATCH(C35,'04_Param_Prog'!$B$6:$B$13,0)),'02_Parametres'!$D$16)</f>
        <v/>
      </c>
      <c r="AE35" s="46">
        <f>IFERROR(INDEX('04_Param_Prog'!$E$6:$E$13,MATCH(C35,'04_Param_Prog'!$B$6:$B$13,0)),'02_Parametres'!$D$18)</f>
        <v/>
      </c>
      <c r="AF35" s="48">
        <f>IFERROR(INDEX('04_Param_Prog'!$F$6:$F$13,MATCH(C35,'04_Param_Prog'!$B$6:$B$13,0)),'02_Parametres'!$D$19)</f>
        <v/>
      </c>
      <c r="AG35" s="48">
        <f>IFERROR(INDEX('04_Param_Prog'!$G$6:$G$13,MATCH(C35,'04_Param_Prog'!$B$6:$B$13,0)),'02_Parametres'!$D$20)</f>
        <v/>
      </c>
      <c r="AH35" s="46">
        <f>IFERROR(INDEX('04_Param_Prog'!$D$6:$D$13,MATCH(C35,'04_Param_Prog'!$B$6:$B$13,0)),'02_Parametres'!$D$17)</f>
        <v/>
      </c>
      <c r="AI35" s="48">
        <f>AE35*AF35*(1+'02_Parametres'!$G$12)</f>
        <v/>
      </c>
    </row>
    <row r="36">
      <c r="A36" s="43">
        <f>'05_Historique'!A37</f>
        <v/>
      </c>
      <c r="B36" s="11">
        <f>'05_Historique'!B37</f>
        <v/>
      </c>
      <c r="C36" s="43">
        <f>'05_Historique'!C37</f>
        <v/>
      </c>
      <c r="D36" s="11">
        <f>'05_Historique'!E37</f>
        <v/>
      </c>
      <c r="E36" s="11">
        <f>'05_Historique'!F37</f>
        <v/>
      </c>
      <c r="F36" s="44">
        <f>'05_Historique'!K37</f>
        <v/>
      </c>
      <c r="G36" s="44">
        <f>'05_Historique'!I37</f>
        <v/>
      </c>
      <c r="H36" s="44">
        <f>'05_Historique'!J37</f>
        <v/>
      </c>
      <c r="I36" s="44">
        <f>'05_Historique'!G37</f>
        <v/>
      </c>
      <c r="J36" s="18">
        <f>'05_Historique'!L37</f>
        <v/>
      </c>
      <c r="K36" s="44">
        <f>'05_Historique'!M37</f>
        <v/>
      </c>
      <c r="L36" s="45">
        <f>INDEX('03_Coeff_Strateg'!$C$6:$C$10,MATCH(A36,'03_Coeff_Strateg'!$B$6:$B$10,0))</f>
        <v/>
      </c>
      <c r="M36" s="45">
        <f>INDEX('03_Coeff_Strateg'!$D$6:$D$10,MATCH(A36,'03_Coeff_Strateg'!$B$6:$B$10,0))</f>
        <v/>
      </c>
      <c r="N36" s="46">
        <f>I36*(1+'02_Parametres'!$G$6*L36)</f>
        <v/>
      </c>
      <c r="O36" s="32">
        <f>IFERROR(G36/I36,0)+'02_Parametres'!$G$8</f>
        <v/>
      </c>
      <c r="P36" s="46">
        <f>N36*O36</f>
        <v/>
      </c>
      <c r="Q36" s="46">
        <f>H36*('02_Parametres'!$G$10/'02_Parametres'!$D$23)</f>
        <v/>
      </c>
      <c r="R36" s="47">
        <f>P36+Q36</f>
        <v/>
      </c>
      <c r="S36" s="48">
        <f>J36*(1+'02_Parametres'!$G$7*M36)</f>
        <v/>
      </c>
      <c r="T36" s="39">
        <f>R36*S36*AC36+P36*'02_Parametres'!$D$22</f>
        <v/>
      </c>
      <c r="U36" s="46">
        <f>IF(R36&lt;=0,0,MAX(1,ROUNDUP(R36/AD36,0)))</f>
        <v/>
      </c>
      <c r="V36" s="39">
        <f>U36*AI36</f>
        <v/>
      </c>
      <c r="W36" s="39">
        <f>R36*AG36*(1+'02_Parametres'!$G$11)</f>
        <v/>
      </c>
      <c r="X36" s="39">
        <f>P36*'02_Parametres'!$G$13</f>
        <v/>
      </c>
      <c r="Y36" s="49">
        <f>T36-V36-W36-X36</f>
        <v/>
      </c>
      <c r="Z36" s="32">
        <f>IFERROR(R36/(U36*AD36),0)</f>
        <v/>
      </c>
      <c r="AA36" s="48">
        <f>IFERROR(Y36/R36,0)</f>
        <v/>
      </c>
      <c r="AB36" s="45">
        <f>IF(E36="ALT",'02_Parametres'!$D$26+(1-'02_Parametres'!$D$26)*'02_Parametres'!$D$25,1)</f>
        <v/>
      </c>
      <c r="AC36" s="45">
        <f>IF(E36="ALT",'02_Parametres'!$G$9+(1-'02_Parametres'!$G$9)*'02_Parametres'!$D$25,1)</f>
        <v/>
      </c>
      <c r="AD36" s="46">
        <f>IFERROR(INDEX('04_Param_Prog'!$C$6:$C$13,MATCH(C36,'04_Param_Prog'!$B$6:$B$13,0)),'02_Parametres'!$D$16)</f>
        <v/>
      </c>
      <c r="AE36" s="46">
        <f>IFERROR(INDEX('04_Param_Prog'!$E$6:$E$13,MATCH(C36,'04_Param_Prog'!$B$6:$B$13,0)),'02_Parametres'!$D$18)</f>
        <v/>
      </c>
      <c r="AF36" s="48">
        <f>IFERROR(INDEX('04_Param_Prog'!$F$6:$F$13,MATCH(C36,'04_Param_Prog'!$B$6:$B$13,0)),'02_Parametres'!$D$19)</f>
        <v/>
      </c>
      <c r="AG36" s="48">
        <f>IFERROR(INDEX('04_Param_Prog'!$G$6:$G$13,MATCH(C36,'04_Param_Prog'!$B$6:$B$13,0)),'02_Parametres'!$D$20)</f>
        <v/>
      </c>
      <c r="AH36" s="46">
        <f>IFERROR(INDEX('04_Param_Prog'!$D$6:$D$13,MATCH(C36,'04_Param_Prog'!$B$6:$B$13,0)),'02_Parametres'!$D$17)</f>
        <v/>
      </c>
      <c r="AI36" s="48">
        <f>AE36*AF36*(1+'02_Parametres'!$G$12)</f>
        <v/>
      </c>
    </row>
    <row r="37">
      <c r="A37" s="43">
        <f>'05_Historique'!A38</f>
        <v/>
      </c>
      <c r="B37" s="11">
        <f>'05_Historique'!B38</f>
        <v/>
      </c>
      <c r="C37" s="43">
        <f>'05_Historique'!C38</f>
        <v/>
      </c>
      <c r="D37" s="11">
        <f>'05_Historique'!E38</f>
        <v/>
      </c>
      <c r="E37" s="11">
        <f>'05_Historique'!F38</f>
        <v/>
      </c>
      <c r="F37" s="44">
        <f>'05_Historique'!K38</f>
        <v/>
      </c>
      <c r="G37" s="44">
        <f>'05_Historique'!I38</f>
        <v/>
      </c>
      <c r="H37" s="44">
        <f>'05_Historique'!J38</f>
        <v/>
      </c>
      <c r="I37" s="44">
        <f>'05_Historique'!G38</f>
        <v/>
      </c>
      <c r="J37" s="18">
        <f>'05_Historique'!L38</f>
        <v/>
      </c>
      <c r="K37" s="44">
        <f>'05_Historique'!M38</f>
        <v/>
      </c>
      <c r="L37" s="45">
        <f>INDEX('03_Coeff_Strateg'!$C$6:$C$10,MATCH(A37,'03_Coeff_Strateg'!$B$6:$B$10,0))</f>
        <v/>
      </c>
      <c r="M37" s="45">
        <f>INDEX('03_Coeff_Strateg'!$D$6:$D$10,MATCH(A37,'03_Coeff_Strateg'!$B$6:$B$10,0))</f>
        <v/>
      </c>
      <c r="N37" s="46">
        <f>I37*(1+'02_Parametres'!$G$6*L37)</f>
        <v/>
      </c>
      <c r="O37" s="32">
        <f>IFERROR(G37/I37,0)+'02_Parametres'!$G$8</f>
        <v/>
      </c>
      <c r="P37" s="46">
        <f>N37*O37</f>
        <v/>
      </c>
      <c r="Q37" s="46">
        <f>H37*('02_Parametres'!$G$10/'02_Parametres'!$D$23)</f>
        <v/>
      </c>
      <c r="R37" s="47">
        <f>P37+Q37</f>
        <v/>
      </c>
      <c r="S37" s="48">
        <f>J37*(1+'02_Parametres'!$G$7*M37)</f>
        <v/>
      </c>
      <c r="T37" s="39">
        <f>R37*S37*AC37+P37*'02_Parametres'!$D$22</f>
        <v/>
      </c>
      <c r="U37" s="46">
        <f>IF(R37&lt;=0,0,MAX(1,ROUNDUP(R37/AD37,0)))</f>
        <v/>
      </c>
      <c r="V37" s="39">
        <f>U37*AI37</f>
        <v/>
      </c>
      <c r="W37" s="39">
        <f>R37*AG37*(1+'02_Parametres'!$G$11)</f>
        <v/>
      </c>
      <c r="X37" s="39">
        <f>P37*'02_Parametres'!$G$13</f>
        <v/>
      </c>
      <c r="Y37" s="49">
        <f>T37-V37-W37-X37</f>
        <v/>
      </c>
      <c r="Z37" s="32">
        <f>IFERROR(R37/(U37*AD37),0)</f>
        <v/>
      </c>
      <c r="AA37" s="48">
        <f>IFERROR(Y37/R37,0)</f>
        <v/>
      </c>
      <c r="AB37" s="45">
        <f>IF(E37="ALT",'02_Parametres'!$D$26+(1-'02_Parametres'!$D$26)*'02_Parametres'!$D$25,1)</f>
        <v/>
      </c>
      <c r="AC37" s="45">
        <f>IF(E37="ALT",'02_Parametres'!$G$9+(1-'02_Parametres'!$G$9)*'02_Parametres'!$D$25,1)</f>
        <v/>
      </c>
      <c r="AD37" s="46">
        <f>IFERROR(INDEX('04_Param_Prog'!$C$6:$C$13,MATCH(C37,'04_Param_Prog'!$B$6:$B$13,0)),'02_Parametres'!$D$16)</f>
        <v/>
      </c>
      <c r="AE37" s="46">
        <f>IFERROR(INDEX('04_Param_Prog'!$E$6:$E$13,MATCH(C37,'04_Param_Prog'!$B$6:$B$13,0)),'02_Parametres'!$D$18)</f>
        <v/>
      </c>
      <c r="AF37" s="48">
        <f>IFERROR(INDEX('04_Param_Prog'!$F$6:$F$13,MATCH(C37,'04_Param_Prog'!$B$6:$B$13,0)),'02_Parametres'!$D$19)</f>
        <v/>
      </c>
      <c r="AG37" s="48">
        <f>IFERROR(INDEX('04_Param_Prog'!$G$6:$G$13,MATCH(C37,'04_Param_Prog'!$B$6:$B$13,0)),'02_Parametres'!$D$20)</f>
        <v/>
      </c>
      <c r="AH37" s="46">
        <f>IFERROR(INDEX('04_Param_Prog'!$D$6:$D$13,MATCH(C37,'04_Param_Prog'!$B$6:$B$13,0)),'02_Parametres'!$D$17)</f>
        <v/>
      </c>
      <c r="AI37" s="48">
        <f>AE37*AF37*(1+'02_Parametres'!$G$12)</f>
        <v/>
      </c>
    </row>
    <row r="38">
      <c r="A38" s="43">
        <f>'05_Historique'!A39</f>
        <v/>
      </c>
      <c r="B38" s="11">
        <f>'05_Historique'!B39</f>
        <v/>
      </c>
      <c r="C38" s="43">
        <f>'05_Historique'!C39</f>
        <v/>
      </c>
      <c r="D38" s="11">
        <f>'05_Historique'!E39</f>
        <v/>
      </c>
      <c r="E38" s="11">
        <f>'05_Historique'!F39</f>
        <v/>
      </c>
      <c r="F38" s="44">
        <f>'05_Historique'!K39</f>
        <v/>
      </c>
      <c r="G38" s="44">
        <f>'05_Historique'!I39</f>
        <v/>
      </c>
      <c r="H38" s="44">
        <f>'05_Historique'!J39</f>
        <v/>
      </c>
      <c r="I38" s="44">
        <f>'05_Historique'!G39</f>
        <v/>
      </c>
      <c r="J38" s="18">
        <f>'05_Historique'!L39</f>
        <v/>
      </c>
      <c r="K38" s="44">
        <f>'05_Historique'!M39</f>
        <v/>
      </c>
      <c r="L38" s="45">
        <f>INDEX('03_Coeff_Strateg'!$C$6:$C$10,MATCH(A38,'03_Coeff_Strateg'!$B$6:$B$10,0))</f>
        <v/>
      </c>
      <c r="M38" s="45">
        <f>INDEX('03_Coeff_Strateg'!$D$6:$D$10,MATCH(A38,'03_Coeff_Strateg'!$B$6:$B$10,0))</f>
        <v/>
      </c>
      <c r="N38" s="46">
        <f>I38*(1+'02_Parametres'!$G$6*L38)</f>
        <v/>
      </c>
      <c r="O38" s="32">
        <f>IFERROR(G38/I38,0)+'02_Parametres'!$G$8</f>
        <v/>
      </c>
      <c r="P38" s="46">
        <f>N38*O38</f>
        <v/>
      </c>
      <c r="Q38" s="46">
        <f>H38*('02_Parametres'!$G$10/'02_Parametres'!$D$23)</f>
        <v/>
      </c>
      <c r="R38" s="47">
        <f>P38+Q38</f>
        <v/>
      </c>
      <c r="S38" s="48">
        <f>J38*(1+'02_Parametres'!$G$7*M38)</f>
        <v/>
      </c>
      <c r="T38" s="39">
        <f>R38*S38*AC38+P38*'02_Parametres'!$D$22</f>
        <v/>
      </c>
      <c r="U38" s="46">
        <f>IF(R38&lt;=0,0,MAX(1,ROUNDUP(R38/AD38,0)))</f>
        <v/>
      </c>
      <c r="V38" s="39">
        <f>U38*AI38</f>
        <v/>
      </c>
      <c r="W38" s="39">
        <f>R38*AG38*(1+'02_Parametres'!$G$11)</f>
        <v/>
      </c>
      <c r="X38" s="39">
        <f>P38*'02_Parametres'!$G$13</f>
        <v/>
      </c>
      <c r="Y38" s="49">
        <f>T38-V38-W38-X38</f>
        <v/>
      </c>
      <c r="Z38" s="32">
        <f>IFERROR(R38/(U38*AD38),0)</f>
        <v/>
      </c>
      <c r="AA38" s="48">
        <f>IFERROR(Y38/R38,0)</f>
        <v/>
      </c>
      <c r="AB38" s="45">
        <f>IF(E38="ALT",'02_Parametres'!$D$26+(1-'02_Parametres'!$D$26)*'02_Parametres'!$D$25,1)</f>
        <v/>
      </c>
      <c r="AC38" s="45">
        <f>IF(E38="ALT",'02_Parametres'!$G$9+(1-'02_Parametres'!$G$9)*'02_Parametres'!$D$25,1)</f>
        <v/>
      </c>
      <c r="AD38" s="46">
        <f>IFERROR(INDEX('04_Param_Prog'!$C$6:$C$13,MATCH(C38,'04_Param_Prog'!$B$6:$B$13,0)),'02_Parametres'!$D$16)</f>
        <v/>
      </c>
      <c r="AE38" s="46">
        <f>IFERROR(INDEX('04_Param_Prog'!$E$6:$E$13,MATCH(C38,'04_Param_Prog'!$B$6:$B$13,0)),'02_Parametres'!$D$18)</f>
        <v/>
      </c>
      <c r="AF38" s="48">
        <f>IFERROR(INDEX('04_Param_Prog'!$F$6:$F$13,MATCH(C38,'04_Param_Prog'!$B$6:$B$13,0)),'02_Parametres'!$D$19)</f>
        <v/>
      </c>
      <c r="AG38" s="48">
        <f>IFERROR(INDEX('04_Param_Prog'!$G$6:$G$13,MATCH(C38,'04_Param_Prog'!$B$6:$B$13,0)),'02_Parametres'!$D$20)</f>
        <v/>
      </c>
      <c r="AH38" s="46">
        <f>IFERROR(INDEX('04_Param_Prog'!$D$6:$D$13,MATCH(C38,'04_Param_Prog'!$B$6:$B$13,0)),'02_Parametres'!$D$17)</f>
        <v/>
      </c>
      <c r="AI38" s="48">
        <f>AE38*AF38*(1+'02_Parametres'!$G$12)</f>
        <v/>
      </c>
    </row>
    <row r="39">
      <c r="A39" s="43">
        <f>'05_Historique'!A40</f>
        <v/>
      </c>
      <c r="B39" s="11">
        <f>'05_Historique'!B40</f>
        <v/>
      </c>
      <c r="C39" s="43">
        <f>'05_Historique'!C40</f>
        <v/>
      </c>
      <c r="D39" s="11">
        <f>'05_Historique'!E40</f>
        <v/>
      </c>
      <c r="E39" s="11">
        <f>'05_Historique'!F40</f>
        <v/>
      </c>
      <c r="F39" s="44">
        <f>'05_Historique'!K40</f>
        <v/>
      </c>
      <c r="G39" s="44">
        <f>'05_Historique'!I40</f>
        <v/>
      </c>
      <c r="H39" s="44">
        <f>'05_Historique'!J40</f>
        <v/>
      </c>
      <c r="I39" s="44">
        <f>'05_Historique'!G40</f>
        <v/>
      </c>
      <c r="J39" s="18">
        <f>'05_Historique'!L40</f>
        <v/>
      </c>
      <c r="K39" s="44">
        <f>'05_Historique'!M40</f>
        <v/>
      </c>
      <c r="L39" s="45">
        <f>INDEX('03_Coeff_Strateg'!$C$6:$C$10,MATCH(A39,'03_Coeff_Strateg'!$B$6:$B$10,0))</f>
        <v/>
      </c>
      <c r="M39" s="45">
        <f>INDEX('03_Coeff_Strateg'!$D$6:$D$10,MATCH(A39,'03_Coeff_Strateg'!$B$6:$B$10,0))</f>
        <v/>
      </c>
      <c r="N39" s="46">
        <f>I39*(1+'02_Parametres'!$G$6*L39)</f>
        <v/>
      </c>
      <c r="O39" s="32">
        <f>IFERROR(G39/I39,0)+'02_Parametres'!$G$8</f>
        <v/>
      </c>
      <c r="P39" s="46">
        <f>N39*O39</f>
        <v/>
      </c>
      <c r="Q39" s="46">
        <f>H39*('02_Parametres'!$G$10/'02_Parametres'!$D$23)</f>
        <v/>
      </c>
      <c r="R39" s="47">
        <f>P39+Q39</f>
        <v/>
      </c>
      <c r="S39" s="48">
        <f>J39*(1+'02_Parametres'!$G$7*M39)</f>
        <v/>
      </c>
      <c r="T39" s="39">
        <f>R39*S39*AC39+P39*'02_Parametres'!$D$22</f>
        <v/>
      </c>
      <c r="U39" s="46">
        <f>IF(R39&lt;=0,0,MAX(1,ROUNDUP(R39/AD39,0)))</f>
        <v/>
      </c>
      <c r="V39" s="39">
        <f>U39*AI39</f>
        <v/>
      </c>
      <c r="W39" s="39">
        <f>R39*AG39*(1+'02_Parametres'!$G$11)</f>
        <v/>
      </c>
      <c r="X39" s="39">
        <f>P39*'02_Parametres'!$G$13</f>
        <v/>
      </c>
      <c r="Y39" s="49">
        <f>T39-V39-W39-X39</f>
        <v/>
      </c>
      <c r="Z39" s="32">
        <f>IFERROR(R39/(U39*AD39),0)</f>
        <v/>
      </c>
      <c r="AA39" s="48">
        <f>IFERROR(Y39/R39,0)</f>
        <v/>
      </c>
      <c r="AB39" s="45">
        <f>IF(E39="ALT",'02_Parametres'!$D$26+(1-'02_Parametres'!$D$26)*'02_Parametres'!$D$25,1)</f>
        <v/>
      </c>
      <c r="AC39" s="45">
        <f>IF(E39="ALT",'02_Parametres'!$G$9+(1-'02_Parametres'!$G$9)*'02_Parametres'!$D$25,1)</f>
        <v/>
      </c>
      <c r="AD39" s="46">
        <f>IFERROR(INDEX('04_Param_Prog'!$C$6:$C$13,MATCH(C39,'04_Param_Prog'!$B$6:$B$13,0)),'02_Parametres'!$D$16)</f>
        <v/>
      </c>
      <c r="AE39" s="46">
        <f>IFERROR(INDEX('04_Param_Prog'!$E$6:$E$13,MATCH(C39,'04_Param_Prog'!$B$6:$B$13,0)),'02_Parametres'!$D$18)</f>
        <v/>
      </c>
      <c r="AF39" s="48">
        <f>IFERROR(INDEX('04_Param_Prog'!$F$6:$F$13,MATCH(C39,'04_Param_Prog'!$B$6:$B$13,0)),'02_Parametres'!$D$19)</f>
        <v/>
      </c>
      <c r="AG39" s="48">
        <f>IFERROR(INDEX('04_Param_Prog'!$G$6:$G$13,MATCH(C39,'04_Param_Prog'!$B$6:$B$13,0)),'02_Parametres'!$D$20)</f>
        <v/>
      </c>
      <c r="AH39" s="46">
        <f>IFERROR(INDEX('04_Param_Prog'!$D$6:$D$13,MATCH(C39,'04_Param_Prog'!$B$6:$B$13,0)),'02_Parametres'!$D$17)</f>
        <v/>
      </c>
      <c r="AI39" s="48">
        <f>AE39*AF39*(1+'02_Parametres'!$G$12)</f>
        <v/>
      </c>
    </row>
    <row r="40">
      <c r="A40" s="43">
        <f>'05_Historique'!A41</f>
        <v/>
      </c>
      <c r="B40" s="11">
        <f>'05_Historique'!B41</f>
        <v/>
      </c>
      <c r="C40" s="43">
        <f>'05_Historique'!C41</f>
        <v/>
      </c>
      <c r="D40" s="11">
        <f>'05_Historique'!E41</f>
        <v/>
      </c>
      <c r="E40" s="11">
        <f>'05_Historique'!F41</f>
        <v/>
      </c>
      <c r="F40" s="44">
        <f>'05_Historique'!K41</f>
        <v/>
      </c>
      <c r="G40" s="44">
        <f>'05_Historique'!I41</f>
        <v/>
      </c>
      <c r="H40" s="44">
        <f>'05_Historique'!J41</f>
        <v/>
      </c>
      <c r="I40" s="44">
        <f>'05_Historique'!G41</f>
        <v/>
      </c>
      <c r="J40" s="18">
        <f>'05_Historique'!L41</f>
        <v/>
      </c>
      <c r="K40" s="44">
        <f>'05_Historique'!M41</f>
        <v/>
      </c>
      <c r="L40" s="45">
        <f>INDEX('03_Coeff_Strateg'!$C$6:$C$10,MATCH(A40,'03_Coeff_Strateg'!$B$6:$B$10,0))</f>
        <v/>
      </c>
      <c r="M40" s="45">
        <f>INDEX('03_Coeff_Strateg'!$D$6:$D$10,MATCH(A40,'03_Coeff_Strateg'!$B$6:$B$10,0))</f>
        <v/>
      </c>
      <c r="N40" s="46">
        <f>I40*(1+'02_Parametres'!$G$6*L40)</f>
        <v/>
      </c>
      <c r="O40" s="32">
        <f>IFERROR(G40/I40,0)+'02_Parametres'!$G$8</f>
        <v/>
      </c>
      <c r="P40" s="46">
        <f>N40*O40</f>
        <v/>
      </c>
      <c r="Q40" s="46">
        <f>H40*('02_Parametres'!$G$10/'02_Parametres'!$D$23)</f>
        <v/>
      </c>
      <c r="R40" s="47">
        <f>P40+Q40</f>
        <v/>
      </c>
      <c r="S40" s="48">
        <f>J40*(1+'02_Parametres'!$G$7*M40)</f>
        <v/>
      </c>
      <c r="T40" s="39">
        <f>R40*S40*AC40+P40*'02_Parametres'!$D$22</f>
        <v/>
      </c>
      <c r="U40" s="46">
        <f>IF(R40&lt;=0,0,MAX(1,ROUNDUP(R40/AD40,0)))</f>
        <v/>
      </c>
      <c r="V40" s="39">
        <f>U40*AI40</f>
        <v/>
      </c>
      <c r="W40" s="39">
        <f>R40*AG40*(1+'02_Parametres'!$G$11)</f>
        <v/>
      </c>
      <c r="X40" s="39">
        <f>P40*'02_Parametres'!$G$13</f>
        <v/>
      </c>
      <c r="Y40" s="49">
        <f>T40-V40-W40-X40</f>
        <v/>
      </c>
      <c r="Z40" s="32">
        <f>IFERROR(R40/(U40*AD40),0)</f>
        <v/>
      </c>
      <c r="AA40" s="48">
        <f>IFERROR(Y40/R40,0)</f>
        <v/>
      </c>
      <c r="AB40" s="45">
        <f>IF(E40="ALT",'02_Parametres'!$D$26+(1-'02_Parametres'!$D$26)*'02_Parametres'!$D$25,1)</f>
        <v/>
      </c>
      <c r="AC40" s="45">
        <f>IF(E40="ALT",'02_Parametres'!$G$9+(1-'02_Parametres'!$G$9)*'02_Parametres'!$D$25,1)</f>
        <v/>
      </c>
      <c r="AD40" s="46">
        <f>IFERROR(INDEX('04_Param_Prog'!$C$6:$C$13,MATCH(C40,'04_Param_Prog'!$B$6:$B$13,0)),'02_Parametres'!$D$16)</f>
        <v/>
      </c>
      <c r="AE40" s="46">
        <f>IFERROR(INDEX('04_Param_Prog'!$E$6:$E$13,MATCH(C40,'04_Param_Prog'!$B$6:$B$13,0)),'02_Parametres'!$D$18)</f>
        <v/>
      </c>
      <c r="AF40" s="48">
        <f>IFERROR(INDEX('04_Param_Prog'!$F$6:$F$13,MATCH(C40,'04_Param_Prog'!$B$6:$B$13,0)),'02_Parametres'!$D$19)</f>
        <v/>
      </c>
      <c r="AG40" s="48">
        <f>IFERROR(INDEX('04_Param_Prog'!$G$6:$G$13,MATCH(C40,'04_Param_Prog'!$B$6:$B$13,0)),'02_Parametres'!$D$20)</f>
        <v/>
      </c>
      <c r="AH40" s="46">
        <f>IFERROR(INDEX('04_Param_Prog'!$D$6:$D$13,MATCH(C40,'04_Param_Prog'!$B$6:$B$13,0)),'02_Parametres'!$D$17)</f>
        <v/>
      </c>
      <c r="AI40" s="48">
        <f>AE40*AF40*(1+'02_Parametres'!$G$12)</f>
        <v/>
      </c>
    </row>
    <row r="41">
      <c r="A41" s="43">
        <f>'05_Historique'!A42</f>
        <v/>
      </c>
      <c r="B41" s="11">
        <f>'05_Historique'!B42</f>
        <v/>
      </c>
      <c r="C41" s="43">
        <f>'05_Historique'!C42</f>
        <v/>
      </c>
      <c r="D41" s="11">
        <f>'05_Historique'!E42</f>
        <v/>
      </c>
      <c r="E41" s="11">
        <f>'05_Historique'!F42</f>
        <v/>
      </c>
      <c r="F41" s="44">
        <f>'05_Historique'!K42</f>
        <v/>
      </c>
      <c r="G41" s="44">
        <f>'05_Historique'!I42</f>
        <v/>
      </c>
      <c r="H41" s="44">
        <f>'05_Historique'!J42</f>
        <v/>
      </c>
      <c r="I41" s="44">
        <f>'05_Historique'!G42</f>
        <v/>
      </c>
      <c r="J41" s="18">
        <f>'05_Historique'!L42</f>
        <v/>
      </c>
      <c r="K41" s="44">
        <f>'05_Historique'!M42</f>
        <v/>
      </c>
      <c r="L41" s="45">
        <f>INDEX('03_Coeff_Strateg'!$C$6:$C$10,MATCH(A41,'03_Coeff_Strateg'!$B$6:$B$10,0))</f>
        <v/>
      </c>
      <c r="M41" s="45">
        <f>INDEX('03_Coeff_Strateg'!$D$6:$D$10,MATCH(A41,'03_Coeff_Strateg'!$B$6:$B$10,0))</f>
        <v/>
      </c>
      <c r="N41" s="46">
        <f>I41*(1+'02_Parametres'!$G$6*L41)</f>
        <v/>
      </c>
      <c r="O41" s="32">
        <f>IFERROR(G41/I41,0)+'02_Parametres'!$G$8</f>
        <v/>
      </c>
      <c r="P41" s="46">
        <f>N41*O41</f>
        <v/>
      </c>
      <c r="Q41" s="46">
        <f>H41*('02_Parametres'!$G$10/'02_Parametres'!$D$23)</f>
        <v/>
      </c>
      <c r="R41" s="47">
        <f>P41+Q41</f>
        <v/>
      </c>
      <c r="S41" s="48">
        <f>J41*(1+'02_Parametres'!$G$7*M41)</f>
        <v/>
      </c>
      <c r="T41" s="39">
        <f>R41*S41*AC41+P41*'02_Parametres'!$D$22</f>
        <v/>
      </c>
      <c r="U41" s="46">
        <f>IF(R41&lt;=0,0,MAX(1,ROUNDUP(R41/AD41,0)))</f>
        <v/>
      </c>
      <c r="V41" s="39">
        <f>U41*AI41</f>
        <v/>
      </c>
      <c r="W41" s="39">
        <f>R41*AG41*(1+'02_Parametres'!$G$11)</f>
        <v/>
      </c>
      <c r="X41" s="39">
        <f>P41*'02_Parametres'!$G$13</f>
        <v/>
      </c>
      <c r="Y41" s="49">
        <f>T41-V41-W41-X41</f>
        <v/>
      </c>
      <c r="Z41" s="32">
        <f>IFERROR(R41/(U41*AD41),0)</f>
        <v/>
      </c>
      <c r="AA41" s="48">
        <f>IFERROR(Y41/R41,0)</f>
        <v/>
      </c>
      <c r="AB41" s="45">
        <f>IF(E41="ALT",'02_Parametres'!$D$26+(1-'02_Parametres'!$D$26)*'02_Parametres'!$D$25,1)</f>
        <v/>
      </c>
      <c r="AC41" s="45">
        <f>IF(E41="ALT",'02_Parametres'!$G$9+(1-'02_Parametres'!$G$9)*'02_Parametres'!$D$25,1)</f>
        <v/>
      </c>
      <c r="AD41" s="46">
        <f>IFERROR(INDEX('04_Param_Prog'!$C$6:$C$13,MATCH(C41,'04_Param_Prog'!$B$6:$B$13,0)),'02_Parametres'!$D$16)</f>
        <v/>
      </c>
      <c r="AE41" s="46">
        <f>IFERROR(INDEX('04_Param_Prog'!$E$6:$E$13,MATCH(C41,'04_Param_Prog'!$B$6:$B$13,0)),'02_Parametres'!$D$18)</f>
        <v/>
      </c>
      <c r="AF41" s="48">
        <f>IFERROR(INDEX('04_Param_Prog'!$F$6:$F$13,MATCH(C41,'04_Param_Prog'!$B$6:$B$13,0)),'02_Parametres'!$D$19)</f>
        <v/>
      </c>
      <c r="AG41" s="48">
        <f>IFERROR(INDEX('04_Param_Prog'!$G$6:$G$13,MATCH(C41,'04_Param_Prog'!$B$6:$B$13,0)),'02_Parametres'!$D$20)</f>
        <v/>
      </c>
      <c r="AH41" s="46">
        <f>IFERROR(INDEX('04_Param_Prog'!$D$6:$D$13,MATCH(C41,'04_Param_Prog'!$B$6:$B$13,0)),'02_Parametres'!$D$17)</f>
        <v/>
      </c>
      <c r="AI41" s="48">
        <f>AE41*AF41*(1+'02_Parametres'!$G$12)</f>
        <v/>
      </c>
    </row>
    <row r="42">
      <c r="A42" s="43">
        <f>'05_Historique'!A43</f>
        <v/>
      </c>
      <c r="B42" s="11">
        <f>'05_Historique'!B43</f>
        <v/>
      </c>
      <c r="C42" s="43">
        <f>'05_Historique'!C43</f>
        <v/>
      </c>
      <c r="D42" s="11">
        <f>'05_Historique'!E43</f>
        <v/>
      </c>
      <c r="E42" s="11">
        <f>'05_Historique'!F43</f>
        <v/>
      </c>
      <c r="F42" s="44">
        <f>'05_Historique'!K43</f>
        <v/>
      </c>
      <c r="G42" s="44">
        <f>'05_Historique'!I43</f>
        <v/>
      </c>
      <c r="H42" s="44">
        <f>'05_Historique'!J43</f>
        <v/>
      </c>
      <c r="I42" s="44">
        <f>'05_Historique'!G43</f>
        <v/>
      </c>
      <c r="J42" s="18">
        <f>'05_Historique'!L43</f>
        <v/>
      </c>
      <c r="K42" s="44">
        <f>'05_Historique'!M43</f>
        <v/>
      </c>
      <c r="L42" s="45">
        <f>INDEX('03_Coeff_Strateg'!$C$6:$C$10,MATCH(A42,'03_Coeff_Strateg'!$B$6:$B$10,0))</f>
        <v/>
      </c>
      <c r="M42" s="45">
        <f>INDEX('03_Coeff_Strateg'!$D$6:$D$10,MATCH(A42,'03_Coeff_Strateg'!$B$6:$B$10,0))</f>
        <v/>
      </c>
      <c r="N42" s="46">
        <f>I42*(1+'02_Parametres'!$G$6*L42)</f>
        <v/>
      </c>
      <c r="O42" s="32">
        <f>IFERROR(G42/I42,0)+'02_Parametres'!$G$8</f>
        <v/>
      </c>
      <c r="P42" s="46">
        <f>N42*O42</f>
        <v/>
      </c>
      <c r="Q42" s="46">
        <f>H42*('02_Parametres'!$G$10/'02_Parametres'!$D$23)</f>
        <v/>
      </c>
      <c r="R42" s="47">
        <f>P42+Q42</f>
        <v/>
      </c>
      <c r="S42" s="48">
        <f>J42*(1+'02_Parametres'!$G$7*M42)</f>
        <v/>
      </c>
      <c r="T42" s="39">
        <f>R42*S42*AC42+P42*'02_Parametres'!$D$22</f>
        <v/>
      </c>
      <c r="U42" s="46">
        <f>IF(R42&lt;=0,0,MAX(1,ROUNDUP(R42/AD42,0)))</f>
        <v/>
      </c>
      <c r="V42" s="39">
        <f>U42*AI42</f>
        <v/>
      </c>
      <c r="W42" s="39">
        <f>R42*AG42*(1+'02_Parametres'!$G$11)</f>
        <v/>
      </c>
      <c r="X42" s="39">
        <f>P42*'02_Parametres'!$G$13</f>
        <v/>
      </c>
      <c r="Y42" s="49">
        <f>T42-V42-W42-X42</f>
        <v/>
      </c>
      <c r="Z42" s="32">
        <f>IFERROR(R42/(U42*AD42),0)</f>
        <v/>
      </c>
      <c r="AA42" s="48">
        <f>IFERROR(Y42/R42,0)</f>
        <v/>
      </c>
      <c r="AB42" s="45">
        <f>IF(E42="ALT",'02_Parametres'!$D$26+(1-'02_Parametres'!$D$26)*'02_Parametres'!$D$25,1)</f>
        <v/>
      </c>
      <c r="AC42" s="45">
        <f>IF(E42="ALT",'02_Parametres'!$G$9+(1-'02_Parametres'!$G$9)*'02_Parametres'!$D$25,1)</f>
        <v/>
      </c>
      <c r="AD42" s="46">
        <f>IFERROR(INDEX('04_Param_Prog'!$C$6:$C$13,MATCH(C42,'04_Param_Prog'!$B$6:$B$13,0)),'02_Parametres'!$D$16)</f>
        <v/>
      </c>
      <c r="AE42" s="46">
        <f>IFERROR(INDEX('04_Param_Prog'!$E$6:$E$13,MATCH(C42,'04_Param_Prog'!$B$6:$B$13,0)),'02_Parametres'!$D$18)</f>
        <v/>
      </c>
      <c r="AF42" s="48">
        <f>IFERROR(INDEX('04_Param_Prog'!$F$6:$F$13,MATCH(C42,'04_Param_Prog'!$B$6:$B$13,0)),'02_Parametres'!$D$19)</f>
        <v/>
      </c>
      <c r="AG42" s="48">
        <f>IFERROR(INDEX('04_Param_Prog'!$G$6:$G$13,MATCH(C42,'04_Param_Prog'!$B$6:$B$13,0)),'02_Parametres'!$D$20)</f>
        <v/>
      </c>
      <c r="AH42" s="46">
        <f>IFERROR(INDEX('04_Param_Prog'!$D$6:$D$13,MATCH(C42,'04_Param_Prog'!$B$6:$B$13,0)),'02_Parametres'!$D$17)</f>
        <v/>
      </c>
      <c r="AI42" s="48">
        <f>AE42*AF42*(1+'02_Parametres'!$G$12)</f>
        <v/>
      </c>
    </row>
    <row r="43">
      <c r="A43" s="43">
        <f>'05_Historique'!A44</f>
        <v/>
      </c>
      <c r="B43" s="11">
        <f>'05_Historique'!B44</f>
        <v/>
      </c>
      <c r="C43" s="43">
        <f>'05_Historique'!C44</f>
        <v/>
      </c>
      <c r="D43" s="11">
        <f>'05_Historique'!E44</f>
        <v/>
      </c>
      <c r="E43" s="11">
        <f>'05_Historique'!F44</f>
        <v/>
      </c>
      <c r="F43" s="44">
        <f>'05_Historique'!K44</f>
        <v/>
      </c>
      <c r="G43" s="44">
        <f>'05_Historique'!I44</f>
        <v/>
      </c>
      <c r="H43" s="44">
        <f>'05_Historique'!J44</f>
        <v/>
      </c>
      <c r="I43" s="44">
        <f>'05_Historique'!G44</f>
        <v/>
      </c>
      <c r="J43" s="18">
        <f>'05_Historique'!L44</f>
        <v/>
      </c>
      <c r="K43" s="44">
        <f>'05_Historique'!M44</f>
        <v/>
      </c>
      <c r="L43" s="45">
        <f>INDEX('03_Coeff_Strateg'!$C$6:$C$10,MATCH(A43,'03_Coeff_Strateg'!$B$6:$B$10,0))</f>
        <v/>
      </c>
      <c r="M43" s="45">
        <f>INDEX('03_Coeff_Strateg'!$D$6:$D$10,MATCH(A43,'03_Coeff_Strateg'!$B$6:$B$10,0))</f>
        <v/>
      </c>
      <c r="N43" s="46">
        <f>I43*(1+'02_Parametres'!$G$6*L43)</f>
        <v/>
      </c>
      <c r="O43" s="32">
        <f>IFERROR(G43/I43,0)+'02_Parametres'!$G$8</f>
        <v/>
      </c>
      <c r="P43" s="46">
        <f>N43*O43</f>
        <v/>
      </c>
      <c r="Q43" s="46">
        <f>H43*('02_Parametres'!$G$10/'02_Parametres'!$D$23)</f>
        <v/>
      </c>
      <c r="R43" s="47">
        <f>P43+Q43</f>
        <v/>
      </c>
      <c r="S43" s="48">
        <f>J43*(1+'02_Parametres'!$G$7*M43)</f>
        <v/>
      </c>
      <c r="T43" s="39">
        <f>R43*S43*AC43+P43*'02_Parametres'!$D$22</f>
        <v/>
      </c>
      <c r="U43" s="46">
        <f>IF(R43&lt;=0,0,MAX(1,ROUNDUP(R43/AD43,0)))</f>
        <v/>
      </c>
      <c r="V43" s="39">
        <f>U43*AI43</f>
        <v/>
      </c>
      <c r="W43" s="39">
        <f>R43*AG43*(1+'02_Parametres'!$G$11)</f>
        <v/>
      </c>
      <c r="X43" s="39">
        <f>P43*'02_Parametres'!$G$13</f>
        <v/>
      </c>
      <c r="Y43" s="49">
        <f>T43-V43-W43-X43</f>
        <v/>
      </c>
      <c r="Z43" s="32">
        <f>IFERROR(R43/(U43*AD43),0)</f>
        <v/>
      </c>
      <c r="AA43" s="48">
        <f>IFERROR(Y43/R43,0)</f>
        <v/>
      </c>
      <c r="AB43" s="45">
        <f>IF(E43="ALT",'02_Parametres'!$D$26+(1-'02_Parametres'!$D$26)*'02_Parametres'!$D$25,1)</f>
        <v/>
      </c>
      <c r="AC43" s="45">
        <f>IF(E43="ALT",'02_Parametres'!$G$9+(1-'02_Parametres'!$G$9)*'02_Parametres'!$D$25,1)</f>
        <v/>
      </c>
      <c r="AD43" s="46">
        <f>IFERROR(INDEX('04_Param_Prog'!$C$6:$C$13,MATCH(C43,'04_Param_Prog'!$B$6:$B$13,0)),'02_Parametres'!$D$16)</f>
        <v/>
      </c>
      <c r="AE43" s="46">
        <f>IFERROR(INDEX('04_Param_Prog'!$E$6:$E$13,MATCH(C43,'04_Param_Prog'!$B$6:$B$13,0)),'02_Parametres'!$D$18)</f>
        <v/>
      </c>
      <c r="AF43" s="48">
        <f>IFERROR(INDEX('04_Param_Prog'!$F$6:$F$13,MATCH(C43,'04_Param_Prog'!$B$6:$B$13,0)),'02_Parametres'!$D$19)</f>
        <v/>
      </c>
      <c r="AG43" s="48">
        <f>IFERROR(INDEX('04_Param_Prog'!$G$6:$G$13,MATCH(C43,'04_Param_Prog'!$B$6:$B$13,0)),'02_Parametres'!$D$20)</f>
        <v/>
      </c>
      <c r="AH43" s="46">
        <f>IFERROR(INDEX('04_Param_Prog'!$D$6:$D$13,MATCH(C43,'04_Param_Prog'!$B$6:$B$13,0)),'02_Parametres'!$D$17)</f>
        <v/>
      </c>
      <c r="AI43" s="48">
        <f>AE43*AF43*(1+'02_Parametres'!$G$12)</f>
        <v/>
      </c>
    </row>
    <row r="44">
      <c r="A44" s="43">
        <f>'05_Historique'!A45</f>
        <v/>
      </c>
      <c r="B44" s="11">
        <f>'05_Historique'!B45</f>
        <v/>
      </c>
      <c r="C44" s="43">
        <f>'05_Historique'!C45</f>
        <v/>
      </c>
      <c r="D44" s="11">
        <f>'05_Historique'!E45</f>
        <v/>
      </c>
      <c r="E44" s="11">
        <f>'05_Historique'!F45</f>
        <v/>
      </c>
      <c r="F44" s="44">
        <f>'05_Historique'!K45</f>
        <v/>
      </c>
      <c r="G44" s="44">
        <f>'05_Historique'!I45</f>
        <v/>
      </c>
      <c r="H44" s="44">
        <f>'05_Historique'!J45</f>
        <v/>
      </c>
      <c r="I44" s="44">
        <f>'05_Historique'!G45</f>
        <v/>
      </c>
      <c r="J44" s="18">
        <f>'05_Historique'!L45</f>
        <v/>
      </c>
      <c r="K44" s="44">
        <f>'05_Historique'!M45</f>
        <v/>
      </c>
      <c r="L44" s="45">
        <f>INDEX('03_Coeff_Strateg'!$C$6:$C$10,MATCH(A44,'03_Coeff_Strateg'!$B$6:$B$10,0))</f>
        <v/>
      </c>
      <c r="M44" s="45">
        <f>INDEX('03_Coeff_Strateg'!$D$6:$D$10,MATCH(A44,'03_Coeff_Strateg'!$B$6:$B$10,0))</f>
        <v/>
      </c>
      <c r="N44" s="46">
        <f>I44*(1+'02_Parametres'!$G$6*L44)</f>
        <v/>
      </c>
      <c r="O44" s="32">
        <f>IFERROR(G44/I44,0)+'02_Parametres'!$G$8</f>
        <v/>
      </c>
      <c r="P44" s="46">
        <f>N44*O44</f>
        <v/>
      </c>
      <c r="Q44" s="46">
        <f>H44*('02_Parametres'!$G$10/'02_Parametres'!$D$23)</f>
        <v/>
      </c>
      <c r="R44" s="47">
        <f>P44+Q44</f>
        <v/>
      </c>
      <c r="S44" s="48">
        <f>J44*(1+'02_Parametres'!$G$7*M44)</f>
        <v/>
      </c>
      <c r="T44" s="39">
        <f>R44*S44*AC44+P44*'02_Parametres'!$D$22</f>
        <v/>
      </c>
      <c r="U44" s="46">
        <f>IF(R44&lt;=0,0,MAX(1,ROUNDUP(R44/AD44,0)))</f>
        <v/>
      </c>
      <c r="V44" s="39">
        <f>U44*AI44</f>
        <v/>
      </c>
      <c r="W44" s="39">
        <f>R44*AG44*(1+'02_Parametres'!$G$11)</f>
        <v/>
      </c>
      <c r="X44" s="39">
        <f>P44*'02_Parametres'!$G$13</f>
        <v/>
      </c>
      <c r="Y44" s="49">
        <f>T44-V44-W44-X44</f>
        <v/>
      </c>
      <c r="Z44" s="32">
        <f>IFERROR(R44/(U44*AD44),0)</f>
        <v/>
      </c>
      <c r="AA44" s="48">
        <f>IFERROR(Y44/R44,0)</f>
        <v/>
      </c>
      <c r="AB44" s="45">
        <f>IF(E44="ALT",'02_Parametres'!$D$26+(1-'02_Parametres'!$D$26)*'02_Parametres'!$D$25,1)</f>
        <v/>
      </c>
      <c r="AC44" s="45">
        <f>IF(E44="ALT",'02_Parametres'!$G$9+(1-'02_Parametres'!$G$9)*'02_Parametres'!$D$25,1)</f>
        <v/>
      </c>
      <c r="AD44" s="46">
        <f>IFERROR(INDEX('04_Param_Prog'!$C$6:$C$13,MATCH(C44,'04_Param_Prog'!$B$6:$B$13,0)),'02_Parametres'!$D$16)</f>
        <v/>
      </c>
      <c r="AE44" s="46">
        <f>IFERROR(INDEX('04_Param_Prog'!$E$6:$E$13,MATCH(C44,'04_Param_Prog'!$B$6:$B$13,0)),'02_Parametres'!$D$18)</f>
        <v/>
      </c>
      <c r="AF44" s="48">
        <f>IFERROR(INDEX('04_Param_Prog'!$F$6:$F$13,MATCH(C44,'04_Param_Prog'!$B$6:$B$13,0)),'02_Parametres'!$D$19)</f>
        <v/>
      </c>
      <c r="AG44" s="48">
        <f>IFERROR(INDEX('04_Param_Prog'!$G$6:$G$13,MATCH(C44,'04_Param_Prog'!$B$6:$B$13,0)),'02_Parametres'!$D$20)</f>
        <v/>
      </c>
      <c r="AH44" s="46">
        <f>IFERROR(INDEX('04_Param_Prog'!$D$6:$D$13,MATCH(C44,'04_Param_Prog'!$B$6:$B$13,0)),'02_Parametres'!$D$17)</f>
        <v/>
      </c>
      <c r="AI44" s="48">
        <f>AE44*AF44*(1+'02_Parametres'!$G$12)</f>
        <v/>
      </c>
    </row>
    <row r="45">
      <c r="A45" s="43">
        <f>'05_Historique'!A46</f>
        <v/>
      </c>
      <c r="B45" s="11">
        <f>'05_Historique'!B46</f>
        <v/>
      </c>
      <c r="C45" s="43">
        <f>'05_Historique'!C46</f>
        <v/>
      </c>
      <c r="D45" s="11">
        <f>'05_Historique'!E46</f>
        <v/>
      </c>
      <c r="E45" s="11">
        <f>'05_Historique'!F46</f>
        <v/>
      </c>
      <c r="F45" s="44">
        <f>'05_Historique'!K46</f>
        <v/>
      </c>
      <c r="G45" s="44">
        <f>'05_Historique'!I46</f>
        <v/>
      </c>
      <c r="H45" s="44">
        <f>'05_Historique'!J46</f>
        <v/>
      </c>
      <c r="I45" s="44">
        <f>'05_Historique'!G46</f>
        <v/>
      </c>
      <c r="J45" s="18">
        <f>'05_Historique'!L46</f>
        <v/>
      </c>
      <c r="K45" s="44">
        <f>'05_Historique'!M46</f>
        <v/>
      </c>
      <c r="L45" s="45">
        <f>INDEX('03_Coeff_Strateg'!$C$6:$C$10,MATCH(A45,'03_Coeff_Strateg'!$B$6:$B$10,0))</f>
        <v/>
      </c>
      <c r="M45" s="45">
        <f>INDEX('03_Coeff_Strateg'!$D$6:$D$10,MATCH(A45,'03_Coeff_Strateg'!$B$6:$B$10,0))</f>
        <v/>
      </c>
      <c r="N45" s="46">
        <f>I45*(1+'02_Parametres'!$G$6*L45)</f>
        <v/>
      </c>
      <c r="O45" s="32">
        <f>IFERROR(G45/I45,0)+'02_Parametres'!$G$8</f>
        <v/>
      </c>
      <c r="P45" s="46">
        <f>N45*O45</f>
        <v/>
      </c>
      <c r="Q45" s="46">
        <f>H45*('02_Parametres'!$G$10/'02_Parametres'!$D$23)</f>
        <v/>
      </c>
      <c r="R45" s="47">
        <f>P45+Q45</f>
        <v/>
      </c>
      <c r="S45" s="48">
        <f>J45*(1+'02_Parametres'!$G$7*M45)</f>
        <v/>
      </c>
      <c r="T45" s="39">
        <f>R45*S45*AC45+P45*'02_Parametres'!$D$22</f>
        <v/>
      </c>
      <c r="U45" s="46">
        <f>IF(R45&lt;=0,0,MAX(1,ROUNDUP(R45/AD45,0)))</f>
        <v/>
      </c>
      <c r="V45" s="39">
        <f>U45*AI45</f>
        <v/>
      </c>
      <c r="W45" s="39">
        <f>R45*AG45*(1+'02_Parametres'!$G$11)</f>
        <v/>
      </c>
      <c r="X45" s="39">
        <f>P45*'02_Parametres'!$G$13</f>
        <v/>
      </c>
      <c r="Y45" s="49">
        <f>T45-V45-W45-X45</f>
        <v/>
      </c>
      <c r="Z45" s="32">
        <f>IFERROR(R45/(U45*AD45),0)</f>
        <v/>
      </c>
      <c r="AA45" s="48">
        <f>IFERROR(Y45/R45,0)</f>
        <v/>
      </c>
      <c r="AB45" s="45">
        <f>IF(E45="ALT",'02_Parametres'!$D$26+(1-'02_Parametres'!$D$26)*'02_Parametres'!$D$25,1)</f>
        <v/>
      </c>
      <c r="AC45" s="45">
        <f>IF(E45="ALT",'02_Parametres'!$G$9+(1-'02_Parametres'!$G$9)*'02_Parametres'!$D$25,1)</f>
        <v/>
      </c>
      <c r="AD45" s="46">
        <f>IFERROR(INDEX('04_Param_Prog'!$C$6:$C$13,MATCH(C45,'04_Param_Prog'!$B$6:$B$13,0)),'02_Parametres'!$D$16)</f>
        <v/>
      </c>
      <c r="AE45" s="46">
        <f>IFERROR(INDEX('04_Param_Prog'!$E$6:$E$13,MATCH(C45,'04_Param_Prog'!$B$6:$B$13,0)),'02_Parametres'!$D$18)</f>
        <v/>
      </c>
      <c r="AF45" s="48">
        <f>IFERROR(INDEX('04_Param_Prog'!$F$6:$F$13,MATCH(C45,'04_Param_Prog'!$B$6:$B$13,0)),'02_Parametres'!$D$19)</f>
        <v/>
      </c>
      <c r="AG45" s="48">
        <f>IFERROR(INDEX('04_Param_Prog'!$G$6:$G$13,MATCH(C45,'04_Param_Prog'!$B$6:$B$13,0)),'02_Parametres'!$D$20)</f>
        <v/>
      </c>
      <c r="AH45" s="46">
        <f>IFERROR(INDEX('04_Param_Prog'!$D$6:$D$13,MATCH(C45,'04_Param_Prog'!$B$6:$B$13,0)),'02_Parametres'!$D$17)</f>
        <v/>
      </c>
      <c r="AI45" s="48">
        <f>AE45*AF45*(1+'02_Parametres'!$G$12)</f>
        <v/>
      </c>
    </row>
    <row r="46">
      <c r="A46" s="43">
        <f>'05_Historique'!A47</f>
        <v/>
      </c>
      <c r="B46" s="11">
        <f>'05_Historique'!B47</f>
        <v/>
      </c>
      <c r="C46" s="43">
        <f>'05_Historique'!C47</f>
        <v/>
      </c>
      <c r="D46" s="11">
        <f>'05_Historique'!E47</f>
        <v/>
      </c>
      <c r="E46" s="11">
        <f>'05_Historique'!F47</f>
        <v/>
      </c>
      <c r="F46" s="44">
        <f>'05_Historique'!K47</f>
        <v/>
      </c>
      <c r="G46" s="44">
        <f>'05_Historique'!I47</f>
        <v/>
      </c>
      <c r="H46" s="44">
        <f>'05_Historique'!J47</f>
        <v/>
      </c>
      <c r="I46" s="44">
        <f>'05_Historique'!G47</f>
        <v/>
      </c>
      <c r="J46" s="18">
        <f>'05_Historique'!L47</f>
        <v/>
      </c>
      <c r="K46" s="44">
        <f>'05_Historique'!M47</f>
        <v/>
      </c>
      <c r="L46" s="45">
        <f>INDEX('03_Coeff_Strateg'!$C$6:$C$10,MATCH(A46,'03_Coeff_Strateg'!$B$6:$B$10,0))</f>
        <v/>
      </c>
      <c r="M46" s="45">
        <f>INDEX('03_Coeff_Strateg'!$D$6:$D$10,MATCH(A46,'03_Coeff_Strateg'!$B$6:$B$10,0))</f>
        <v/>
      </c>
      <c r="N46" s="46">
        <f>I46*(1+'02_Parametres'!$G$6*L46)</f>
        <v/>
      </c>
      <c r="O46" s="32">
        <f>IFERROR(G46/I46,0)+'02_Parametres'!$G$8</f>
        <v/>
      </c>
      <c r="P46" s="46">
        <f>N46*O46</f>
        <v/>
      </c>
      <c r="Q46" s="46">
        <f>H46*('02_Parametres'!$G$10/'02_Parametres'!$D$23)</f>
        <v/>
      </c>
      <c r="R46" s="47">
        <f>P46+Q46</f>
        <v/>
      </c>
      <c r="S46" s="48">
        <f>J46*(1+'02_Parametres'!$G$7*M46)</f>
        <v/>
      </c>
      <c r="T46" s="39">
        <f>R46*S46*AC46+P46*'02_Parametres'!$D$22</f>
        <v/>
      </c>
      <c r="U46" s="46">
        <f>IF(R46&lt;=0,0,MAX(1,ROUNDUP(R46/AD46,0)))</f>
        <v/>
      </c>
      <c r="V46" s="39">
        <f>U46*AI46</f>
        <v/>
      </c>
      <c r="W46" s="39">
        <f>R46*AG46*(1+'02_Parametres'!$G$11)</f>
        <v/>
      </c>
      <c r="X46" s="39">
        <f>P46*'02_Parametres'!$G$13</f>
        <v/>
      </c>
      <c r="Y46" s="49">
        <f>T46-V46-W46-X46</f>
        <v/>
      </c>
      <c r="Z46" s="32">
        <f>IFERROR(R46/(U46*AD46),0)</f>
        <v/>
      </c>
      <c r="AA46" s="48">
        <f>IFERROR(Y46/R46,0)</f>
        <v/>
      </c>
      <c r="AB46" s="45">
        <f>IF(E46="ALT",'02_Parametres'!$D$26+(1-'02_Parametres'!$D$26)*'02_Parametres'!$D$25,1)</f>
        <v/>
      </c>
      <c r="AC46" s="45">
        <f>IF(E46="ALT",'02_Parametres'!$G$9+(1-'02_Parametres'!$G$9)*'02_Parametres'!$D$25,1)</f>
        <v/>
      </c>
      <c r="AD46" s="46">
        <f>IFERROR(INDEX('04_Param_Prog'!$C$6:$C$13,MATCH(C46,'04_Param_Prog'!$B$6:$B$13,0)),'02_Parametres'!$D$16)</f>
        <v/>
      </c>
      <c r="AE46" s="46">
        <f>IFERROR(INDEX('04_Param_Prog'!$E$6:$E$13,MATCH(C46,'04_Param_Prog'!$B$6:$B$13,0)),'02_Parametres'!$D$18)</f>
        <v/>
      </c>
      <c r="AF46" s="48">
        <f>IFERROR(INDEX('04_Param_Prog'!$F$6:$F$13,MATCH(C46,'04_Param_Prog'!$B$6:$B$13,0)),'02_Parametres'!$D$19)</f>
        <v/>
      </c>
      <c r="AG46" s="48">
        <f>IFERROR(INDEX('04_Param_Prog'!$G$6:$G$13,MATCH(C46,'04_Param_Prog'!$B$6:$B$13,0)),'02_Parametres'!$D$20)</f>
        <v/>
      </c>
      <c r="AH46" s="46">
        <f>IFERROR(INDEX('04_Param_Prog'!$D$6:$D$13,MATCH(C46,'04_Param_Prog'!$B$6:$B$13,0)),'02_Parametres'!$D$17)</f>
        <v/>
      </c>
      <c r="AI46" s="48">
        <f>AE46*AF46*(1+'02_Parametres'!$G$12)</f>
        <v/>
      </c>
    </row>
    <row r="47">
      <c r="A47" s="43">
        <f>'05_Historique'!A48</f>
        <v/>
      </c>
      <c r="B47" s="11">
        <f>'05_Historique'!B48</f>
        <v/>
      </c>
      <c r="C47" s="43">
        <f>'05_Historique'!C48</f>
        <v/>
      </c>
      <c r="D47" s="11">
        <f>'05_Historique'!E48</f>
        <v/>
      </c>
      <c r="E47" s="11">
        <f>'05_Historique'!F48</f>
        <v/>
      </c>
      <c r="F47" s="44">
        <f>'05_Historique'!K48</f>
        <v/>
      </c>
      <c r="G47" s="44">
        <f>'05_Historique'!I48</f>
        <v/>
      </c>
      <c r="H47" s="44">
        <f>'05_Historique'!J48</f>
        <v/>
      </c>
      <c r="I47" s="44">
        <f>'05_Historique'!G48</f>
        <v/>
      </c>
      <c r="J47" s="18">
        <f>'05_Historique'!L48</f>
        <v/>
      </c>
      <c r="K47" s="44">
        <f>'05_Historique'!M48</f>
        <v/>
      </c>
      <c r="L47" s="45">
        <f>INDEX('03_Coeff_Strateg'!$C$6:$C$10,MATCH(A47,'03_Coeff_Strateg'!$B$6:$B$10,0))</f>
        <v/>
      </c>
      <c r="M47" s="45">
        <f>INDEX('03_Coeff_Strateg'!$D$6:$D$10,MATCH(A47,'03_Coeff_Strateg'!$B$6:$B$10,0))</f>
        <v/>
      </c>
      <c r="N47" s="46">
        <f>I47*(1+'02_Parametres'!$G$6*L47)</f>
        <v/>
      </c>
      <c r="O47" s="32">
        <f>IFERROR(G47/I47,0)+'02_Parametres'!$G$8</f>
        <v/>
      </c>
      <c r="P47" s="46">
        <f>N47*O47</f>
        <v/>
      </c>
      <c r="Q47" s="46">
        <f>H47*('02_Parametres'!$G$10/'02_Parametres'!$D$23)</f>
        <v/>
      </c>
      <c r="R47" s="47">
        <f>P47+Q47</f>
        <v/>
      </c>
      <c r="S47" s="48">
        <f>J47*(1+'02_Parametres'!$G$7*M47)</f>
        <v/>
      </c>
      <c r="T47" s="39">
        <f>R47*S47*AC47+P47*'02_Parametres'!$D$22</f>
        <v/>
      </c>
      <c r="U47" s="46">
        <f>IF(R47&lt;=0,0,MAX(1,ROUNDUP(R47/AD47,0)))</f>
        <v/>
      </c>
      <c r="V47" s="39">
        <f>U47*AI47</f>
        <v/>
      </c>
      <c r="W47" s="39">
        <f>R47*AG47*(1+'02_Parametres'!$G$11)</f>
        <v/>
      </c>
      <c r="X47" s="39">
        <f>P47*'02_Parametres'!$G$13</f>
        <v/>
      </c>
      <c r="Y47" s="49">
        <f>T47-V47-W47-X47</f>
        <v/>
      </c>
      <c r="Z47" s="32">
        <f>IFERROR(R47/(U47*AD47),0)</f>
        <v/>
      </c>
      <c r="AA47" s="48">
        <f>IFERROR(Y47/R47,0)</f>
        <v/>
      </c>
      <c r="AB47" s="45">
        <f>IF(E47="ALT",'02_Parametres'!$D$26+(1-'02_Parametres'!$D$26)*'02_Parametres'!$D$25,1)</f>
        <v/>
      </c>
      <c r="AC47" s="45">
        <f>IF(E47="ALT",'02_Parametres'!$G$9+(1-'02_Parametres'!$G$9)*'02_Parametres'!$D$25,1)</f>
        <v/>
      </c>
      <c r="AD47" s="46">
        <f>IFERROR(INDEX('04_Param_Prog'!$C$6:$C$13,MATCH(C47,'04_Param_Prog'!$B$6:$B$13,0)),'02_Parametres'!$D$16)</f>
        <v/>
      </c>
      <c r="AE47" s="46">
        <f>IFERROR(INDEX('04_Param_Prog'!$E$6:$E$13,MATCH(C47,'04_Param_Prog'!$B$6:$B$13,0)),'02_Parametres'!$D$18)</f>
        <v/>
      </c>
      <c r="AF47" s="48">
        <f>IFERROR(INDEX('04_Param_Prog'!$F$6:$F$13,MATCH(C47,'04_Param_Prog'!$B$6:$B$13,0)),'02_Parametres'!$D$19)</f>
        <v/>
      </c>
      <c r="AG47" s="48">
        <f>IFERROR(INDEX('04_Param_Prog'!$G$6:$G$13,MATCH(C47,'04_Param_Prog'!$B$6:$B$13,0)),'02_Parametres'!$D$20)</f>
        <v/>
      </c>
      <c r="AH47" s="46">
        <f>IFERROR(INDEX('04_Param_Prog'!$D$6:$D$13,MATCH(C47,'04_Param_Prog'!$B$6:$B$13,0)),'02_Parametres'!$D$17)</f>
        <v/>
      </c>
      <c r="AI47" s="48">
        <f>AE47*AF47*(1+'02_Parametres'!$G$12)</f>
        <v/>
      </c>
    </row>
    <row r="48">
      <c r="A48" s="43">
        <f>'05_Historique'!A49</f>
        <v/>
      </c>
      <c r="B48" s="11">
        <f>'05_Historique'!B49</f>
        <v/>
      </c>
      <c r="C48" s="43">
        <f>'05_Historique'!C49</f>
        <v/>
      </c>
      <c r="D48" s="11">
        <f>'05_Historique'!E49</f>
        <v/>
      </c>
      <c r="E48" s="11">
        <f>'05_Historique'!F49</f>
        <v/>
      </c>
      <c r="F48" s="44">
        <f>'05_Historique'!K49</f>
        <v/>
      </c>
      <c r="G48" s="44">
        <f>'05_Historique'!I49</f>
        <v/>
      </c>
      <c r="H48" s="44">
        <f>'05_Historique'!J49</f>
        <v/>
      </c>
      <c r="I48" s="44">
        <f>'05_Historique'!G49</f>
        <v/>
      </c>
      <c r="J48" s="18">
        <f>'05_Historique'!L49</f>
        <v/>
      </c>
      <c r="K48" s="44">
        <f>'05_Historique'!M49</f>
        <v/>
      </c>
      <c r="L48" s="45">
        <f>INDEX('03_Coeff_Strateg'!$C$6:$C$10,MATCH(A48,'03_Coeff_Strateg'!$B$6:$B$10,0))</f>
        <v/>
      </c>
      <c r="M48" s="45">
        <f>INDEX('03_Coeff_Strateg'!$D$6:$D$10,MATCH(A48,'03_Coeff_Strateg'!$B$6:$B$10,0))</f>
        <v/>
      </c>
      <c r="N48" s="46">
        <f>I48*(1+'02_Parametres'!$G$6*L48)</f>
        <v/>
      </c>
      <c r="O48" s="32">
        <f>IFERROR(G48/I48,0)+'02_Parametres'!$G$8</f>
        <v/>
      </c>
      <c r="P48" s="46">
        <f>N48*O48</f>
        <v/>
      </c>
      <c r="Q48" s="46">
        <f>H48*('02_Parametres'!$G$10/'02_Parametres'!$D$23)</f>
        <v/>
      </c>
      <c r="R48" s="47">
        <f>P48+Q48</f>
        <v/>
      </c>
      <c r="S48" s="48">
        <f>J48*(1+'02_Parametres'!$G$7*M48)</f>
        <v/>
      </c>
      <c r="T48" s="39">
        <f>R48*S48*AC48+P48*'02_Parametres'!$D$22</f>
        <v/>
      </c>
      <c r="U48" s="46">
        <f>IF(R48&lt;=0,0,MAX(1,ROUNDUP(R48/AD48,0)))</f>
        <v/>
      </c>
      <c r="V48" s="39">
        <f>U48*AI48</f>
        <v/>
      </c>
      <c r="W48" s="39">
        <f>R48*AG48*(1+'02_Parametres'!$G$11)</f>
        <v/>
      </c>
      <c r="X48" s="39">
        <f>P48*'02_Parametres'!$G$13</f>
        <v/>
      </c>
      <c r="Y48" s="49">
        <f>T48-V48-W48-X48</f>
        <v/>
      </c>
      <c r="Z48" s="32">
        <f>IFERROR(R48/(U48*AD48),0)</f>
        <v/>
      </c>
      <c r="AA48" s="48">
        <f>IFERROR(Y48/R48,0)</f>
        <v/>
      </c>
      <c r="AB48" s="45">
        <f>IF(E48="ALT",'02_Parametres'!$D$26+(1-'02_Parametres'!$D$26)*'02_Parametres'!$D$25,1)</f>
        <v/>
      </c>
      <c r="AC48" s="45">
        <f>IF(E48="ALT",'02_Parametres'!$G$9+(1-'02_Parametres'!$G$9)*'02_Parametres'!$D$25,1)</f>
        <v/>
      </c>
      <c r="AD48" s="46">
        <f>IFERROR(INDEX('04_Param_Prog'!$C$6:$C$13,MATCH(C48,'04_Param_Prog'!$B$6:$B$13,0)),'02_Parametres'!$D$16)</f>
        <v/>
      </c>
      <c r="AE48" s="46">
        <f>IFERROR(INDEX('04_Param_Prog'!$E$6:$E$13,MATCH(C48,'04_Param_Prog'!$B$6:$B$13,0)),'02_Parametres'!$D$18)</f>
        <v/>
      </c>
      <c r="AF48" s="48">
        <f>IFERROR(INDEX('04_Param_Prog'!$F$6:$F$13,MATCH(C48,'04_Param_Prog'!$B$6:$B$13,0)),'02_Parametres'!$D$19)</f>
        <v/>
      </c>
      <c r="AG48" s="48">
        <f>IFERROR(INDEX('04_Param_Prog'!$G$6:$G$13,MATCH(C48,'04_Param_Prog'!$B$6:$B$13,0)),'02_Parametres'!$D$20)</f>
        <v/>
      </c>
      <c r="AH48" s="46">
        <f>IFERROR(INDEX('04_Param_Prog'!$D$6:$D$13,MATCH(C48,'04_Param_Prog'!$B$6:$B$13,0)),'02_Parametres'!$D$17)</f>
        <v/>
      </c>
      <c r="AI48" s="48">
        <f>AE48*AF48*(1+'02_Parametres'!$G$12)</f>
        <v/>
      </c>
    </row>
    <row r="49">
      <c r="A49" s="43">
        <f>'05_Historique'!A50</f>
        <v/>
      </c>
      <c r="B49" s="11">
        <f>'05_Historique'!B50</f>
        <v/>
      </c>
      <c r="C49" s="43">
        <f>'05_Historique'!C50</f>
        <v/>
      </c>
      <c r="D49" s="11">
        <f>'05_Historique'!E50</f>
        <v/>
      </c>
      <c r="E49" s="11">
        <f>'05_Historique'!F50</f>
        <v/>
      </c>
      <c r="F49" s="44">
        <f>'05_Historique'!K50</f>
        <v/>
      </c>
      <c r="G49" s="44">
        <f>'05_Historique'!I50</f>
        <v/>
      </c>
      <c r="H49" s="44">
        <f>'05_Historique'!J50</f>
        <v/>
      </c>
      <c r="I49" s="44">
        <f>'05_Historique'!G50</f>
        <v/>
      </c>
      <c r="J49" s="18">
        <f>'05_Historique'!L50</f>
        <v/>
      </c>
      <c r="K49" s="44">
        <f>'05_Historique'!M50</f>
        <v/>
      </c>
      <c r="L49" s="45">
        <f>INDEX('03_Coeff_Strateg'!$C$6:$C$10,MATCH(A49,'03_Coeff_Strateg'!$B$6:$B$10,0))</f>
        <v/>
      </c>
      <c r="M49" s="45">
        <f>INDEX('03_Coeff_Strateg'!$D$6:$D$10,MATCH(A49,'03_Coeff_Strateg'!$B$6:$B$10,0))</f>
        <v/>
      </c>
      <c r="N49" s="46">
        <f>I49*(1+'02_Parametres'!$G$6*L49)</f>
        <v/>
      </c>
      <c r="O49" s="32">
        <f>IFERROR(G49/I49,0)+'02_Parametres'!$G$8</f>
        <v/>
      </c>
      <c r="P49" s="46">
        <f>N49*O49</f>
        <v/>
      </c>
      <c r="Q49" s="46">
        <f>H49*('02_Parametres'!$G$10/'02_Parametres'!$D$23)</f>
        <v/>
      </c>
      <c r="R49" s="47">
        <f>P49+Q49</f>
        <v/>
      </c>
      <c r="S49" s="48">
        <f>J49*(1+'02_Parametres'!$G$7*M49)</f>
        <v/>
      </c>
      <c r="T49" s="39">
        <f>R49*S49*AC49+P49*'02_Parametres'!$D$22</f>
        <v/>
      </c>
      <c r="U49" s="46">
        <f>IF(R49&lt;=0,0,MAX(1,ROUNDUP(R49/AD49,0)))</f>
        <v/>
      </c>
      <c r="V49" s="39">
        <f>U49*AI49</f>
        <v/>
      </c>
      <c r="W49" s="39">
        <f>R49*AG49*(1+'02_Parametres'!$G$11)</f>
        <v/>
      </c>
      <c r="X49" s="39">
        <f>P49*'02_Parametres'!$G$13</f>
        <v/>
      </c>
      <c r="Y49" s="49">
        <f>T49-V49-W49-X49</f>
        <v/>
      </c>
      <c r="Z49" s="32">
        <f>IFERROR(R49/(U49*AD49),0)</f>
        <v/>
      </c>
      <c r="AA49" s="48">
        <f>IFERROR(Y49/R49,0)</f>
        <v/>
      </c>
      <c r="AB49" s="45">
        <f>IF(E49="ALT",'02_Parametres'!$D$26+(1-'02_Parametres'!$D$26)*'02_Parametres'!$D$25,1)</f>
        <v/>
      </c>
      <c r="AC49" s="45">
        <f>IF(E49="ALT",'02_Parametres'!$G$9+(1-'02_Parametres'!$G$9)*'02_Parametres'!$D$25,1)</f>
        <v/>
      </c>
      <c r="AD49" s="46">
        <f>IFERROR(INDEX('04_Param_Prog'!$C$6:$C$13,MATCH(C49,'04_Param_Prog'!$B$6:$B$13,0)),'02_Parametres'!$D$16)</f>
        <v/>
      </c>
      <c r="AE49" s="46">
        <f>IFERROR(INDEX('04_Param_Prog'!$E$6:$E$13,MATCH(C49,'04_Param_Prog'!$B$6:$B$13,0)),'02_Parametres'!$D$18)</f>
        <v/>
      </c>
      <c r="AF49" s="48">
        <f>IFERROR(INDEX('04_Param_Prog'!$F$6:$F$13,MATCH(C49,'04_Param_Prog'!$B$6:$B$13,0)),'02_Parametres'!$D$19)</f>
        <v/>
      </c>
      <c r="AG49" s="48">
        <f>IFERROR(INDEX('04_Param_Prog'!$G$6:$G$13,MATCH(C49,'04_Param_Prog'!$B$6:$B$13,0)),'02_Parametres'!$D$20)</f>
        <v/>
      </c>
      <c r="AH49" s="46">
        <f>IFERROR(INDEX('04_Param_Prog'!$D$6:$D$13,MATCH(C49,'04_Param_Prog'!$B$6:$B$13,0)),'02_Parametres'!$D$17)</f>
        <v/>
      </c>
      <c r="AI49" s="48">
        <f>AE49*AF49*(1+'02_Parametres'!$G$12)</f>
        <v/>
      </c>
    </row>
    <row r="50">
      <c r="A50" s="43">
        <f>'05_Historique'!A51</f>
        <v/>
      </c>
      <c r="B50" s="11">
        <f>'05_Historique'!B51</f>
        <v/>
      </c>
      <c r="C50" s="43">
        <f>'05_Historique'!C51</f>
        <v/>
      </c>
      <c r="D50" s="11">
        <f>'05_Historique'!E51</f>
        <v/>
      </c>
      <c r="E50" s="11">
        <f>'05_Historique'!F51</f>
        <v/>
      </c>
      <c r="F50" s="44">
        <f>'05_Historique'!K51</f>
        <v/>
      </c>
      <c r="G50" s="44">
        <f>'05_Historique'!I51</f>
        <v/>
      </c>
      <c r="H50" s="44">
        <f>'05_Historique'!J51</f>
        <v/>
      </c>
      <c r="I50" s="44">
        <f>'05_Historique'!G51</f>
        <v/>
      </c>
      <c r="J50" s="18">
        <f>'05_Historique'!L51</f>
        <v/>
      </c>
      <c r="K50" s="44">
        <f>'05_Historique'!M51</f>
        <v/>
      </c>
      <c r="L50" s="45">
        <f>INDEX('03_Coeff_Strateg'!$C$6:$C$10,MATCH(A50,'03_Coeff_Strateg'!$B$6:$B$10,0))</f>
        <v/>
      </c>
      <c r="M50" s="45">
        <f>INDEX('03_Coeff_Strateg'!$D$6:$D$10,MATCH(A50,'03_Coeff_Strateg'!$B$6:$B$10,0))</f>
        <v/>
      </c>
      <c r="N50" s="46">
        <f>I50*(1+'02_Parametres'!$G$6*L50)</f>
        <v/>
      </c>
      <c r="O50" s="32">
        <f>IFERROR(G50/I50,0)+'02_Parametres'!$G$8</f>
        <v/>
      </c>
      <c r="P50" s="46">
        <f>N50*O50</f>
        <v/>
      </c>
      <c r="Q50" s="46">
        <f>H50*('02_Parametres'!$G$10/'02_Parametres'!$D$23)</f>
        <v/>
      </c>
      <c r="R50" s="47">
        <f>P50+Q50</f>
        <v/>
      </c>
      <c r="S50" s="48">
        <f>J50*(1+'02_Parametres'!$G$7*M50)</f>
        <v/>
      </c>
      <c r="T50" s="39">
        <f>R50*S50*AC50+P50*'02_Parametres'!$D$22</f>
        <v/>
      </c>
      <c r="U50" s="46">
        <f>IF(R50&lt;=0,0,MAX(1,ROUNDUP(R50/AD50,0)))</f>
        <v/>
      </c>
      <c r="V50" s="39">
        <f>U50*AI50</f>
        <v/>
      </c>
      <c r="W50" s="39">
        <f>R50*AG50*(1+'02_Parametres'!$G$11)</f>
        <v/>
      </c>
      <c r="X50" s="39">
        <f>P50*'02_Parametres'!$G$13</f>
        <v/>
      </c>
      <c r="Y50" s="49">
        <f>T50-V50-W50-X50</f>
        <v/>
      </c>
      <c r="Z50" s="32">
        <f>IFERROR(R50/(U50*AD50),0)</f>
        <v/>
      </c>
      <c r="AA50" s="48">
        <f>IFERROR(Y50/R50,0)</f>
        <v/>
      </c>
      <c r="AB50" s="45">
        <f>IF(E50="ALT",'02_Parametres'!$D$26+(1-'02_Parametres'!$D$26)*'02_Parametres'!$D$25,1)</f>
        <v/>
      </c>
      <c r="AC50" s="45">
        <f>IF(E50="ALT",'02_Parametres'!$G$9+(1-'02_Parametres'!$G$9)*'02_Parametres'!$D$25,1)</f>
        <v/>
      </c>
      <c r="AD50" s="46">
        <f>IFERROR(INDEX('04_Param_Prog'!$C$6:$C$13,MATCH(C50,'04_Param_Prog'!$B$6:$B$13,0)),'02_Parametres'!$D$16)</f>
        <v/>
      </c>
      <c r="AE50" s="46">
        <f>IFERROR(INDEX('04_Param_Prog'!$E$6:$E$13,MATCH(C50,'04_Param_Prog'!$B$6:$B$13,0)),'02_Parametres'!$D$18)</f>
        <v/>
      </c>
      <c r="AF50" s="48">
        <f>IFERROR(INDEX('04_Param_Prog'!$F$6:$F$13,MATCH(C50,'04_Param_Prog'!$B$6:$B$13,0)),'02_Parametres'!$D$19)</f>
        <v/>
      </c>
      <c r="AG50" s="48">
        <f>IFERROR(INDEX('04_Param_Prog'!$G$6:$G$13,MATCH(C50,'04_Param_Prog'!$B$6:$B$13,0)),'02_Parametres'!$D$20)</f>
        <v/>
      </c>
      <c r="AH50" s="46">
        <f>IFERROR(INDEX('04_Param_Prog'!$D$6:$D$13,MATCH(C50,'04_Param_Prog'!$B$6:$B$13,0)),'02_Parametres'!$D$17)</f>
        <v/>
      </c>
      <c r="AI50" s="48">
        <f>AE50*AF50*(1+'02_Parametres'!$G$12)</f>
        <v/>
      </c>
    </row>
    <row r="51">
      <c r="A51" s="43">
        <f>'05_Historique'!A52</f>
        <v/>
      </c>
      <c r="B51" s="11">
        <f>'05_Historique'!B52</f>
        <v/>
      </c>
      <c r="C51" s="43">
        <f>'05_Historique'!C52</f>
        <v/>
      </c>
      <c r="D51" s="11">
        <f>'05_Historique'!E52</f>
        <v/>
      </c>
      <c r="E51" s="11">
        <f>'05_Historique'!F52</f>
        <v/>
      </c>
      <c r="F51" s="44">
        <f>'05_Historique'!K52</f>
        <v/>
      </c>
      <c r="G51" s="44">
        <f>'05_Historique'!I52</f>
        <v/>
      </c>
      <c r="H51" s="44">
        <f>'05_Historique'!J52</f>
        <v/>
      </c>
      <c r="I51" s="44">
        <f>'05_Historique'!G52</f>
        <v/>
      </c>
      <c r="J51" s="18">
        <f>'05_Historique'!L52</f>
        <v/>
      </c>
      <c r="K51" s="44">
        <f>'05_Historique'!M52</f>
        <v/>
      </c>
      <c r="L51" s="45">
        <f>INDEX('03_Coeff_Strateg'!$C$6:$C$10,MATCH(A51,'03_Coeff_Strateg'!$B$6:$B$10,0))</f>
        <v/>
      </c>
      <c r="M51" s="45">
        <f>INDEX('03_Coeff_Strateg'!$D$6:$D$10,MATCH(A51,'03_Coeff_Strateg'!$B$6:$B$10,0))</f>
        <v/>
      </c>
      <c r="N51" s="46">
        <f>I51*(1+'02_Parametres'!$G$6*L51)</f>
        <v/>
      </c>
      <c r="O51" s="32">
        <f>IFERROR(G51/I51,0)+'02_Parametres'!$G$8</f>
        <v/>
      </c>
      <c r="P51" s="46">
        <f>N51*O51</f>
        <v/>
      </c>
      <c r="Q51" s="46">
        <f>H51*('02_Parametres'!$G$10/'02_Parametres'!$D$23)</f>
        <v/>
      </c>
      <c r="R51" s="47">
        <f>P51+Q51</f>
        <v/>
      </c>
      <c r="S51" s="48">
        <f>J51*(1+'02_Parametres'!$G$7*M51)</f>
        <v/>
      </c>
      <c r="T51" s="39">
        <f>R51*S51*AC51+P51*'02_Parametres'!$D$22</f>
        <v/>
      </c>
      <c r="U51" s="46">
        <f>IF(R51&lt;=0,0,MAX(1,ROUNDUP(R51/AD51,0)))</f>
        <v/>
      </c>
      <c r="V51" s="39">
        <f>U51*AI51</f>
        <v/>
      </c>
      <c r="W51" s="39">
        <f>R51*AG51*(1+'02_Parametres'!$G$11)</f>
        <v/>
      </c>
      <c r="X51" s="39">
        <f>P51*'02_Parametres'!$G$13</f>
        <v/>
      </c>
      <c r="Y51" s="49">
        <f>T51-V51-W51-X51</f>
        <v/>
      </c>
      <c r="Z51" s="32">
        <f>IFERROR(R51/(U51*AD51),0)</f>
        <v/>
      </c>
      <c r="AA51" s="48">
        <f>IFERROR(Y51/R51,0)</f>
        <v/>
      </c>
      <c r="AB51" s="45">
        <f>IF(E51="ALT",'02_Parametres'!$D$26+(1-'02_Parametres'!$D$26)*'02_Parametres'!$D$25,1)</f>
        <v/>
      </c>
      <c r="AC51" s="45">
        <f>IF(E51="ALT",'02_Parametres'!$G$9+(1-'02_Parametres'!$G$9)*'02_Parametres'!$D$25,1)</f>
        <v/>
      </c>
      <c r="AD51" s="46">
        <f>IFERROR(INDEX('04_Param_Prog'!$C$6:$C$13,MATCH(C51,'04_Param_Prog'!$B$6:$B$13,0)),'02_Parametres'!$D$16)</f>
        <v/>
      </c>
      <c r="AE51" s="46">
        <f>IFERROR(INDEX('04_Param_Prog'!$E$6:$E$13,MATCH(C51,'04_Param_Prog'!$B$6:$B$13,0)),'02_Parametres'!$D$18)</f>
        <v/>
      </c>
      <c r="AF51" s="48">
        <f>IFERROR(INDEX('04_Param_Prog'!$F$6:$F$13,MATCH(C51,'04_Param_Prog'!$B$6:$B$13,0)),'02_Parametres'!$D$19)</f>
        <v/>
      </c>
      <c r="AG51" s="48">
        <f>IFERROR(INDEX('04_Param_Prog'!$G$6:$G$13,MATCH(C51,'04_Param_Prog'!$B$6:$B$13,0)),'02_Parametres'!$D$20)</f>
        <v/>
      </c>
      <c r="AH51" s="46">
        <f>IFERROR(INDEX('04_Param_Prog'!$D$6:$D$13,MATCH(C51,'04_Param_Prog'!$B$6:$B$13,0)),'02_Parametres'!$D$17)</f>
        <v/>
      </c>
      <c r="AI51" s="48">
        <f>AE51*AF51*(1+'02_Parametres'!$G$12)</f>
        <v/>
      </c>
    </row>
    <row r="52">
      <c r="A52" s="43">
        <f>'05_Historique'!A53</f>
        <v/>
      </c>
      <c r="B52" s="11">
        <f>'05_Historique'!B53</f>
        <v/>
      </c>
      <c r="C52" s="43">
        <f>'05_Historique'!C53</f>
        <v/>
      </c>
      <c r="D52" s="11">
        <f>'05_Historique'!E53</f>
        <v/>
      </c>
      <c r="E52" s="11">
        <f>'05_Historique'!F53</f>
        <v/>
      </c>
      <c r="F52" s="44">
        <f>'05_Historique'!K53</f>
        <v/>
      </c>
      <c r="G52" s="44">
        <f>'05_Historique'!I53</f>
        <v/>
      </c>
      <c r="H52" s="44">
        <f>'05_Historique'!J53</f>
        <v/>
      </c>
      <c r="I52" s="44">
        <f>'05_Historique'!G53</f>
        <v/>
      </c>
      <c r="J52" s="18">
        <f>'05_Historique'!L53</f>
        <v/>
      </c>
      <c r="K52" s="44">
        <f>'05_Historique'!M53</f>
        <v/>
      </c>
      <c r="L52" s="45">
        <f>INDEX('03_Coeff_Strateg'!$C$6:$C$10,MATCH(A52,'03_Coeff_Strateg'!$B$6:$B$10,0))</f>
        <v/>
      </c>
      <c r="M52" s="45">
        <f>INDEX('03_Coeff_Strateg'!$D$6:$D$10,MATCH(A52,'03_Coeff_Strateg'!$B$6:$B$10,0))</f>
        <v/>
      </c>
      <c r="N52" s="46">
        <f>I52*(1+'02_Parametres'!$G$6*L52)</f>
        <v/>
      </c>
      <c r="O52" s="32">
        <f>IFERROR(G52/I52,0)+'02_Parametres'!$G$8</f>
        <v/>
      </c>
      <c r="P52" s="46">
        <f>N52*O52</f>
        <v/>
      </c>
      <c r="Q52" s="46">
        <f>H52*('02_Parametres'!$G$10/'02_Parametres'!$D$23)</f>
        <v/>
      </c>
      <c r="R52" s="47">
        <f>P52+Q52</f>
        <v/>
      </c>
      <c r="S52" s="48">
        <f>J52*(1+'02_Parametres'!$G$7*M52)</f>
        <v/>
      </c>
      <c r="T52" s="39">
        <f>R52*S52*AC52+P52*'02_Parametres'!$D$22</f>
        <v/>
      </c>
      <c r="U52" s="46">
        <f>IF(R52&lt;=0,0,MAX(1,ROUNDUP(R52/AD52,0)))</f>
        <v/>
      </c>
      <c r="V52" s="39">
        <f>U52*AI52</f>
        <v/>
      </c>
      <c r="W52" s="39">
        <f>R52*AG52*(1+'02_Parametres'!$G$11)</f>
        <v/>
      </c>
      <c r="X52" s="39">
        <f>P52*'02_Parametres'!$G$13</f>
        <v/>
      </c>
      <c r="Y52" s="49">
        <f>T52-V52-W52-X52</f>
        <v/>
      </c>
      <c r="Z52" s="32">
        <f>IFERROR(R52/(U52*AD52),0)</f>
        <v/>
      </c>
      <c r="AA52" s="48">
        <f>IFERROR(Y52/R52,0)</f>
        <v/>
      </c>
      <c r="AB52" s="45">
        <f>IF(E52="ALT",'02_Parametres'!$D$26+(1-'02_Parametres'!$D$26)*'02_Parametres'!$D$25,1)</f>
        <v/>
      </c>
      <c r="AC52" s="45">
        <f>IF(E52="ALT",'02_Parametres'!$G$9+(1-'02_Parametres'!$G$9)*'02_Parametres'!$D$25,1)</f>
        <v/>
      </c>
      <c r="AD52" s="46">
        <f>IFERROR(INDEX('04_Param_Prog'!$C$6:$C$13,MATCH(C52,'04_Param_Prog'!$B$6:$B$13,0)),'02_Parametres'!$D$16)</f>
        <v/>
      </c>
      <c r="AE52" s="46">
        <f>IFERROR(INDEX('04_Param_Prog'!$E$6:$E$13,MATCH(C52,'04_Param_Prog'!$B$6:$B$13,0)),'02_Parametres'!$D$18)</f>
        <v/>
      </c>
      <c r="AF52" s="48">
        <f>IFERROR(INDEX('04_Param_Prog'!$F$6:$F$13,MATCH(C52,'04_Param_Prog'!$B$6:$B$13,0)),'02_Parametres'!$D$19)</f>
        <v/>
      </c>
      <c r="AG52" s="48">
        <f>IFERROR(INDEX('04_Param_Prog'!$G$6:$G$13,MATCH(C52,'04_Param_Prog'!$B$6:$B$13,0)),'02_Parametres'!$D$20)</f>
        <v/>
      </c>
      <c r="AH52" s="46">
        <f>IFERROR(INDEX('04_Param_Prog'!$D$6:$D$13,MATCH(C52,'04_Param_Prog'!$B$6:$B$13,0)),'02_Parametres'!$D$17)</f>
        <v/>
      </c>
      <c r="AI52" s="48">
        <f>AE52*AF52*(1+'02_Parametres'!$G$12)</f>
        <v/>
      </c>
    </row>
    <row r="53">
      <c r="A53" s="43">
        <f>'05_Historique'!A54</f>
        <v/>
      </c>
      <c r="B53" s="11">
        <f>'05_Historique'!B54</f>
        <v/>
      </c>
      <c r="C53" s="43">
        <f>'05_Historique'!C54</f>
        <v/>
      </c>
      <c r="D53" s="11">
        <f>'05_Historique'!E54</f>
        <v/>
      </c>
      <c r="E53" s="11">
        <f>'05_Historique'!F54</f>
        <v/>
      </c>
      <c r="F53" s="44">
        <f>'05_Historique'!K54</f>
        <v/>
      </c>
      <c r="G53" s="44">
        <f>'05_Historique'!I54</f>
        <v/>
      </c>
      <c r="H53" s="44">
        <f>'05_Historique'!J54</f>
        <v/>
      </c>
      <c r="I53" s="44">
        <f>'05_Historique'!G54</f>
        <v/>
      </c>
      <c r="J53" s="18">
        <f>'05_Historique'!L54</f>
        <v/>
      </c>
      <c r="K53" s="44">
        <f>'05_Historique'!M54</f>
        <v/>
      </c>
      <c r="L53" s="45">
        <f>INDEX('03_Coeff_Strateg'!$C$6:$C$10,MATCH(A53,'03_Coeff_Strateg'!$B$6:$B$10,0))</f>
        <v/>
      </c>
      <c r="M53" s="45">
        <f>INDEX('03_Coeff_Strateg'!$D$6:$D$10,MATCH(A53,'03_Coeff_Strateg'!$B$6:$B$10,0))</f>
        <v/>
      </c>
      <c r="N53" s="46">
        <f>I53*(1+'02_Parametres'!$G$6*L53)</f>
        <v/>
      </c>
      <c r="O53" s="32">
        <f>IFERROR(G53/I53,0)+'02_Parametres'!$G$8</f>
        <v/>
      </c>
      <c r="P53" s="46">
        <f>N53*O53</f>
        <v/>
      </c>
      <c r="Q53" s="46">
        <f>H53*('02_Parametres'!$G$10/'02_Parametres'!$D$23)</f>
        <v/>
      </c>
      <c r="R53" s="47">
        <f>P53+Q53</f>
        <v/>
      </c>
      <c r="S53" s="48">
        <f>J53*(1+'02_Parametres'!$G$7*M53)</f>
        <v/>
      </c>
      <c r="T53" s="39">
        <f>R53*S53*AC53+P53*'02_Parametres'!$D$22</f>
        <v/>
      </c>
      <c r="U53" s="46">
        <f>IF(R53&lt;=0,0,MAX(1,ROUNDUP(R53/AD53,0)))</f>
        <v/>
      </c>
      <c r="V53" s="39">
        <f>U53*AI53</f>
        <v/>
      </c>
      <c r="W53" s="39">
        <f>R53*AG53*(1+'02_Parametres'!$G$11)</f>
        <v/>
      </c>
      <c r="X53" s="39">
        <f>P53*'02_Parametres'!$G$13</f>
        <v/>
      </c>
      <c r="Y53" s="49">
        <f>T53-V53-W53-X53</f>
        <v/>
      </c>
      <c r="Z53" s="32">
        <f>IFERROR(R53/(U53*AD53),0)</f>
        <v/>
      </c>
      <c r="AA53" s="48">
        <f>IFERROR(Y53/R53,0)</f>
        <v/>
      </c>
      <c r="AB53" s="45">
        <f>IF(E53="ALT",'02_Parametres'!$D$26+(1-'02_Parametres'!$D$26)*'02_Parametres'!$D$25,1)</f>
        <v/>
      </c>
      <c r="AC53" s="45">
        <f>IF(E53="ALT",'02_Parametres'!$G$9+(1-'02_Parametres'!$G$9)*'02_Parametres'!$D$25,1)</f>
        <v/>
      </c>
      <c r="AD53" s="46">
        <f>IFERROR(INDEX('04_Param_Prog'!$C$6:$C$13,MATCH(C53,'04_Param_Prog'!$B$6:$B$13,0)),'02_Parametres'!$D$16)</f>
        <v/>
      </c>
      <c r="AE53" s="46">
        <f>IFERROR(INDEX('04_Param_Prog'!$E$6:$E$13,MATCH(C53,'04_Param_Prog'!$B$6:$B$13,0)),'02_Parametres'!$D$18)</f>
        <v/>
      </c>
      <c r="AF53" s="48">
        <f>IFERROR(INDEX('04_Param_Prog'!$F$6:$F$13,MATCH(C53,'04_Param_Prog'!$B$6:$B$13,0)),'02_Parametres'!$D$19)</f>
        <v/>
      </c>
      <c r="AG53" s="48">
        <f>IFERROR(INDEX('04_Param_Prog'!$G$6:$G$13,MATCH(C53,'04_Param_Prog'!$B$6:$B$13,0)),'02_Parametres'!$D$20)</f>
        <v/>
      </c>
      <c r="AH53" s="46">
        <f>IFERROR(INDEX('04_Param_Prog'!$D$6:$D$13,MATCH(C53,'04_Param_Prog'!$B$6:$B$13,0)),'02_Parametres'!$D$17)</f>
        <v/>
      </c>
      <c r="AI53" s="48">
        <f>AE53*AF53*(1+'02_Parametres'!$G$12)</f>
        <v/>
      </c>
    </row>
    <row r="54">
      <c r="A54" s="43">
        <f>'05_Historique'!A55</f>
        <v/>
      </c>
      <c r="B54" s="11">
        <f>'05_Historique'!B55</f>
        <v/>
      </c>
      <c r="C54" s="43">
        <f>'05_Historique'!C55</f>
        <v/>
      </c>
      <c r="D54" s="11">
        <f>'05_Historique'!E55</f>
        <v/>
      </c>
      <c r="E54" s="11">
        <f>'05_Historique'!F55</f>
        <v/>
      </c>
      <c r="F54" s="44">
        <f>'05_Historique'!K55</f>
        <v/>
      </c>
      <c r="G54" s="44">
        <f>'05_Historique'!I55</f>
        <v/>
      </c>
      <c r="H54" s="44">
        <f>'05_Historique'!J55</f>
        <v/>
      </c>
      <c r="I54" s="44">
        <f>'05_Historique'!G55</f>
        <v/>
      </c>
      <c r="J54" s="18">
        <f>'05_Historique'!L55</f>
        <v/>
      </c>
      <c r="K54" s="44">
        <f>'05_Historique'!M55</f>
        <v/>
      </c>
      <c r="L54" s="45">
        <f>INDEX('03_Coeff_Strateg'!$C$6:$C$10,MATCH(A54,'03_Coeff_Strateg'!$B$6:$B$10,0))</f>
        <v/>
      </c>
      <c r="M54" s="45">
        <f>INDEX('03_Coeff_Strateg'!$D$6:$D$10,MATCH(A54,'03_Coeff_Strateg'!$B$6:$B$10,0))</f>
        <v/>
      </c>
      <c r="N54" s="46">
        <f>I54*(1+'02_Parametres'!$G$6*L54)</f>
        <v/>
      </c>
      <c r="O54" s="32">
        <f>IFERROR(G54/I54,0)+'02_Parametres'!$G$8</f>
        <v/>
      </c>
      <c r="P54" s="46">
        <f>N54*O54</f>
        <v/>
      </c>
      <c r="Q54" s="46">
        <f>H54*('02_Parametres'!$G$10/'02_Parametres'!$D$23)</f>
        <v/>
      </c>
      <c r="R54" s="47">
        <f>P54+Q54</f>
        <v/>
      </c>
      <c r="S54" s="48">
        <f>J54*(1+'02_Parametres'!$G$7*M54)</f>
        <v/>
      </c>
      <c r="T54" s="39">
        <f>R54*S54*AC54+P54*'02_Parametres'!$D$22</f>
        <v/>
      </c>
      <c r="U54" s="46">
        <f>IF(R54&lt;=0,0,MAX(1,ROUNDUP(R54/AD54,0)))</f>
        <v/>
      </c>
      <c r="V54" s="39">
        <f>U54*AI54</f>
        <v/>
      </c>
      <c r="W54" s="39">
        <f>R54*AG54*(1+'02_Parametres'!$G$11)</f>
        <v/>
      </c>
      <c r="X54" s="39">
        <f>P54*'02_Parametres'!$G$13</f>
        <v/>
      </c>
      <c r="Y54" s="49">
        <f>T54-V54-W54-X54</f>
        <v/>
      </c>
      <c r="Z54" s="32">
        <f>IFERROR(R54/(U54*AD54),0)</f>
        <v/>
      </c>
      <c r="AA54" s="48">
        <f>IFERROR(Y54/R54,0)</f>
        <v/>
      </c>
      <c r="AB54" s="45">
        <f>IF(E54="ALT",'02_Parametres'!$D$26+(1-'02_Parametres'!$D$26)*'02_Parametres'!$D$25,1)</f>
        <v/>
      </c>
      <c r="AC54" s="45">
        <f>IF(E54="ALT",'02_Parametres'!$G$9+(1-'02_Parametres'!$G$9)*'02_Parametres'!$D$25,1)</f>
        <v/>
      </c>
      <c r="AD54" s="46">
        <f>IFERROR(INDEX('04_Param_Prog'!$C$6:$C$13,MATCH(C54,'04_Param_Prog'!$B$6:$B$13,0)),'02_Parametres'!$D$16)</f>
        <v/>
      </c>
      <c r="AE54" s="46">
        <f>IFERROR(INDEX('04_Param_Prog'!$E$6:$E$13,MATCH(C54,'04_Param_Prog'!$B$6:$B$13,0)),'02_Parametres'!$D$18)</f>
        <v/>
      </c>
      <c r="AF54" s="48">
        <f>IFERROR(INDEX('04_Param_Prog'!$F$6:$F$13,MATCH(C54,'04_Param_Prog'!$B$6:$B$13,0)),'02_Parametres'!$D$19)</f>
        <v/>
      </c>
      <c r="AG54" s="48">
        <f>IFERROR(INDEX('04_Param_Prog'!$G$6:$G$13,MATCH(C54,'04_Param_Prog'!$B$6:$B$13,0)),'02_Parametres'!$D$20)</f>
        <v/>
      </c>
      <c r="AH54" s="46">
        <f>IFERROR(INDEX('04_Param_Prog'!$D$6:$D$13,MATCH(C54,'04_Param_Prog'!$B$6:$B$13,0)),'02_Parametres'!$D$17)</f>
        <v/>
      </c>
      <c r="AI54" s="48">
        <f>AE54*AF54*(1+'02_Parametres'!$G$12)</f>
        <v/>
      </c>
    </row>
    <row r="55">
      <c r="A55" s="43">
        <f>'05_Historique'!A56</f>
        <v/>
      </c>
      <c r="B55" s="11">
        <f>'05_Historique'!B56</f>
        <v/>
      </c>
      <c r="C55" s="43">
        <f>'05_Historique'!C56</f>
        <v/>
      </c>
      <c r="D55" s="11">
        <f>'05_Historique'!E56</f>
        <v/>
      </c>
      <c r="E55" s="11">
        <f>'05_Historique'!F56</f>
        <v/>
      </c>
      <c r="F55" s="44">
        <f>'05_Historique'!K56</f>
        <v/>
      </c>
      <c r="G55" s="44">
        <f>'05_Historique'!I56</f>
        <v/>
      </c>
      <c r="H55" s="44">
        <f>'05_Historique'!J56</f>
        <v/>
      </c>
      <c r="I55" s="44">
        <f>'05_Historique'!G56</f>
        <v/>
      </c>
      <c r="J55" s="18">
        <f>'05_Historique'!L56</f>
        <v/>
      </c>
      <c r="K55" s="44">
        <f>'05_Historique'!M56</f>
        <v/>
      </c>
      <c r="L55" s="45">
        <f>INDEX('03_Coeff_Strateg'!$C$6:$C$10,MATCH(A55,'03_Coeff_Strateg'!$B$6:$B$10,0))</f>
        <v/>
      </c>
      <c r="M55" s="45">
        <f>INDEX('03_Coeff_Strateg'!$D$6:$D$10,MATCH(A55,'03_Coeff_Strateg'!$B$6:$B$10,0))</f>
        <v/>
      </c>
      <c r="N55" s="46">
        <f>I55*(1+'02_Parametres'!$G$6*L55)</f>
        <v/>
      </c>
      <c r="O55" s="32">
        <f>IFERROR(G55/I55,0)+'02_Parametres'!$G$8</f>
        <v/>
      </c>
      <c r="P55" s="46">
        <f>N55*O55</f>
        <v/>
      </c>
      <c r="Q55" s="46">
        <f>H55*('02_Parametres'!$G$10/'02_Parametres'!$D$23)</f>
        <v/>
      </c>
      <c r="R55" s="47">
        <f>P55+Q55</f>
        <v/>
      </c>
      <c r="S55" s="48">
        <f>J55*(1+'02_Parametres'!$G$7*M55)</f>
        <v/>
      </c>
      <c r="T55" s="39">
        <f>R55*S55*AC55+P55*'02_Parametres'!$D$22</f>
        <v/>
      </c>
      <c r="U55" s="46">
        <f>IF(R55&lt;=0,0,MAX(1,ROUNDUP(R55/AD55,0)))</f>
        <v/>
      </c>
      <c r="V55" s="39">
        <f>U55*AI55</f>
        <v/>
      </c>
      <c r="W55" s="39">
        <f>R55*AG55*(1+'02_Parametres'!$G$11)</f>
        <v/>
      </c>
      <c r="X55" s="39">
        <f>P55*'02_Parametres'!$G$13</f>
        <v/>
      </c>
      <c r="Y55" s="49">
        <f>T55-V55-W55-X55</f>
        <v/>
      </c>
      <c r="Z55" s="32">
        <f>IFERROR(R55/(U55*AD55),0)</f>
        <v/>
      </c>
      <c r="AA55" s="48">
        <f>IFERROR(Y55/R55,0)</f>
        <v/>
      </c>
      <c r="AB55" s="45">
        <f>IF(E55="ALT",'02_Parametres'!$D$26+(1-'02_Parametres'!$D$26)*'02_Parametres'!$D$25,1)</f>
        <v/>
      </c>
      <c r="AC55" s="45">
        <f>IF(E55="ALT",'02_Parametres'!$G$9+(1-'02_Parametres'!$G$9)*'02_Parametres'!$D$25,1)</f>
        <v/>
      </c>
      <c r="AD55" s="46">
        <f>IFERROR(INDEX('04_Param_Prog'!$C$6:$C$13,MATCH(C55,'04_Param_Prog'!$B$6:$B$13,0)),'02_Parametres'!$D$16)</f>
        <v/>
      </c>
      <c r="AE55" s="46">
        <f>IFERROR(INDEX('04_Param_Prog'!$E$6:$E$13,MATCH(C55,'04_Param_Prog'!$B$6:$B$13,0)),'02_Parametres'!$D$18)</f>
        <v/>
      </c>
      <c r="AF55" s="48">
        <f>IFERROR(INDEX('04_Param_Prog'!$F$6:$F$13,MATCH(C55,'04_Param_Prog'!$B$6:$B$13,0)),'02_Parametres'!$D$19)</f>
        <v/>
      </c>
      <c r="AG55" s="48">
        <f>IFERROR(INDEX('04_Param_Prog'!$G$6:$G$13,MATCH(C55,'04_Param_Prog'!$B$6:$B$13,0)),'02_Parametres'!$D$20)</f>
        <v/>
      </c>
      <c r="AH55" s="46">
        <f>IFERROR(INDEX('04_Param_Prog'!$D$6:$D$13,MATCH(C55,'04_Param_Prog'!$B$6:$B$13,0)),'02_Parametres'!$D$17)</f>
        <v/>
      </c>
      <c r="AI55" s="48">
        <f>AE55*AF55*(1+'02_Parametres'!$G$12)</f>
        <v/>
      </c>
    </row>
    <row r="56">
      <c r="A56" s="43">
        <f>'05_Historique'!A57</f>
        <v/>
      </c>
      <c r="B56" s="11">
        <f>'05_Historique'!B57</f>
        <v/>
      </c>
      <c r="C56" s="43">
        <f>'05_Historique'!C57</f>
        <v/>
      </c>
      <c r="D56" s="11">
        <f>'05_Historique'!E57</f>
        <v/>
      </c>
      <c r="E56" s="11">
        <f>'05_Historique'!F57</f>
        <v/>
      </c>
      <c r="F56" s="44">
        <f>'05_Historique'!K57</f>
        <v/>
      </c>
      <c r="G56" s="44">
        <f>'05_Historique'!I57</f>
        <v/>
      </c>
      <c r="H56" s="44">
        <f>'05_Historique'!J57</f>
        <v/>
      </c>
      <c r="I56" s="44">
        <f>'05_Historique'!G57</f>
        <v/>
      </c>
      <c r="J56" s="18">
        <f>'05_Historique'!L57</f>
        <v/>
      </c>
      <c r="K56" s="44">
        <f>'05_Historique'!M57</f>
        <v/>
      </c>
      <c r="L56" s="45">
        <f>INDEX('03_Coeff_Strateg'!$C$6:$C$10,MATCH(A56,'03_Coeff_Strateg'!$B$6:$B$10,0))</f>
        <v/>
      </c>
      <c r="M56" s="45">
        <f>INDEX('03_Coeff_Strateg'!$D$6:$D$10,MATCH(A56,'03_Coeff_Strateg'!$B$6:$B$10,0))</f>
        <v/>
      </c>
      <c r="N56" s="46">
        <f>I56*(1+'02_Parametres'!$G$6*L56)</f>
        <v/>
      </c>
      <c r="O56" s="32">
        <f>IFERROR(G56/I56,0)+'02_Parametres'!$G$8</f>
        <v/>
      </c>
      <c r="P56" s="46">
        <f>N56*O56</f>
        <v/>
      </c>
      <c r="Q56" s="46">
        <f>H56*('02_Parametres'!$G$10/'02_Parametres'!$D$23)</f>
        <v/>
      </c>
      <c r="R56" s="47">
        <f>P56+Q56</f>
        <v/>
      </c>
      <c r="S56" s="48">
        <f>J56*(1+'02_Parametres'!$G$7*M56)</f>
        <v/>
      </c>
      <c r="T56" s="39">
        <f>R56*S56*AC56+P56*'02_Parametres'!$D$22</f>
        <v/>
      </c>
      <c r="U56" s="46">
        <f>IF(R56&lt;=0,0,MAX(1,ROUNDUP(R56/AD56,0)))</f>
        <v/>
      </c>
      <c r="V56" s="39">
        <f>U56*AI56</f>
        <v/>
      </c>
      <c r="W56" s="39">
        <f>R56*AG56*(1+'02_Parametres'!$G$11)</f>
        <v/>
      </c>
      <c r="X56" s="39">
        <f>P56*'02_Parametres'!$G$13</f>
        <v/>
      </c>
      <c r="Y56" s="49">
        <f>T56-V56-W56-X56</f>
        <v/>
      </c>
      <c r="Z56" s="32">
        <f>IFERROR(R56/(U56*AD56),0)</f>
        <v/>
      </c>
      <c r="AA56" s="48">
        <f>IFERROR(Y56/R56,0)</f>
        <v/>
      </c>
      <c r="AB56" s="45">
        <f>IF(E56="ALT",'02_Parametres'!$D$26+(1-'02_Parametres'!$D$26)*'02_Parametres'!$D$25,1)</f>
        <v/>
      </c>
      <c r="AC56" s="45">
        <f>IF(E56="ALT",'02_Parametres'!$G$9+(1-'02_Parametres'!$G$9)*'02_Parametres'!$D$25,1)</f>
        <v/>
      </c>
      <c r="AD56" s="46">
        <f>IFERROR(INDEX('04_Param_Prog'!$C$6:$C$13,MATCH(C56,'04_Param_Prog'!$B$6:$B$13,0)),'02_Parametres'!$D$16)</f>
        <v/>
      </c>
      <c r="AE56" s="46">
        <f>IFERROR(INDEX('04_Param_Prog'!$E$6:$E$13,MATCH(C56,'04_Param_Prog'!$B$6:$B$13,0)),'02_Parametres'!$D$18)</f>
        <v/>
      </c>
      <c r="AF56" s="48">
        <f>IFERROR(INDEX('04_Param_Prog'!$F$6:$F$13,MATCH(C56,'04_Param_Prog'!$B$6:$B$13,0)),'02_Parametres'!$D$19)</f>
        <v/>
      </c>
      <c r="AG56" s="48">
        <f>IFERROR(INDEX('04_Param_Prog'!$G$6:$G$13,MATCH(C56,'04_Param_Prog'!$B$6:$B$13,0)),'02_Parametres'!$D$20)</f>
        <v/>
      </c>
      <c r="AH56" s="46">
        <f>IFERROR(INDEX('04_Param_Prog'!$D$6:$D$13,MATCH(C56,'04_Param_Prog'!$B$6:$B$13,0)),'02_Parametres'!$D$17)</f>
        <v/>
      </c>
      <c r="AI56" s="48">
        <f>AE56*AF56*(1+'02_Parametres'!$G$12)</f>
        <v/>
      </c>
    </row>
    <row r="57">
      <c r="A57" s="43">
        <f>'05_Historique'!A58</f>
        <v/>
      </c>
      <c r="B57" s="11">
        <f>'05_Historique'!B58</f>
        <v/>
      </c>
      <c r="C57" s="43">
        <f>'05_Historique'!C58</f>
        <v/>
      </c>
      <c r="D57" s="11">
        <f>'05_Historique'!E58</f>
        <v/>
      </c>
      <c r="E57" s="11">
        <f>'05_Historique'!F58</f>
        <v/>
      </c>
      <c r="F57" s="44">
        <f>'05_Historique'!K58</f>
        <v/>
      </c>
      <c r="G57" s="44">
        <f>'05_Historique'!I58</f>
        <v/>
      </c>
      <c r="H57" s="44">
        <f>'05_Historique'!J58</f>
        <v/>
      </c>
      <c r="I57" s="44">
        <f>'05_Historique'!G58</f>
        <v/>
      </c>
      <c r="J57" s="18">
        <f>'05_Historique'!L58</f>
        <v/>
      </c>
      <c r="K57" s="44">
        <f>'05_Historique'!M58</f>
        <v/>
      </c>
      <c r="L57" s="45">
        <f>INDEX('03_Coeff_Strateg'!$C$6:$C$10,MATCH(A57,'03_Coeff_Strateg'!$B$6:$B$10,0))</f>
        <v/>
      </c>
      <c r="M57" s="45">
        <f>INDEX('03_Coeff_Strateg'!$D$6:$D$10,MATCH(A57,'03_Coeff_Strateg'!$B$6:$B$10,0))</f>
        <v/>
      </c>
      <c r="N57" s="46">
        <f>I57*(1+'02_Parametres'!$G$6*L57)</f>
        <v/>
      </c>
      <c r="O57" s="32">
        <f>IFERROR(G57/I57,0)+'02_Parametres'!$G$8</f>
        <v/>
      </c>
      <c r="P57" s="46">
        <f>N57*O57</f>
        <v/>
      </c>
      <c r="Q57" s="46">
        <f>H57*('02_Parametres'!$G$10/'02_Parametres'!$D$23)</f>
        <v/>
      </c>
      <c r="R57" s="47">
        <f>P57+Q57</f>
        <v/>
      </c>
      <c r="S57" s="48">
        <f>J57*(1+'02_Parametres'!$G$7*M57)</f>
        <v/>
      </c>
      <c r="T57" s="39">
        <f>R57*S57*AC57+P57*'02_Parametres'!$D$22</f>
        <v/>
      </c>
      <c r="U57" s="46">
        <f>IF(R57&lt;=0,0,MAX(1,ROUNDUP(R57/AD57,0)))</f>
        <v/>
      </c>
      <c r="V57" s="39">
        <f>U57*AI57</f>
        <v/>
      </c>
      <c r="W57" s="39">
        <f>R57*AG57*(1+'02_Parametres'!$G$11)</f>
        <v/>
      </c>
      <c r="X57" s="39">
        <f>P57*'02_Parametres'!$G$13</f>
        <v/>
      </c>
      <c r="Y57" s="49">
        <f>T57-V57-W57-X57</f>
        <v/>
      </c>
      <c r="Z57" s="32">
        <f>IFERROR(R57/(U57*AD57),0)</f>
        <v/>
      </c>
      <c r="AA57" s="48">
        <f>IFERROR(Y57/R57,0)</f>
        <v/>
      </c>
      <c r="AB57" s="45">
        <f>IF(E57="ALT",'02_Parametres'!$D$26+(1-'02_Parametres'!$D$26)*'02_Parametres'!$D$25,1)</f>
        <v/>
      </c>
      <c r="AC57" s="45">
        <f>IF(E57="ALT",'02_Parametres'!$G$9+(1-'02_Parametres'!$G$9)*'02_Parametres'!$D$25,1)</f>
        <v/>
      </c>
      <c r="AD57" s="46">
        <f>IFERROR(INDEX('04_Param_Prog'!$C$6:$C$13,MATCH(C57,'04_Param_Prog'!$B$6:$B$13,0)),'02_Parametres'!$D$16)</f>
        <v/>
      </c>
      <c r="AE57" s="46">
        <f>IFERROR(INDEX('04_Param_Prog'!$E$6:$E$13,MATCH(C57,'04_Param_Prog'!$B$6:$B$13,0)),'02_Parametres'!$D$18)</f>
        <v/>
      </c>
      <c r="AF57" s="48">
        <f>IFERROR(INDEX('04_Param_Prog'!$F$6:$F$13,MATCH(C57,'04_Param_Prog'!$B$6:$B$13,0)),'02_Parametres'!$D$19)</f>
        <v/>
      </c>
      <c r="AG57" s="48">
        <f>IFERROR(INDEX('04_Param_Prog'!$G$6:$G$13,MATCH(C57,'04_Param_Prog'!$B$6:$B$13,0)),'02_Parametres'!$D$20)</f>
        <v/>
      </c>
      <c r="AH57" s="46">
        <f>IFERROR(INDEX('04_Param_Prog'!$D$6:$D$13,MATCH(C57,'04_Param_Prog'!$B$6:$B$13,0)),'02_Parametres'!$D$17)</f>
        <v/>
      </c>
      <c r="AI57" s="48">
        <f>AE57*AF57*(1+'02_Parametres'!$G$12)</f>
        <v/>
      </c>
    </row>
    <row r="58">
      <c r="A58" s="43">
        <f>'05_Historique'!A59</f>
        <v/>
      </c>
      <c r="B58" s="11">
        <f>'05_Historique'!B59</f>
        <v/>
      </c>
      <c r="C58" s="43">
        <f>'05_Historique'!C59</f>
        <v/>
      </c>
      <c r="D58" s="11">
        <f>'05_Historique'!E59</f>
        <v/>
      </c>
      <c r="E58" s="11">
        <f>'05_Historique'!F59</f>
        <v/>
      </c>
      <c r="F58" s="44">
        <f>'05_Historique'!K59</f>
        <v/>
      </c>
      <c r="G58" s="44">
        <f>'05_Historique'!I59</f>
        <v/>
      </c>
      <c r="H58" s="44">
        <f>'05_Historique'!J59</f>
        <v/>
      </c>
      <c r="I58" s="44">
        <f>'05_Historique'!G59</f>
        <v/>
      </c>
      <c r="J58" s="18">
        <f>'05_Historique'!L59</f>
        <v/>
      </c>
      <c r="K58" s="44">
        <f>'05_Historique'!M59</f>
        <v/>
      </c>
      <c r="L58" s="45">
        <f>INDEX('03_Coeff_Strateg'!$C$6:$C$10,MATCH(A58,'03_Coeff_Strateg'!$B$6:$B$10,0))</f>
        <v/>
      </c>
      <c r="M58" s="45">
        <f>INDEX('03_Coeff_Strateg'!$D$6:$D$10,MATCH(A58,'03_Coeff_Strateg'!$B$6:$B$10,0))</f>
        <v/>
      </c>
      <c r="N58" s="46">
        <f>I58*(1+'02_Parametres'!$G$6*L58)</f>
        <v/>
      </c>
      <c r="O58" s="32">
        <f>IFERROR(G58/I58,0)+'02_Parametres'!$G$8</f>
        <v/>
      </c>
      <c r="P58" s="46">
        <f>N58*O58</f>
        <v/>
      </c>
      <c r="Q58" s="46">
        <f>H58*('02_Parametres'!$G$10/'02_Parametres'!$D$23)</f>
        <v/>
      </c>
      <c r="R58" s="47">
        <f>P58+Q58</f>
        <v/>
      </c>
      <c r="S58" s="48">
        <f>J58*(1+'02_Parametres'!$G$7*M58)</f>
        <v/>
      </c>
      <c r="T58" s="39">
        <f>R58*S58*AC58+P58*'02_Parametres'!$D$22</f>
        <v/>
      </c>
      <c r="U58" s="46">
        <f>IF(R58&lt;=0,0,MAX(1,ROUNDUP(R58/AD58,0)))</f>
        <v/>
      </c>
      <c r="V58" s="39">
        <f>U58*AI58</f>
        <v/>
      </c>
      <c r="W58" s="39">
        <f>R58*AG58*(1+'02_Parametres'!$G$11)</f>
        <v/>
      </c>
      <c r="X58" s="39">
        <f>P58*'02_Parametres'!$G$13</f>
        <v/>
      </c>
      <c r="Y58" s="49">
        <f>T58-V58-W58-X58</f>
        <v/>
      </c>
      <c r="Z58" s="32">
        <f>IFERROR(R58/(U58*AD58),0)</f>
        <v/>
      </c>
      <c r="AA58" s="48">
        <f>IFERROR(Y58/R58,0)</f>
        <v/>
      </c>
      <c r="AB58" s="45">
        <f>IF(E58="ALT",'02_Parametres'!$D$26+(1-'02_Parametres'!$D$26)*'02_Parametres'!$D$25,1)</f>
        <v/>
      </c>
      <c r="AC58" s="45">
        <f>IF(E58="ALT",'02_Parametres'!$G$9+(1-'02_Parametres'!$G$9)*'02_Parametres'!$D$25,1)</f>
        <v/>
      </c>
      <c r="AD58" s="46">
        <f>IFERROR(INDEX('04_Param_Prog'!$C$6:$C$13,MATCH(C58,'04_Param_Prog'!$B$6:$B$13,0)),'02_Parametres'!$D$16)</f>
        <v/>
      </c>
      <c r="AE58" s="46">
        <f>IFERROR(INDEX('04_Param_Prog'!$E$6:$E$13,MATCH(C58,'04_Param_Prog'!$B$6:$B$13,0)),'02_Parametres'!$D$18)</f>
        <v/>
      </c>
      <c r="AF58" s="48">
        <f>IFERROR(INDEX('04_Param_Prog'!$F$6:$F$13,MATCH(C58,'04_Param_Prog'!$B$6:$B$13,0)),'02_Parametres'!$D$19)</f>
        <v/>
      </c>
      <c r="AG58" s="48">
        <f>IFERROR(INDEX('04_Param_Prog'!$G$6:$G$13,MATCH(C58,'04_Param_Prog'!$B$6:$B$13,0)),'02_Parametres'!$D$20)</f>
        <v/>
      </c>
      <c r="AH58" s="46">
        <f>IFERROR(INDEX('04_Param_Prog'!$D$6:$D$13,MATCH(C58,'04_Param_Prog'!$B$6:$B$13,0)),'02_Parametres'!$D$17)</f>
        <v/>
      </c>
      <c r="AI58" s="48">
        <f>AE58*AF58*(1+'02_Parametres'!$G$12)</f>
        <v/>
      </c>
    </row>
    <row r="59">
      <c r="A59" s="43">
        <f>'05_Historique'!A60</f>
        <v/>
      </c>
      <c r="B59" s="11">
        <f>'05_Historique'!B60</f>
        <v/>
      </c>
      <c r="C59" s="43">
        <f>'05_Historique'!C60</f>
        <v/>
      </c>
      <c r="D59" s="11">
        <f>'05_Historique'!E60</f>
        <v/>
      </c>
      <c r="E59" s="11">
        <f>'05_Historique'!F60</f>
        <v/>
      </c>
      <c r="F59" s="44">
        <f>'05_Historique'!K60</f>
        <v/>
      </c>
      <c r="G59" s="44">
        <f>'05_Historique'!I60</f>
        <v/>
      </c>
      <c r="H59" s="44">
        <f>'05_Historique'!J60</f>
        <v/>
      </c>
      <c r="I59" s="44">
        <f>'05_Historique'!G60</f>
        <v/>
      </c>
      <c r="J59" s="18">
        <f>'05_Historique'!L60</f>
        <v/>
      </c>
      <c r="K59" s="44">
        <f>'05_Historique'!M60</f>
        <v/>
      </c>
      <c r="L59" s="45">
        <f>INDEX('03_Coeff_Strateg'!$C$6:$C$10,MATCH(A59,'03_Coeff_Strateg'!$B$6:$B$10,0))</f>
        <v/>
      </c>
      <c r="M59" s="45">
        <f>INDEX('03_Coeff_Strateg'!$D$6:$D$10,MATCH(A59,'03_Coeff_Strateg'!$B$6:$B$10,0))</f>
        <v/>
      </c>
      <c r="N59" s="46">
        <f>I59*(1+'02_Parametres'!$G$6*L59)</f>
        <v/>
      </c>
      <c r="O59" s="32">
        <f>IFERROR(G59/I59,0)+'02_Parametres'!$G$8</f>
        <v/>
      </c>
      <c r="P59" s="46">
        <f>N59*O59</f>
        <v/>
      </c>
      <c r="Q59" s="46">
        <f>H59*('02_Parametres'!$G$10/'02_Parametres'!$D$23)</f>
        <v/>
      </c>
      <c r="R59" s="47">
        <f>P59+Q59</f>
        <v/>
      </c>
      <c r="S59" s="48">
        <f>J59*(1+'02_Parametres'!$G$7*M59)</f>
        <v/>
      </c>
      <c r="T59" s="39">
        <f>R59*S59*AC59+P59*'02_Parametres'!$D$22</f>
        <v/>
      </c>
      <c r="U59" s="46">
        <f>IF(R59&lt;=0,0,MAX(1,ROUNDUP(R59/AD59,0)))</f>
        <v/>
      </c>
      <c r="V59" s="39">
        <f>U59*AI59</f>
        <v/>
      </c>
      <c r="W59" s="39">
        <f>R59*AG59*(1+'02_Parametres'!$G$11)</f>
        <v/>
      </c>
      <c r="X59" s="39">
        <f>P59*'02_Parametres'!$G$13</f>
        <v/>
      </c>
      <c r="Y59" s="49">
        <f>T59-V59-W59-X59</f>
        <v/>
      </c>
      <c r="Z59" s="32">
        <f>IFERROR(R59/(U59*AD59),0)</f>
        <v/>
      </c>
      <c r="AA59" s="48">
        <f>IFERROR(Y59/R59,0)</f>
        <v/>
      </c>
      <c r="AB59" s="45">
        <f>IF(E59="ALT",'02_Parametres'!$D$26+(1-'02_Parametres'!$D$26)*'02_Parametres'!$D$25,1)</f>
        <v/>
      </c>
      <c r="AC59" s="45">
        <f>IF(E59="ALT",'02_Parametres'!$G$9+(1-'02_Parametres'!$G$9)*'02_Parametres'!$D$25,1)</f>
        <v/>
      </c>
      <c r="AD59" s="46">
        <f>IFERROR(INDEX('04_Param_Prog'!$C$6:$C$13,MATCH(C59,'04_Param_Prog'!$B$6:$B$13,0)),'02_Parametres'!$D$16)</f>
        <v/>
      </c>
      <c r="AE59" s="46">
        <f>IFERROR(INDEX('04_Param_Prog'!$E$6:$E$13,MATCH(C59,'04_Param_Prog'!$B$6:$B$13,0)),'02_Parametres'!$D$18)</f>
        <v/>
      </c>
      <c r="AF59" s="48">
        <f>IFERROR(INDEX('04_Param_Prog'!$F$6:$F$13,MATCH(C59,'04_Param_Prog'!$B$6:$B$13,0)),'02_Parametres'!$D$19)</f>
        <v/>
      </c>
      <c r="AG59" s="48">
        <f>IFERROR(INDEX('04_Param_Prog'!$G$6:$G$13,MATCH(C59,'04_Param_Prog'!$B$6:$B$13,0)),'02_Parametres'!$D$20)</f>
        <v/>
      </c>
      <c r="AH59" s="46">
        <f>IFERROR(INDEX('04_Param_Prog'!$D$6:$D$13,MATCH(C59,'04_Param_Prog'!$B$6:$B$13,0)),'02_Parametres'!$D$17)</f>
        <v/>
      </c>
      <c r="AI59" s="48">
        <f>AE59*AF59*(1+'02_Parametres'!$G$12)</f>
        <v/>
      </c>
    </row>
    <row r="60">
      <c r="A60" s="43">
        <f>'05_Historique'!A61</f>
        <v/>
      </c>
      <c r="B60" s="11">
        <f>'05_Historique'!B61</f>
        <v/>
      </c>
      <c r="C60" s="43">
        <f>'05_Historique'!C61</f>
        <v/>
      </c>
      <c r="D60" s="11">
        <f>'05_Historique'!E61</f>
        <v/>
      </c>
      <c r="E60" s="11">
        <f>'05_Historique'!F61</f>
        <v/>
      </c>
      <c r="F60" s="44">
        <f>'05_Historique'!K61</f>
        <v/>
      </c>
      <c r="G60" s="44">
        <f>'05_Historique'!I61</f>
        <v/>
      </c>
      <c r="H60" s="44">
        <f>'05_Historique'!J61</f>
        <v/>
      </c>
      <c r="I60" s="44">
        <f>'05_Historique'!G61</f>
        <v/>
      </c>
      <c r="J60" s="18">
        <f>'05_Historique'!L61</f>
        <v/>
      </c>
      <c r="K60" s="44">
        <f>'05_Historique'!M61</f>
        <v/>
      </c>
      <c r="L60" s="45">
        <f>INDEX('03_Coeff_Strateg'!$C$6:$C$10,MATCH(A60,'03_Coeff_Strateg'!$B$6:$B$10,0))</f>
        <v/>
      </c>
      <c r="M60" s="45">
        <f>INDEX('03_Coeff_Strateg'!$D$6:$D$10,MATCH(A60,'03_Coeff_Strateg'!$B$6:$B$10,0))</f>
        <v/>
      </c>
      <c r="N60" s="46">
        <f>I60*(1+'02_Parametres'!$G$6*L60)</f>
        <v/>
      </c>
      <c r="O60" s="32">
        <f>IFERROR(G60/I60,0)+'02_Parametres'!$G$8</f>
        <v/>
      </c>
      <c r="P60" s="46">
        <f>N60*O60</f>
        <v/>
      </c>
      <c r="Q60" s="46">
        <f>H60*('02_Parametres'!$G$10/'02_Parametres'!$D$23)</f>
        <v/>
      </c>
      <c r="R60" s="47">
        <f>P60+Q60</f>
        <v/>
      </c>
      <c r="S60" s="48">
        <f>J60*(1+'02_Parametres'!$G$7*M60)</f>
        <v/>
      </c>
      <c r="T60" s="39">
        <f>R60*S60*AC60+P60*'02_Parametres'!$D$22</f>
        <v/>
      </c>
      <c r="U60" s="46">
        <f>IF(R60&lt;=0,0,MAX(1,ROUNDUP(R60/AD60,0)))</f>
        <v/>
      </c>
      <c r="V60" s="39">
        <f>U60*AI60</f>
        <v/>
      </c>
      <c r="W60" s="39">
        <f>R60*AG60*(1+'02_Parametres'!$G$11)</f>
        <v/>
      </c>
      <c r="X60" s="39">
        <f>P60*'02_Parametres'!$G$13</f>
        <v/>
      </c>
      <c r="Y60" s="49">
        <f>T60-V60-W60-X60</f>
        <v/>
      </c>
      <c r="Z60" s="32">
        <f>IFERROR(R60/(U60*AD60),0)</f>
        <v/>
      </c>
      <c r="AA60" s="48">
        <f>IFERROR(Y60/R60,0)</f>
        <v/>
      </c>
      <c r="AB60" s="45">
        <f>IF(E60="ALT",'02_Parametres'!$D$26+(1-'02_Parametres'!$D$26)*'02_Parametres'!$D$25,1)</f>
        <v/>
      </c>
      <c r="AC60" s="45">
        <f>IF(E60="ALT",'02_Parametres'!$G$9+(1-'02_Parametres'!$G$9)*'02_Parametres'!$D$25,1)</f>
        <v/>
      </c>
      <c r="AD60" s="46">
        <f>IFERROR(INDEX('04_Param_Prog'!$C$6:$C$13,MATCH(C60,'04_Param_Prog'!$B$6:$B$13,0)),'02_Parametres'!$D$16)</f>
        <v/>
      </c>
      <c r="AE60" s="46">
        <f>IFERROR(INDEX('04_Param_Prog'!$E$6:$E$13,MATCH(C60,'04_Param_Prog'!$B$6:$B$13,0)),'02_Parametres'!$D$18)</f>
        <v/>
      </c>
      <c r="AF60" s="48">
        <f>IFERROR(INDEX('04_Param_Prog'!$F$6:$F$13,MATCH(C60,'04_Param_Prog'!$B$6:$B$13,0)),'02_Parametres'!$D$19)</f>
        <v/>
      </c>
      <c r="AG60" s="48">
        <f>IFERROR(INDEX('04_Param_Prog'!$G$6:$G$13,MATCH(C60,'04_Param_Prog'!$B$6:$B$13,0)),'02_Parametres'!$D$20)</f>
        <v/>
      </c>
      <c r="AH60" s="46">
        <f>IFERROR(INDEX('04_Param_Prog'!$D$6:$D$13,MATCH(C60,'04_Param_Prog'!$B$6:$B$13,0)),'02_Parametres'!$D$17)</f>
        <v/>
      </c>
      <c r="AI60" s="48">
        <f>AE60*AF60*(1+'02_Parametres'!$G$12)</f>
        <v/>
      </c>
    </row>
    <row r="61">
      <c r="A61" s="40" t="inlineStr">
        <is>
          <t>TOTAL</t>
        </is>
      </c>
      <c r="B61" s="36" t="inlineStr">
        <is>
          <t> </t>
        </is>
      </c>
      <c r="C61" s="36" t="inlineStr">
        <is>
          <t> </t>
        </is>
      </c>
      <c r="D61" s="36" t="inlineStr">
        <is>
          <t> </t>
        </is>
      </c>
      <c r="E61" s="36" t="inlineStr">
        <is>
          <t> </t>
        </is>
      </c>
      <c r="F61" s="41">
        <f>SUM(F3:F60)</f>
        <v/>
      </c>
      <c r="G61" s="41">
        <f>SUM(G3:G60)</f>
        <v/>
      </c>
      <c r="H61" s="41">
        <f>SUM(H3:H60)</f>
        <v/>
      </c>
      <c r="I61" s="36" t="inlineStr">
        <is>
          <t> </t>
        </is>
      </c>
      <c r="J61" s="36" t="inlineStr">
        <is>
          <t> </t>
        </is>
      </c>
      <c r="K61" s="36" t="inlineStr">
        <is>
          <t> </t>
        </is>
      </c>
      <c r="L61" s="36" t="inlineStr">
        <is>
          <t> </t>
        </is>
      </c>
      <c r="M61" s="36" t="inlineStr">
        <is>
          <t> </t>
        </is>
      </c>
      <c r="N61" s="36" t="inlineStr">
        <is>
          <t> </t>
        </is>
      </c>
      <c r="O61" s="36" t="inlineStr">
        <is>
          <t> </t>
        </is>
      </c>
      <c r="P61" s="41">
        <f>SUM(P3:P60)</f>
        <v/>
      </c>
      <c r="Q61" s="41">
        <f>SUM(Q3:Q60)</f>
        <v/>
      </c>
      <c r="R61" s="41">
        <f>SUM(R3:R60)</f>
        <v/>
      </c>
      <c r="S61" s="36" t="inlineStr">
        <is>
          <t> </t>
        </is>
      </c>
      <c r="T61" s="42">
        <f>SUM(T3:T60)</f>
        <v/>
      </c>
      <c r="U61" s="41">
        <f>SUM(U3:U60)</f>
        <v/>
      </c>
      <c r="V61" s="42">
        <f>SUM(V3:V60)</f>
        <v/>
      </c>
      <c r="W61" s="42">
        <f>SUM(W3:W60)</f>
        <v/>
      </c>
      <c r="X61" s="42">
        <f>SUM(X3:X60)</f>
        <v/>
      </c>
      <c r="Y61" s="42">
        <f>SUM(Y3:Y60)</f>
        <v/>
      </c>
      <c r="Z61" s="36" t="inlineStr">
        <is>
          <t> </t>
        </is>
      </c>
      <c r="AA61" s="36" t="inlineStr">
        <is>
          <t> </t>
        </is>
      </c>
      <c r="AB61" s="36" t="inlineStr">
        <is>
          <t> </t>
        </is>
      </c>
      <c r="AC61" s="36" t="inlineStr">
        <is>
          <t> </t>
        </is>
      </c>
      <c r="AD61" s="36" t="inlineStr">
        <is>
          <t> </t>
        </is>
      </c>
      <c r="AE61" s="36" t="inlineStr">
        <is>
          <t> </t>
        </is>
      </c>
      <c r="AF61" s="36" t="inlineStr">
        <is>
          <t> </t>
        </is>
      </c>
      <c r="AG61" s="36" t="inlineStr">
        <is>
          <t> </t>
        </is>
      </c>
      <c r="AH61" s="36" t="inlineStr">
        <is>
          <t> </t>
        </is>
      </c>
      <c r="AI61" s="36" t="inlineStr">
        <is>
          <t> </t>
        </is>
      </c>
    </row>
  </sheetData>
  <mergeCells count="1">
    <mergeCell ref="A1:A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13" customWidth="1" min="4" max="4"/>
    <col width="11" customWidth="1" min="5" max="5"/>
    <col width="13" customWidth="1" min="6" max="6"/>
    <col width="12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</cols>
  <sheetData>
    <row r="2" ht="26" customHeight="1">
      <c r="B2" s="1" t="inlineStr">
        <is>
          <t>Allocation des frais de structure groupe par driver</t>
        </is>
      </c>
    </row>
    <row r="3">
      <c r="B3" s="19" t="inlineStr">
        <is>
          <t>Driver actif :</t>
        </is>
      </c>
      <c r="C3" s="50">
        <f>'02_Parametres'!D30</f>
        <v/>
      </c>
      <c r="E3" s="19" t="inlineStr">
        <is>
          <t>Frais de structure groupe à allouer :</t>
        </is>
      </c>
      <c r="I3" s="49">
        <f>'02_Parametres'!$D$24*SUM('07_Moteur'!$T$3:$T$60)</f>
        <v/>
      </c>
      <c r="J3" s="51" t="n"/>
    </row>
    <row r="5" ht="30" customHeight="1">
      <c r="B5" s="15" t="inlineStr">
        <is>
          <t>Marque</t>
        </is>
      </c>
      <c r="C5" s="15" t="inlineStr">
        <is>
          <t>Ville</t>
        </is>
      </c>
      <c r="D5" s="15" t="inlineStr">
        <is>
          <t>Contribution Bud</t>
        </is>
      </c>
      <c r="E5" s="15" t="inlineStr">
        <is>
          <t>Loyer Bud</t>
        </is>
      </c>
      <c r="F5" s="15" t="inlineStr">
        <is>
          <t>Masse perm. Bud</t>
        </is>
      </c>
      <c r="G5" s="15" t="inlineStr">
        <is>
          <t>Valeur driver</t>
        </is>
      </c>
      <c r="H5" s="15" t="inlineStr">
        <is>
          <t>Part driver</t>
        </is>
      </c>
      <c r="I5" s="15" t="inlineStr">
        <is>
          <t>Frais alloués</t>
        </is>
      </c>
      <c r="J5" s="15" t="inlineStr">
        <is>
          <t>EBITDA campus</t>
        </is>
      </c>
      <c r="K5" s="15" t="inlineStr">
        <is>
          <t>D&amp;A</t>
        </is>
      </c>
      <c r="L5" s="15" t="inlineStr">
        <is>
          <t>EBIT campus</t>
        </is>
      </c>
    </row>
    <row r="6">
      <c r="B6" s="43" t="inlineStr">
        <is>
          <t>MBway</t>
        </is>
      </c>
      <c r="C6" s="11" t="inlineStr">
        <is>
          <t>Paris</t>
        </is>
      </c>
      <c r="D6" s="39">
        <f>SUMIFS('07_Moteur'!$Y$3:$Y$60,'07_Moteur'!$A$3:$A$60,"MBway",'07_Moteur'!$B$3:$B$60,"Paris")</f>
        <v/>
      </c>
      <c r="E6" s="52">
        <f>'06_Structure'!F4*(1+'02_Parametres'!$G$11)</f>
        <v/>
      </c>
      <c r="F6" s="52">
        <f>'06_Structure'!G4*'02_Parametres'!$D$21*(1+'02_Parametres'!$G$12)</f>
        <v/>
      </c>
      <c r="G6" s="53">
        <f>IF($C$3="Effectifs",SUMIFS('07_Moteur'!$R$3:$R$60,'07_Moteur'!$A$3:$A$60,"MBway",'07_Moteur'!$B$3:$B$60,"Paris"),IF($C$3="Chiffre d'affaires",SUMIFS('07_Moteur'!$T$3:$T$60,'07_Moteur'!$A$3:$A$60,"MBway",'07_Moteur'!$B$3:$B$60,"Paris"),'06_Structure'!J4))</f>
        <v/>
      </c>
      <c r="H6" s="32">
        <f>IFERROR(G6/SUM($G$6:$G$19),0)</f>
        <v/>
      </c>
      <c r="I6" s="39">
        <f>H6*$I$3</f>
        <v/>
      </c>
      <c r="J6" s="49">
        <f>D6-E6-F6-I6</f>
        <v/>
      </c>
      <c r="K6" s="52">
        <f>'06_Structure'!I4</f>
        <v/>
      </c>
      <c r="L6" s="39">
        <f>J6-K6</f>
        <v/>
      </c>
    </row>
    <row r="7">
      <c r="B7" s="43" t="inlineStr">
        <is>
          <t>MBway</t>
        </is>
      </c>
      <c r="C7" s="11" t="inlineStr">
        <is>
          <t>Lyon</t>
        </is>
      </c>
      <c r="D7" s="39">
        <f>SUMIFS('07_Moteur'!$Y$3:$Y$60,'07_Moteur'!$A$3:$A$60,"MBway",'07_Moteur'!$B$3:$B$60,"Lyon")</f>
        <v/>
      </c>
      <c r="E7" s="52">
        <f>'06_Structure'!F5*(1+'02_Parametres'!$G$11)</f>
        <v/>
      </c>
      <c r="F7" s="52">
        <f>'06_Structure'!G5*'02_Parametres'!$D$21*(1+'02_Parametres'!$G$12)</f>
        <v/>
      </c>
      <c r="G7" s="53">
        <f>IF($C$3="Effectifs",SUMIFS('07_Moteur'!$R$3:$R$60,'07_Moteur'!$A$3:$A$60,"MBway",'07_Moteur'!$B$3:$B$60,"Lyon"),IF($C$3="Chiffre d'affaires",SUMIFS('07_Moteur'!$T$3:$T$60,'07_Moteur'!$A$3:$A$60,"MBway",'07_Moteur'!$B$3:$B$60,"Lyon"),'06_Structure'!J5))</f>
        <v/>
      </c>
      <c r="H7" s="32">
        <f>IFERROR(G7/SUM($G$6:$G$19),0)</f>
        <v/>
      </c>
      <c r="I7" s="39">
        <f>H7*$I$3</f>
        <v/>
      </c>
      <c r="J7" s="49">
        <f>D7-E7-F7-I7</f>
        <v/>
      </c>
      <c r="K7" s="52">
        <f>'06_Structure'!I5</f>
        <v/>
      </c>
      <c r="L7" s="39">
        <f>J7-K7</f>
        <v/>
      </c>
    </row>
    <row r="8">
      <c r="B8" s="43" t="inlineStr">
        <is>
          <t>MBway</t>
        </is>
      </c>
      <c r="C8" s="11" t="inlineStr">
        <is>
          <t>Nantes</t>
        </is>
      </c>
      <c r="D8" s="39">
        <f>SUMIFS('07_Moteur'!$Y$3:$Y$60,'07_Moteur'!$A$3:$A$60,"MBway",'07_Moteur'!$B$3:$B$60,"Nantes")</f>
        <v/>
      </c>
      <c r="E8" s="52">
        <f>'06_Structure'!F6*(1+'02_Parametres'!$G$11)</f>
        <v/>
      </c>
      <c r="F8" s="52">
        <f>'06_Structure'!G6*'02_Parametres'!$D$21*(1+'02_Parametres'!$G$12)</f>
        <v/>
      </c>
      <c r="G8" s="53">
        <f>IF($C$3="Effectifs",SUMIFS('07_Moteur'!$R$3:$R$60,'07_Moteur'!$A$3:$A$60,"MBway",'07_Moteur'!$B$3:$B$60,"Nantes"),IF($C$3="Chiffre d'affaires",SUMIFS('07_Moteur'!$T$3:$T$60,'07_Moteur'!$A$3:$A$60,"MBway",'07_Moteur'!$B$3:$B$60,"Nantes"),'06_Structure'!J6))</f>
        <v/>
      </c>
      <c r="H8" s="32">
        <f>IFERROR(G8/SUM($G$6:$G$19),0)</f>
        <v/>
      </c>
      <c r="I8" s="39">
        <f>H8*$I$3</f>
        <v/>
      </c>
      <c r="J8" s="49">
        <f>D8-E8-F8-I8</f>
        <v/>
      </c>
      <c r="K8" s="52">
        <f>'06_Structure'!I6</f>
        <v/>
      </c>
      <c r="L8" s="39">
        <f>J8-K8</f>
        <v/>
      </c>
    </row>
    <row r="9">
      <c r="B9" s="43" t="inlineStr">
        <is>
          <t>MBway</t>
        </is>
      </c>
      <c r="C9" s="11" t="inlineStr">
        <is>
          <t>Bordeaux</t>
        </is>
      </c>
      <c r="D9" s="39">
        <f>SUMIFS('07_Moteur'!$Y$3:$Y$60,'07_Moteur'!$A$3:$A$60,"MBway",'07_Moteur'!$B$3:$B$60,"Bordeaux")</f>
        <v/>
      </c>
      <c r="E9" s="52">
        <f>'06_Structure'!F7*(1+'02_Parametres'!$G$11)</f>
        <v/>
      </c>
      <c r="F9" s="52">
        <f>'06_Structure'!G7*'02_Parametres'!$D$21*(1+'02_Parametres'!$G$12)</f>
        <v/>
      </c>
      <c r="G9" s="53">
        <f>IF($C$3="Effectifs",SUMIFS('07_Moteur'!$R$3:$R$60,'07_Moteur'!$A$3:$A$60,"MBway",'07_Moteur'!$B$3:$B$60,"Bordeaux"),IF($C$3="Chiffre d'affaires",SUMIFS('07_Moteur'!$T$3:$T$60,'07_Moteur'!$A$3:$A$60,"MBway",'07_Moteur'!$B$3:$B$60,"Bordeaux"),'06_Structure'!J7))</f>
        <v/>
      </c>
      <c r="H9" s="32">
        <f>IFERROR(G9/SUM($G$6:$G$19),0)</f>
        <v/>
      </c>
      <c r="I9" s="39">
        <f>H9*$I$3</f>
        <v/>
      </c>
      <c r="J9" s="49">
        <f>D9-E9-F9-I9</f>
        <v/>
      </c>
      <c r="K9" s="52">
        <f>'06_Structure'!I7</f>
        <v/>
      </c>
      <c r="L9" s="39">
        <f>J9-K9</f>
        <v/>
      </c>
    </row>
    <row r="10">
      <c r="B10" s="43" t="inlineStr">
        <is>
          <t>ISCOM</t>
        </is>
      </c>
      <c r="C10" s="11" t="inlineStr">
        <is>
          <t>Paris</t>
        </is>
      </c>
      <c r="D10" s="39">
        <f>SUMIFS('07_Moteur'!$Y$3:$Y$60,'07_Moteur'!$A$3:$A$60,"ISCOM",'07_Moteur'!$B$3:$B$60,"Paris")</f>
        <v/>
      </c>
      <c r="E10" s="52">
        <f>'06_Structure'!F8*(1+'02_Parametres'!$G$11)</f>
        <v/>
      </c>
      <c r="F10" s="52">
        <f>'06_Structure'!G8*'02_Parametres'!$D$21*(1+'02_Parametres'!$G$12)</f>
        <v/>
      </c>
      <c r="G10" s="53">
        <f>IF($C$3="Effectifs",SUMIFS('07_Moteur'!$R$3:$R$60,'07_Moteur'!$A$3:$A$60,"ISCOM",'07_Moteur'!$B$3:$B$60,"Paris"),IF($C$3="Chiffre d'affaires",SUMIFS('07_Moteur'!$T$3:$T$60,'07_Moteur'!$A$3:$A$60,"ISCOM",'07_Moteur'!$B$3:$B$60,"Paris"),'06_Structure'!J8))</f>
        <v/>
      </c>
      <c r="H10" s="32">
        <f>IFERROR(G10/SUM($G$6:$G$19),0)</f>
        <v/>
      </c>
      <c r="I10" s="39">
        <f>H10*$I$3</f>
        <v/>
      </c>
      <c r="J10" s="49">
        <f>D10-E10-F10-I10</f>
        <v/>
      </c>
      <c r="K10" s="52">
        <f>'06_Structure'!I8</f>
        <v/>
      </c>
      <c r="L10" s="39">
        <f>J10-K10</f>
        <v/>
      </c>
    </row>
    <row r="11">
      <c r="B11" s="43" t="inlineStr">
        <is>
          <t>ISCOM</t>
        </is>
      </c>
      <c r="C11" s="11" t="inlineStr">
        <is>
          <t>Lille</t>
        </is>
      </c>
      <c r="D11" s="39">
        <f>SUMIFS('07_Moteur'!$Y$3:$Y$60,'07_Moteur'!$A$3:$A$60,"ISCOM",'07_Moteur'!$B$3:$B$60,"Lille")</f>
        <v/>
      </c>
      <c r="E11" s="52">
        <f>'06_Structure'!F9*(1+'02_Parametres'!$G$11)</f>
        <v/>
      </c>
      <c r="F11" s="52">
        <f>'06_Structure'!G9*'02_Parametres'!$D$21*(1+'02_Parametres'!$G$12)</f>
        <v/>
      </c>
      <c r="G11" s="53">
        <f>IF($C$3="Effectifs",SUMIFS('07_Moteur'!$R$3:$R$60,'07_Moteur'!$A$3:$A$60,"ISCOM",'07_Moteur'!$B$3:$B$60,"Lille"),IF($C$3="Chiffre d'affaires",SUMIFS('07_Moteur'!$T$3:$T$60,'07_Moteur'!$A$3:$A$60,"ISCOM",'07_Moteur'!$B$3:$B$60,"Lille"),'06_Structure'!J9))</f>
        <v/>
      </c>
      <c r="H11" s="32">
        <f>IFERROR(G11/SUM($G$6:$G$19),0)</f>
        <v/>
      </c>
      <c r="I11" s="39">
        <f>H11*$I$3</f>
        <v/>
      </c>
      <c r="J11" s="49">
        <f>D11-E11-F11-I11</f>
        <v/>
      </c>
      <c r="K11" s="52">
        <f>'06_Structure'!I9</f>
        <v/>
      </c>
      <c r="L11" s="39">
        <f>J11-K11</f>
        <v/>
      </c>
    </row>
    <row r="12">
      <c r="B12" s="43" t="inlineStr">
        <is>
          <t>ISCOM</t>
        </is>
      </c>
      <c r="C12" s="11" t="inlineStr">
        <is>
          <t>Toulouse</t>
        </is>
      </c>
      <c r="D12" s="39">
        <f>SUMIFS('07_Moteur'!$Y$3:$Y$60,'07_Moteur'!$A$3:$A$60,"ISCOM",'07_Moteur'!$B$3:$B$60,"Toulouse")</f>
        <v/>
      </c>
      <c r="E12" s="52">
        <f>'06_Structure'!F10*(1+'02_Parametres'!$G$11)</f>
        <v/>
      </c>
      <c r="F12" s="52">
        <f>'06_Structure'!G10*'02_Parametres'!$D$21*(1+'02_Parametres'!$G$12)</f>
        <v/>
      </c>
      <c r="G12" s="53">
        <f>IF($C$3="Effectifs",SUMIFS('07_Moteur'!$R$3:$R$60,'07_Moteur'!$A$3:$A$60,"ISCOM",'07_Moteur'!$B$3:$B$60,"Toulouse"),IF($C$3="Chiffre d'affaires",SUMIFS('07_Moteur'!$T$3:$T$60,'07_Moteur'!$A$3:$A$60,"ISCOM",'07_Moteur'!$B$3:$B$60,"Toulouse"),'06_Structure'!J10))</f>
        <v/>
      </c>
      <c r="H12" s="32">
        <f>IFERROR(G12/SUM($G$6:$G$19),0)</f>
        <v/>
      </c>
      <c r="I12" s="39">
        <f>H12*$I$3</f>
        <v/>
      </c>
      <c r="J12" s="49">
        <f>D12-E12-F12-I12</f>
        <v/>
      </c>
      <c r="K12" s="52">
        <f>'06_Structure'!I10</f>
        <v/>
      </c>
      <c r="L12" s="39">
        <f>J12-K12</f>
        <v/>
      </c>
    </row>
    <row r="13">
      <c r="B13" s="43" t="inlineStr">
        <is>
          <t>Ipac Bachelor Factory</t>
        </is>
      </c>
      <c r="C13" s="11" t="inlineStr">
        <is>
          <t>Nantes</t>
        </is>
      </c>
      <c r="D13" s="39">
        <f>SUMIFS('07_Moteur'!$Y$3:$Y$60,'07_Moteur'!$A$3:$A$60,"Ipac Bachelor Factory",'07_Moteur'!$B$3:$B$60,"Nantes")</f>
        <v/>
      </c>
      <c r="E13" s="52">
        <f>'06_Structure'!F11*(1+'02_Parametres'!$G$11)</f>
        <v/>
      </c>
      <c r="F13" s="52">
        <f>'06_Structure'!G11*'02_Parametres'!$D$21*(1+'02_Parametres'!$G$12)</f>
        <v/>
      </c>
      <c r="G13" s="53">
        <f>IF($C$3="Effectifs",SUMIFS('07_Moteur'!$R$3:$R$60,'07_Moteur'!$A$3:$A$60,"Ipac Bachelor Factory",'07_Moteur'!$B$3:$B$60,"Nantes"),IF($C$3="Chiffre d'affaires",SUMIFS('07_Moteur'!$T$3:$T$60,'07_Moteur'!$A$3:$A$60,"Ipac Bachelor Factory",'07_Moteur'!$B$3:$B$60,"Nantes"),'06_Structure'!J11))</f>
        <v/>
      </c>
      <c r="H13" s="32">
        <f>IFERROR(G13/SUM($G$6:$G$19),0)</f>
        <v/>
      </c>
      <c r="I13" s="39">
        <f>H13*$I$3</f>
        <v/>
      </c>
      <c r="J13" s="49">
        <f>D13-E13-F13-I13</f>
        <v/>
      </c>
      <c r="K13" s="52">
        <f>'06_Structure'!I11</f>
        <v/>
      </c>
      <c r="L13" s="39">
        <f>J13-K13</f>
        <v/>
      </c>
    </row>
    <row r="14">
      <c r="B14" s="43" t="inlineStr">
        <is>
          <t>Ipac Bachelor Factory</t>
        </is>
      </c>
      <c r="C14" s="11" t="inlineStr">
        <is>
          <t>Rennes</t>
        </is>
      </c>
      <c r="D14" s="39">
        <f>SUMIFS('07_Moteur'!$Y$3:$Y$60,'07_Moteur'!$A$3:$A$60,"Ipac Bachelor Factory",'07_Moteur'!$B$3:$B$60,"Rennes")</f>
        <v/>
      </c>
      <c r="E14" s="52">
        <f>'06_Structure'!F12*(1+'02_Parametres'!$G$11)</f>
        <v/>
      </c>
      <c r="F14" s="52">
        <f>'06_Structure'!G12*'02_Parametres'!$D$21*(1+'02_Parametres'!$G$12)</f>
        <v/>
      </c>
      <c r="G14" s="53">
        <f>IF($C$3="Effectifs",SUMIFS('07_Moteur'!$R$3:$R$60,'07_Moteur'!$A$3:$A$60,"Ipac Bachelor Factory",'07_Moteur'!$B$3:$B$60,"Rennes"),IF($C$3="Chiffre d'affaires",SUMIFS('07_Moteur'!$T$3:$T$60,'07_Moteur'!$A$3:$A$60,"Ipac Bachelor Factory",'07_Moteur'!$B$3:$B$60,"Rennes"),'06_Structure'!J12))</f>
        <v/>
      </c>
      <c r="H14" s="32">
        <f>IFERROR(G14/SUM($G$6:$G$19),0)</f>
        <v/>
      </c>
      <c r="I14" s="39">
        <f>H14*$I$3</f>
        <v/>
      </c>
      <c r="J14" s="49">
        <f>D14-E14-F14-I14</f>
        <v/>
      </c>
      <c r="K14" s="52">
        <f>'06_Structure'!I12</f>
        <v/>
      </c>
      <c r="L14" s="39">
        <f>J14-K14</f>
        <v/>
      </c>
    </row>
    <row r="15">
      <c r="B15" s="43" t="inlineStr">
        <is>
          <t>Ipac Bachelor Factory</t>
        </is>
      </c>
      <c r="C15" s="11" t="inlineStr">
        <is>
          <t>Montpellier</t>
        </is>
      </c>
      <c r="D15" s="39">
        <f>SUMIFS('07_Moteur'!$Y$3:$Y$60,'07_Moteur'!$A$3:$A$60,"Ipac Bachelor Factory",'07_Moteur'!$B$3:$B$60,"Montpellier")</f>
        <v/>
      </c>
      <c r="E15" s="52">
        <f>'06_Structure'!F13*(1+'02_Parametres'!$G$11)</f>
        <v/>
      </c>
      <c r="F15" s="52">
        <f>'06_Structure'!G13*'02_Parametres'!$D$21*(1+'02_Parametres'!$G$12)</f>
        <v/>
      </c>
      <c r="G15" s="53">
        <f>IF($C$3="Effectifs",SUMIFS('07_Moteur'!$R$3:$R$60,'07_Moteur'!$A$3:$A$60,"Ipac Bachelor Factory",'07_Moteur'!$B$3:$B$60,"Montpellier"),IF($C$3="Chiffre d'affaires",SUMIFS('07_Moteur'!$T$3:$T$60,'07_Moteur'!$A$3:$A$60,"Ipac Bachelor Factory",'07_Moteur'!$B$3:$B$60,"Montpellier"),'06_Structure'!J13))</f>
        <v/>
      </c>
      <c r="H15" s="32">
        <f>IFERROR(G15/SUM($G$6:$G$19),0)</f>
        <v/>
      </c>
      <c r="I15" s="39">
        <f>H15*$I$3</f>
        <v/>
      </c>
      <c r="J15" s="49">
        <f>D15-E15-F15-I15</f>
        <v/>
      </c>
      <c r="K15" s="52">
        <f>'06_Structure'!I13</f>
        <v/>
      </c>
      <c r="L15" s="39">
        <f>J15-K15</f>
        <v/>
      </c>
    </row>
    <row r="16">
      <c r="B16" s="43" t="inlineStr">
        <is>
          <t>Pigier</t>
        </is>
      </c>
      <c r="C16" s="11" t="inlineStr">
        <is>
          <t>Lyon</t>
        </is>
      </c>
      <c r="D16" s="39">
        <f>SUMIFS('07_Moteur'!$Y$3:$Y$60,'07_Moteur'!$A$3:$A$60,"Pigier",'07_Moteur'!$B$3:$B$60,"Lyon")</f>
        <v/>
      </c>
      <c r="E16" s="52">
        <f>'06_Structure'!F14*(1+'02_Parametres'!$G$11)</f>
        <v/>
      </c>
      <c r="F16" s="52">
        <f>'06_Structure'!G14*'02_Parametres'!$D$21*(1+'02_Parametres'!$G$12)</f>
        <v/>
      </c>
      <c r="G16" s="53">
        <f>IF($C$3="Effectifs",SUMIFS('07_Moteur'!$R$3:$R$60,'07_Moteur'!$A$3:$A$60,"Pigier",'07_Moteur'!$B$3:$B$60,"Lyon"),IF($C$3="Chiffre d'affaires",SUMIFS('07_Moteur'!$T$3:$T$60,'07_Moteur'!$A$3:$A$60,"Pigier",'07_Moteur'!$B$3:$B$60,"Lyon"),'06_Structure'!J14))</f>
        <v/>
      </c>
      <c r="H16" s="32">
        <f>IFERROR(G16/SUM($G$6:$G$19),0)</f>
        <v/>
      </c>
      <c r="I16" s="39">
        <f>H16*$I$3</f>
        <v/>
      </c>
      <c r="J16" s="49">
        <f>D16-E16-F16-I16</f>
        <v/>
      </c>
      <c r="K16" s="52">
        <f>'06_Structure'!I14</f>
        <v/>
      </c>
      <c r="L16" s="39">
        <f>J16-K16</f>
        <v/>
      </c>
    </row>
    <row r="17">
      <c r="B17" s="43" t="inlineStr">
        <is>
          <t>Pigier</t>
        </is>
      </c>
      <c r="C17" s="11" t="inlineStr">
        <is>
          <t>Bordeaux</t>
        </is>
      </c>
      <c r="D17" s="39">
        <f>SUMIFS('07_Moteur'!$Y$3:$Y$60,'07_Moteur'!$A$3:$A$60,"Pigier",'07_Moteur'!$B$3:$B$60,"Bordeaux")</f>
        <v/>
      </c>
      <c r="E17" s="52">
        <f>'06_Structure'!F15*(1+'02_Parametres'!$G$11)</f>
        <v/>
      </c>
      <c r="F17" s="52">
        <f>'06_Structure'!G15*'02_Parametres'!$D$21*(1+'02_Parametres'!$G$12)</f>
        <v/>
      </c>
      <c r="G17" s="53">
        <f>IF($C$3="Effectifs",SUMIFS('07_Moteur'!$R$3:$R$60,'07_Moteur'!$A$3:$A$60,"Pigier",'07_Moteur'!$B$3:$B$60,"Bordeaux"),IF($C$3="Chiffre d'affaires",SUMIFS('07_Moteur'!$T$3:$T$60,'07_Moteur'!$A$3:$A$60,"Pigier",'07_Moteur'!$B$3:$B$60,"Bordeaux"),'06_Structure'!J15))</f>
        <v/>
      </c>
      <c r="H17" s="32">
        <f>IFERROR(G17/SUM($G$6:$G$19),0)</f>
        <v/>
      </c>
      <c r="I17" s="39">
        <f>H17*$I$3</f>
        <v/>
      </c>
      <c r="J17" s="49">
        <f>D17-E17-F17-I17</f>
        <v/>
      </c>
      <c r="K17" s="52">
        <f>'06_Structure'!I15</f>
        <v/>
      </c>
      <c r="L17" s="39">
        <f>J17-K17</f>
        <v/>
      </c>
    </row>
    <row r="18">
      <c r="B18" s="43" t="inlineStr">
        <is>
          <t>Tunon</t>
        </is>
      </c>
      <c r="C18" s="11" t="inlineStr">
        <is>
          <t>Paris</t>
        </is>
      </c>
      <c r="D18" s="39">
        <f>SUMIFS('07_Moteur'!$Y$3:$Y$60,'07_Moteur'!$A$3:$A$60,"Tunon",'07_Moteur'!$B$3:$B$60,"Paris")</f>
        <v/>
      </c>
      <c r="E18" s="52">
        <f>'06_Structure'!F16*(1+'02_Parametres'!$G$11)</f>
        <v/>
      </c>
      <c r="F18" s="52">
        <f>'06_Structure'!G16*'02_Parametres'!$D$21*(1+'02_Parametres'!$G$12)</f>
        <v/>
      </c>
      <c r="G18" s="53">
        <f>IF($C$3="Effectifs",SUMIFS('07_Moteur'!$R$3:$R$60,'07_Moteur'!$A$3:$A$60,"Tunon",'07_Moteur'!$B$3:$B$60,"Paris"),IF($C$3="Chiffre d'affaires",SUMIFS('07_Moteur'!$T$3:$T$60,'07_Moteur'!$A$3:$A$60,"Tunon",'07_Moteur'!$B$3:$B$60,"Paris"),'06_Structure'!J16))</f>
        <v/>
      </c>
      <c r="H18" s="32">
        <f>IFERROR(G18/SUM($G$6:$G$19),0)</f>
        <v/>
      </c>
      <c r="I18" s="39">
        <f>H18*$I$3</f>
        <v/>
      </c>
      <c r="J18" s="49">
        <f>D18-E18-F18-I18</f>
        <v/>
      </c>
      <c r="K18" s="52">
        <f>'06_Structure'!I16</f>
        <v/>
      </c>
      <c r="L18" s="39">
        <f>J18-K18</f>
        <v/>
      </c>
    </row>
    <row r="19">
      <c r="B19" s="43" t="inlineStr">
        <is>
          <t>Tunon</t>
        </is>
      </c>
      <c r="C19" s="11" t="inlineStr">
        <is>
          <t>Lyon</t>
        </is>
      </c>
      <c r="D19" s="39">
        <f>SUMIFS('07_Moteur'!$Y$3:$Y$60,'07_Moteur'!$A$3:$A$60,"Tunon",'07_Moteur'!$B$3:$B$60,"Lyon")</f>
        <v/>
      </c>
      <c r="E19" s="52">
        <f>'06_Structure'!F17*(1+'02_Parametres'!$G$11)</f>
        <v/>
      </c>
      <c r="F19" s="52">
        <f>'06_Structure'!G17*'02_Parametres'!$D$21*(1+'02_Parametres'!$G$12)</f>
        <v/>
      </c>
      <c r="G19" s="53">
        <f>IF($C$3="Effectifs",SUMIFS('07_Moteur'!$R$3:$R$60,'07_Moteur'!$A$3:$A$60,"Tunon",'07_Moteur'!$B$3:$B$60,"Lyon"),IF($C$3="Chiffre d'affaires",SUMIFS('07_Moteur'!$T$3:$T$60,'07_Moteur'!$A$3:$A$60,"Tunon",'07_Moteur'!$B$3:$B$60,"Lyon"),'06_Structure'!J17))</f>
        <v/>
      </c>
      <c r="H19" s="32">
        <f>IFERROR(G19/SUM($G$6:$G$19),0)</f>
        <v/>
      </c>
      <c r="I19" s="39">
        <f>H19*$I$3</f>
        <v/>
      </c>
      <c r="J19" s="49">
        <f>D19-E19-F19-I19</f>
        <v/>
      </c>
      <c r="K19" s="52">
        <f>'06_Structure'!I17</f>
        <v/>
      </c>
      <c r="L19" s="39">
        <f>J19-K19</f>
        <v/>
      </c>
    </row>
    <row r="20">
      <c r="B20" s="40" t="inlineStr">
        <is>
          <t>TOTAL GROUPE</t>
        </is>
      </c>
      <c r="C20" s="36" t="inlineStr">
        <is>
          <t> </t>
        </is>
      </c>
      <c r="D20" s="42">
        <f>SUM(D6:D19)</f>
        <v/>
      </c>
      <c r="E20" s="42">
        <f>SUM(E6:E19)</f>
        <v/>
      </c>
      <c r="F20" s="42">
        <f>SUM(F6:F19)</f>
        <v/>
      </c>
      <c r="G20" s="54">
        <f>SUM(G6:G19)</f>
        <v/>
      </c>
      <c r="H20" s="55">
        <f>SUM(H6:H19)</f>
        <v/>
      </c>
      <c r="I20" s="42">
        <f>SUM(I6:I19)</f>
        <v/>
      </c>
      <c r="J20" s="42">
        <f>SUM(J6:J19)</f>
        <v/>
      </c>
      <c r="K20" s="42">
        <f>SUM(K6:K19)</f>
        <v/>
      </c>
      <c r="L20" s="42">
        <f>SUM(L6:L19)</f>
        <v/>
      </c>
    </row>
  </sheetData>
  <mergeCells count="3">
    <mergeCell ref="B2:L2"/>
    <mergeCell ref="E3:H3"/>
    <mergeCell ref="I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4" customWidth="1" min="5" max="5"/>
    <col width="11" customWidth="1" min="6" max="6"/>
  </cols>
  <sheetData>
    <row r="2" ht="26" customHeight="1">
      <c r="B2" s="1" t="inlineStr">
        <is>
          <t>Compte de résultat consolidé — Budget N+1 vs Réalisé N-1</t>
        </is>
      </c>
    </row>
    <row r="3">
      <c r="B3" s="19" t="inlineStr">
        <is>
          <t>Scénario :</t>
        </is>
      </c>
      <c r="C3" s="56">
        <f>'02_Parametres'!C3</f>
        <v/>
      </c>
    </row>
    <row r="5">
      <c r="B5" s="15" t="inlineStr">
        <is>
          <t>Rubrique</t>
        </is>
      </c>
      <c r="C5" s="15" t="inlineStr">
        <is>
          <t>Réalisé N-1</t>
        </is>
      </c>
      <c r="D5" s="15" t="inlineStr">
        <is>
          <t>Budget N+1</t>
        </is>
      </c>
      <c r="E5" s="15" t="inlineStr">
        <is>
          <t>Écart €</t>
        </is>
      </c>
      <c r="F5" s="15" t="inlineStr">
        <is>
          <t>Écart %</t>
        </is>
      </c>
    </row>
    <row r="6">
      <c r="B6" s="9" t="inlineStr">
        <is>
          <t>Effectifs</t>
        </is>
      </c>
      <c r="C6" s="57">
        <f>'06_Structure'!C18</f>
        <v/>
      </c>
      <c r="D6" s="53">
        <f>SUM('07_Moteur'!$R$3:$R$60)</f>
        <v/>
      </c>
      <c r="E6" s="58">
        <f>D6-C6</f>
        <v/>
      </c>
      <c r="F6" s="59">
        <f>IFERROR(D6/C6-1,0)</f>
        <v/>
      </c>
    </row>
    <row r="7">
      <c r="B7" s="60" t="inlineStr">
        <is>
          <t>Chiffre d'affaires</t>
        </is>
      </c>
      <c r="C7" s="61">
        <f>'06_Structure'!D18</f>
        <v/>
      </c>
      <c r="D7" s="61">
        <f>SUM('07_Moteur'!$T$3:$T$60)</f>
        <v/>
      </c>
      <c r="E7" s="61">
        <f>D7-C7</f>
        <v/>
      </c>
      <c r="F7" s="62">
        <f>IFERROR(D7/C7-1,0)</f>
        <v/>
      </c>
    </row>
    <row r="8">
      <c r="B8" s="9" t="inlineStr">
        <is>
          <t xml:space="preserve">  Coûts directs (enseign.+pédago+market.)</t>
        </is>
      </c>
      <c r="C8" s="52">
        <f>-('06_Structure'!D18-'06_Structure'!E18)</f>
        <v/>
      </c>
      <c r="D8" s="39">
        <f>-(SUM('07_Moteur'!$V$3:$V$60)+SUM('07_Moteur'!$W$3:$W$60)+SUM('07_Moteur'!$X$3:$X$60))</f>
        <v/>
      </c>
      <c r="E8" s="63">
        <f>D8-C8</f>
        <v/>
      </c>
      <c r="F8" s="59">
        <f>IFERROR(D8/C8-1,0)</f>
        <v/>
      </c>
    </row>
    <row r="9">
      <c r="B9" s="60" t="inlineStr">
        <is>
          <t>Marge de contribution</t>
        </is>
      </c>
      <c r="C9" s="61">
        <f>'06_Structure'!E18</f>
        <v/>
      </c>
      <c r="D9" s="61">
        <f>SUM('07_Moteur'!$Y$3:$Y$60)</f>
        <v/>
      </c>
      <c r="E9" s="61">
        <f>D9-C9</f>
        <v/>
      </c>
      <c r="F9" s="62">
        <f>IFERROR(D9/C9-1,0)</f>
        <v/>
      </c>
    </row>
    <row r="10">
      <c r="B10" s="9" t="inlineStr">
        <is>
          <t xml:space="preserve">  Loyers</t>
        </is>
      </c>
      <c r="C10" s="52">
        <f>-'06_Structure'!F18</f>
        <v/>
      </c>
      <c r="D10" s="39">
        <f>-'08_Allocation'!$E$20</f>
        <v/>
      </c>
      <c r="E10" s="63">
        <f>D10-C10</f>
        <v/>
      </c>
      <c r="F10" s="59">
        <f>IFERROR(D10/C10-1,0)</f>
        <v/>
      </c>
    </row>
    <row r="11">
      <c r="B11" s="9" t="inlineStr">
        <is>
          <t xml:space="preserve">  Personnel permanent</t>
        </is>
      </c>
      <c r="C11" s="52">
        <f>-'06_Structure'!H18</f>
        <v/>
      </c>
      <c r="D11" s="39">
        <f>-'08_Allocation'!$F$20</f>
        <v/>
      </c>
      <c r="E11" s="63">
        <f>D11-C11</f>
        <v/>
      </c>
      <c r="F11" s="59">
        <f>IFERROR(D11/C11-1,0)</f>
        <v/>
      </c>
    </row>
    <row r="12">
      <c r="B12" s="9" t="inlineStr">
        <is>
          <t xml:space="preserve">  Frais de structure groupe</t>
        </is>
      </c>
      <c r="C12" s="52">
        <f>-'02_Parametres'!$D$24*'06_Structure'!D18</f>
        <v/>
      </c>
      <c r="D12" s="39">
        <f>-'08_Allocation'!$I$20</f>
        <v/>
      </c>
      <c r="E12" s="63">
        <f>D12-C12</f>
        <v/>
      </c>
      <c r="F12" s="59">
        <f>IFERROR(D12/C12-1,0)</f>
        <v/>
      </c>
    </row>
    <row r="13">
      <c r="B13" s="60" t="inlineStr">
        <is>
          <t>EBITDA</t>
        </is>
      </c>
      <c r="C13" s="61">
        <f>'06_Structure'!E18-'06_Structure'!F18-'06_Structure'!H18-'02_Parametres'!$D$24*'06_Structure'!D18</f>
        <v/>
      </c>
      <c r="D13" s="61">
        <f>'08_Allocation'!$J$20</f>
        <v/>
      </c>
      <c r="E13" s="61">
        <f>D13-C13</f>
        <v/>
      </c>
      <c r="F13" s="62">
        <f>IFERROR(D13/C13-1,0)</f>
        <v/>
      </c>
    </row>
    <row r="14">
      <c r="B14" s="9" t="inlineStr">
        <is>
          <t xml:space="preserve">  Marge EBITDA %</t>
        </is>
      </c>
      <c r="C14" s="64">
        <f>IFERROR(('06_Structure'!E18-'06_Structure'!F18-'06_Structure'!H18-'02_Parametres'!$D$24*'06_Structure'!D18)/'06_Structure'!D18,0)</f>
        <v/>
      </c>
      <c r="D14" s="65">
        <f>IFERROR('08_Allocation'!$J$20/SUM('07_Moteur'!$T$3:$T$60),0)</f>
        <v/>
      </c>
      <c r="E14" s="59">
        <f>D14-C14</f>
        <v/>
      </c>
      <c r="F14" s="29" t="inlineStr">
        <is>
          <t> </t>
        </is>
      </c>
    </row>
    <row r="15">
      <c r="B15" s="9" t="inlineStr">
        <is>
          <t xml:space="preserve">  D&amp;A</t>
        </is>
      </c>
      <c r="C15" s="52">
        <f>-'06_Structure'!I18</f>
        <v/>
      </c>
      <c r="D15" s="39">
        <f>-'08_Allocation'!$K$20</f>
        <v/>
      </c>
      <c r="E15" s="63">
        <f>D15-C15</f>
        <v/>
      </c>
      <c r="F15" s="59">
        <f>IFERROR(D15/C15-1,0)</f>
        <v/>
      </c>
    </row>
    <row r="16">
      <c r="B16" s="60" t="inlineStr">
        <is>
          <t>EBIT</t>
        </is>
      </c>
      <c r="C16" s="61">
        <f>'06_Structure'!E18-'06_Structure'!F18-'06_Structure'!H18-'02_Parametres'!$D$24*'06_Structure'!D18-'06_Structure'!I18</f>
        <v/>
      </c>
      <c r="D16" s="61">
        <f>'08_Allocation'!$L$20</f>
        <v/>
      </c>
      <c r="E16" s="61">
        <f>D16-C16</f>
        <v/>
      </c>
      <c r="F16" s="62">
        <f>IFERROR(D16/C16-1,0)</f>
        <v/>
      </c>
    </row>
    <row r="18" ht="20" customHeight="1">
      <c r="B18" s="3" t="inlineStr">
        <is>
          <t>Pont Chiffre d'affaires : N-1 → Budget</t>
        </is>
      </c>
      <c r="C18" s="4" t="n"/>
      <c r="D18" s="4" t="n"/>
      <c r="E18" s="4" t="n"/>
      <c r="F18" s="4" t="n"/>
    </row>
    <row r="19">
      <c r="B19" s="15" t="inlineStr">
        <is>
          <t>Effet</t>
        </is>
      </c>
      <c r="C19" s="15" t="inlineStr">
        <is>
          <t>Montant</t>
        </is>
      </c>
    </row>
    <row r="20">
      <c r="B20" s="9" t="inlineStr">
        <is>
          <t>CA Réalisé N-1</t>
        </is>
      </c>
      <c r="C20" s="52">
        <f>'06_Structure'!D18</f>
        <v/>
      </c>
    </row>
    <row r="21">
      <c r="B21" s="9" t="inlineStr">
        <is>
          <t xml:space="preserve">  + Effet Volume (Δ effectif)</t>
        </is>
      </c>
      <c r="C21" s="39">
        <f>SUMPRODUCT(('07_Moteur'!$R$3:$R$60-'07_Moteur'!$F$3:$F$60)*'07_Moteur'!$J$3:$J$60*'07_Moteur'!$AB$3:$AB$60)</f>
        <v/>
      </c>
    </row>
    <row r="22">
      <c r="B22" s="9" t="inlineStr">
        <is>
          <t xml:space="preserve">  + Effet Tarif (hausse prix)</t>
        </is>
      </c>
      <c r="C22" s="39">
        <f>SUMPRODUCT('07_Moteur'!$R$3:$R$60*('07_Moteur'!$S$3:$S$60-'07_Moteur'!$J$3:$J$60)*'07_Moteur'!$AB$3:$AB$60)</f>
        <v/>
      </c>
    </row>
    <row r="23">
      <c r="B23" s="9" t="inlineStr">
        <is>
          <t xml:space="preserve">  + Effet Sécurisation contrats (financement OPCO)</t>
        </is>
      </c>
      <c r="C23" s="39">
        <f>SUMPRODUCT('07_Moteur'!$R$3:$R$60*'07_Moteur'!$S$3:$S$60*('07_Moteur'!$AC$3:$AC$60-'07_Moteur'!$AB$3:$AB$60))</f>
        <v/>
      </c>
    </row>
    <row r="24">
      <c r="B24" s="9" t="inlineStr">
        <is>
          <t xml:space="preserve">  + Effet Frais de dossier</t>
        </is>
      </c>
      <c r="C24" s="39">
        <f>SUMPRODUCT('07_Moteur'!$P$3:$P$60)*'02_Parametres'!$D$22-SUMPRODUCT('07_Moteur'!$G$3:$G$60)*'02_Parametres'!$D$22</f>
        <v/>
      </c>
    </row>
    <row r="25">
      <c r="B25" s="40" t="inlineStr">
        <is>
          <t>CA Budget N+1</t>
        </is>
      </c>
      <c r="C25" s="42">
        <f>SUM('07_Moteur'!$T$3:$T$60)</f>
        <v/>
      </c>
    </row>
  </sheetData>
  <mergeCells count="2">
    <mergeCell ref="B2:F2"/>
    <mergeCell ref="B18:F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7" customWidth="1" min="8" max="8"/>
    <col width="14" customWidth="1" min="9" max="9"/>
    <col width="13" customWidth="1" min="10" max="10"/>
    <col width="10" customWidth="1" min="11" max="11"/>
    <col width="9" customWidth="1" min="12" max="12"/>
    <col width="12" customWidth="1" min="13" max="13"/>
    <col width="12" customWidth="1" min="14" max="14"/>
    <col width="16" customWidth="1" min="15" max="15"/>
  </cols>
  <sheetData>
    <row r="1" ht="24" customHeight="1">
      <c r="A1" s="1" t="inlineStr">
        <is>
          <t>Aide à la décision — ouverture / fermeture de classes</t>
        </is>
      </c>
    </row>
    <row r="2">
      <c r="A2" s="2" t="inlineStr">
        <is>
          <t>« Fermer &amp; redistribuer » = regrouper si l'effectif tient dans moins de classes (CA conservé). Impact&gt;0 = gain.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Niveau</t>
        </is>
      </c>
      <c r="E3" s="15" t="inlineStr">
        <is>
          <t>Effectif Bud</t>
        </is>
      </c>
      <c r="F3" s="15" t="inlineStr">
        <is>
          <t>Cl. actuel</t>
        </is>
      </c>
      <c r="G3" s="15" t="inlineStr">
        <is>
          <t>Cl. besoin</t>
        </is>
      </c>
      <c r="H3" s="15" t="inlineStr">
        <is>
          <t>Écart</t>
        </is>
      </c>
      <c r="I3" s="15" t="inlineStr">
        <is>
          <t>Action</t>
        </is>
      </c>
      <c r="J3" s="15" t="inlineStr">
        <is>
          <t>Impact EBITDA €</t>
        </is>
      </c>
      <c r="K3" s="15" t="inlineStr">
        <is>
          <t>Remplissage</t>
        </is>
      </c>
      <c r="L3" s="15" t="inlineStr">
        <is>
          <t>Contr/étu</t>
        </is>
      </c>
      <c r="M3" s="15" t="inlineStr">
        <is>
          <t>Point mort (étu)</t>
        </is>
      </c>
      <c r="N3" s="15" t="inlineStr">
        <is>
          <t>Marge sécurité</t>
        </is>
      </c>
      <c r="O3" s="15" t="inlineStr">
        <is>
          <t>Statut</t>
        </is>
      </c>
    </row>
    <row r="4">
      <c r="A4" s="43">
        <f>'07_Moteur'!A3</f>
        <v/>
      </c>
      <c r="B4" s="11">
        <f>'07_Moteur'!B3</f>
        <v/>
      </c>
      <c r="C4" s="43">
        <f>'07_Moteur'!C3</f>
        <v/>
      </c>
      <c r="D4" s="11">
        <f>'07_Moteur'!D3</f>
        <v/>
      </c>
      <c r="E4" s="44">
        <f>'07_Moteur'!R3</f>
        <v/>
      </c>
      <c r="F4" s="44">
        <f>'07_Moteur'!K3</f>
        <v/>
      </c>
      <c r="G4" s="44">
        <f>'07_Moteur'!U3</f>
        <v/>
      </c>
      <c r="H4" s="46">
        <f>G4-F4</f>
        <v/>
      </c>
      <c r="I4" s="10">
        <f>IF(H4&gt;0,"OUVRIR "&amp;H4,IF(H4&lt;0,"FERMER "&amp;ABS(H4),"RAS"))</f>
        <v/>
      </c>
      <c r="J4" s="39">
        <f>(F4-G4)*'07_Moteur'!AI3</f>
        <v/>
      </c>
      <c r="K4" s="16">
        <f>'07_Moteur'!Z3</f>
        <v/>
      </c>
      <c r="L4" s="18">
        <f>'07_Moteur'!AA3</f>
        <v/>
      </c>
      <c r="M4" s="46">
        <f>IFERROR(G4*'07_Moteur'!AI3/('07_Moteur'!S3*'07_Moteur'!AC3-'07_Moteur'!AG3*(1+'02_Parametres'!$G$11)),0)</f>
        <v/>
      </c>
      <c r="N4" s="46">
        <f>E4-M4</f>
        <v/>
      </c>
      <c r="O4" s="66">
        <f>IF('07_Moteur'!Y3&lt;0,"🔴 Restructurer",IF(K4&lt;0.6,"🟡 Surveiller",IF(K4&gt;=0.85,"🟢 Développer","🟢 Maintenir")))</f>
        <v/>
      </c>
    </row>
    <row r="5">
      <c r="A5" s="43">
        <f>'07_Moteur'!A4</f>
        <v/>
      </c>
      <c r="B5" s="11">
        <f>'07_Moteur'!B4</f>
        <v/>
      </c>
      <c r="C5" s="43">
        <f>'07_Moteur'!C4</f>
        <v/>
      </c>
      <c r="D5" s="11">
        <f>'07_Moteur'!D4</f>
        <v/>
      </c>
      <c r="E5" s="44">
        <f>'07_Moteur'!R4</f>
        <v/>
      </c>
      <c r="F5" s="44">
        <f>'07_Moteur'!K4</f>
        <v/>
      </c>
      <c r="G5" s="44">
        <f>'07_Moteur'!U4</f>
        <v/>
      </c>
      <c r="H5" s="46">
        <f>G5-F5</f>
        <v/>
      </c>
      <c r="I5" s="10">
        <f>IF(H5&gt;0,"OUVRIR "&amp;H5,IF(H5&lt;0,"FERMER "&amp;ABS(H5),"RAS"))</f>
        <v/>
      </c>
      <c r="J5" s="39">
        <f>(F5-G5)*'07_Moteur'!AI4</f>
        <v/>
      </c>
      <c r="K5" s="16">
        <f>'07_Moteur'!Z4</f>
        <v/>
      </c>
      <c r="L5" s="18">
        <f>'07_Moteur'!AA4</f>
        <v/>
      </c>
      <c r="M5" s="46">
        <f>IFERROR(G5*'07_Moteur'!AI4/('07_Moteur'!S4*'07_Moteur'!AC4-'07_Moteur'!AG4*(1+'02_Parametres'!$G$11)),0)</f>
        <v/>
      </c>
      <c r="N5" s="46">
        <f>E5-M5</f>
        <v/>
      </c>
      <c r="O5" s="66">
        <f>IF('07_Moteur'!Y4&lt;0,"🔴 Restructurer",IF(K5&lt;0.6,"🟡 Surveiller",IF(K5&gt;=0.85,"🟢 Développer","🟢 Maintenir")))</f>
        <v/>
      </c>
    </row>
    <row r="6">
      <c r="A6" s="43">
        <f>'07_Moteur'!A5</f>
        <v/>
      </c>
      <c r="B6" s="11">
        <f>'07_Moteur'!B5</f>
        <v/>
      </c>
      <c r="C6" s="43">
        <f>'07_Moteur'!C5</f>
        <v/>
      </c>
      <c r="D6" s="11">
        <f>'07_Moteur'!D5</f>
        <v/>
      </c>
      <c r="E6" s="44">
        <f>'07_Moteur'!R5</f>
        <v/>
      </c>
      <c r="F6" s="44">
        <f>'07_Moteur'!K5</f>
        <v/>
      </c>
      <c r="G6" s="44">
        <f>'07_Moteur'!U5</f>
        <v/>
      </c>
      <c r="H6" s="46">
        <f>G6-F6</f>
        <v/>
      </c>
      <c r="I6" s="10">
        <f>IF(H6&gt;0,"OUVRIR "&amp;H6,IF(H6&lt;0,"FERMER "&amp;ABS(H6),"RAS"))</f>
        <v/>
      </c>
      <c r="J6" s="39">
        <f>(F6-G6)*'07_Moteur'!AI5</f>
        <v/>
      </c>
      <c r="K6" s="16">
        <f>'07_Moteur'!Z5</f>
        <v/>
      </c>
      <c r="L6" s="18">
        <f>'07_Moteur'!AA5</f>
        <v/>
      </c>
      <c r="M6" s="46">
        <f>IFERROR(G6*'07_Moteur'!AI5/('07_Moteur'!S5*'07_Moteur'!AC5-'07_Moteur'!AG5*(1+'02_Parametres'!$G$11)),0)</f>
        <v/>
      </c>
      <c r="N6" s="46">
        <f>E6-M6</f>
        <v/>
      </c>
      <c r="O6" s="66">
        <f>IF('07_Moteur'!Y5&lt;0,"🔴 Restructurer",IF(K6&lt;0.6,"🟡 Surveiller",IF(K6&gt;=0.85,"🟢 Développer","🟢 Maintenir")))</f>
        <v/>
      </c>
    </row>
    <row r="7">
      <c r="A7" s="43">
        <f>'07_Moteur'!A6</f>
        <v/>
      </c>
      <c r="B7" s="11">
        <f>'07_Moteur'!B6</f>
        <v/>
      </c>
      <c r="C7" s="43">
        <f>'07_Moteur'!C6</f>
        <v/>
      </c>
      <c r="D7" s="11">
        <f>'07_Moteur'!D6</f>
        <v/>
      </c>
      <c r="E7" s="44">
        <f>'07_Moteur'!R6</f>
        <v/>
      </c>
      <c r="F7" s="44">
        <f>'07_Moteur'!K6</f>
        <v/>
      </c>
      <c r="G7" s="44">
        <f>'07_Moteur'!U6</f>
        <v/>
      </c>
      <c r="H7" s="46">
        <f>G7-F7</f>
        <v/>
      </c>
      <c r="I7" s="10">
        <f>IF(H7&gt;0,"OUVRIR "&amp;H7,IF(H7&lt;0,"FERMER "&amp;ABS(H7),"RAS"))</f>
        <v/>
      </c>
      <c r="J7" s="39">
        <f>(F7-G7)*'07_Moteur'!AI6</f>
        <v/>
      </c>
      <c r="K7" s="16">
        <f>'07_Moteur'!Z6</f>
        <v/>
      </c>
      <c r="L7" s="18">
        <f>'07_Moteur'!AA6</f>
        <v/>
      </c>
      <c r="M7" s="46">
        <f>IFERROR(G7*'07_Moteur'!AI6/('07_Moteur'!S6*'07_Moteur'!AC6-'07_Moteur'!AG6*(1+'02_Parametres'!$G$11)),0)</f>
        <v/>
      </c>
      <c r="N7" s="46">
        <f>E7-M7</f>
        <v/>
      </c>
      <c r="O7" s="66">
        <f>IF('07_Moteur'!Y6&lt;0,"🔴 Restructurer",IF(K7&lt;0.6,"🟡 Surveiller",IF(K7&gt;=0.85,"🟢 Développer","🟢 Maintenir")))</f>
        <v/>
      </c>
    </row>
    <row r="8">
      <c r="A8" s="43">
        <f>'07_Moteur'!A7</f>
        <v/>
      </c>
      <c r="B8" s="11">
        <f>'07_Moteur'!B7</f>
        <v/>
      </c>
      <c r="C8" s="43">
        <f>'07_Moteur'!C7</f>
        <v/>
      </c>
      <c r="D8" s="11">
        <f>'07_Moteur'!D7</f>
        <v/>
      </c>
      <c r="E8" s="44">
        <f>'07_Moteur'!R7</f>
        <v/>
      </c>
      <c r="F8" s="44">
        <f>'07_Moteur'!K7</f>
        <v/>
      </c>
      <c r="G8" s="44">
        <f>'07_Moteur'!U7</f>
        <v/>
      </c>
      <c r="H8" s="46">
        <f>G8-F8</f>
        <v/>
      </c>
      <c r="I8" s="10">
        <f>IF(H8&gt;0,"OUVRIR "&amp;H8,IF(H8&lt;0,"FERMER "&amp;ABS(H8),"RAS"))</f>
        <v/>
      </c>
      <c r="J8" s="39">
        <f>(F8-G8)*'07_Moteur'!AI7</f>
        <v/>
      </c>
      <c r="K8" s="16">
        <f>'07_Moteur'!Z7</f>
        <v/>
      </c>
      <c r="L8" s="18">
        <f>'07_Moteur'!AA7</f>
        <v/>
      </c>
      <c r="M8" s="46">
        <f>IFERROR(G8*'07_Moteur'!AI7/('07_Moteur'!S7*'07_Moteur'!AC7-'07_Moteur'!AG7*(1+'02_Parametres'!$G$11)),0)</f>
        <v/>
      </c>
      <c r="N8" s="46">
        <f>E8-M8</f>
        <v/>
      </c>
      <c r="O8" s="66">
        <f>IF('07_Moteur'!Y7&lt;0,"🔴 Restructurer",IF(K8&lt;0.6,"🟡 Surveiller",IF(K8&gt;=0.85,"🟢 Développer","🟢 Maintenir")))</f>
        <v/>
      </c>
    </row>
    <row r="9">
      <c r="A9" s="43">
        <f>'07_Moteur'!A8</f>
        <v/>
      </c>
      <c r="B9" s="11">
        <f>'07_Moteur'!B8</f>
        <v/>
      </c>
      <c r="C9" s="43">
        <f>'07_Moteur'!C8</f>
        <v/>
      </c>
      <c r="D9" s="11">
        <f>'07_Moteur'!D8</f>
        <v/>
      </c>
      <c r="E9" s="44">
        <f>'07_Moteur'!R8</f>
        <v/>
      </c>
      <c r="F9" s="44">
        <f>'07_Moteur'!K8</f>
        <v/>
      </c>
      <c r="G9" s="44">
        <f>'07_Moteur'!U8</f>
        <v/>
      </c>
      <c r="H9" s="46">
        <f>G9-F9</f>
        <v/>
      </c>
      <c r="I9" s="10">
        <f>IF(H9&gt;0,"OUVRIR "&amp;H9,IF(H9&lt;0,"FERMER "&amp;ABS(H9),"RAS"))</f>
        <v/>
      </c>
      <c r="J9" s="39">
        <f>(F9-G9)*'07_Moteur'!AI8</f>
        <v/>
      </c>
      <c r="K9" s="16">
        <f>'07_Moteur'!Z8</f>
        <v/>
      </c>
      <c r="L9" s="18">
        <f>'07_Moteur'!AA8</f>
        <v/>
      </c>
      <c r="M9" s="46">
        <f>IFERROR(G9*'07_Moteur'!AI8/('07_Moteur'!S8*'07_Moteur'!AC8-'07_Moteur'!AG8*(1+'02_Parametres'!$G$11)),0)</f>
        <v/>
      </c>
      <c r="N9" s="46">
        <f>E9-M9</f>
        <v/>
      </c>
      <c r="O9" s="66">
        <f>IF('07_Moteur'!Y8&lt;0,"🔴 Restructurer",IF(K9&lt;0.6,"🟡 Surveiller",IF(K9&gt;=0.85,"🟢 Développer","🟢 Maintenir")))</f>
        <v/>
      </c>
    </row>
    <row r="10">
      <c r="A10" s="43">
        <f>'07_Moteur'!A9</f>
        <v/>
      </c>
      <c r="B10" s="11">
        <f>'07_Moteur'!B9</f>
        <v/>
      </c>
      <c r="C10" s="43">
        <f>'07_Moteur'!C9</f>
        <v/>
      </c>
      <c r="D10" s="11">
        <f>'07_Moteur'!D9</f>
        <v/>
      </c>
      <c r="E10" s="44">
        <f>'07_Moteur'!R9</f>
        <v/>
      </c>
      <c r="F10" s="44">
        <f>'07_Moteur'!K9</f>
        <v/>
      </c>
      <c r="G10" s="44">
        <f>'07_Moteur'!U9</f>
        <v/>
      </c>
      <c r="H10" s="46">
        <f>G10-F10</f>
        <v/>
      </c>
      <c r="I10" s="10">
        <f>IF(H10&gt;0,"OUVRIR "&amp;H10,IF(H10&lt;0,"FERMER "&amp;ABS(H10),"RAS"))</f>
        <v/>
      </c>
      <c r="J10" s="39">
        <f>(F10-G10)*'07_Moteur'!AI9</f>
        <v/>
      </c>
      <c r="K10" s="16">
        <f>'07_Moteur'!Z9</f>
        <v/>
      </c>
      <c r="L10" s="18">
        <f>'07_Moteur'!AA9</f>
        <v/>
      </c>
      <c r="M10" s="46">
        <f>IFERROR(G10*'07_Moteur'!AI9/('07_Moteur'!S9*'07_Moteur'!AC9-'07_Moteur'!AG9*(1+'02_Parametres'!$G$11)),0)</f>
        <v/>
      </c>
      <c r="N10" s="46">
        <f>E10-M10</f>
        <v/>
      </c>
      <c r="O10" s="66">
        <f>IF('07_Moteur'!Y9&lt;0,"🔴 Restructurer",IF(K10&lt;0.6,"🟡 Surveiller",IF(K10&gt;=0.85,"🟢 Développer","🟢 Maintenir")))</f>
        <v/>
      </c>
    </row>
    <row r="11">
      <c r="A11" s="43">
        <f>'07_Moteur'!A10</f>
        <v/>
      </c>
      <c r="B11" s="11">
        <f>'07_Moteur'!B10</f>
        <v/>
      </c>
      <c r="C11" s="43">
        <f>'07_Moteur'!C10</f>
        <v/>
      </c>
      <c r="D11" s="11">
        <f>'07_Moteur'!D10</f>
        <v/>
      </c>
      <c r="E11" s="44">
        <f>'07_Moteur'!R10</f>
        <v/>
      </c>
      <c r="F11" s="44">
        <f>'07_Moteur'!K10</f>
        <v/>
      </c>
      <c r="G11" s="44">
        <f>'07_Moteur'!U10</f>
        <v/>
      </c>
      <c r="H11" s="46">
        <f>G11-F11</f>
        <v/>
      </c>
      <c r="I11" s="10">
        <f>IF(H11&gt;0,"OUVRIR "&amp;H11,IF(H11&lt;0,"FERMER "&amp;ABS(H11),"RAS"))</f>
        <v/>
      </c>
      <c r="J11" s="39">
        <f>(F11-G11)*'07_Moteur'!AI10</f>
        <v/>
      </c>
      <c r="K11" s="16">
        <f>'07_Moteur'!Z10</f>
        <v/>
      </c>
      <c r="L11" s="18">
        <f>'07_Moteur'!AA10</f>
        <v/>
      </c>
      <c r="M11" s="46">
        <f>IFERROR(G11*'07_Moteur'!AI10/('07_Moteur'!S10*'07_Moteur'!AC10-'07_Moteur'!AG10*(1+'02_Parametres'!$G$11)),0)</f>
        <v/>
      </c>
      <c r="N11" s="46">
        <f>E11-M11</f>
        <v/>
      </c>
      <c r="O11" s="66">
        <f>IF('07_Moteur'!Y10&lt;0,"🔴 Restructurer",IF(K11&lt;0.6,"🟡 Surveiller",IF(K11&gt;=0.85,"🟢 Développer","🟢 Maintenir")))</f>
        <v/>
      </c>
    </row>
    <row r="12">
      <c r="A12" s="43">
        <f>'07_Moteur'!A11</f>
        <v/>
      </c>
      <c r="B12" s="11">
        <f>'07_Moteur'!B11</f>
        <v/>
      </c>
      <c r="C12" s="43">
        <f>'07_Moteur'!C11</f>
        <v/>
      </c>
      <c r="D12" s="11">
        <f>'07_Moteur'!D11</f>
        <v/>
      </c>
      <c r="E12" s="44">
        <f>'07_Moteur'!R11</f>
        <v/>
      </c>
      <c r="F12" s="44">
        <f>'07_Moteur'!K11</f>
        <v/>
      </c>
      <c r="G12" s="44">
        <f>'07_Moteur'!U11</f>
        <v/>
      </c>
      <c r="H12" s="46">
        <f>G12-F12</f>
        <v/>
      </c>
      <c r="I12" s="10">
        <f>IF(H12&gt;0,"OUVRIR "&amp;H12,IF(H12&lt;0,"FERMER "&amp;ABS(H12),"RAS"))</f>
        <v/>
      </c>
      <c r="J12" s="39">
        <f>(F12-G12)*'07_Moteur'!AI11</f>
        <v/>
      </c>
      <c r="K12" s="16">
        <f>'07_Moteur'!Z11</f>
        <v/>
      </c>
      <c r="L12" s="18">
        <f>'07_Moteur'!AA11</f>
        <v/>
      </c>
      <c r="M12" s="46">
        <f>IFERROR(G12*'07_Moteur'!AI11/('07_Moteur'!S11*'07_Moteur'!AC11-'07_Moteur'!AG11*(1+'02_Parametres'!$G$11)),0)</f>
        <v/>
      </c>
      <c r="N12" s="46">
        <f>E12-M12</f>
        <v/>
      </c>
      <c r="O12" s="66">
        <f>IF('07_Moteur'!Y11&lt;0,"🔴 Restructurer",IF(K12&lt;0.6,"🟡 Surveiller",IF(K12&gt;=0.85,"🟢 Développer","🟢 Maintenir")))</f>
        <v/>
      </c>
    </row>
    <row r="13">
      <c r="A13" s="43">
        <f>'07_Moteur'!A12</f>
        <v/>
      </c>
      <c r="B13" s="11">
        <f>'07_Moteur'!B12</f>
        <v/>
      </c>
      <c r="C13" s="43">
        <f>'07_Moteur'!C12</f>
        <v/>
      </c>
      <c r="D13" s="11">
        <f>'07_Moteur'!D12</f>
        <v/>
      </c>
      <c r="E13" s="44">
        <f>'07_Moteur'!R12</f>
        <v/>
      </c>
      <c r="F13" s="44">
        <f>'07_Moteur'!K12</f>
        <v/>
      </c>
      <c r="G13" s="44">
        <f>'07_Moteur'!U12</f>
        <v/>
      </c>
      <c r="H13" s="46">
        <f>G13-F13</f>
        <v/>
      </c>
      <c r="I13" s="10">
        <f>IF(H13&gt;0,"OUVRIR "&amp;H13,IF(H13&lt;0,"FERMER "&amp;ABS(H13),"RAS"))</f>
        <v/>
      </c>
      <c r="J13" s="39">
        <f>(F13-G13)*'07_Moteur'!AI12</f>
        <v/>
      </c>
      <c r="K13" s="16">
        <f>'07_Moteur'!Z12</f>
        <v/>
      </c>
      <c r="L13" s="18">
        <f>'07_Moteur'!AA12</f>
        <v/>
      </c>
      <c r="M13" s="46">
        <f>IFERROR(G13*'07_Moteur'!AI12/('07_Moteur'!S12*'07_Moteur'!AC12-'07_Moteur'!AG12*(1+'02_Parametres'!$G$11)),0)</f>
        <v/>
      </c>
      <c r="N13" s="46">
        <f>E13-M13</f>
        <v/>
      </c>
      <c r="O13" s="66">
        <f>IF('07_Moteur'!Y12&lt;0,"🔴 Restructurer",IF(K13&lt;0.6,"🟡 Surveiller",IF(K13&gt;=0.85,"🟢 Développer","🟢 Maintenir")))</f>
        <v/>
      </c>
    </row>
    <row r="14">
      <c r="A14" s="43">
        <f>'07_Moteur'!A13</f>
        <v/>
      </c>
      <c r="B14" s="11">
        <f>'07_Moteur'!B13</f>
        <v/>
      </c>
      <c r="C14" s="43">
        <f>'07_Moteur'!C13</f>
        <v/>
      </c>
      <c r="D14" s="11">
        <f>'07_Moteur'!D13</f>
        <v/>
      </c>
      <c r="E14" s="44">
        <f>'07_Moteur'!R13</f>
        <v/>
      </c>
      <c r="F14" s="44">
        <f>'07_Moteur'!K13</f>
        <v/>
      </c>
      <c r="G14" s="44">
        <f>'07_Moteur'!U13</f>
        <v/>
      </c>
      <c r="H14" s="46">
        <f>G14-F14</f>
        <v/>
      </c>
      <c r="I14" s="10">
        <f>IF(H14&gt;0,"OUVRIR "&amp;H14,IF(H14&lt;0,"FERMER "&amp;ABS(H14),"RAS"))</f>
        <v/>
      </c>
      <c r="J14" s="39">
        <f>(F14-G14)*'07_Moteur'!AI13</f>
        <v/>
      </c>
      <c r="K14" s="16">
        <f>'07_Moteur'!Z13</f>
        <v/>
      </c>
      <c r="L14" s="18">
        <f>'07_Moteur'!AA13</f>
        <v/>
      </c>
      <c r="M14" s="46">
        <f>IFERROR(G14*'07_Moteur'!AI13/('07_Moteur'!S13*'07_Moteur'!AC13-'07_Moteur'!AG13*(1+'02_Parametres'!$G$11)),0)</f>
        <v/>
      </c>
      <c r="N14" s="46">
        <f>E14-M14</f>
        <v/>
      </c>
      <c r="O14" s="66">
        <f>IF('07_Moteur'!Y13&lt;0,"🔴 Restructurer",IF(K14&lt;0.6,"🟡 Surveiller",IF(K14&gt;=0.85,"🟢 Développer","🟢 Maintenir")))</f>
        <v/>
      </c>
    </row>
    <row r="15">
      <c r="A15" s="43">
        <f>'07_Moteur'!A14</f>
        <v/>
      </c>
      <c r="B15" s="11">
        <f>'07_Moteur'!B14</f>
        <v/>
      </c>
      <c r="C15" s="43">
        <f>'07_Moteur'!C14</f>
        <v/>
      </c>
      <c r="D15" s="11">
        <f>'07_Moteur'!D14</f>
        <v/>
      </c>
      <c r="E15" s="44">
        <f>'07_Moteur'!R14</f>
        <v/>
      </c>
      <c r="F15" s="44">
        <f>'07_Moteur'!K14</f>
        <v/>
      </c>
      <c r="G15" s="44">
        <f>'07_Moteur'!U14</f>
        <v/>
      </c>
      <c r="H15" s="46">
        <f>G15-F15</f>
        <v/>
      </c>
      <c r="I15" s="10">
        <f>IF(H15&gt;0,"OUVRIR "&amp;H15,IF(H15&lt;0,"FERMER "&amp;ABS(H15),"RAS"))</f>
        <v/>
      </c>
      <c r="J15" s="39">
        <f>(F15-G15)*'07_Moteur'!AI14</f>
        <v/>
      </c>
      <c r="K15" s="16">
        <f>'07_Moteur'!Z14</f>
        <v/>
      </c>
      <c r="L15" s="18">
        <f>'07_Moteur'!AA14</f>
        <v/>
      </c>
      <c r="M15" s="46">
        <f>IFERROR(G15*'07_Moteur'!AI14/('07_Moteur'!S14*'07_Moteur'!AC14-'07_Moteur'!AG14*(1+'02_Parametres'!$G$11)),0)</f>
        <v/>
      </c>
      <c r="N15" s="46">
        <f>E15-M15</f>
        <v/>
      </c>
      <c r="O15" s="66">
        <f>IF('07_Moteur'!Y14&lt;0,"🔴 Restructurer",IF(K15&lt;0.6,"🟡 Surveiller",IF(K15&gt;=0.85,"🟢 Développer","🟢 Maintenir")))</f>
        <v/>
      </c>
    </row>
    <row r="16">
      <c r="A16" s="43">
        <f>'07_Moteur'!A15</f>
        <v/>
      </c>
      <c r="B16" s="11">
        <f>'07_Moteur'!B15</f>
        <v/>
      </c>
      <c r="C16" s="43">
        <f>'07_Moteur'!C15</f>
        <v/>
      </c>
      <c r="D16" s="11">
        <f>'07_Moteur'!D15</f>
        <v/>
      </c>
      <c r="E16" s="44">
        <f>'07_Moteur'!R15</f>
        <v/>
      </c>
      <c r="F16" s="44">
        <f>'07_Moteur'!K15</f>
        <v/>
      </c>
      <c r="G16" s="44">
        <f>'07_Moteur'!U15</f>
        <v/>
      </c>
      <c r="H16" s="46">
        <f>G16-F16</f>
        <v/>
      </c>
      <c r="I16" s="10">
        <f>IF(H16&gt;0,"OUVRIR "&amp;H16,IF(H16&lt;0,"FERMER "&amp;ABS(H16),"RAS"))</f>
        <v/>
      </c>
      <c r="J16" s="39">
        <f>(F16-G16)*'07_Moteur'!AI15</f>
        <v/>
      </c>
      <c r="K16" s="16">
        <f>'07_Moteur'!Z15</f>
        <v/>
      </c>
      <c r="L16" s="18">
        <f>'07_Moteur'!AA15</f>
        <v/>
      </c>
      <c r="M16" s="46">
        <f>IFERROR(G16*'07_Moteur'!AI15/('07_Moteur'!S15*'07_Moteur'!AC15-'07_Moteur'!AG15*(1+'02_Parametres'!$G$11)),0)</f>
        <v/>
      </c>
      <c r="N16" s="46">
        <f>E16-M16</f>
        <v/>
      </c>
      <c r="O16" s="66">
        <f>IF('07_Moteur'!Y15&lt;0,"🔴 Restructurer",IF(K16&lt;0.6,"🟡 Surveiller",IF(K16&gt;=0.85,"🟢 Développer","🟢 Maintenir")))</f>
        <v/>
      </c>
    </row>
    <row r="17">
      <c r="A17" s="43">
        <f>'07_Moteur'!A16</f>
        <v/>
      </c>
      <c r="B17" s="11">
        <f>'07_Moteur'!B16</f>
        <v/>
      </c>
      <c r="C17" s="43">
        <f>'07_Moteur'!C16</f>
        <v/>
      </c>
      <c r="D17" s="11">
        <f>'07_Moteur'!D16</f>
        <v/>
      </c>
      <c r="E17" s="44">
        <f>'07_Moteur'!R16</f>
        <v/>
      </c>
      <c r="F17" s="44">
        <f>'07_Moteur'!K16</f>
        <v/>
      </c>
      <c r="G17" s="44">
        <f>'07_Moteur'!U16</f>
        <v/>
      </c>
      <c r="H17" s="46">
        <f>G17-F17</f>
        <v/>
      </c>
      <c r="I17" s="10">
        <f>IF(H17&gt;0,"OUVRIR "&amp;H17,IF(H17&lt;0,"FERMER "&amp;ABS(H17),"RAS"))</f>
        <v/>
      </c>
      <c r="J17" s="39">
        <f>(F17-G17)*'07_Moteur'!AI16</f>
        <v/>
      </c>
      <c r="K17" s="16">
        <f>'07_Moteur'!Z16</f>
        <v/>
      </c>
      <c r="L17" s="18">
        <f>'07_Moteur'!AA16</f>
        <v/>
      </c>
      <c r="M17" s="46">
        <f>IFERROR(G17*'07_Moteur'!AI16/('07_Moteur'!S16*'07_Moteur'!AC16-'07_Moteur'!AG16*(1+'02_Parametres'!$G$11)),0)</f>
        <v/>
      </c>
      <c r="N17" s="46">
        <f>E17-M17</f>
        <v/>
      </c>
      <c r="O17" s="66">
        <f>IF('07_Moteur'!Y16&lt;0,"🔴 Restructurer",IF(K17&lt;0.6,"🟡 Surveiller",IF(K17&gt;=0.85,"🟢 Développer","🟢 Maintenir")))</f>
        <v/>
      </c>
    </row>
    <row r="18">
      <c r="A18" s="43">
        <f>'07_Moteur'!A17</f>
        <v/>
      </c>
      <c r="B18" s="11">
        <f>'07_Moteur'!B17</f>
        <v/>
      </c>
      <c r="C18" s="43">
        <f>'07_Moteur'!C17</f>
        <v/>
      </c>
      <c r="D18" s="11">
        <f>'07_Moteur'!D17</f>
        <v/>
      </c>
      <c r="E18" s="44">
        <f>'07_Moteur'!R17</f>
        <v/>
      </c>
      <c r="F18" s="44">
        <f>'07_Moteur'!K17</f>
        <v/>
      </c>
      <c r="G18" s="44">
        <f>'07_Moteur'!U17</f>
        <v/>
      </c>
      <c r="H18" s="46">
        <f>G18-F18</f>
        <v/>
      </c>
      <c r="I18" s="10">
        <f>IF(H18&gt;0,"OUVRIR "&amp;H18,IF(H18&lt;0,"FERMER "&amp;ABS(H18),"RAS"))</f>
        <v/>
      </c>
      <c r="J18" s="39">
        <f>(F18-G18)*'07_Moteur'!AI17</f>
        <v/>
      </c>
      <c r="K18" s="16">
        <f>'07_Moteur'!Z17</f>
        <v/>
      </c>
      <c r="L18" s="18">
        <f>'07_Moteur'!AA17</f>
        <v/>
      </c>
      <c r="M18" s="46">
        <f>IFERROR(G18*'07_Moteur'!AI17/('07_Moteur'!S17*'07_Moteur'!AC17-'07_Moteur'!AG17*(1+'02_Parametres'!$G$11)),0)</f>
        <v/>
      </c>
      <c r="N18" s="46">
        <f>E18-M18</f>
        <v/>
      </c>
      <c r="O18" s="66">
        <f>IF('07_Moteur'!Y17&lt;0,"🔴 Restructurer",IF(K18&lt;0.6,"🟡 Surveiller",IF(K18&gt;=0.85,"🟢 Développer","🟢 Maintenir")))</f>
        <v/>
      </c>
    </row>
    <row r="19">
      <c r="A19" s="43">
        <f>'07_Moteur'!A18</f>
        <v/>
      </c>
      <c r="B19" s="11">
        <f>'07_Moteur'!B18</f>
        <v/>
      </c>
      <c r="C19" s="43">
        <f>'07_Moteur'!C18</f>
        <v/>
      </c>
      <c r="D19" s="11">
        <f>'07_Moteur'!D18</f>
        <v/>
      </c>
      <c r="E19" s="44">
        <f>'07_Moteur'!R18</f>
        <v/>
      </c>
      <c r="F19" s="44">
        <f>'07_Moteur'!K18</f>
        <v/>
      </c>
      <c r="G19" s="44">
        <f>'07_Moteur'!U18</f>
        <v/>
      </c>
      <c r="H19" s="46">
        <f>G19-F19</f>
        <v/>
      </c>
      <c r="I19" s="10">
        <f>IF(H19&gt;0,"OUVRIR "&amp;H19,IF(H19&lt;0,"FERMER "&amp;ABS(H19),"RAS"))</f>
        <v/>
      </c>
      <c r="J19" s="39">
        <f>(F19-G19)*'07_Moteur'!AI18</f>
        <v/>
      </c>
      <c r="K19" s="16">
        <f>'07_Moteur'!Z18</f>
        <v/>
      </c>
      <c r="L19" s="18">
        <f>'07_Moteur'!AA18</f>
        <v/>
      </c>
      <c r="M19" s="46">
        <f>IFERROR(G19*'07_Moteur'!AI18/('07_Moteur'!S18*'07_Moteur'!AC18-'07_Moteur'!AG18*(1+'02_Parametres'!$G$11)),0)</f>
        <v/>
      </c>
      <c r="N19" s="46">
        <f>E19-M19</f>
        <v/>
      </c>
      <c r="O19" s="66">
        <f>IF('07_Moteur'!Y18&lt;0,"🔴 Restructurer",IF(K19&lt;0.6,"🟡 Surveiller",IF(K19&gt;=0.85,"🟢 Développer","🟢 Maintenir")))</f>
        <v/>
      </c>
    </row>
    <row r="20">
      <c r="A20" s="43">
        <f>'07_Moteur'!A19</f>
        <v/>
      </c>
      <c r="B20" s="11">
        <f>'07_Moteur'!B19</f>
        <v/>
      </c>
      <c r="C20" s="43">
        <f>'07_Moteur'!C19</f>
        <v/>
      </c>
      <c r="D20" s="11">
        <f>'07_Moteur'!D19</f>
        <v/>
      </c>
      <c r="E20" s="44">
        <f>'07_Moteur'!R19</f>
        <v/>
      </c>
      <c r="F20" s="44">
        <f>'07_Moteur'!K19</f>
        <v/>
      </c>
      <c r="G20" s="44">
        <f>'07_Moteur'!U19</f>
        <v/>
      </c>
      <c r="H20" s="46">
        <f>G20-F20</f>
        <v/>
      </c>
      <c r="I20" s="10">
        <f>IF(H20&gt;0,"OUVRIR "&amp;H20,IF(H20&lt;0,"FERMER "&amp;ABS(H20),"RAS"))</f>
        <v/>
      </c>
      <c r="J20" s="39">
        <f>(F20-G20)*'07_Moteur'!AI19</f>
        <v/>
      </c>
      <c r="K20" s="16">
        <f>'07_Moteur'!Z19</f>
        <v/>
      </c>
      <c r="L20" s="18">
        <f>'07_Moteur'!AA19</f>
        <v/>
      </c>
      <c r="M20" s="46">
        <f>IFERROR(G20*'07_Moteur'!AI19/('07_Moteur'!S19*'07_Moteur'!AC19-'07_Moteur'!AG19*(1+'02_Parametres'!$G$11)),0)</f>
        <v/>
      </c>
      <c r="N20" s="46">
        <f>E20-M20</f>
        <v/>
      </c>
      <c r="O20" s="66">
        <f>IF('07_Moteur'!Y19&lt;0,"🔴 Restructurer",IF(K20&lt;0.6,"🟡 Surveiller",IF(K20&gt;=0.85,"🟢 Développer","🟢 Maintenir")))</f>
        <v/>
      </c>
    </row>
    <row r="21">
      <c r="A21" s="43">
        <f>'07_Moteur'!A20</f>
        <v/>
      </c>
      <c r="B21" s="11">
        <f>'07_Moteur'!B20</f>
        <v/>
      </c>
      <c r="C21" s="43">
        <f>'07_Moteur'!C20</f>
        <v/>
      </c>
      <c r="D21" s="11">
        <f>'07_Moteur'!D20</f>
        <v/>
      </c>
      <c r="E21" s="44">
        <f>'07_Moteur'!R20</f>
        <v/>
      </c>
      <c r="F21" s="44">
        <f>'07_Moteur'!K20</f>
        <v/>
      </c>
      <c r="G21" s="44">
        <f>'07_Moteur'!U20</f>
        <v/>
      </c>
      <c r="H21" s="46">
        <f>G21-F21</f>
        <v/>
      </c>
      <c r="I21" s="10">
        <f>IF(H21&gt;0,"OUVRIR "&amp;H21,IF(H21&lt;0,"FERMER "&amp;ABS(H21),"RAS"))</f>
        <v/>
      </c>
      <c r="J21" s="39">
        <f>(F21-G21)*'07_Moteur'!AI20</f>
        <v/>
      </c>
      <c r="K21" s="16">
        <f>'07_Moteur'!Z20</f>
        <v/>
      </c>
      <c r="L21" s="18">
        <f>'07_Moteur'!AA20</f>
        <v/>
      </c>
      <c r="M21" s="46">
        <f>IFERROR(G21*'07_Moteur'!AI20/('07_Moteur'!S20*'07_Moteur'!AC20-'07_Moteur'!AG20*(1+'02_Parametres'!$G$11)),0)</f>
        <v/>
      </c>
      <c r="N21" s="46">
        <f>E21-M21</f>
        <v/>
      </c>
      <c r="O21" s="66">
        <f>IF('07_Moteur'!Y20&lt;0,"🔴 Restructurer",IF(K21&lt;0.6,"🟡 Surveiller",IF(K21&gt;=0.85,"🟢 Développer","🟢 Maintenir")))</f>
        <v/>
      </c>
    </row>
    <row r="22">
      <c r="A22" s="43">
        <f>'07_Moteur'!A21</f>
        <v/>
      </c>
      <c r="B22" s="11">
        <f>'07_Moteur'!B21</f>
        <v/>
      </c>
      <c r="C22" s="43">
        <f>'07_Moteur'!C21</f>
        <v/>
      </c>
      <c r="D22" s="11">
        <f>'07_Moteur'!D21</f>
        <v/>
      </c>
      <c r="E22" s="44">
        <f>'07_Moteur'!R21</f>
        <v/>
      </c>
      <c r="F22" s="44">
        <f>'07_Moteur'!K21</f>
        <v/>
      </c>
      <c r="G22" s="44">
        <f>'07_Moteur'!U21</f>
        <v/>
      </c>
      <c r="H22" s="46">
        <f>G22-F22</f>
        <v/>
      </c>
      <c r="I22" s="10">
        <f>IF(H22&gt;0,"OUVRIR "&amp;H22,IF(H22&lt;0,"FERMER "&amp;ABS(H22),"RAS"))</f>
        <v/>
      </c>
      <c r="J22" s="39">
        <f>(F22-G22)*'07_Moteur'!AI21</f>
        <v/>
      </c>
      <c r="K22" s="16">
        <f>'07_Moteur'!Z21</f>
        <v/>
      </c>
      <c r="L22" s="18">
        <f>'07_Moteur'!AA21</f>
        <v/>
      </c>
      <c r="M22" s="46">
        <f>IFERROR(G22*'07_Moteur'!AI21/('07_Moteur'!S21*'07_Moteur'!AC21-'07_Moteur'!AG21*(1+'02_Parametres'!$G$11)),0)</f>
        <v/>
      </c>
      <c r="N22" s="46">
        <f>E22-M22</f>
        <v/>
      </c>
      <c r="O22" s="66">
        <f>IF('07_Moteur'!Y21&lt;0,"🔴 Restructurer",IF(K22&lt;0.6,"🟡 Surveiller",IF(K22&gt;=0.85,"🟢 Développer","🟢 Maintenir")))</f>
        <v/>
      </c>
    </row>
    <row r="23">
      <c r="A23" s="43">
        <f>'07_Moteur'!A22</f>
        <v/>
      </c>
      <c r="B23" s="11">
        <f>'07_Moteur'!B22</f>
        <v/>
      </c>
      <c r="C23" s="43">
        <f>'07_Moteur'!C22</f>
        <v/>
      </c>
      <c r="D23" s="11">
        <f>'07_Moteur'!D22</f>
        <v/>
      </c>
      <c r="E23" s="44">
        <f>'07_Moteur'!R22</f>
        <v/>
      </c>
      <c r="F23" s="44">
        <f>'07_Moteur'!K22</f>
        <v/>
      </c>
      <c r="G23" s="44">
        <f>'07_Moteur'!U22</f>
        <v/>
      </c>
      <c r="H23" s="46">
        <f>G23-F23</f>
        <v/>
      </c>
      <c r="I23" s="10">
        <f>IF(H23&gt;0,"OUVRIR "&amp;H23,IF(H23&lt;0,"FERMER "&amp;ABS(H23),"RAS"))</f>
        <v/>
      </c>
      <c r="J23" s="39">
        <f>(F23-G23)*'07_Moteur'!AI22</f>
        <v/>
      </c>
      <c r="K23" s="16">
        <f>'07_Moteur'!Z22</f>
        <v/>
      </c>
      <c r="L23" s="18">
        <f>'07_Moteur'!AA22</f>
        <v/>
      </c>
      <c r="M23" s="46">
        <f>IFERROR(G23*'07_Moteur'!AI22/('07_Moteur'!S22*'07_Moteur'!AC22-'07_Moteur'!AG22*(1+'02_Parametres'!$G$11)),0)</f>
        <v/>
      </c>
      <c r="N23" s="46">
        <f>E23-M23</f>
        <v/>
      </c>
      <c r="O23" s="66">
        <f>IF('07_Moteur'!Y22&lt;0,"🔴 Restructurer",IF(K23&lt;0.6,"🟡 Surveiller",IF(K23&gt;=0.85,"🟢 Développer","🟢 Maintenir")))</f>
        <v/>
      </c>
    </row>
    <row r="24">
      <c r="A24" s="43">
        <f>'07_Moteur'!A23</f>
        <v/>
      </c>
      <c r="B24" s="11">
        <f>'07_Moteur'!B23</f>
        <v/>
      </c>
      <c r="C24" s="43">
        <f>'07_Moteur'!C23</f>
        <v/>
      </c>
      <c r="D24" s="11">
        <f>'07_Moteur'!D23</f>
        <v/>
      </c>
      <c r="E24" s="44">
        <f>'07_Moteur'!R23</f>
        <v/>
      </c>
      <c r="F24" s="44">
        <f>'07_Moteur'!K23</f>
        <v/>
      </c>
      <c r="G24" s="44">
        <f>'07_Moteur'!U23</f>
        <v/>
      </c>
      <c r="H24" s="46">
        <f>G24-F24</f>
        <v/>
      </c>
      <c r="I24" s="10">
        <f>IF(H24&gt;0,"OUVRIR "&amp;H24,IF(H24&lt;0,"FERMER "&amp;ABS(H24),"RAS"))</f>
        <v/>
      </c>
      <c r="J24" s="39">
        <f>(F24-G24)*'07_Moteur'!AI23</f>
        <v/>
      </c>
      <c r="K24" s="16">
        <f>'07_Moteur'!Z23</f>
        <v/>
      </c>
      <c r="L24" s="18">
        <f>'07_Moteur'!AA23</f>
        <v/>
      </c>
      <c r="M24" s="46">
        <f>IFERROR(G24*'07_Moteur'!AI23/('07_Moteur'!S23*'07_Moteur'!AC23-'07_Moteur'!AG23*(1+'02_Parametres'!$G$11)),0)</f>
        <v/>
      </c>
      <c r="N24" s="46">
        <f>E24-M24</f>
        <v/>
      </c>
      <c r="O24" s="66">
        <f>IF('07_Moteur'!Y23&lt;0,"🔴 Restructurer",IF(K24&lt;0.6,"🟡 Surveiller",IF(K24&gt;=0.85,"🟢 Développer","🟢 Maintenir")))</f>
        <v/>
      </c>
    </row>
    <row r="25">
      <c r="A25" s="43">
        <f>'07_Moteur'!A24</f>
        <v/>
      </c>
      <c r="B25" s="11">
        <f>'07_Moteur'!B24</f>
        <v/>
      </c>
      <c r="C25" s="43">
        <f>'07_Moteur'!C24</f>
        <v/>
      </c>
      <c r="D25" s="11">
        <f>'07_Moteur'!D24</f>
        <v/>
      </c>
      <c r="E25" s="44">
        <f>'07_Moteur'!R24</f>
        <v/>
      </c>
      <c r="F25" s="44">
        <f>'07_Moteur'!K24</f>
        <v/>
      </c>
      <c r="G25" s="44">
        <f>'07_Moteur'!U24</f>
        <v/>
      </c>
      <c r="H25" s="46">
        <f>G25-F25</f>
        <v/>
      </c>
      <c r="I25" s="10">
        <f>IF(H25&gt;0,"OUVRIR "&amp;H25,IF(H25&lt;0,"FERMER "&amp;ABS(H25),"RAS"))</f>
        <v/>
      </c>
      <c r="J25" s="39">
        <f>(F25-G25)*'07_Moteur'!AI24</f>
        <v/>
      </c>
      <c r="K25" s="16">
        <f>'07_Moteur'!Z24</f>
        <v/>
      </c>
      <c r="L25" s="18">
        <f>'07_Moteur'!AA24</f>
        <v/>
      </c>
      <c r="M25" s="46">
        <f>IFERROR(G25*'07_Moteur'!AI24/('07_Moteur'!S24*'07_Moteur'!AC24-'07_Moteur'!AG24*(1+'02_Parametres'!$G$11)),0)</f>
        <v/>
      </c>
      <c r="N25" s="46">
        <f>E25-M25</f>
        <v/>
      </c>
      <c r="O25" s="66">
        <f>IF('07_Moteur'!Y24&lt;0,"🔴 Restructurer",IF(K25&lt;0.6,"🟡 Surveiller",IF(K25&gt;=0.85,"🟢 Développer","🟢 Maintenir")))</f>
        <v/>
      </c>
    </row>
    <row r="26">
      <c r="A26" s="43">
        <f>'07_Moteur'!A25</f>
        <v/>
      </c>
      <c r="B26" s="11">
        <f>'07_Moteur'!B25</f>
        <v/>
      </c>
      <c r="C26" s="43">
        <f>'07_Moteur'!C25</f>
        <v/>
      </c>
      <c r="D26" s="11">
        <f>'07_Moteur'!D25</f>
        <v/>
      </c>
      <c r="E26" s="44">
        <f>'07_Moteur'!R25</f>
        <v/>
      </c>
      <c r="F26" s="44">
        <f>'07_Moteur'!K25</f>
        <v/>
      </c>
      <c r="G26" s="44">
        <f>'07_Moteur'!U25</f>
        <v/>
      </c>
      <c r="H26" s="46">
        <f>G26-F26</f>
        <v/>
      </c>
      <c r="I26" s="10">
        <f>IF(H26&gt;0,"OUVRIR "&amp;H26,IF(H26&lt;0,"FERMER "&amp;ABS(H26),"RAS"))</f>
        <v/>
      </c>
      <c r="J26" s="39">
        <f>(F26-G26)*'07_Moteur'!AI25</f>
        <v/>
      </c>
      <c r="K26" s="16">
        <f>'07_Moteur'!Z25</f>
        <v/>
      </c>
      <c r="L26" s="18">
        <f>'07_Moteur'!AA25</f>
        <v/>
      </c>
      <c r="M26" s="46">
        <f>IFERROR(G26*'07_Moteur'!AI25/('07_Moteur'!S25*'07_Moteur'!AC25-'07_Moteur'!AG25*(1+'02_Parametres'!$G$11)),0)</f>
        <v/>
      </c>
      <c r="N26" s="46">
        <f>E26-M26</f>
        <v/>
      </c>
      <c r="O26" s="66">
        <f>IF('07_Moteur'!Y25&lt;0,"🔴 Restructurer",IF(K26&lt;0.6,"🟡 Surveiller",IF(K26&gt;=0.85,"🟢 Développer","🟢 Maintenir")))</f>
        <v/>
      </c>
    </row>
    <row r="27">
      <c r="A27" s="43">
        <f>'07_Moteur'!A26</f>
        <v/>
      </c>
      <c r="B27" s="11">
        <f>'07_Moteur'!B26</f>
        <v/>
      </c>
      <c r="C27" s="43">
        <f>'07_Moteur'!C26</f>
        <v/>
      </c>
      <c r="D27" s="11">
        <f>'07_Moteur'!D26</f>
        <v/>
      </c>
      <c r="E27" s="44">
        <f>'07_Moteur'!R26</f>
        <v/>
      </c>
      <c r="F27" s="44">
        <f>'07_Moteur'!K26</f>
        <v/>
      </c>
      <c r="G27" s="44">
        <f>'07_Moteur'!U26</f>
        <v/>
      </c>
      <c r="H27" s="46">
        <f>G27-F27</f>
        <v/>
      </c>
      <c r="I27" s="10">
        <f>IF(H27&gt;0,"OUVRIR "&amp;H27,IF(H27&lt;0,"FERMER "&amp;ABS(H27),"RAS"))</f>
        <v/>
      </c>
      <c r="J27" s="39">
        <f>(F27-G27)*'07_Moteur'!AI26</f>
        <v/>
      </c>
      <c r="K27" s="16">
        <f>'07_Moteur'!Z26</f>
        <v/>
      </c>
      <c r="L27" s="18">
        <f>'07_Moteur'!AA26</f>
        <v/>
      </c>
      <c r="M27" s="46">
        <f>IFERROR(G27*'07_Moteur'!AI26/('07_Moteur'!S26*'07_Moteur'!AC26-'07_Moteur'!AG26*(1+'02_Parametres'!$G$11)),0)</f>
        <v/>
      </c>
      <c r="N27" s="46">
        <f>E27-M27</f>
        <v/>
      </c>
      <c r="O27" s="66">
        <f>IF('07_Moteur'!Y26&lt;0,"🔴 Restructurer",IF(K27&lt;0.6,"🟡 Surveiller",IF(K27&gt;=0.85,"🟢 Développer","🟢 Maintenir")))</f>
        <v/>
      </c>
    </row>
    <row r="28">
      <c r="A28" s="43">
        <f>'07_Moteur'!A27</f>
        <v/>
      </c>
      <c r="B28" s="11">
        <f>'07_Moteur'!B27</f>
        <v/>
      </c>
      <c r="C28" s="43">
        <f>'07_Moteur'!C27</f>
        <v/>
      </c>
      <c r="D28" s="11">
        <f>'07_Moteur'!D27</f>
        <v/>
      </c>
      <c r="E28" s="44">
        <f>'07_Moteur'!R27</f>
        <v/>
      </c>
      <c r="F28" s="44">
        <f>'07_Moteur'!K27</f>
        <v/>
      </c>
      <c r="G28" s="44">
        <f>'07_Moteur'!U27</f>
        <v/>
      </c>
      <c r="H28" s="46">
        <f>G28-F28</f>
        <v/>
      </c>
      <c r="I28" s="10">
        <f>IF(H28&gt;0,"OUVRIR "&amp;H28,IF(H28&lt;0,"FERMER "&amp;ABS(H28),"RAS"))</f>
        <v/>
      </c>
      <c r="J28" s="39">
        <f>(F28-G28)*'07_Moteur'!AI27</f>
        <v/>
      </c>
      <c r="K28" s="16">
        <f>'07_Moteur'!Z27</f>
        <v/>
      </c>
      <c r="L28" s="18">
        <f>'07_Moteur'!AA27</f>
        <v/>
      </c>
      <c r="M28" s="46">
        <f>IFERROR(G28*'07_Moteur'!AI27/('07_Moteur'!S27*'07_Moteur'!AC27-'07_Moteur'!AG27*(1+'02_Parametres'!$G$11)),0)</f>
        <v/>
      </c>
      <c r="N28" s="46">
        <f>E28-M28</f>
        <v/>
      </c>
      <c r="O28" s="66">
        <f>IF('07_Moteur'!Y27&lt;0,"🔴 Restructurer",IF(K28&lt;0.6,"🟡 Surveiller",IF(K28&gt;=0.85,"🟢 Développer","🟢 Maintenir")))</f>
        <v/>
      </c>
    </row>
    <row r="29">
      <c r="A29" s="43">
        <f>'07_Moteur'!A28</f>
        <v/>
      </c>
      <c r="B29" s="11">
        <f>'07_Moteur'!B28</f>
        <v/>
      </c>
      <c r="C29" s="43">
        <f>'07_Moteur'!C28</f>
        <v/>
      </c>
      <c r="D29" s="11">
        <f>'07_Moteur'!D28</f>
        <v/>
      </c>
      <c r="E29" s="44">
        <f>'07_Moteur'!R28</f>
        <v/>
      </c>
      <c r="F29" s="44">
        <f>'07_Moteur'!K28</f>
        <v/>
      </c>
      <c r="G29" s="44">
        <f>'07_Moteur'!U28</f>
        <v/>
      </c>
      <c r="H29" s="46">
        <f>G29-F29</f>
        <v/>
      </c>
      <c r="I29" s="10">
        <f>IF(H29&gt;0,"OUVRIR "&amp;H29,IF(H29&lt;0,"FERMER "&amp;ABS(H29),"RAS"))</f>
        <v/>
      </c>
      <c r="J29" s="39">
        <f>(F29-G29)*'07_Moteur'!AI28</f>
        <v/>
      </c>
      <c r="K29" s="16">
        <f>'07_Moteur'!Z28</f>
        <v/>
      </c>
      <c r="L29" s="18">
        <f>'07_Moteur'!AA28</f>
        <v/>
      </c>
      <c r="M29" s="46">
        <f>IFERROR(G29*'07_Moteur'!AI28/('07_Moteur'!S28*'07_Moteur'!AC28-'07_Moteur'!AG28*(1+'02_Parametres'!$G$11)),0)</f>
        <v/>
      </c>
      <c r="N29" s="46">
        <f>E29-M29</f>
        <v/>
      </c>
      <c r="O29" s="66">
        <f>IF('07_Moteur'!Y28&lt;0,"🔴 Restructurer",IF(K29&lt;0.6,"🟡 Surveiller",IF(K29&gt;=0.85,"🟢 Développer","🟢 Maintenir")))</f>
        <v/>
      </c>
    </row>
    <row r="30">
      <c r="A30" s="43">
        <f>'07_Moteur'!A29</f>
        <v/>
      </c>
      <c r="B30" s="11">
        <f>'07_Moteur'!B29</f>
        <v/>
      </c>
      <c r="C30" s="43">
        <f>'07_Moteur'!C29</f>
        <v/>
      </c>
      <c r="D30" s="11">
        <f>'07_Moteur'!D29</f>
        <v/>
      </c>
      <c r="E30" s="44">
        <f>'07_Moteur'!R29</f>
        <v/>
      </c>
      <c r="F30" s="44">
        <f>'07_Moteur'!K29</f>
        <v/>
      </c>
      <c r="G30" s="44">
        <f>'07_Moteur'!U29</f>
        <v/>
      </c>
      <c r="H30" s="46">
        <f>G30-F30</f>
        <v/>
      </c>
      <c r="I30" s="10">
        <f>IF(H30&gt;0,"OUVRIR "&amp;H30,IF(H30&lt;0,"FERMER "&amp;ABS(H30),"RAS"))</f>
        <v/>
      </c>
      <c r="J30" s="39">
        <f>(F30-G30)*'07_Moteur'!AI29</f>
        <v/>
      </c>
      <c r="K30" s="16">
        <f>'07_Moteur'!Z29</f>
        <v/>
      </c>
      <c r="L30" s="18">
        <f>'07_Moteur'!AA29</f>
        <v/>
      </c>
      <c r="M30" s="46">
        <f>IFERROR(G30*'07_Moteur'!AI29/('07_Moteur'!S29*'07_Moteur'!AC29-'07_Moteur'!AG29*(1+'02_Parametres'!$G$11)),0)</f>
        <v/>
      </c>
      <c r="N30" s="46">
        <f>E30-M30</f>
        <v/>
      </c>
      <c r="O30" s="66">
        <f>IF('07_Moteur'!Y29&lt;0,"🔴 Restructurer",IF(K30&lt;0.6,"🟡 Surveiller",IF(K30&gt;=0.85,"🟢 Développer","🟢 Maintenir")))</f>
        <v/>
      </c>
    </row>
    <row r="31">
      <c r="A31" s="43">
        <f>'07_Moteur'!A30</f>
        <v/>
      </c>
      <c r="B31" s="11">
        <f>'07_Moteur'!B30</f>
        <v/>
      </c>
      <c r="C31" s="43">
        <f>'07_Moteur'!C30</f>
        <v/>
      </c>
      <c r="D31" s="11">
        <f>'07_Moteur'!D30</f>
        <v/>
      </c>
      <c r="E31" s="44">
        <f>'07_Moteur'!R30</f>
        <v/>
      </c>
      <c r="F31" s="44">
        <f>'07_Moteur'!K30</f>
        <v/>
      </c>
      <c r="G31" s="44">
        <f>'07_Moteur'!U30</f>
        <v/>
      </c>
      <c r="H31" s="46">
        <f>G31-F31</f>
        <v/>
      </c>
      <c r="I31" s="10">
        <f>IF(H31&gt;0,"OUVRIR "&amp;H31,IF(H31&lt;0,"FERMER "&amp;ABS(H31),"RAS"))</f>
        <v/>
      </c>
      <c r="J31" s="39">
        <f>(F31-G31)*'07_Moteur'!AI30</f>
        <v/>
      </c>
      <c r="K31" s="16">
        <f>'07_Moteur'!Z30</f>
        <v/>
      </c>
      <c r="L31" s="18">
        <f>'07_Moteur'!AA30</f>
        <v/>
      </c>
      <c r="M31" s="46">
        <f>IFERROR(G31*'07_Moteur'!AI30/('07_Moteur'!S30*'07_Moteur'!AC30-'07_Moteur'!AG30*(1+'02_Parametres'!$G$11)),0)</f>
        <v/>
      </c>
      <c r="N31" s="46">
        <f>E31-M31</f>
        <v/>
      </c>
      <c r="O31" s="66">
        <f>IF('07_Moteur'!Y30&lt;0,"🔴 Restructurer",IF(K31&lt;0.6,"🟡 Surveiller",IF(K31&gt;=0.85,"🟢 Développer","🟢 Maintenir")))</f>
        <v/>
      </c>
    </row>
    <row r="32">
      <c r="A32" s="43">
        <f>'07_Moteur'!A31</f>
        <v/>
      </c>
      <c r="B32" s="11">
        <f>'07_Moteur'!B31</f>
        <v/>
      </c>
      <c r="C32" s="43">
        <f>'07_Moteur'!C31</f>
        <v/>
      </c>
      <c r="D32" s="11">
        <f>'07_Moteur'!D31</f>
        <v/>
      </c>
      <c r="E32" s="44">
        <f>'07_Moteur'!R31</f>
        <v/>
      </c>
      <c r="F32" s="44">
        <f>'07_Moteur'!K31</f>
        <v/>
      </c>
      <c r="G32" s="44">
        <f>'07_Moteur'!U31</f>
        <v/>
      </c>
      <c r="H32" s="46">
        <f>G32-F32</f>
        <v/>
      </c>
      <c r="I32" s="10">
        <f>IF(H32&gt;0,"OUVRIR "&amp;H32,IF(H32&lt;0,"FERMER "&amp;ABS(H32),"RAS"))</f>
        <v/>
      </c>
      <c r="J32" s="39">
        <f>(F32-G32)*'07_Moteur'!AI31</f>
        <v/>
      </c>
      <c r="K32" s="16">
        <f>'07_Moteur'!Z31</f>
        <v/>
      </c>
      <c r="L32" s="18">
        <f>'07_Moteur'!AA31</f>
        <v/>
      </c>
      <c r="M32" s="46">
        <f>IFERROR(G32*'07_Moteur'!AI31/('07_Moteur'!S31*'07_Moteur'!AC31-'07_Moteur'!AG31*(1+'02_Parametres'!$G$11)),0)</f>
        <v/>
      </c>
      <c r="N32" s="46">
        <f>E32-M32</f>
        <v/>
      </c>
      <c r="O32" s="66">
        <f>IF('07_Moteur'!Y31&lt;0,"🔴 Restructurer",IF(K32&lt;0.6,"🟡 Surveiller",IF(K32&gt;=0.85,"🟢 Développer","🟢 Maintenir")))</f>
        <v/>
      </c>
    </row>
    <row r="33">
      <c r="A33" s="43">
        <f>'07_Moteur'!A32</f>
        <v/>
      </c>
      <c r="B33" s="11">
        <f>'07_Moteur'!B32</f>
        <v/>
      </c>
      <c r="C33" s="43">
        <f>'07_Moteur'!C32</f>
        <v/>
      </c>
      <c r="D33" s="11">
        <f>'07_Moteur'!D32</f>
        <v/>
      </c>
      <c r="E33" s="44">
        <f>'07_Moteur'!R32</f>
        <v/>
      </c>
      <c r="F33" s="44">
        <f>'07_Moteur'!K32</f>
        <v/>
      </c>
      <c r="G33" s="44">
        <f>'07_Moteur'!U32</f>
        <v/>
      </c>
      <c r="H33" s="46">
        <f>G33-F33</f>
        <v/>
      </c>
      <c r="I33" s="10">
        <f>IF(H33&gt;0,"OUVRIR "&amp;H33,IF(H33&lt;0,"FERMER "&amp;ABS(H33),"RAS"))</f>
        <v/>
      </c>
      <c r="J33" s="39">
        <f>(F33-G33)*'07_Moteur'!AI32</f>
        <v/>
      </c>
      <c r="K33" s="16">
        <f>'07_Moteur'!Z32</f>
        <v/>
      </c>
      <c r="L33" s="18">
        <f>'07_Moteur'!AA32</f>
        <v/>
      </c>
      <c r="M33" s="46">
        <f>IFERROR(G33*'07_Moteur'!AI32/('07_Moteur'!S32*'07_Moteur'!AC32-'07_Moteur'!AG32*(1+'02_Parametres'!$G$11)),0)</f>
        <v/>
      </c>
      <c r="N33" s="46">
        <f>E33-M33</f>
        <v/>
      </c>
      <c r="O33" s="66">
        <f>IF('07_Moteur'!Y32&lt;0,"🔴 Restructurer",IF(K33&lt;0.6,"🟡 Surveiller",IF(K33&gt;=0.85,"🟢 Développer","🟢 Maintenir")))</f>
        <v/>
      </c>
    </row>
    <row r="34">
      <c r="A34" s="43">
        <f>'07_Moteur'!A33</f>
        <v/>
      </c>
      <c r="B34" s="11">
        <f>'07_Moteur'!B33</f>
        <v/>
      </c>
      <c r="C34" s="43">
        <f>'07_Moteur'!C33</f>
        <v/>
      </c>
      <c r="D34" s="11">
        <f>'07_Moteur'!D33</f>
        <v/>
      </c>
      <c r="E34" s="44">
        <f>'07_Moteur'!R33</f>
        <v/>
      </c>
      <c r="F34" s="44">
        <f>'07_Moteur'!K33</f>
        <v/>
      </c>
      <c r="G34" s="44">
        <f>'07_Moteur'!U33</f>
        <v/>
      </c>
      <c r="H34" s="46">
        <f>G34-F34</f>
        <v/>
      </c>
      <c r="I34" s="10">
        <f>IF(H34&gt;0,"OUVRIR "&amp;H34,IF(H34&lt;0,"FERMER "&amp;ABS(H34),"RAS"))</f>
        <v/>
      </c>
      <c r="J34" s="39">
        <f>(F34-G34)*'07_Moteur'!AI33</f>
        <v/>
      </c>
      <c r="K34" s="16">
        <f>'07_Moteur'!Z33</f>
        <v/>
      </c>
      <c r="L34" s="18">
        <f>'07_Moteur'!AA33</f>
        <v/>
      </c>
      <c r="M34" s="46">
        <f>IFERROR(G34*'07_Moteur'!AI33/('07_Moteur'!S33*'07_Moteur'!AC33-'07_Moteur'!AG33*(1+'02_Parametres'!$G$11)),0)</f>
        <v/>
      </c>
      <c r="N34" s="46">
        <f>E34-M34</f>
        <v/>
      </c>
      <c r="O34" s="66">
        <f>IF('07_Moteur'!Y33&lt;0,"🔴 Restructurer",IF(K34&lt;0.6,"🟡 Surveiller",IF(K34&gt;=0.85,"🟢 Développer","🟢 Maintenir")))</f>
        <v/>
      </c>
    </row>
    <row r="35">
      <c r="A35" s="43">
        <f>'07_Moteur'!A34</f>
        <v/>
      </c>
      <c r="B35" s="11">
        <f>'07_Moteur'!B34</f>
        <v/>
      </c>
      <c r="C35" s="43">
        <f>'07_Moteur'!C34</f>
        <v/>
      </c>
      <c r="D35" s="11">
        <f>'07_Moteur'!D34</f>
        <v/>
      </c>
      <c r="E35" s="44">
        <f>'07_Moteur'!R34</f>
        <v/>
      </c>
      <c r="F35" s="44">
        <f>'07_Moteur'!K34</f>
        <v/>
      </c>
      <c r="G35" s="44">
        <f>'07_Moteur'!U34</f>
        <v/>
      </c>
      <c r="H35" s="46">
        <f>G35-F35</f>
        <v/>
      </c>
      <c r="I35" s="10">
        <f>IF(H35&gt;0,"OUVRIR "&amp;H35,IF(H35&lt;0,"FERMER "&amp;ABS(H35),"RAS"))</f>
        <v/>
      </c>
      <c r="J35" s="39">
        <f>(F35-G35)*'07_Moteur'!AI34</f>
        <v/>
      </c>
      <c r="K35" s="16">
        <f>'07_Moteur'!Z34</f>
        <v/>
      </c>
      <c r="L35" s="18">
        <f>'07_Moteur'!AA34</f>
        <v/>
      </c>
      <c r="M35" s="46">
        <f>IFERROR(G35*'07_Moteur'!AI34/('07_Moteur'!S34*'07_Moteur'!AC34-'07_Moteur'!AG34*(1+'02_Parametres'!$G$11)),0)</f>
        <v/>
      </c>
      <c r="N35" s="46">
        <f>E35-M35</f>
        <v/>
      </c>
      <c r="O35" s="66">
        <f>IF('07_Moteur'!Y34&lt;0,"🔴 Restructurer",IF(K35&lt;0.6,"🟡 Surveiller",IF(K35&gt;=0.85,"🟢 Développer","🟢 Maintenir")))</f>
        <v/>
      </c>
    </row>
    <row r="36">
      <c r="A36" s="43">
        <f>'07_Moteur'!A35</f>
        <v/>
      </c>
      <c r="B36" s="11">
        <f>'07_Moteur'!B35</f>
        <v/>
      </c>
      <c r="C36" s="43">
        <f>'07_Moteur'!C35</f>
        <v/>
      </c>
      <c r="D36" s="11">
        <f>'07_Moteur'!D35</f>
        <v/>
      </c>
      <c r="E36" s="44">
        <f>'07_Moteur'!R35</f>
        <v/>
      </c>
      <c r="F36" s="44">
        <f>'07_Moteur'!K35</f>
        <v/>
      </c>
      <c r="G36" s="44">
        <f>'07_Moteur'!U35</f>
        <v/>
      </c>
      <c r="H36" s="46">
        <f>G36-F36</f>
        <v/>
      </c>
      <c r="I36" s="10">
        <f>IF(H36&gt;0,"OUVRIR "&amp;H36,IF(H36&lt;0,"FERMER "&amp;ABS(H36),"RAS"))</f>
        <v/>
      </c>
      <c r="J36" s="39">
        <f>(F36-G36)*'07_Moteur'!AI35</f>
        <v/>
      </c>
      <c r="K36" s="16">
        <f>'07_Moteur'!Z35</f>
        <v/>
      </c>
      <c r="L36" s="18">
        <f>'07_Moteur'!AA35</f>
        <v/>
      </c>
      <c r="M36" s="46">
        <f>IFERROR(G36*'07_Moteur'!AI35/('07_Moteur'!S35*'07_Moteur'!AC35-'07_Moteur'!AG35*(1+'02_Parametres'!$G$11)),0)</f>
        <v/>
      </c>
      <c r="N36" s="46">
        <f>E36-M36</f>
        <v/>
      </c>
      <c r="O36" s="66">
        <f>IF('07_Moteur'!Y35&lt;0,"🔴 Restructurer",IF(K36&lt;0.6,"🟡 Surveiller",IF(K36&gt;=0.85,"🟢 Développer","🟢 Maintenir")))</f>
        <v/>
      </c>
    </row>
    <row r="37">
      <c r="A37" s="43">
        <f>'07_Moteur'!A36</f>
        <v/>
      </c>
      <c r="B37" s="11">
        <f>'07_Moteur'!B36</f>
        <v/>
      </c>
      <c r="C37" s="43">
        <f>'07_Moteur'!C36</f>
        <v/>
      </c>
      <c r="D37" s="11">
        <f>'07_Moteur'!D36</f>
        <v/>
      </c>
      <c r="E37" s="44">
        <f>'07_Moteur'!R36</f>
        <v/>
      </c>
      <c r="F37" s="44">
        <f>'07_Moteur'!K36</f>
        <v/>
      </c>
      <c r="G37" s="44">
        <f>'07_Moteur'!U36</f>
        <v/>
      </c>
      <c r="H37" s="46">
        <f>G37-F37</f>
        <v/>
      </c>
      <c r="I37" s="10">
        <f>IF(H37&gt;0,"OUVRIR "&amp;H37,IF(H37&lt;0,"FERMER "&amp;ABS(H37),"RAS"))</f>
        <v/>
      </c>
      <c r="J37" s="39">
        <f>(F37-G37)*'07_Moteur'!AI36</f>
        <v/>
      </c>
      <c r="K37" s="16">
        <f>'07_Moteur'!Z36</f>
        <v/>
      </c>
      <c r="L37" s="18">
        <f>'07_Moteur'!AA36</f>
        <v/>
      </c>
      <c r="M37" s="46">
        <f>IFERROR(G37*'07_Moteur'!AI36/('07_Moteur'!S36*'07_Moteur'!AC36-'07_Moteur'!AG36*(1+'02_Parametres'!$G$11)),0)</f>
        <v/>
      </c>
      <c r="N37" s="46">
        <f>E37-M37</f>
        <v/>
      </c>
      <c r="O37" s="66">
        <f>IF('07_Moteur'!Y36&lt;0,"🔴 Restructurer",IF(K37&lt;0.6,"🟡 Surveiller",IF(K37&gt;=0.85,"🟢 Développer","🟢 Maintenir")))</f>
        <v/>
      </c>
    </row>
    <row r="38">
      <c r="A38" s="43">
        <f>'07_Moteur'!A37</f>
        <v/>
      </c>
      <c r="B38" s="11">
        <f>'07_Moteur'!B37</f>
        <v/>
      </c>
      <c r="C38" s="43">
        <f>'07_Moteur'!C37</f>
        <v/>
      </c>
      <c r="D38" s="11">
        <f>'07_Moteur'!D37</f>
        <v/>
      </c>
      <c r="E38" s="44">
        <f>'07_Moteur'!R37</f>
        <v/>
      </c>
      <c r="F38" s="44">
        <f>'07_Moteur'!K37</f>
        <v/>
      </c>
      <c r="G38" s="44">
        <f>'07_Moteur'!U37</f>
        <v/>
      </c>
      <c r="H38" s="46">
        <f>G38-F38</f>
        <v/>
      </c>
      <c r="I38" s="10">
        <f>IF(H38&gt;0,"OUVRIR "&amp;H38,IF(H38&lt;0,"FERMER "&amp;ABS(H38),"RAS"))</f>
        <v/>
      </c>
      <c r="J38" s="39">
        <f>(F38-G38)*'07_Moteur'!AI37</f>
        <v/>
      </c>
      <c r="K38" s="16">
        <f>'07_Moteur'!Z37</f>
        <v/>
      </c>
      <c r="L38" s="18">
        <f>'07_Moteur'!AA37</f>
        <v/>
      </c>
      <c r="M38" s="46">
        <f>IFERROR(G38*'07_Moteur'!AI37/('07_Moteur'!S37*'07_Moteur'!AC37-'07_Moteur'!AG37*(1+'02_Parametres'!$G$11)),0)</f>
        <v/>
      </c>
      <c r="N38" s="46">
        <f>E38-M38</f>
        <v/>
      </c>
      <c r="O38" s="66">
        <f>IF('07_Moteur'!Y37&lt;0,"🔴 Restructurer",IF(K38&lt;0.6,"🟡 Surveiller",IF(K38&gt;=0.85,"🟢 Développer","🟢 Maintenir")))</f>
        <v/>
      </c>
    </row>
    <row r="39">
      <c r="A39" s="43">
        <f>'07_Moteur'!A38</f>
        <v/>
      </c>
      <c r="B39" s="11">
        <f>'07_Moteur'!B38</f>
        <v/>
      </c>
      <c r="C39" s="43">
        <f>'07_Moteur'!C38</f>
        <v/>
      </c>
      <c r="D39" s="11">
        <f>'07_Moteur'!D38</f>
        <v/>
      </c>
      <c r="E39" s="44">
        <f>'07_Moteur'!R38</f>
        <v/>
      </c>
      <c r="F39" s="44">
        <f>'07_Moteur'!K38</f>
        <v/>
      </c>
      <c r="G39" s="44">
        <f>'07_Moteur'!U38</f>
        <v/>
      </c>
      <c r="H39" s="46">
        <f>G39-F39</f>
        <v/>
      </c>
      <c r="I39" s="10">
        <f>IF(H39&gt;0,"OUVRIR "&amp;H39,IF(H39&lt;0,"FERMER "&amp;ABS(H39),"RAS"))</f>
        <v/>
      </c>
      <c r="J39" s="39">
        <f>(F39-G39)*'07_Moteur'!AI38</f>
        <v/>
      </c>
      <c r="K39" s="16">
        <f>'07_Moteur'!Z38</f>
        <v/>
      </c>
      <c r="L39" s="18">
        <f>'07_Moteur'!AA38</f>
        <v/>
      </c>
      <c r="M39" s="46">
        <f>IFERROR(G39*'07_Moteur'!AI38/('07_Moteur'!S38*'07_Moteur'!AC38-'07_Moteur'!AG38*(1+'02_Parametres'!$G$11)),0)</f>
        <v/>
      </c>
      <c r="N39" s="46">
        <f>E39-M39</f>
        <v/>
      </c>
      <c r="O39" s="66">
        <f>IF('07_Moteur'!Y38&lt;0,"🔴 Restructurer",IF(K39&lt;0.6,"🟡 Surveiller",IF(K39&gt;=0.85,"🟢 Développer","🟢 Maintenir")))</f>
        <v/>
      </c>
    </row>
    <row r="40">
      <c r="A40" s="43">
        <f>'07_Moteur'!A39</f>
        <v/>
      </c>
      <c r="B40" s="11">
        <f>'07_Moteur'!B39</f>
        <v/>
      </c>
      <c r="C40" s="43">
        <f>'07_Moteur'!C39</f>
        <v/>
      </c>
      <c r="D40" s="11">
        <f>'07_Moteur'!D39</f>
        <v/>
      </c>
      <c r="E40" s="44">
        <f>'07_Moteur'!R39</f>
        <v/>
      </c>
      <c r="F40" s="44">
        <f>'07_Moteur'!K39</f>
        <v/>
      </c>
      <c r="G40" s="44">
        <f>'07_Moteur'!U39</f>
        <v/>
      </c>
      <c r="H40" s="46">
        <f>G40-F40</f>
        <v/>
      </c>
      <c r="I40" s="10">
        <f>IF(H40&gt;0,"OUVRIR "&amp;H40,IF(H40&lt;0,"FERMER "&amp;ABS(H40),"RAS"))</f>
        <v/>
      </c>
      <c r="J40" s="39">
        <f>(F40-G40)*'07_Moteur'!AI39</f>
        <v/>
      </c>
      <c r="K40" s="16">
        <f>'07_Moteur'!Z39</f>
        <v/>
      </c>
      <c r="L40" s="18">
        <f>'07_Moteur'!AA39</f>
        <v/>
      </c>
      <c r="M40" s="46">
        <f>IFERROR(G40*'07_Moteur'!AI39/('07_Moteur'!S39*'07_Moteur'!AC39-'07_Moteur'!AG39*(1+'02_Parametres'!$G$11)),0)</f>
        <v/>
      </c>
      <c r="N40" s="46">
        <f>E40-M40</f>
        <v/>
      </c>
      <c r="O40" s="66">
        <f>IF('07_Moteur'!Y39&lt;0,"🔴 Restructurer",IF(K40&lt;0.6,"🟡 Surveiller",IF(K40&gt;=0.85,"🟢 Développer","🟢 Maintenir")))</f>
        <v/>
      </c>
    </row>
    <row r="41">
      <c r="A41" s="43">
        <f>'07_Moteur'!A40</f>
        <v/>
      </c>
      <c r="B41" s="11">
        <f>'07_Moteur'!B40</f>
        <v/>
      </c>
      <c r="C41" s="43">
        <f>'07_Moteur'!C40</f>
        <v/>
      </c>
      <c r="D41" s="11">
        <f>'07_Moteur'!D40</f>
        <v/>
      </c>
      <c r="E41" s="44">
        <f>'07_Moteur'!R40</f>
        <v/>
      </c>
      <c r="F41" s="44">
        <f>'07_Moteur'!K40</f>
        <v/>
      </c>
      <c r="G41" s="44">
        <f>'07_Moteur'!U40</f>
        <v/>
      </c>
      <c r="H41" s="46">
        <f>G41-F41</f>
        <v/>
      </c>
      <c r="I41" s="10">
        <f>IF(H41&gt;0,"OUVRIR "&amp;H41,IF(H41&lt;0,"FERMER "&amp;ABS(H41),"RAS"))</f>
        <v/>
      </c>
      <c r="J41" s="39">
        <f>(F41-G41)*'07_Moteur'!AI40</f>
        <v/>
      </c>
      <c r="K41" s="16">
        <f>'07_Moteur'!Z40</f>
        <v/>
      </c>
      <c r="L41" s="18">
        <f>'07_Moteur'!AA40</f>
        <v/>
      </c>
      <c r="M41" s="46">
        <f>IFERROR(G41*'07_Moteur'!AI40/('07_Moteur'!S40*'07_Moteur'!AC40-'07_Moteur'!AG40*(1+'02_Parametres'!$G$11)),0)</f>
        <v/>
      </c>
      <c r="N41" s="46">
        <f>E41-M41</f>
        <v/>
      </c>
      <c r="O41" s="66">
        <f>IF('07_Moteur'!Y40&lt;0,"🔴 Restructurer",IF(K41&lt;0.6,"🟡 Surveiller",IF(K41&gt;=0.85,"🟢 Développer","🟢 Maintenir")))</f>
        <v/>
      </c>
    </row>
    <row r="42">
      <c r="A42" s="43">
        <f>'07_Moteur'!A41</f>
        <v/>
      </c>
      <c r="B42" s="11">
        <f>'07_Moteur'!B41</f>
        <v/>
      </c>
      <c r="C42" s="43">
        <f>'07_Moteur'!C41</f>
        <v/>
      </c>
      <c r="D42" s="11">
        <f>'07_Moteur'!D41</f>
        <v/>
      </c>
      <c r="E42" s="44">
        <f>'07_Moteur'!R41</f>
        <v/>
      </c>
      <c r="F42" s="44">
        <f>'07_Moteur'!K41</f>
        <v/>
      </c>
      <c r="G42" s="44">
        <f>'07_Moteur'!U41</f>
        <v/>
      </c>
      <c r="H42" s="46">
        <f>G42-F42</f>
        <v/>
      </c>
      <c r="I42" s="10">
        <f>IF(H42&gt;0,"OUVRIR "&amp;H42,IF(H42&lt;0,"FERMER "&amp;ABS(H42),"RAS"))</f>
        <v/>
      </c>
      <c r="J42" s="39">
        <f>(F42-G42)*'07_Moteur'!AI41</f>
        <v/>
      </c>
      <c r="K42" s="16">
        <f>'07_Moteur'!Z41</f>
        <v/>
      </c>
      <c r="L42" s="18">
        <f>'07_Moteur'!AA41</f>
        <v/>
      </c>
      <c r="M42" s="46">
        <f>IFERROR(G42*'07_Moteur'!AI41/('07_Moteur'!S41*'07_Moteur'!AC41-'07_Moteur'!AG41*(1+'02_Parametres'!$G$11)),0)</f>
        <v/>
      </c>
      <c r="N42" s="46">
        <f>E42-M42</f>
        <v/>
      </c>
      <c r="O42" s="66">
        <f>IF('07_Moteur'!Y41&lt;0,"🔴 Restructurer",IF(K42&lt;0.6,"🟡 Surveiller",IF(K42&gt;=0.85,"🟢 Développer","🟢 Maintenir")))</f>
        <v/>
      </c>
    </row>
    <row r="43">
      <c r="A43" s="43">
        <f>'07_Moteur'!A42</f>
        <v/>
      </c>
      <c r="B43" s="11">
        <f>'07_Moteur'!B42</f>
        <v/>
      </c>
      <c r="C43" s="43">
        <f>'07_Moteur'!C42</f>
        <v/>
      </c>
      <c r="D43" s="11">
        <f>'07_Moteur'!D42</f>
        <v/>
      </c>
      <c r="E43" s="44">
        <f>'07_Moteur'!R42</f>
        <v/>
      </c>
      <c r="F43" s="44">
        <f>'07_Moteur'!K42</f>
        <v/>
      </c>
      <c r="G43" s="44">
        <f>'07_Moteur'!U42</f>
        <v/>
      </c>
      <c r="H43" s="46">
        <f>G43-F43</f>
        <v/>
      </c>
      <c r="I43" s="10">
        <f>IF(H43&gt;0,"OUVRIR "&amp;H43,IF(H43&lt;0,"FERMER "&amp;ABS(H43),"RAS"))</f>
        <v/>
      </c>
      <c r="J43" s="39">
        <f>(F43-G43)*'07_Moteur'!AI42</f>
        <v/>
      </c>
      <c r="K43" s="16">
        <f>'07_Moteur'!Z42</f>
        <v/>
      </c>
      <c r="L43" s="18">
        <f>'07_Moteur'!AA42</f>
        <v/>
      </c>
      <c r="M43" s="46">
        <f>IFERROR(G43*'07_Moteur'!AI42/('07_Moteur'!S42*'07_Moteur'!AC42-'07_Moteur'!AG42*(1+'02_Parametres'!$G$11)),0)</f>
        <v/>
      </c>
      <c r="N43" s="46">
        <f>E43-M43</f>
        <v/>
      </c>
      <c r="O43" s="66">
        <f>IF('07_Moteur'!Y42&lt;0,"🔴 Restructurer",IF(K43&lt;0.6,"🟡 Surveiller",IF(K43&gt;=0.85,"🟢 Développer","🟢 Maintenir")))</f>
        <v/>
      </c>
    </row>
    <row r="44">
      <c r="A44" s="43">
        <f>'07_Moteur'!A43</f>
        <v/>
      </c>
      <c r="B44" s="11">
        <f>'07_Moteur'!B43</f>
        <v/>
      </c>
      <c r="C44" s="43">
        <f>'07_Moteur'!C43</f>
        <v/>
      </c>
      <c r="D44" s="11">
        <f>'07_Moteur'!D43</f>
        <v/>
      </c>
      <c r="E44" s="44">
        <f>'07_Moteur'!R43</f>
        <v/>
      </c>
      <c r="F44" s="44">
        <f>'07_Moteur'!K43</f>
        <v/>
      </c>
      <c r="G44" s="44">
        <f>'07_Moteur'!U43</f>
        <v/>
      </c>
      <c r="H44" s="46">
        <f>G44-F44</f>
        <v/>
      </c>
      <c r="I44" s="10">
        <f>IF(H44&gt;0,"OUVRIR "&amp;H44,IF(H44&lt;0,"FERMER "&amp;ABS(H44),"RAS"))</f>
        <v/>
      </c>
      <c r="J44" s="39">
        <f>(F44-G44)*'07_Moteur'!AI43</f>
        <v/>
      </c>
      <c r="K44" s="16">
        <f>'07_Moteur'!Z43</f>
        <v/>
      </c>
      <c r="L44" s="18">
        <f>'07_Moteur'!AA43</f>
        <v/>
      </c>
      <c r="M44" s="46">
        <f>IFERROR(G44*'07_Moteur'!AI43/('07_Moteur'!S43*'07_Moteur'!AC43-'07_Moteur'!AG43*(1+'02_Parametres'!$G$11)),0)</f>
        <v/>
      </c>
      <c r="N44" s="46">
        <f>E44-M44</f>
        <v/>
      </c>
      <c r="O44" s="66">
        <f>IF('07_Moteur'!Y43&lt;0,"🔴 Restructurer",IF(K44&lt;0.6,"🟡 Surveiller",IF(K44&gt;=0.85,"🟢 Développer","🟢 Maintenir")))</f>
        <v/>
      </c>
    </row>
    <row r="45">
      <c r="A45" s="43">
        <f>'07_Moteur'!A44</f>
        <v/>
      </c>
      <c r="B45" s="11">
        <f>'07_Moteur'!B44</f>
        <v/>
      </c>
      <c r="C45" s="43">
        <f>'07_Moteur'!C44</f>
        <v/>
      </c>
      <c r="D45" s="11">
        <f>'07_Moteur'!D44</f>
        <v/>
      </c>
      <c r="E45" s="44">
        <f>'07_Moteur'!R44</f>
        <v/>
      </c>
      <c r="F45" s="44">
        <f>'07_Moteur'!K44</f>
        <v/>
      </c>
      <c r="G45" s="44">
        <f>'07_Moteur'!U44</f>
        <v/>
      </c>
      <c r="H45" s="46">
        <f>G45-F45</f>
        <v/>
      </c>
      <c r="I45" s="10">
        <f>IF(H45&gt;0,"OUVRIR "&amp;H45,IF(H45&lt;0,"FERMER "&amp;ABS(H45),"RAS"))</f>
        <v/>
      </c>
      <c r="J45" s="39">
        <f>(F45-G45)*'07_Moteur'!AI44</f>
        <v/>
      </c>
      <c r="K45" s="16">
        <f>'07_Moteur'!Z44</f>
        <v/>
      </c>
      <c r="L45" s="18">
        <f>'07_Moteur'!AA44</f>
        <v/>
      </c>
      <c r="M45" s="46">
        <f>IFERROR(G45*'07_Moteur'!AI44/('07_Moteur'!S44*'07_Moteur'!AC44-'07_Moteur'!AG44*(1+'02_Parametres'!$G$11)),0)</f>
        <v/>
      </c>
      <c r="N45" s="46">
        <f>E45-M45</f>
        <v/>
      </c>
      <c r="O45" s="66">
        <f>IF('07_Moteur'!Y44&lt;0,"🔴 Restructurer",IF(K45&lt;0.6,"🟡 Surveiller",IF(K45&gt;=0.85,"🟢 Développer","🟢 Maintenir")))</f>
        <v/>
      </c>
    </row>
    <row r="46">
      <c r="A46" s="43">
        <f>'07_Moteur'!A45</f>
        <v/>
      </c>
      <c r="B46" s="11">
        <f>'07_Moteur'!B45</f>
        <v/>
      </c>
      <c r="C46" s="43">
        <f>'07_Moteur'!C45</f>
        <v/>
      </c>
      <c r="D46" s="11">
        <f>'07_Moteur'!D45</f>
        <v/>
      </c>
      <c r="E46" s="44">
        <f>'07_Moteur'!R45</f>
        <v/>
      </c>
      <c r="F46" s="44">
        <f>'07_Moteur'!K45</f>
        <v/>
      </c>
      <c r="G46" s="44">
        <f>'07_Moteur'!U45</f>
        <v/>
      </c>
      <c r="H46" s="46">
        <f>G46-F46</f>
        <v/>
      </c>
      <c r="I46" s="10">
        <f>IF(H46&gt;0,"OUVRIR "&amp;H46,IF(H46&lt;0,"FERMER "&amp;ABS(H46),"RAS"))</f>
        <v/>
      </c>
      <c r="J46" s="39">
        <f>(F46-G46)*'07_Moteur'!AI45</f>
        <v/>
      </c>
      <c r="K46" s="16">
        <f>'07_Moteur'!Z45</f>
        <v/>
      </c>
      <c r="L46" s="18">
        <f>'07_Moteur'!AA45</f>
        <v/>
      </c>
      <c r="M46" s="46">
        <f>IFERROR(G46*'07_Moteur'!AI45/('07_Moteur'!S45*'07_Moteur'!AC45-'07_Moteur'!AG45*(1+'02_Parametres'!$G$11)),0)</f>
        <v/>
      </c>
      <c r="N46" s="46">
        <f>E46-M46</f>
        <v/>
      </c>
      <c r="O46" s="66">
        <f>IF('07_Moteur'!Y45&lt;0,"🔴 Restructurer",IF(K46&lt;0.6,"🟡 Surveiller",IF(K46&gt;=0.85,"🟢 Développer","🟢 Maintenir")))</f>
        <v/>
      </c>
    </row>
    <row r="47">
      <c r="A47" s="43">
        <f>'07_Moteur'!A46</f>
        <v/>
      </c>
      <c r="B47" s="11">
        <f>'07_Moteur'!B46</f>
        <v/>
      </c>
      <c r="C47" s="43">
        <f>'07_Moteur'!C46</f>
        <v/>
      </c>
      <c r="D47" s="11">
        <f>'07_Moteur'!D46</f>
        <v/>
      </c>
      <c r="E47" s="44">
        <f>'07_Moteur'!R46</f>
        <v/>
      </c>
      <c r="F47" s="44">
        <f>'07_Moteur'!K46</f>
        <v/>
      </c>
      <c r="G47" s="44">
        <f>'07_Moteur'!U46</f>
        <v/>
      </c>
      <c r="H47" s="46">
        <f>G47-F47</f>
        <v/>
      </c>
      <c r="I47" s="10">
        <f>IF(H47&gt;0,"OUVRIR "&amp;H47,IF(H47&lt;0,"FERMER "&amp;ABS(H47),"RAS"))</f>
        <v/>
      </c>
      <c r="J47" s="39">
        <f>(F47-G47)*'07_Moteur'!AI46</f>
        <v/>
      </c>
      <c r="K47" s="16">
        <f>'07_Moteur'!Z46</f>
        <v/>
      </c>
      <c r="L47" s="18">
        <f>'07_Moteur'!AA46</f>
        <v/>
      </c>
      <c r="M47" s="46">
        <f>IFERROR(G47*'07_Moteur'!AI46/('07_Moteur'!S46*'07_Moteur'!AC46-'07_Moteur'!AG46*(1+'02_Parametres'!$G$11)),0)</f>
        <v/>
      </c>
      <c r="N47" s="46">
        <f>E47-M47</f>
        <v/>
      </c>
      <c r="O47" s="66">
        <f>IF('07_Moteur'!Y46&lt;0,"🔴 Restructurer",IF(K47&lt;0.6,"🟡 Surveiller",IF(K47&gt;=0.85,"🟢 Développer","🟢 Maintenir")))</f>
        <v/>
      </c>
    </row>
    <row r="48">
      <c r="A48" s="43">
        <f>'07_Moteur'!A47</f>
        <v/>
      </c>
      <c r="B48" s="11">
        <f>'07_Moteur'!B47</f>
        <v/>
      </c>
      <c r="C48" s="43">
        <f>'07_Moteur'!C47</f>
        <v/>
      </c>
      <c r="D48" s="11">
        <f>'07_Moteur'!D47</f>
        <v/>
      </c>
      <c r="E48" s="44">
        <f>'07_Moteur'!R47</f>
        <v/>
      </c>
      <c r="F48" s="44">
        <f>'07_Moteur'!K47</f>
        <v/>
      </c>
      <c r="G48" s="44">
        <f>'07_Moteur'!U47</f>
        <v/>
      </c>
      <c r="H48" s="46">
        <f>G48-F48</f>
        <v/>
      </c>
      <c r="I48" s="10">
        <f>IF(H48&gt;0,"OUVRIR "&amp;H48,IF(H48&lt;0,"FERMER "&amp;ABS(H48),"RAS"))</f>
        <v/>
      </c>
      <c r="J48" s="39">
        <f>(F48-G48)*'07_Moteur'!AI47</f>
        <v/>
      </c>
      <c r="K48" s="16">
        <f>'07_Moteur'!Z47</f>
        <v/>
      </c>
      <c r="L48" s="18">
        <f>'07_Moteur'!AA47</f>
        <v/>
      </c>
      <c r="M48" s="46">
        <f>IFERROR(G48*'07_Moteur'!AI47/('07_Moteur'!S47*'07_Moteur'!AC47-'07_Moteur'!AG47*(1+'02_Parametres'!$G$11)),0)</f>
        <v/>
      </c>
      <c r="N48" s="46">
        <f>E48-M48</f>
        <v/>
      </c>
      <c r="O48" s="66">
        <f>IF('07_Moteur'!Y47&lt;0,"🔴 Restructurer",IF(K48&lt;0.6,"🟡 Surveiller",IF(K48&gt;=0.85,"🟢 Développer","🟢 Maintenir")))</f>
        <v/>
      </c>
    </row>
    <row r="49">
      <c r="A49" s="43">
        <f>'07_Moteur'!A48</f>
        <v/>
      </c>
      <c r="B49" s="11">
        <f>'07_Moteur'!B48</f>
        <v/>
      </c>
      <c r="C49" s="43">
        <f>'07_Moteur'!C48</f>
        <v/>
      </c>
      <c r="D49" s="11">
        <f>'07_Moteur'!D48</f>
        <v/>
      </c>
      <c r="E49" s="44">
        <f>'07_Moteur'!R48</f>
        <v/>
      </c>
      <c r="F49" s="44">
        <f>'07_Moteur'!K48</f>
        <v/>
      </c>
      <c r="G49" s="44">
        <f>'07_Moteur'!U48</f>
        <v/>
      </c>
      <c r="H49" s="46">
        <f>G49-F49</f>
        <v/>
      </c>
      <c r="I49" s="10">
        <f>IF(H49&gt;0,"OUVRIR "&amp;H49,IF(H49&lt;0,"FERMER "&amp;ABS(H49),"RAS"))</f>
        <v/>
      </c>
      <c r="J49" s="39">
        <f>(F49-G49)*'07_Moteur'!AI48</f>
        <v/>
      </c>
      <c r="K49" s="16">
        <f>'07_Moteur'!Z48</f>
        <v/>
      </c>
      <c r="L49" s="18">
        <f>'07_Moteur'!AA48</f>
        <v/>
      </c>
      <c r="M49" s="46">
        <f>IFERROR(G49*'07_Moteur'!AI48/('07_Moteur'!S48*'07_Moteur'!AC48-'07_Moteur'!AG48*(1+'02_Parametres'!$G$11)),0)</f>
        <v/>
      </c>
      <c r="N49" s="46">
        <f>E49-M49</f>
        <v/>
      </c>
      <c r="O49" s="66">
        <f>IF('07_Moteur'!Y48&lt;0,"🔴 Restructurer",IF(K49&lt;0.6,"🟡 Surveiller",IF(K49&gt;=0.85,"🟢 Développer","🟢 Maintenir")))</f>
        <v/>
      </c>
    </row>
    <row r="50">
      <c r="A50" s="43">
        <f>'07_Moteur'!A49</f>
        <v/>
      </c>
      <c r="B50" s="11">
        <f>'07_Moteur'!B49</f>
        <v/>
      </c>
      <c r="C50" s="43">
        <f>'07_Moteur'!C49</f>
        <v/>
      </c>
      <c r="D50" s="11">
        <f>'07_Moteur'!D49</f>
        <v/>
      </c>
      <c r="E50" s="44">
        <f>'07_Moteur'!R49</f>
        <v/>
      </c>
      <c r="F50" s="44">
        <f>'07_Moteur'!K49</f>
        <v/>
      </c>
      <c r="G50" s="44">
        <f>'07_Moteur'!U49</f>
        <v/>
      </c>
      <c r="H50" s="46">
        <f>G50-F50</f>
        <v/>
      </c>
      <c r="I50" s="10">
        <f>IF(H50&gt;0,"OUVRIR "&amp;H50,IF(H50&lt;0,"FERMER "&amp;ABS(H50),"RAS"))</f>
        <v/>
      </c>
      <c r="J50" s="39">
        <f>(F50-G50)*'07_Moteur'!AI49</f>
        <v/>
      </c>
      <c r="K50" s="16">
        <f>'07_Moteur'!Z49</f>
        <v/>
      </c>
      <c r="L50" s="18">
        <f>'07_Moteur'!AA49</f>
        <v/>
      </c>
      <c r="M50" s="46">
        <f>IFERROR(G50*'07_Moteur'!AI49/('07_Moteur'!S49*'07_Moteur'!AC49-'07_Moteur'!AG49*(1+'02_Parametres'!$G$11)),0)</f>
        <v/>
      </c>
      <c r="N50" s="46">
        <f>E50-M50</f>
        <v/>
      </c>
      <c r="O50" s="66">
        <f>IF('07_Moteur'!Y49&lt;0,"🔴 Restructurer",IF(K50&lt;0.6,"🟡 Surveiller",IF(K50&gt;=0.85,"🟢 Développer","🟢 Maintenir")))</f>
        <v/>
      </c>
    </row>
    <row r="51">
      <c r="A51" s="43">
        <f>'07_Moteur'!A50</f>
        <v/>
      </c>
      <c r="B51" s="11">
        <f>'07_Moteur'!B50</f>
        <v/>
      </c>
      <c r="C51" s="43">
        <f>'07_Moteur'!C50</f>
        <v/>
      </c>
      <c r="D51" s="11">
        <f>'07_Moteur'!D50</f>
        <v/>
      </c>
      <c r="E51" s="44">
        <f>'07_Moteur'!R50</f>
        <v/>
      </c>
      <c r="F51" s="44">
        <f>'07_Moteur'!K50</f>
        <v/>
      </c>
      <c r="G51" s="44">
        <f>'07_Moteur'!U50</f>
        <v/>
      </c>
      <c r="H51" s="46">
        <f>G51-F51</f>
        <v/>
      </c>
      <c r="I51" s="10">
        <f>IF(H51&gt;0,"OUVRIR "&amp;H51,IF(H51&lt;0,"FERMER "&amp;ABS(H51),"RAS"))</f>
        <v/>
      </c>
      <c r="J51" s="39">
        <f>(F51-G51)*'07_Moteur'!AI50</f>
        <v/>
      </c>
      <c r="K51" s="16">
        <f>'07_Moteur'!Z50</f>
        <v/>
      </c>
      <c r="L51" s="18">
        <f>'07_Moteur'!AA50</f>
        <v/>
      </c>
      <c r="M51" s="46">
        <f>IFERROR(G51*'07_Moteur'!AI50/('07_Moteur'!S50*'07_Moteur'!AC50-'07_Moteur'!AG50*(1+'02_Parametres'!$G$11)),0)</f>
        <v/>
      </c>
      <c r="N51" s="46">
        <f>E51-M51</f>
        <v/>
      </c>
      <c r="O51" s="66">
        <f>IF('07_Moteur'!Y50&lt;0,"🔴 Restructurer",IF(K51&lt;0.6,"🟡 Surveiller",IF(K51&gt;=0.85,"🟢 Développer","🟢 Maintenir")))</f>
        <v/>
      </c>
    </row>
    <row r="52">
      <c r="A52" s="43">
        <f>'07_Moteur'!A51</f>
        <v/>
      </c>
      <c r="B52" s="11">
        <f>'07_Moteur'!B51</f>
        <v/>
      </c>
      <c r="C52" s="43">
        <f>'07_Moteur'!C51</f>
        <v/>
      </c>
      <c r="D52" s="11">
        <f>'07_Moteur'!D51</f>
        <v/>
      </c>
      <c r="E52" s="44">
        <f>'07_Moteur'!R51</f>
        <v/>
      </c>
      <c r="F52" s="44">
        <f>'07_Moteur'!K51</f>
        <v/>
      </c>
      <c r="G52" s="44">
        <f>'07_Moteur'!U51</f>
        <v/>
      </c>
      <c r="H52" s="46">
        <f>G52-F52</f>
        <v/>
      </c>
      <c r="I52" s="10">
        <f>IF(H52&gt;0,"OUVRIR "&amp;H52,IF(H52&lt;0,"FERMER "&amp;ABS(H52),"RAS"))</f>
        <v/>
      </c>
      <c r="J52" s="39">
        <f>(F52-G52)*'07_Moteur'!AI51</f>
        <v/>
      </c>
      <c r="K52" s="16">
        <f>'07_Moteur'!Z51</f>
        <v/>
      </c>
      <c r="L52" s="18">
        <f>'07_Moteur'!AA51</f>
        <v/>
      </c>
      <c r="M52" s="46">
        <f>IFERROR(G52*'07_Moteur'!AI51/('07_Moteur'!S51*'07_Moteur'!AC51-'07_Moteur'!AG51*(1+'02_Parametres'!$G$11)),0)</f>
        <v/>
      </c>
      <c r="N52" s="46">
        <f>E52-M52</f>
        <v/>
      </c>
      <c r="O52" s="66">
        <f>IF('07_Moteur'!Y51&lt;0,"🔴 Restructurer",IF(K52&lt;0.6,"🟡 Surveiller",IF(K52&gt;=0.85,"🟢 Développer","🟢 Maintenir")))</f>
        <v/>
      </c>
    </row>
    <row r="53">
      <c r="A53" s="43">
        <f>'07_Moteur'!A52</f>
        <v/>
      </c>
      <c r="B53" s="11">
        <f>'07_Moteur'!B52</f>
        <v/>
      </c>
      <c r="C53" s="43">
        <f>'07_Moteur'!C52</f>
        <v/>
      </c>
      <c r="D53" s="11">
        <f>'07_Moteur'!D52</f>
        <v/>
      </c>
      <c r="E53" s="44">
        <f>'07_Moteur'!R52</f>
        <v/>
      </c>
      <c r="F53" s="44">
        <f>'07_Moteur'!K52</f>
        <v/>
      </c>
      <c r="G53" s="44">
        <f>'07_Moteur'!U52</f>
        <v/>
      </c>
      <c r="H53" s="46">
        <f>G53-F53</f>
        <v/>
      </c>
      <c r="I53" s="10">
        <f>IF(H53&gt;0,"OUVRIR "&amp;H53,IF(H53&lt;0,"FERMER "&amp;ABS(H53),"RAS"))</f>
        <v/>
      </c>
      <c r="J53" s="39">
        <f>(F53-G53)*'07_Moteur'!AI52</f>
        <v/>
      </c>
      <c r="K53" s="16">
        <f>'07_Moteur'!Z52</f>
        <v/>
      </c>
      <c r="L53" s="18">
        <f>'07_Moteur'!AA52</f>
        <v/>
      </c>
      <c r="M53" s="46">
        <f>IFERROR(G53*'07_Moteur'!AI52/('07_Moteur'!S52*'07_Moteur'!AC52-'07_Moteur'!AG52*(1+'02_Parametres'!$G$11)),0)</f>
        <v/>
      </c>
      <c r="N53" s="46">
        <f>E53-M53</f>
        <v/>
      </c>
      <c r="O53" s="66">
        <f>IF('07_Moteur'!Y52&lt;0,"🔴 Restructurer",IF(K53&lt;0.6,"🟡 Surveiller",IF(K53&gt;=0.85,"🟢 Développer","🟢 Maintenir")))</f>
        <v/>
      </c>
    </row>
    <row r="54">
      <c r="A54" s="43">
        <f>'07_Moteur'!A53</f>
        <v/>
      </c>
      <c r="B54" s="11">
        <f>'07_Moteur'!B53</f>
        <v/>
      </c>
      <c r="C54" s="43">
        <f>'07_Moteur'!C53</f>
        <v/>
      </c>
      <c r="D54" s="11">
        <f>'07_Moteur'!D53</f>
        <v/>
      </c>
      <c r="E54" s="44">
        <f>'07_Moteur'!R53</f>
        <v/>
      </c>
      <c r="F54" s="44">
        <f>'07_Moteur'!K53</f>
        <v/>
      </c>
      <c r="G54" s="44">
        <f>'07_Moteur'!U53</f>
        <v/>
      </c>
      <c r="H54" s="46">
        <f>G54-F54</f>
        <v/>
      </c>
      <c r="I54" s="10">
        <f>IF(H54&gt;0,"OUVRIR "&amp;H54,IF(H54&lt;0,"FERMER "&amp;ABS(H54),"RAS"))</f>
        <v/>
      </c>
      <c r="J54" s="39">
        <f>(F54-G54)*'07_Moteur'!AI53</f>
        <v/>
      </c>
      <c r="K54" s="16">
        <f>'07_Moteur'!Z53</f>
        <v/>
      </c>
      <c r="L54" s="18">
        <f>'07_Moteur'!AA53</f>
        <v/>
      </c>
      <c r="M54" s="46">
        <f>IFERROR(G54*'07_Moteur'!AI53/('07_Moteur'!S53*'07_Moteur'!AC53-'07_Moteur'!AG53*(1+'02_Parametres'!$G$11)),0)</f>
        <v/>
      </c>
      <c r="N54" s="46">
        <f>E54-M54</f>
        <v/>
      </c>
      <c r="O54" s="66">
        <f>IF('07_Moteur'!Y53&lt;0,"🔴 Restructurer",IF(K54&lt;0.6,"🟡 Surveiller",IF(K54&gt;=0.85,"🟢 Développer","🟢 Maintenir")))</f>
        <v/>
      </c>
    </row>
    <row r="55">
      <c r="A55" s="43">
        <f>'07_Moteur'!A54</f>
        <v/>
      </c>
      <c r="B55" s="11">
        <f>'07_Moteur'!B54</f>
        <v/>
      </c>
      <c r="C55" s="43">
        <f>'07_Moteur'!C54</f>
        <v/>
      </c>
      <c r="D55" s="11">
        <f>'07_Moteur'!D54</f>
        <v/>
      </c>
      <c r="E55" s="44">
        <f>'07_Moteur'!R54</f>
        <v/>
      </c>
      <c r="F55" s="44">
        <f>'07_Moteur'!K54</f>
        <v/>
      </c>
      <c r="G55" s="44">
        <f>'07_Moteur'!U54</f>
        <v/>
      </c>
      <c r="H55" s="46">
        <f>G55-F55</f>
        <v/>
      </c>
      <c r="I55" s="10">
        <f>IF(H55&gt;0,"OUVRIR "&amp;H55,IF(H55&lt;0,"FERMER "&amp;ABS(H55),"RAS"))</f>
        <v/>
      </c>
      <c r="J55" s="39">
        <f>(F55-G55)*'07_Moteur'!AI54</f>
        <v/>
      </c>
      <c r="K55" s="16">
        <f>'07_Moteur'!Z54</f>
        <v/>
      </c>
      <c r="L55" s="18">
        <f>'07_Moteur'!AA54</f>
        <v/>
      </c>
      <c r="M55" s="46">
        <f>IFERROR(G55*'07_Moteur'!AI54/('07_Moteur'!S54*'07_Moteur'!AC54-'07_Moteur'!AG54*(1+'02_Parametres'!$G$11)),0)</f>
        <v/>
      </c>
      <c r="N55" s="46">
        <f>E55-M55</f>
        <v/>
      </c>
      <c r="O55" s="66">
        <f>IF('07_Moteur'!Y54&lt;0,"🔴 Restructurer",IF(K55&lt;0.6,"🟡 Surveiller",IF(K55&gt;=0.85,"🟢 Développer","🟢 Maintenir")))</f>
        <v/>
      </c>
    </row>
    <row r="56">
      <c r="A56" s="43">
        <f>'07_Moteur'!A55</f>
        <v/>
      </c>
      <c r="B56" s="11">
        <f>'07_Moteur'!B55</f>
        <v/>
      </c>
      <c r="C56" s="43">
        <f>'07_Moteur'!C55</f>
        <v/>
      </c>
      <c r="D56" s="11">
        <f>'07_Moteur'!D55</f>
        <v/>
      </c>
      <c r="E56" s="44">
        <f>'07_Moteur'!R55</f>
        <v/>
      </c>
      <c r="F56" s="44">
        <f>'07_Moteur'!K55</f>
        <v/>
      </c>
      <c r="G56" s="44">
        <f>'07_Moteur'!U55</f>
        <v/>
      </c>
      <c r="H56" s="46">
        <f>G56-F56</f>
        <v/>
      </c>
      <c r="I56" s="10">
        <f>IF(H56&gt;0,"OUVRIR "&amp;H56,IF(H56&lt;0,"FERMER "&amp;ABS(H56),"RAS"))</f>
        <v/>
      </c>
      <c r="J56" s="39">
        <f>(F56-G56)*'07_Moteur'!AI55</f>
        <v/>
      </c>
      <c r="K56" s="16">
        <f>'07_Moteur'!Z55</f>
        <v/>
      </c>
      <c r="L56" s="18">
        <f>'07_Moteur'!AA55</f>
        <v/>
      </c>
      <c r="M56" s="46">
        <f>IFERROR(G56*'07_Moteur'!AI55/('07_Moteur'!S55*'07_Moteur'!AC55-'07_Moteur'!AG55*(1+'02_Parametres'!$G$11)),0)</f>
        <v/>
      </c>
      <c r="N56" s="46">
        <f>E56-M56</f>
        <v/>
      </c>
      <c r="O56" s="66">
        <f>IF('07_Moteur'!Y55&lt;0,"🔴 Restructurer",IF(K56&lt;0.6,"🟡 Surveiller",IF(K56&gt;=0.85,"🟢 Développer","🟢 Maintenir")))</f>
        <v/>
      </c>
    </row>
    <row r="57">
      <c r="A57" s="43">
        <f>'07_Moteur'!A56</f>
        <v/>
      </c>
      <c r="B57" s="11">
        <f>'07_Moteur'!B56</f>
        <v/>
      </c>
      <c r="C57" s="43">
        <f>'07_Moteur'!C56</f>
        <v/>
      </c>
      <c r="D57" s="11">
        <f>'07_Moteur'!D56</f>
        <v/>
      </c>
      <c r="E57" s="44">
        <f>'07_Moteur'!R56</f>
        <v/>
      </c>
      <c r="F57" s="44">
        <f>'07_Moteur'!K56</f>
        <v/>
      </c>
      <c r="G57" s="44">
        <f>'07_Moteur'!U56</f>
        <v/>
      </c>
      <c r="H57" s="46">
        <f>G57-F57</f>
        <v/>
      </c>
      <c r="I57" s="10">
        <f>IF(H57&gt;0,"OUVRIR "&amp;H57,IF(H57&lt;0,"FERMER "&amp;ABS(H57),"RAS"))</f>
        <v/>
      </c>
      <c r="J57" s="39">
        <f>(F57-G57)*'07_Moteur'!AI56</f>
        <v/>
      </c>
      <c r="K57" s="16">
        <f>'07_Moteur'!Z56</f>
        <v/>
      </c>
      <c r="L57" s="18">
        <f>'07_Moteur'!AA56</f>
        <v/>
      </c>
      <c r="M57" s="46">
        <f>IFERROR(G57*'07_Moteur'!AI56/('07_Moteur'!S56*'07_Moteur'!AC56-'07_Moteur'!AG56*(1+'02_Parametres'!$G$11)),0)</f>
        <v/>
      </c>
      <c r="N57" s="46">
        <f>E57-M57</f>
        <v/>
      </c>
      <c r="O57" s="66">
        <f>IF('07_Moteur'!Y56&lt;0,"🔴 Restructurer",IF(K57&lt;0.6,"🟡 Surveiller",IF(K57&gt;=0.85,"🟢 Développer","🟢 Maintenir")))</f>
        <v/>
      </c>
    </row>
    <row r="58">
      <c r="A58" s="43">
        <f>'07_Moteur'!A57</f>
        <v/>
      </c>
      <c r="B58" s="11">
        <f>'07_Moteur'!B57</f>
        <v/>
      </c>
      <c r="C58" s="43">
        <f>'07_Moteur'!C57</f>
        <v/>
      </c>
      <c r="D58" s="11">
        <f>'07_Moteur'!D57</f>
        <v/>
      </c>
      <c r="E58" s="44">
        <f>'07_Moteur'!R57</f>
        <v/>
      </c>
      <c r="F58" s="44">
        <f>'07_Moteur'!K57</f>
        <v/>
      </c>
      <c r="G58" s="44">
        <f>'07_Moteur'!U57</f>
        <v/>
      </c>
      <c r="H58" s="46">
        <f>G58-F58</f>
        <v/>
      </c>
      <c r="I58" s="10">
        <f>IF(H58&gt;0,"OUVRIR "&amp;H58,IF(H58&lt;0,"FERMER "&amp;ABS(H58),"RAS"))</f>
        <v/>
      </c>
      <c r="J58" s="39">
        <f>(F58-G58)*'07_Moteur'!AI57</f>
        <v/>
      </c>
      <c r="K58" s="16">
        <f>'07_Moteur'!Z57</f>
        <v/>
      </c>
      <c r="L58" s="18">
        <f>'07_Moteur'!AA57</f>
        <v/>
      </c>
      <c r="M58" s="46">
        <f>IFERROR(G58*'07_Moteur'!AI57/('07_Moteur'!S57*'07_Moteur'!AC57-'07_Moteur'!AG57*(1+'02_Parametres'!$G$11)),0)</f>
        <v/>
      </c>
      <c r="N58" s="46">
        <f>E58-M58</f>
        <v/>
      </c>
      <c r="O58" s="66">
        <f>IF('07_Moteur'!Y57&lt;0,"🔴 Restructurer",IF(K58&lt;0.6,"🟡 Surveiller",IF(K58&gt;=0.85,"🟢 Développer","🟢 Maintenir")))</f>
        <v/>
      </c>
    </row>
    <row r="59">
      <c r="A59" s="43">
        <f>'07_Moteur'!A58</f>
        <v/>
      </c>
      <c r="B59" s="11">
        <f>'07_Moteur'!B58</f>
        <v/>
      </c>
      <c r="C59" s="43">
        <f>'07_Moteur'!C58</f>
        <v/>
      </c>
      <c r="D59" s="11">
        <f>'07_Moteur'!D58</f>
        <v/>
      </c>
      <c r="E59" s="44">
        <f>'07_Moteur'!R58</f>
        <v/>
      </c>
      <c r="F59" s="44">
        <f>'07_Moteur'!K58</f>
        <v/>
      </c>
      <c r="G59" s="44">
        <f>'07_Moteur'!U58</f>
        <v/>
      </c>
      <c r="H59" s="46">
        <f>G59-F59</f>
        <v/>
      </c>
      <c r="I59" s="10">
        <f>IF(H59&gt;0,"OUVRIR "&amp;H59,IF(H59&lt;0,"FERMER "&amp;ABS(H59),"RAS"))</f>
        <v/>
      </c>
      <c r="J59" s="39">
        <f>(F59-G59)*'07_Moteur'!AI58</f>
        <v/>
      </c>
      <c r="K59" s="16">
        <f>'07_Moteur'!Z58</f>
        <v/>
      </c>
      <c r="L59" s="18">
        <f>'07_Moteur'!AA58</f>
        <v/>
      </c>
      <c r="M59" s="46">
        <f>IFERROR(G59*'07_Moteur'!AI58/('07_Moteur'!S58*'07_Moteur'!AC58-'07_Moteur'!AG58*(1+'02_Parametres'!$G$11)),0)</f>
        <v/>
      </c>
      <c r="N59" s="46">
        <f>E59-M59</f>
        <v/>
      </c>
      <c r="O59" s="66">
        <f>IF('07_Moteur'!Y58&lt;0,"🔴 Restructurer",IF(K59&lt;0.6,"🟡 Surveiller",IF(K59&gt;=0.85,"🟢 Développer","🟢 Maintenir")))</f>
        <v/>
      </c>
    </row>
    <row r="60">
      <c r="A60" s="43">
        <f>'07_Moteur'!A59</f>
        <v/>
      </c>
      <c r="B60" s="11">
        <f>'07_Moteur'!B59</f>
        <v/>
      </c>
      <c r="C60" s="43">
        <f>'07_Moteur'!C59</f>
        <v/>
      </c>
      <c r="D60" s="11">
        <f>'07_Moteur'!D59</f>
        <v/>
      </c>
      <c r="E60" s="44">
        <f>'07_Moteur'!R59</f>
        <v/>
      </c>
      <c r="F60" s="44">
        <f>'07_Moteur'!K59</f>
        <v/>
      </c>
      <c r="G60" s="44">
        <f>'07_Moteur'!U59</f>
        <v/>
      </c>
      <c r="H60" s="46">
        <f>G60-F60</f>
        <v/>
      </c>
      <c r="I60" s="10">
        <f>IF(H60&gt;0,"OUVRIR "&amp;H60,IF(H60&lt;0,"FERMER "&amp;ABS(H60),"RAS"))</f>
        <v/>
      </c>
      <c r="J60" s="39">
        <f>(F60-G60)*'07_Moteur'!AI59</f>
        <v/>
      </c>
      <c r="K60" s="16">
        <f>'07_Moteur'!Z59</f>
        <v/>
      </c>
      <c r="L60" s="18">
        <f>'07_Moteur'!AA59</f>
        <v/>
      </c>
      <c r="M60" s="46">
        <f>IFERROR(G60*'07_Moteur'!AI59/('07_Moteur'!S59*'07_Moteur'!AC59-'07_Moteur'!AG59*(1+'02_Parametres'!$G$11)),0)</f>
        <v/>
      </c>
      <c r="N60" s="46">
        <f>E60-M60</f>
        <v/>
      </c>
      <c r="O60" s="66">
        <f>IF('07_Moteur'!Y59&lt;0,"🔴 Restructurer",IF(K60&lt;0.6,"🟡 Surveiller",IF(K60&gt;=0.85,"🟢 Développer","🟢 Maintenir")))</f>
        <v/>
      </c>
    </row>
    <row r="61">
      <c r="A61" s="43">
        <f>'07_Moteur'!A60</f>
        <v/>
      </c>
      <c r="B61" s="11">
        <f>'07_Moteur'!B60</f>
        <v/>
      </c>
      <c r="C61" s="43">
        <f>'07_Moteur'!C60</f>
        <v/>
      </c>
      <c r="D61" s="11">
        <f>'07_Moteur'!D60</f>
        <v/>
      </c>
      <c r="E61" s="44">
        <f>'07_Moteur'!R60</f>
        <v/>
      </c>
      <c r="F61" s="44">
        <f>'07_Moteur'!K60</f>
        <v/>
      </c>
      <c r="G61" s="44">
        <f>'07_Moteur'!U60</f>
        <v/>
      </c>
      <c r="H61" s="46">
        <f>G61-F61</f>
        <v/>
      </c>
      <c r="I61" s="10">
        <f>IF(H61&gt;0,"OUVRIR "&amp;H61,IF(H61&lt;0,"FERMER "&amp;ABS(H61),"RAS"))</f>
        <v/>
      </c>
      <c r="J61" s="39">
        <f>(F61-G61)*'07_Moteur'!AI60</f>
        <v/>
      </c>
      <c r="K61" s="16">
        <f>'07_Moteur'!Z60</f>
        <v/>
      </c>
      <c r="L61" s="18">
        <f>'07_Moteur'!AA60</f>
        <v/>
      </c>
      <c r="M61" s="46">
        <f>IFERROR(G61*'07_Moteur'!AI60/('07_Moteur'!S60*'07_Moteur'!AC60-'07_Moteur'!AG60*(1+'02_Parametres'!$G$11)),0)</f>
        <v/>
      </c>
      <c r="N61" s="46">
        <f>E61-M61</f>
        <v/>
      </c>
      <c r="O61" s="66">
        <f>IF('07_Moteur'!Y60&lt;0,"🔴 Restructurer",IF(K61&lt;0.6,"🟡 Surveiller",IF(K61&gt;=0.85,"🟢 Développer","🟢 Maintenir")))</f>
        <v/>
      </c>
    </row>
    <row r="62">
      <c r="A62" s="40" t="inlineStr">
        <is>
          <t>TOTAL</t>
        </is>
      </c>
      <c r="B62" s="36" t="inlineStr">
        <is>
          <t> </t>
        </is>
      </c>
      <c r="C62" s="36" t="inlineStr">
        <is>
          <t> </t>
        </is>
      </c>
      <c r="D62" s="36" t="inlineStr">
        <is>
          <t> </t>
        </is>
      </c>
      <c r="E62" s="41">
        <f>SUM(E4:E61)</f>
        <v/>
      </c>
      <c r="F62" s="41">
        <f>SUM(F4:F61)</f>
        <v/>
      </c>
      <c r="G62" s="41">
        <f>SUM(G4:G61)</f>
        <v/>
      </c>
      <c r="H62" s="41">
        <f>SUM(H4:H61)</f>
        <v/>
      </c>
      <c r="I62" s="36" t="inlineStr">
        <is>
          <t> </t>
        </is>
      </c>
      <c r="J62" s="42">
        <f>SUM(J4:J61)</f>
        <v/>
      </c>
      <c r="K62" s="36" t="inlineStr">
        <is>
          <t> </t>
        </is>
      </c>
      <c r="L62" s="36" t="inlineStr">
        <is>
          <t> </t>
        </is>
      </c>
      <c r="M62" s="36" t="inlineStr">
        <is>
          <t> </t>
        </is>
      </c>
      <c r="N62" s="36" t="inlineStr">
        <is>
          <t> </t>
        </is>
      </c>
      <c r="O62" s="36" t="inlineStr">
        <is>
          <t> 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2" ht="26" customHeight="1">
      <c r="B2" s="1" t="inlineStr">
        <is>
          <t>Tableau de bord — simulation</t>
        </is>
      </c>
    </row>
    <row r="3">
      <c r="B3" s="2" t="inlineStr">
        <is>
          <t>Change le scénario (02_Parametres!C3) ou un levier : tous les indicateurs se recalculent.</t>
        </is>
      </c>
    </row>
    <row r="4">
      <c r="B4" s="19" t="inlineStr">
        <is>
          <t>Scénario actif :</t>
        </is>
      </c>
      <c r="C4" s="50">
        <f>'02_Parametres'!C3</f>
        <v/>
      </c>
    </row>
    <row r="6" ht="20" customHeight="1">
      <c r="B6" s="3" t="inlineStr">
        <is>
          <t>Indicateurs clés — Budget N+1 vs Réalisé N-1</t>
        </is>
      </c>
      <c r="C6" s="4" t="n"/>
      <c r="D6" s="4" t="n"/>
      <c r="E6" s="4" t="n"/>
    </row>
    <row r="7">
      <c r="B7" s="14" t="inlineStr">
        <is>
          <t>Indicateur</t>
        </is>
      </c>
      <c r="C7" s="15" t="inlineStr">
        <is>
          <t>Budget</t>
        </is>
      </c>
      <c r="D7" s="15" t="inlineStr">
        <is>
          <t>N-1</t>
        </is>
      </c>
      <c r="E7" s="15" t="inlineStr">
        <is>
          <t>Évolution</t>
        </is>
      </c>
    </row>
    <row r="8">
      <c r="B8" s="67" t="inlineStr">
        <is>
          <t>Effectif total</t>
        </is>
      </c>
      <c r="C8" s="46">
        <f>SUM('07_Moteur'!$R$3:$R$60)</f>
        <v/>
      </c>
      <c r="D8" s="46">
        <f>'06_Structure'!C18</f>
        <v/>
      </c>
      <c r="E8" s="32">
        <f>IFERROR(C8/D8-1,0)</f>
        <v/>
      </c>
    </row>
    <row r="9">
      <c r="B9" s="67" t="inlineStr">
        <is>
          <t>Chiffre d'affaires</t>
        </is>
      </c>
      <c r="C9" s="48">
        <f>SUM('07_Moteur'!$T$3:$T$60)</f>
        <v/>
      </c>
      <c r="D9" s="48">
        <f>'06_Structure'!D18</f>
        <v/>
      </c>
      <c r="E9" s="32">
        <f>IFERROR(C9/D9-1,0)</f>
        <v/>
      </c>
    </row>
    <row r="10">
      <c r="B10" s="67" t="inlineStr">
        <is>
          <t>Marge de contribution</t>
        </is>
      </c>
      <c r="C10" s="48">
        <f>SUM('07_Moteur'!$Y$3:$Y$60)</f>
        <v/>
      </c>
      <c r="D10" s="48">
        <f>'06_Structure'!E18</f>
        <v/>
      </c>
      <c r="E10" s="32">
        <f>IFERROR(C10/D10-1,0)</f>
        <v/>
      </c>
    </row>
    <row r="11">
      <c r="B11" s="67" t="inlineStr">
        <is>
          <t>EBITDA</t>
        </is>
      </c>
      <c r="C11" s="48">
        <f>'08_Allocation'!$J$20</f>
        <v/>
      </c>
      <c r="D11" s="48">
        <f>'06_Structure'!E18-'06_Structure'!F18-'06_Structure'!H18-'02_Parametres'!$D$24*'06_Structure'!D18</f>
        <v/>
      </c>
      <c r="E11" s="32">
        <f>IFERROR(C11/D11-1,0)</f>
        <v/>
      </c>
    </row>
    <row r="12">
      <c r="B12" s="67" t="inlineStr">
        <is>
          <t>Marge EBITDA %</t>
        </is>
      </c>
      <c r="C12" s="32">
        <f>IFERROR('08_Allocation'!$J$20/SUM('07_Moteur'!$T$3:$T$60),0)</f>
        <v/>
      </c>
      <c r="D12" s="32">
        <f>IFERROR(('06_Structure'!E18-'06_Structure'!F18-'06_Structure'!H18-'02_Parametres'!$D$24*'06_Structure'!D18)/'06_Structure'!D18,0)</f>
        <v/>
      </c>
      <c r="E12" s="32">
        <f>D12-C12</f>
        <v/>
      </c>
    </row>
    <row r="13">
      <c r="B13" s="67" t="inlineStr">
        <is>
          <t>Nombre de classes</t>
        </is>
      </c>
      <c r="C13" s="46">
        <f>SUM('07_Moteur'!$U$3:$U$60)</f>
        <v/>
      </c>
      <c r="D13" s="46">
        <f>SUM('07_Moteur'!$K$3:$K$60)</f>
        <v/>
      </c>
      <c r="E13" s="32">
        <f>IFERROR(C13/D13-1,0)</f>
        <v/>
      </c>
    </row>
    <row r="14">
      <c r="B14" s="67" t="inlineStr">
        <is>
          <t>Nouveaux inscrits</t>
        </is>
      </c>
      <c r="C14" s="46">
        <f>SUM('07_Moteur'!$P$3:$P$60)</f>
        <v/>
      </c>
      <c r="D14" s="46">
        <f>SUM('07_Moteur'!$G$3:$G$60)</f>
        <v/>
      </c>
      <c r="E14" s="32">
        <f>IFERROR(C14/D14-1,0)</f>
        <v/>
      </c>
    </row>
    <row r="15">
      <c r="B15" s="67" t="inlineStr">
        <is>
          <t>Taux d'alternance</t>
        </is>
      </c>
      <c r="C15" s="32">
        <f>IFERROR(SUMIF('07_Moteur'!$E$3:$E$60,"ALT",'07_Moteur'!$R$3:$R$60)/SUM('07_Moteur'!$R$3:$R$60),0)</f>
        <v/>
      </c>
      <c r="D15" s="32">
        <f>IFERROR(SUMIF('07_Moteur'!$E$3:$E$60,"ALT",'07_Moteur'!$F$3:$F$60)/SUM('07_Moteur'!$F$3:$F$60),0)</f>
        <v/>
      </c>
      <c r="E15" s="32">
        <f>D15-C15</f>
        <v/>
      </c>
    </row>
    <row r="16">
      <c r="B16" s="67" t="inlineStr">
        <is>
          <t>Taux de sécurisation contrat</t>
        </is>
      </c>
      <c r="C16" s="32">
        <f>'02_Parametres'!$G$9</f>
        <v/>
      </c>
      <c r="D16" s="32">
        <f>'02_Parametres'!$D$26</f>
        <v/>
      </c>
      <c r="E16" s="32">
        <f>D16-C16</f>
        <v/>
      </c>
    </row>
    <row r="17">
      <c r="B17" s="67" t="inlineStr">
        <is>
          <t>€ à risque (contrats non sécurisés)</t>
        </is>
      </c>
      <c r="C17" s="48">
        <f>SUMPRODUCT(('07_Moteur'!$E$3:$E$60="ALT")*'07_Moteur'!$R$3:$R$60*'07_Moteur'!$S$3:$S$60)*(1-'02_Parametres'!$G$9)*(1-'02_Parametres'!$D$25)</f>
        <v/>
      </c>
      <c r="D17" s="48">
        <f>SUMPRODUCT(('07_Moteur'!$E$3:$E$60="ALT")*'07_Moteur'!$F$3:$F$60*'07_Moteur'!$J$3:$J$60)*(1-'02_Parametres'!$D$26)*(1-'02_Parametres'!$D$25)</f>
        <v/>
      </c>
      <c r="E17" s="32">
        <f>IFERROR(C17/D17-1,0)</f>
        <v/>
      </c>
    </row>
    <row r="19" ht="20" customHeight="1">
      <c r="B19" s="3" t="inlineStr">
        <is>
          <t>Comparatif des scénarios (leviers)</t>
        </is>
      </c>
      <c r="C19" s="4" t="n"/>
      <c r="D19" s="4" t="n"/>
      <c r="E19" s="4" t="n"/>
      <c r="F19" s="4" t="n"/>
      <c r="G19" s="4" t="n"/>
    </row>
    <row r="20">
      <c r="B20" s="14" t="inlineStr">
        <is>
          <t>Levier</t>
        </is>
      </c>
      <c r="C20" s="15" t="inlineStr">
        <is>
          <t>Cadrage</t>
        </is>
      </c>
      <c r="D20" s="15" t="inlineStr">
        <is>
          <t>Optimiste</t>
        </is>
      </c>
      <c r="E20" s="15" t="inlineStr">
        <is>
          <t>Prudent</t>
        </is>
      </c>
      <c r="F20" s="21" t="inlineStr">
        <is>
          <t>Actif</t>
        </is>
      </c>
    </row>
    <row r="21">
      <c r="B21" s="9" t="inlineStr">
        <is>
          <t>Croissance recrutement</t>
        </is>
      </c>
      <c r="C21" s="16">
        <f>'02_Parametres'!D6</f>
        <v/>
      </c>
      <c r="D21" s="16">
        <f>'02_Parametres'!E6</f>
        <v/>
      </c>
      <c r="E21" s="16">
        <f>'02_Parametres'!F6</f>
        <v/>
      </c>
      <c r="F21" s="68">
        <f>'02_Parametres'!G6</f>
        <v/>
      </c>
    </row>
    <row r="22">
      <c r="B22" s="9" t="inlineStr">
        <is>
          <t>Hausse tarifaire</t>
        </is>
      </c>
      <c r="C22" s="16">
        <f>'02_Parametres'!D7</f>
        <v/>
      </c>
      <c r="D22" s="16">
        <f>'02_Parametres'!E7</f>
        <v/>
      </c>
      <c r="E22" s="16">
        <f>'02_Parametres'!F7</f>
        <v/>
      </c>
      <c r="F22" s="68">
        <f>'02_Parametres'!G7</f>
        <v/>
      </c>
    </row>
    <row r="23">
      <c r="B23" s="9" t="inlineStr">
        <is>
          <t>Gain conversion</t>
        </is>
      </c>
      <c r="C23" s="16">
        <f>'02_Parametres'!D8</f>
        <v/>
      </c>
      <c r="D23" s="16">
        <f>'02_Parametres'!E8</f>
        <v/>
      </c>
      <c r="E23" s="16">
        <f>'02_Parametres'!F8</f>
        <v/>
      </c>
      <c r="F23" s="68">
        <f>'02_Parametres'!G8</f>
        <v/>
      </c>
    </row>
    <row r="24">
      <c r="B24" s="9" t="inlineStr">
        <is>
          <t>Taux sécurisation ≤3 mois</t>
        </is>
      </c>
      <c r="C24" s="16">
        <f>'02_Parametres'!D9</f>
        <v/>
      </c>
      <c r="D24" s="16">
        <f>'02_Parametres'!E9</f>
        <v/>
      </c>
      <c r="E24" s="16">
        <f>'02_Parametres'!F9</f>
        <v/>
      </c>
      <c r="F24" s="68">
        <f>'02_Parametres'!G9</f>
        <v/>
      </c>
    </row>
    <row r="25">
      <c r="B25" s="9" t="inlineStr">
        <is>
          <t>Taux réinscription</t>
        </is>
      </c>
      <c r="C25" s="16">
        <f>'02_Parametres'!D10</f>
        <v/>
      </c>
      <c r="D25" s="16">
        <f>'02_Parametres'!E10</f>
        <v/>
      </c>
      <c r="E25" s="16">
        <f>'02_Parametres'!F10</f>
        <v/>
      </c>
      <c r="F25" s="68">
        <f>'02_Parametres'!G10</f>
        <v/>
      </c>
    </row>
    <row r="26">
      <c r="B26" s="9" t="inlineStr">
        <is>
          <t>Inflation charges</t>
        </is>
      </c>
      <c r="C26" s="16">
        <f>'02_Parametres'!D11</f>
        <v/>
      </c>
      <c r="D26" s="16">
        <f>'02_Parametres'!E11</f>
        <v/>
      </c>
      <c r="E26" s="16">
        <f>'02_Parametres'!F11</f>
        <v/>
      </c>
      <c r="F26" s="68">
        <f>'02_Parametres'!G11</f>
        <v/>
      </c>
    </row>
    <row r="27">
      <c r="B27" s="9" t="inlineStr">
        <is>
          <t>Politique salariale</t>
        </is>
      </c>
      <c r="C27" s="16">
        <f>'02_Parametres'!D12</f>
        <v/>
      </c>
      <c r="D27" s="16">
        <f>'02_Parametres'!E12</f>
        <v/>
      </c>
      <c r="E27" s="16">
        <f>'02_Parametres'!F12</f>
        <v/>
      </c>
      <c r="F27" s="68">
        <f>'02_Parametres'!G12</f>
        <v/>
      </c>
    </row>
    <row r="28">
      <c r="B28" s="9" t="inlineStr">
        <is>
          <t>CAC</t>
        </is>
      </c>
      <c r="C28" s="18">
        <f>'02_Parametres'!D13</f>
        <v/>
      </c>
      <c r="D28" s="18">
        <f>'02_Parametres'!E13</f>
        <v/>
      </c>
      <c r="E28" s="18">
        <f>'02_Parametres'!F13</f>
        <v/>
      </c>
      <c r="F28" s="69">
        <f>'02_Parametres'!G13</f>
        <v/>
      </c>
    </row>
    <row r="30">
      <c r="B30" s="13" t="inlineStr">
        <is>
          <t>Astuce démo : un gain de conversion admissions (levier « Gain conversion ») augmente les inscrits SANS hausse tarifaire ni dépense volume — souvent le levier le plus rentable.</t>
        </is>
      </c>
    </row>
  </sheetData>
  <mergeCells count="5">
    <mergeCell ref="B3:G3"/>
    <mergeCell ref="B2:G2"/>
    <mergeCell ref="B19:G19"/>
    <mergeCell ref="B6:E6"/>
    <mergeCell ref="B30:G3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50" customWidth="1" min="4" max="4"/>
  </cols>
  <sheetData>
    <row r="2" ht="26" customHeight="1">
      <c r="B2" s="1" t="inlineStr">
        <is>
          <t>Passerelle vers CCH Tagetik</t>
        </is>
      </c>
    </row>
    <row r="4" ht="20" customHeight="1">
      <c r="B4" s="3" t="inlineStr">
        <is>
          <t>Dimensions &amp; objets</t>
        </is>
      </c>
      <c r="C4" s="4" t="n"/>
      <c r="D4" s="4" t="n"/>
    </row>
    <row r="5">
      <c r="B5" s="15" t="inlineStr">
        <is>
          <t>Concept du modèle</t>
        </is>
      </c>
      <c r="C5" s="15" t="inlineStr">
        <is>
          <t>Objet Tagetik</t>
        </is>
      </c>
      <c r="D5" s="15" t="inlineStr">
        <is>
          <t>Détail</t>
        </is>
      </c>
    </row>
    <row r="6" ht="30" customHeight="1">
      <c r="B6" s="70" t="inlineStr">
        <is>
          <t>Marque / Campus</t>
        </is>
      </c>
      <c r="C6" s="7" t="inlineStr">
        <is>
          <t>Entity</t>
        </is>
      </c>
      <c r="D6" s="7" t="inlineStr">
        <is>
          <t>Hiérarchie Groupe → Marque → Campus (04_Referentiel).</t>
        </is>
      </c>
    </row>
    <row r="7" ht="30" customHeight="1">
      <c r="B7" s="70" t="inlineStr">
        <is>
          <t>Programme / Niveau / Modalité</t>
        </is>
      </c>
      <c r="C7" s="7" t="inlineStr">
        <is>
          <t>Dimensions analytiques</t>
        </is>
      </c>
      <c r="D7" s="7" t="inlineStr">
        <is>
          <t>Axes de la maille fine ; attributs initial/alternance.</t>
        </is>
      </c>
    </row>
    <row r="8" ht="30" customHeight="1">
      <c r="B8" s="70" t="inlineStr">
        <is>
          <t>Comptes P&amp;L</t>
        </is>
      </c>
      <c r="C8" s="7" t="inlineStr">
        <is>
          <t>Account</t>
        </is>
      </c>
      <c r="D8" s="7" t="inlineStr">
        <is>
          <t>Plan 04_Referentiel, avec tag Fixe/Variable pour l'analyse.</t>
        </is>
      </c>
    </row>
    <row r="9" ht="30" customHeight="1">
      <c r="B9" s="70" t="inlineStr">
        <is>
          <t>Effectifs, candidatures, classes</t>
        </is>
      </c>
      <c r="C9" s="7" t="inlineStr">
        <is>
          <t>Comptes techniques (statistiques)</t>
        </is>
      </c>
      <c r="D9" s="7" t="inlineStr">
        <is>
          <t>Inducteurs non-financiers pour le calcul piloté.</t>
        </is>
      </c>
    </row>
    <row r="10" ht="30" customHeight="1">
      <c r="B10" s="70" t="inlineStr">
        <is>
          <t>Réalisé N-1 / Budget N+1</t>
        </is>
      </c>
      <c r="C10" s="7" t="inlineStr">
        <is>
          <t>Category</t>
        </is>
      </c>
      <c r="D10" s="7" t="inlineStr">
        <is>
          <t>ACTUAL vs BUDGET.</t>
        </is>
      </c>
    </row>
    <row r="11" ht="30" customHeight="1">
      <c r="B11" s="70" t="inlineStr">
        <is>
          <t>Scénarios (Cadrage/Opt/Prudent)</t>
        </is>
      </c>
      <c r="C11" s="7" t="inlineStr">
        <is>
          <t>Versions</t>
        </is>
      </c>
      <c r="D11" s="7" t="inlineStr">
        <is>
          <t>Une version par scénario ; en Excel via 02_Parametres!C3.</t>
        </is>
      </c>
    </row>
    <row r="12" ht="30" customHeight="1">
      <c r="B12" s="70" t="inlineStr">
        <is>
          <t>Coefficients stratégiques</t>
        </is>
      </c>
      <c r="C12" s="7" t="inlineStr">
        <is>
          <t>Règle de calcul / driver</t>
        </is>
      </c>
      <c r="D12" s="7" t="inlineStr">
        <is>
          <t>Cascade cadrage × coef à la maille fine (comme 03/07).</t>
        </is>
      </c>
    </row>
    <row r="13" ht="30" customHeight="1">
      <c r="B13" s="70" t="inlineStr">
        <is>
          <t>Allocation frais de structure</t>
        </is>
      </c>
      <c r="C13" s="7" t="inlineStr">
        <is>
          <t>Cost allocation / driver</t>
        </is>
      </c>
      <c r="D13" s="7" t="inlineStr">
        <is>
          <t>Répartition par effectif/CA/m² (08_Allocation).</t>
        </is>
      </c>
    </row>
    <row r="14" ht="30" customHeight="1">
      <c r="B14" s="70" t="inlineStr">
        <is>
          <t>Snapshot du budget top-down</t>
        </is>
      </c>
      <c r="C14" s="7" t="inlineStr">
        <is>
          <t>Data snapshot / version figée</t>
        </is>
      </c>
      <c r="D14" s="7" t="inlineStr">
        <is>
          <t>Fige la V1 top-down avant d'ouvrir le workflow.</t>
        </is>
      </c>
    </row>
    <row r="15" ht="30" customHeight="1">
      <c r="B15" s="70" t="inlineStr">
        <is>
          <t>Reprise par les responsables</t>
        </is>
      </c>
      <c r="C15" s="7" t="inlineStr">
        <is>
          <t>Workflow bottom-up</t>
        </is>
      </c>
      <c r="D15" s="7" t="inlineStr">
        <is>
          <t>Saisie/validation par campus → marque → groupe.</t>
        </is>
      </c>
    </row>
    <row r="17" ht="20" customHeight="1">
      <c r="B17" s="3" t="inlineStr">
        <is>
          <t>Séquence de bascule recommandée</t>
        </is>
      </c>
      <c r="C17" s="4" t="n"/>
      <c r="D17" s="4" t="n"/>
    </row>
    <row r="18">
      <c r="B18" s="5" t="inlineStr">
        <is>
          <t>1. Créer les dimensions (Entity, Account, analytiques) et charger le réalisé N-1 (ACTUAL).</t>
        </is>
      </c>
    </row>
    <row r="19">
      <c r="B19" s="5" t="inlineStr">
        <is>
          <t>2. Traduire les inducteurs (02/03) en règles de calcul Tagetik (volume, prix, conversion, classes).</t>
        </is>
      </c>
    </row>
    <row r="20">
      <c r="B20" s="5" t="inlineStr">
        <is>
          <t>3. Générer le budget top-down par cellule (logique 07_Moteur) et contrôler vs 09_PnL.</t>
        </is>
      </c>
    </row>
    <row r="21">
      <c r="B21" s="5" t="inlineStr">
        <is>
          <t>4. Figer un SNAPSHOT (version) du budget top-down.</t>
        </is>
      </c>
    </row>
    <row r="22">
      <c r="B22" s="5" t="inlineStr">
        <is>
          <t>5. Ouvrir le WORKFLOW bottom-up : chaque responsable campus challenge/ajuste, la marque valide.</t>
        </is>
      </c>
    </row>
    <row r="23">
      <c r="B23" s="5" t="inlineStr">
        <is>
          <t>6. Décliner les scénarios en versions et automatiser l'allocation par driver.</t>
        </is>
      </c>
    </row>
  </sheetData>
  <mergeCells count="9">
    <mergeCell ref="B19:D19"/>
    <mergeCell ref="B23:D23"/>
    <mergeCell ref="B22:D22"/>
    <mergeCell ref="B4:D4"/>
    <mergeCell ref="B17:D17"/>
    <mergeCell ref="B18:D18"/>
    <mergeCell ref="B21:D21"/>
    <mergeCell ref="B2:D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2026-08-12T08:17:11Z</dcterms:created>
  <dcterms:modified xsi:type="dcterms:W3CDTF">2026-08-12T08:17:11Z</dcterms:modified>
</cp:coreProperties>
</file>