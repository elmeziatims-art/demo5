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1">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320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320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600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320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320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600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320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320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250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320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320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320</v>
      </c>
      <c r="J23" s="25" t="n">
        <v>0.9</v>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1785470</v>
      </c>
      <c r="F4" s="41" t="n">
        <v>271000</v>
      </c>
      <c r="G4" s="39" t="n">
        <v>12</v>
      </c>
      <c r="H4" s="17">
        <f>G4*'02_Leviers'!$D$15</f>
        <v/>
      </c>
      <c r="I4" s="41" t="n">
        <v>148000</v>
      </c>
      <c r="J4" s="39" t="n">
        <v>2328</v>
      </c>
      <c r="K4" s="17">
        <f>E4-F4-H4</f>
        <v/>
      </c>
    </row>
    <row r="5">
      <c r="A5" s="38" t="inlineStr">
        <is>
          <t>MBway</t>
        </is>
      </c>
      <c r="B5" s="7" t="inlineStr">
        <is>
          <t>Lyon</t>
        </is>
      </c>
      <c r="C5" s="39" t="n">
        <v>248</v>
      </c>
      <c r="D5" s="41" t="n">
        <v>2102540</v>
      </c>
      <c r="E5" s="41" t="n">
        <v>1531180</v>
      </c>
      <c r="F5" s="41" t="n">
        <v>231000</v>
      </c>
      <c r="G5" s="39" t="n">
        <v>11</v>
      </c>
      <c r="H5" s="17">
        <f>G5*'02_Leviers'!$D$15</f>
        <v/>
      </c>
      <c r="I5" s="41" t="n">
        <v>126000</v>
      </c>
      <c r="J5" s="39" t="n">
        <v>1984</v>
      </c>
      <c r="K5" s="17">
        <f>E5-F5-H5</f>
        <v/>
      </c>
    </row>
    <row r="6">
      <c r="A6" s="38" t="inlineStr">
        <is>
          <t>MBway</t>
        </is>
      </c>
      <c r="B6" s="7" t="inlineStr">
        <is>
          <t>Nantes</t>
        </is>
      </c>
      <c r="C6" s="39" t="n">
        <v>224</v>
      </c>
      <c r="D6" s="41" t="n">
        <v>1898640</v>
      </c>
      <c r="E6" s="41" t="n">
        <v>1351280</v>
      </c>
      <c r="F6" s="41" t="n">
        <v>209000</v>
      </c>
      <c r="G6" s="39" t="n">
        <v>10</v>
      </c>
      <c r="H6" s="17">
        <f>G6*'02_Leviers'!$D$15</f>
        <v/>
      </c>
      <c r="I6" s="41" t="n">
        <v>114000</v>
      </c>
      <c r="J6" s="39" t="n">
        <v>1792</v>
      </c>
      <c r="K6" s="17">
        <f>E6-F6-H6</f>
        <v/>
      </c>
    </row>
    <row r="7">
      <c r="A7" s="38" t="inlineStr">
        <is>
          <t>MBway</t>
        </is>
      </c>
      <c r="B7" s="7" t="inlineStr">
        <is>
          <t>Bordeaux</t>
        </is>
      </c>
      <c r="C7" s="39" t="n">
        <v>191</v>
      </c>
      <c r="D7" s="41" t="n">
        <v>1619880</v>
      </c>
      <c r="E7" s="41" t="n">
        <v>1105220</v>
      </c>
      <c r="F7" s="41" t="n">
        <v>178000</v>
      </c>
      <c r="G7" s="39" t="n">
        <v>9</v>
      </c>
      <c r="H7" s="17">
        <f>G7*'02_Leviers'!$D$15</f>
        <v/>
      </c>
      <c r="I7" s="41" t="n">
        <v>97000</v>
      </c>
      <c r="J7" s="39" t="n">
        <v>1528</v>
      </c>
      <c r="K7" s="17">
        <f>E7-F7-H7</f>
        <v/>
      </c>
    </row>
    <row r="8">
      <c r="A8" s="38" t="inlineStr">
        <is>
          <t>ISCOM</t>
        </is>
      </c>
      <c r="B8" s="7" t="inlineStr">
        <is>
          <t>Paris</t>
        </is>
      </c>
      <c r="C8" s="39" t="n">
        <v>269</v>
      </c>
      <c r="D8" s="41" t="n">
        <v>2280350</v>
      </c>
      <c r="E8" s="41" t="n">
        <v>1589820</v>
      </c>
      <c r="F8" s="41" t="n">
        <v>251000</v>
      </c>
      <c r="G8" s="39" t="n">
        <v>12</v>
      </c>
      <c r="H8" s="17">
        <f>G8*'02_Leviers'!$D$15</f>
        <v/>
      </c>
      <c r="I8" s="41" t="n">
        <v>137000</v>
      </c>
      <c r="J8" s="39" t="n">
        <v>2152</v>
      </c>
      <c r="K8" s="17">
        <f>E8-F8-H8</f>
        <v/>
      </c>
    </row>
    <row r="9">
      <c r="A9" s="38" t="inlineStr">
        <is>
          <t>ISCOM</t>
        </is>
      </c>
      <c r="B9" s="7" t="inlineStr">
        <is>
          <t>Lille</t>
        </is>
      </c>
      <c r="C9" s="39" t="n">
        <v>187</v>
      </c>
      <c r="D9" s="41" t="n">
        <v>1585200</v>
      </c>
      <c r="E9" s="41" t="n">
        <v>1025970</v>
      </c>
      <c r="F9" s="41" t="n">
        <v>174000</v>
      </c>
      <c r="G9" s="39" t="n">
        <v>9</v>
      </c>
      <c r="H9" s="17">
        <f>G9*'02_Leviers'!$D$15</f>
        <v/>
      </c>
      <c r="I9" s="41" t="n">
        <v>95000</v>
      </c>
      <c r="J9" s="39" t="n">
        <v>1496</v>
      </c>
      <c r="K9" s="17">
        <f>E9-F9-H9</f>
        <v/>
      </c>
    </row>
    <row r="10">
      <c r="A10" s="38" t="inlineStr">
        <is>
          <t>ISCOM</t>
        </is>
      </c>
      <c r="B10" s="7" t="inlineStr">
        <is>
          <t>Toulouse</t>
        </is>
      </c>
      <c r="C10" s="39" t="n">
        <v>175</v>
      </c>
      <c r="D10" s="41" t="n">
        <v>1483250</v>
      </c>
      <c r="E10" s="41" t="n">
        <v>937820</v>
      </c>
      <c r="F10" s="41" t="n">
        <v>163000</v>
      </c>
      <c r="G10" s="39" t="n">
        <v>8</v>
      </c>
      <c r="H10" s="17">
        <f>G10*'02_Leviers'!$D$15</f>
        <v/>
      </c>
      <c r="I10" s="41" t="n">
        <v>89000</v>
      </c>
      <c r="J10" s="39" t="n">
        <v>1400</v>
      </c>
      <c r="K10" s="17">
        <f>E10-F10-H10</f>
        <v/>
      </c>
    </row>
    <row r="11">
      <c r="A11" s="38" t="inlineStr">
        <is>
          <t>Ipac Bachelor Factory</t>
        </is>
      </c>
      <c r="B11" s="7" t="inlineStr">
        <is>
          <t>Nantes</t>
        </is>
      </c>
      <c r="C11" s="39" t="n">
        <v>130</v>
      </c>
      <c r="D11" s="41" t="n">
        <v>1044500</v>
      </c>
      <c r="E11" s="41" t="n">
        <v>734820</v>
      </c>
      <c r="F11" s="41" t="n">
        <v>115000</v>
      </c>
      <c r="G11" s="39" t="n">
        <v>7</v>
      </c>
      <c r="H11" s="17">
        <f>G11*'02_Leviers'!$D$15</f>
        <v/>
      </c>
      <c r="I11" s="41" t="n">
        <v>63000</v>
      </c>
      <c r="J11" s="39" t="n">
        <v>1040</v>
      </c>
      <c r="K11" s="17">
        <f>E11-F11-H11</f>
        <v/>
      </c>
    </row>
    <row r="12">
      <c r="A12" s="38" t="inlineStr">
        <is>
          <t>Ipac Bachelor Factory</t>
        </is>
      </c>
      <c r="B12" s="7" t="inlineStr">
        <is>
          <t>Rennes</t>
        </is>
      </c>
      <c r="C12" s="39" t="n">
        <v>104</v>
      </c>
      <c r="D12" s="41" t="n">
        <v>835600</v>
      </c>
      <c r="E12" s="41" t="n">
        <v>579040</v>
      </c>
      <c r="F12" s="41" t="n">
        <v>92000</v>
      </c>
      <c r="G12" s="39" t="n">
        <v>6</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579040</v>
      </c>
      <c r="F13" s="41" t="n">
        <v>92000</v>
      </c>
      <c r="G13" s="39" t="n">
        <v>6</v>
      </c>
      <c r="H13" s="17">
        <f>G13*'02_Leviers'!$D$15</f>
        <v/>
      </c>
      <c r="I13" s="41" t="n">
        <v>50000</v>
      </c>
      <c r="J13" s="39" t="n">
        <v>832</v>
      </c>
      <c r="K13" s="17">
        <f>E13-F13-H13</f>
        <v/>
      </c>
    </row>
    <row r="14">
      <c r="A14" s="38" t="inlineStr">
        <is>
          <t>Pigier</t>
        </is>
      </c>
      <c r="B14" s="7" t="inlineStr">
        <is>
          <t>Lyon</t>
        </is>
      </c>
      <c r="C14" s="39" t="n">
        <v>149</v>
      </c>
      <c r="D14" s="41" t="n">
        <v>1130470</v>
      </c>
      <c r="E14" s="41" t="n">
        <v>711410</v>
      </c>
      <c r="F14" s="41" t="n">
        <v>124000</v>
      </c>
      <c r="G14" s="39" t="n">
        <v>7</v>
      </c>
      <c r="H14" s="17">
        <f>G14*'02_Leviers'!$D$15</f>
        <v/>
      </c>
      <c r="I14" s="41" t="n">
        <v>68000</v>
      </c>
      <c r="J14" s="39" t="n">
        <v>1192</v>
      </c>
      <c r="K14" s="17">
        <f>E14-F14-H14</f>
        <v/>
      </c>
    </row>
    <row r="15">
      <c r="A15" s="38" t="inlineStr">
        <is>
          <t>Pigier</t>
        </is>
      </c>
      <c r="B15" s="7" t="inlineStr">
        <is>
          <t>Bordeaux</t>
        </is>
      </c>
      <c r="C15" s="39" t="n">
        <v>117</v>
      </c>
      <c r="D15" s="41" t="n">
        <v>887850</v>
      </c>
      <c r="E15" s="41" t="n">
        <v>605020</v>
      </c>
      <c r="F15" s="41" t="n">
        <v>98000</v>
      </c>
      <c r="G15" s="39" t="n">
        <v>6</v>
      </c>
      <c r="H15" s="17">
        <f>G15*'02_Leviers'!$D$15</f>
        <v/>
      </c>
      <c r="I15" s="41" t="n">
        <v>53000</v>
      </c>
      <c r="J15" s="39" t="n">
        <v>936</v>
      </c>
      <c r="K15" s="17">
        <f>E15-F15-H15</f>
        <v/>
      </c>
    </row>
    <row r="16">
      <c r="A16" s="38" t="inlineStr">
        <is>
          <t>Tunon</t>
        </is>
      </c>
      <c r="B16" s="7" t="inlineStr">
        <is>
          <t>Paris</t>
        </is>
      </c>
      <c r="C16" s="39" t="n">
        <v>122</v>
      </c>
      <c r="D16" s="41" t="n">
        <v>980230</v>
      </c>
      <c r="E16" s="41" t="n">
        <v>675770</v>
      </c>
      <c r="F16" s="41" t="n">
        <v>108000</v>
      </c>
      <c r="G16" s="39" t="n">
        <v>6</v>
      </c>
      <c r="H16" s="17">
        <f>G16*'02_Leviers'!$D$15</f>
        <v/>
      </c>
      <c r="I16" s="41" t="n">
        <v>59000</v>
      </c>
      <c r="J16" s="39" t="n">
        <v>976</v>
      </c>
      <c r="K16" s="17">
        <f>E16-F16-H16</f>
        <v/>
      </c>
    </row>
    <row r="17">
      <c r="A17" s="38" t="inlineStr">
        <is>
          <t>Tunon</t>
        </is>
      </c>
      <c r="B17" s="7" t="inlineStr">
        <is>
          <t>Lyon</t>
        </is>
      </c>
      <c r="C17" s="39" t="n">
        <v>104</v>
      </c>
      <c r="D17" s="41" t="n">
        <v>835600</v>
      </c>
      <c r="E17" s="41" t="n">
        <v>577440</v>
      </c>
      <c r="F17" s="41" t="n">
        <v>92000</v>
      </c>
      <c r="G17" s="39" t="n">
        <v>6</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P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L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8">
        <f>'08_Moteur'!AN3</f>
        <v/>
      </c>
      <c r="J6" s="69">
        <f>IF(H6&lt;0,"🔴 Ne pas ouvrir",IF(I6&gt;=0.95,"🟢 Ouvrir +1 (capter+diluer)",IF(I6&lt;0.55,"🟡 Surveiller","🟢 Maintenir")))</f>
        <v/>
      </c>
      <c r="K6" s="70">
        <f>IF(H6&lt;0,"Contribution négative → fermer améliore l'EBITDA",IF(I6&gt;=0.95,"Saturé → ouvrir capte des étudiants ET dilue la structure pour tous",IF(I6&lt;0.55,"Sous-rempli mais contribution positive → GARDER","Sain")))</f>
        <v/>
      </c>
      <c r="L6" s="21" t="inlineStr">
        <is>
          <t>Maintenir</t>
        </is>
      </c>
      <c r="M6" s="50">
        <f>IF(L6="Ne pas ouvrir",0,IF(L6="Ouvrir +1 classe",E6+'08_Moteur'!O3,E6))</f>
        <v/>
      </c>
      <c r="N6" s="17">
        <f>IF(L6="Ne pas ouvrir",0,IF(L6="Ouvrir +1 classe",H6+'08_Moteur'!O3*('08_Moteur'!AE3*'08_Moteur'!AF3-('08_Moteur'!R3+'02_Leviers'!$D$19)*(1+'02_Leviers'!$G$11)-'08_Moteur'!S3)-'08_Moteur'!U3,IF(L6="Économiser 1 classe",H6+('08_Moteur'!AI3-MAX(1,'08_Moteur'!AI3-1))*'08_Moteur'!U3,H6)))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8">
        <f>'08_Moteur'!AN4</f>
        <v/>
      </c>
      <c r="J7" s="69">
        <f>IF(H7&lt;0,"🔴 Ne pas ouvrir",IF(I7&gt;=0.95,"🟢 Ouvrir +1 (capter+diluer)",IF(I7&lt;0.55,"🟡 Surveiller","🟢 Maintenir")))</f>
        <v/>
      </c>
      <c r="K7" s="70">
        <f>IF(H7&lt;0,"Contribution négative → fermer améliore l'EBITDA",IF(I7&gt;=0.95,"Saturé → ouvrir capte des étudiants ET dilue la structure pour tous",IF(I7&lt;0.55,"Sous-rempli mais contribution positive → GARDER","Sain")))</f>
        <v/>
      </c>
      <c r="L7" s="21" t="inlineStr">
        <is>
          <t>Maintenir</t>
        </is>
      </c>
      <c r="M7" s="50">
        <f>IF(L7="Ne pas ouvrir",0,IF(L7="Ouvrir +1 classe",E7+'08_Moteur'!O4,E7))</f>
        <v/>
      </c>
      <c r="N7" s="17">
        <f>IF(L7="Ne pas ouvrir",0,IF(L7="Ouvrir +1 classe",H7+'08_Moteur'!O4*('08_Moteur'!AE4*'08_Moteur'!AF4-('08_Moteur'!R4+'02_Leviers'!$D$19)*(1+'02_Leviers'!$G$11)-'08_Moteur'!S4)-'08_Moteur'!U4,IF(L7="Économiser 1 classe",H7+('08_Moteur'!AI4-MAX(1,'08_Moteur'!AI4-1))*'08_Moteur'!U4,H7)))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8">
        <f>'08_Moteur'!AN5</f>
        <v/>
      </c>
      <c r="J8" s="69">
        <f>IF(H8&lt;0,"🔴 Ne pas ouvrir",IF(I8&gt;=0.95,"🟢 Ouvrir +1 (capter+diluer)",IF(I8&lt;0.55,"🟡 Surveiller","🟢 Maintenir")))</f>
        <v/>
      </c>
      <c r="K8" s="70">
        <f>IF(H8&lt;0,"Contribution négative → fermer améliore l'EBITDA",IF(I8&gt;=0.95,"Saturé → ouvrir capte des étudiants ET dilue la structure pour tous",IF(I8&lt;0.55,"Sous-rempli mais contribution positive → GARDER","Sain")))</f>
        <v/>
      </c>
      <c r="L8" s="21" t="inlineStr">
        <is>
          <t>Maintenir</t>
        </is>
      </c>
      <c r="M8" s="50">
        <f>IF(L8="Ne pas ouvrir",0,IF(L8="Ouvrir +1 classe",E8+'08_Moteur'!O5,E8))</f>
        <v/>
      </c>
      <c r="N8" s="17">
        <f>IF(L8="Ne pas ouvrir",0,IF(L8="Ouvrir +1 classe",H8+'08_Moteur'!O5*('08_Moteur'!AE5*'08_Moteur'!AF5-('08_Moteur'!R5+'02_Leviers'!$D$19)*(1+'02_Leviers'!$G$11)-'08_Moteur'!S5)-'08_Moteur'!U5,IF(L8="Économiser 1 classe",H8+('08_Moteur'!AI5-MAX(1,'08_Moteur'!AI5-1))*'08_Moteur'!U5,H8)))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8">
        <f>'08_Moteur'!AN6</f>
        <v/>
      </c>
      <c r="J9" s="69">
        <f>IF(H9&lt;0,"🔴 Ne pas ouvrir",IF(I9&gt;=0.95,"🟢 Ouvrir +1 (capter+diluer)",IF(I9&lt;0.55,"🟡 Surveiller","🟢 Maintenir")))</f>
        <v/>
      </c>
      <c r="K9" s="70">
        <f>IF(H9&lt;0,"Contribution négative → fermer améliore l'EBITDA",IF(I9&gt;=0.95,"Saturé → ouvrir capte des étudiants ET dilue la structure pour tous",IF(I9&lt;0.55,"Sous-rempli mais contribution positive → GARDER","Sain")))</f>
        <v/>
      </c>
      <c r="L9" s="21" t="inlineStr">
        <is>
          <t>Maintenir</t>
        </is>
      </c>
      <c r="M9" s="50">
        <f>IF(L9="Ne pas ouvrir",0,IF(L9="Ouvrir +1 classe",E9+'08_Moteur'!O6,E9))</f>
        <v/>
      </c>
      <c r="N9" s="17">
        <f>IF(L9="Ne pas ouvrir",0,IF(L9="Ouvrir +1 classe",H9+'08_Moteur'!O6*('08_Moteur'!AE6*'08_Moteur'!AF6-('08_Moteur'!R6+'02_Leviers'!$D$19)*(1+'02_Leviers'!$G$11)-'08_Moteur'!S6)-'08_Moteur'!U6,IF(L9="Économiser 1 classe",H9+('08_Moteur'!AI6-MAX(1,'08_Moteur'!AI6-1))*'08_Moteur'!U6,H9)))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8">
        <f>'08_Moteur'!AN7</f>
        <v/>
      </c>
      <c r="J10" s="69">
        <f>IF(H10&lt;0,"🔴 Ne pas ouvrir",IF(I10&gt;=0.95,"🟢 Ouvrir +1 (capter+diluer)",IF(I10&lt;0.55,"🟡 Surveiller","🟢 Maintenir")))</f>
        <v/>
      </c>
      <c r="K10" s="70">
        <f>IF(H10&lt;0,"Contribution négative → fermer améliore l'EBITDA",IF(I10&gt;=0.95,"Saturé → ouvrir capte des étudiants ET dilue la structure pour tous",IF(I10&lt;0.55,"Sous-rempli mais contribution positive → GARDER","Sain")))</f>
        <v/>
      </c>
      <c r="L10" s="21" t="inlineStr">
        <is>
          <t>Maintenir</t>
        </is>
      </c>
      <c r="M10" s="50">
        <f>IF(L10="Ne pas ouvrir",0,IF(L10="Ouvrir +1 classe",E10+'08_Moteur'!O7,E10))</f>
        <v/>
      </c>
      <c r="N10" s="17">
        <f>IF(L10="Ne pas ouvrir",0,IF(L10="Ouvrir +1 classe",H10+'08_Moteur'!O7*('08_Moteur'!AE7*'08_Moteur'!AF7-('08_Moteur'!R7+'02_Leviers'!$D$19)*(1+'02_Leviers'!$G$11)-'08_Moteur'!S7)-'08_Moteur'!U7,IF(L10="Économiser 1 classe",H10+('08_Moteur'!AI7-MAX(1,'08_Moteur'!AI7-1))*'08_Moteur'!U7,H10)))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8">
        <f>'08_Moteur'!AN8</f>
        <v/>
      </c>
      <c r="J11" s="69">
        <f>IF(H11&lt;0,"🔴 Ne pas ouvrir",IF(I11&gt;=0.95,"🟢 Ouvrir +1 (capter+diluer)",IF(I11&lt;0.55,"🟡 Surveiller","🟢 Maintenir")))</f>
        <v/>
      </c>
      <c r="K11" s="70">
        <f>IF(H11&lt;0,"Contribution négative → fermer améliore l'EBITDA",IF(I11&gt;=0.95,"Saturé → ouvrir capte des étudiants ET dilue la structure pour tous",IF(I11&lt;0.55,"Sous-rempli mais contribution positive → GARDER","Sain")))</f>
        <v/>
      </c>
      <c r="L11" s="21" t="inlineStr">
        <is>
          <t>Maintenir</t>
        </is>
      </c>
      <c r="M11" s="50">
        <f>IF(L11="Ne pas ouvrir",0,IF(L11="Ouvrir +1 classe",E11+'08_Moteur'!O8,E11))</f>
        <v/>
      </c>
      <c r="N11" s="17">
        <f>IF(L11="Ne pas ouvrir",0,IF(L11="Ouvrir +1 classe",H11+'08_Moteur'!O8*('08_Moteur'!AE8*'08_Moteur'!AF8-('08_Moteur'!R8+'02_Leviers'!$D$19)*(1+'02_Leviers'!$G$11)-'08_Moteur'!S8)-'08_Moteur'!U8,IF(L11="Économiser 1 classe",H11+('08_Moteur'!AI8-MAX(1,'08_Moteur'!AI8-1))*'08_Moteur'!U8,H11)))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8">
        <f>'08_Moteur'!AN9</f>
        <v/>
      </c>
      <c r="J12" s="69">
        <f>IF(H12&lt;0,"🔴 Ne pas ouvrir",IF(I12&gt;=0.95,"🟢 Ouvrir +1 (capter+diluer)",IF(I12&lt;0.55,"🟡 Surveiller","🟢 Maintenir")))</f>
        <v/>
      </c>
      <c r="K12" s="70">
        <f>IF(H12&lt;0,"Contribution négative → fermer améliore l'EBITDA",IF(I12&gt;=0.95,"Saturé → ouvrir capte des étudiants ET dilue la structure pour tous",IF(I12&lt;0.55,"Sous-rempli mais contribution positive → GARDER","Sain")))</f>
        <v/>
      </c>
      <c r="L12" s="21" t="inlineStr">
        <is>
          <t>Maintenir</t>
        </is>
      </c>
      <c r="M12" s="50">
        <f>IF(L12="Ne pas ouvrir",0,IF(L12="Ouvrir +1 classe",E12+'08_Moteur'!O9,E12))</f>
        <v/>
      </c>
      <c r="N12" s="17">
        <f>IF(L12="Ne pas ouvrir",0,IF(L12="Ouvrir +1 classe",H12+'08_Moteur'!O9*('08_Moteur'!AE9*'08_Moteur'!AF9-('08_Moteur'!R9+'02_Leviers'!$D$19)*(1+'02_Leviers'!$G$11)-'08_Moteur'!S9)-'08_Moteur'!U9,IF(L12="Économiser 1 classe",H12+('08_Moteur'!AI9-MAX(1,'08_Moteur'!AI9-1))*'08_Moteur'!U9,H12)))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8">
        <f>'08_Moteur'!AN10</f>
        <v/>
      </c>
      <c r="J13" s="69">
        <f>IF(H13&lt;0,"🔴 Ne pas ouvrir",IF(I13&gt;=0.95,"🟢 Ouvrir +1 (capter+diluer)",IF(I13&lt;0.55,"🟡 Surveiller","🟢 Maintenir")))</f>
        <v/>
      </c>
      <c r="K13" s="70">
        <f>IF(H13&lt;0,"Contribution négative → fermer améliore l'EBITDA",IF(I13&gt;=0.95,"Saturé → ouvrir capte des étudiants ET dilue la structure pour tous",IF(I13&lt;0.55,"Sous-rempli mais contribution positive → GARDER","Sain")))</f>
        <v/>
      </c>
      <c r="L13" s="21" t="inlineStr">
        <is>
          <t>Maintenir</t>
        </is>
      </c>
      <c r="M13" s="50">
        <f>IF(L13="Ne pas ouvrir",0,IF(L13="Ouvrir +1 classe",E13+'08_Moteur'!O10,E13))</f>
        <v/>
      </c>
      <c r="N13" s="17">
        <f>IF(L13="Ne pas ouvrir",0,IF(L13="Ouvrir +1 classe",H13+'08_Moteur'!O10*('08_Moteur'!AE10*'08_Moteur'!AF10-('08_Moteur'!R10+'02_Leviers'!$D$19)*(1+'02_Leviers'!$G$11)-'08_Moteur'!S10)-'08_Moteur'!U10,IF(L13="Économiser 1 classe",H13+('08_Moteur'!AI10-MAX(1,'08_Moteur'!AI10-1))*'08_Moteur'!U10,H13)))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8">
        <f>'08_Moteur'!AN11</f>
        <v/>
      </c>
      <c r="J14" s="69">
        <f>IF(H14&lt;0,"🔴 Ne pas ouvrir",IF(I14&gt;=0.95,"🟢 Ouvrir +1 (capter+diluer)",IF(I14&lt;0.55,"🟡 Surveiller","🟢 Maintenir")))</f>
        <v/>
      </c>
      <c r="K14" s="70">
        <f>IF(H14&lt;0,"Contribution négative → fermer améliore l'EBITDA",IF(I14&gt;=0.95,"Saturé → ouvrir capte des étudiants ET dilue la structure pour tous",IF(I14&lt;0.55,"Sous-rempli mais contribution positive → GARDER","Sain")))</f>
        <v/>
      </c>
      <c r="L14" s="21" t="inlineStr">
        <is>
          <t>Maintenir</t>
        </is>
      </c>
      <c r="M14" s="50">
        <f>IF(L14="Ne pas ouvrir",0,IF(L14="Ouvrir +1 classe",E14+'08_Moteur'!O11,E14))</f>
        <v/>
      </c>
      <c r="N14" s="17">
        <f>IF(L14="Ne pas ouvrir",0,IF(L14="Ouvrir +1 classe",H14+'08_Moteur'!O11*('08_Moteur'!AE11*'08_Moteur'!AF11-('08_Moteur'!R11+'02_Leviers'!$D$19)*(1+'02_Leviers'!$G$11)-'08_Moteur'!S11)-'08_Moteur'!U11,IF(L14="Économiser 1 classe",H14+('08_Moteur'!AI11-MAX(1,'08_Moteur'!AI11-1))*'08_Moteur'!U11,H14)))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8">
        <f>'08_Moteur'!AN12</f>
        <v/>
      </c>
      <c r="J15" s="69">
        <f>IF(H15&lt;0,"🔴 Ne pas ouvrir",IF(I15&gt;=0.95,"🟢 Ouvrir +1 (capter+diluer)",IF(I15&lt;0.55,"🟡 Surveiller","🟢 Maintenir")))</f>
        <v/>
      </c>
      <c r="K15" s="70">
        <f>IF(H15&lt;0,"Contribution négative → fermer améliore l'EBITDA",IF(I15&gt;=0.95,"Saturé → ouvrir capte des étudiants ET dilue la structure pour tous",IF(I15&lt;0.55,"Sous-rempli mais contribution positive → GARDER","Sain")))</f>
        <v/>
      </c>
      <c r="L15" s="21" t="inlineStr">
        <is>
          <t>Maintenir</t>
        </is>
      </c>
      <c r="M15" s="50">
        <f>IF(L15="Ne pas ouvrir",0,IF(L15="Ouvrir +1 classe",E15+'08_Moteur'!O12,E15))</f>
        <v/>
      </c>
      <c r="N15" s="17">
        <f>IF(L15="Ne pas ouvrir",0,IF(L15="Ouvrir +1 classe",H15+'08_Moteur'!O12*('08_Moteur'!AE12*'08_Moteur'!AF12-('08_Moteur'!R12+'02_Leviers'!$D$19)*(1+'02_Leviers'!$G$11)-'08_Moteur'!S12)-'08_Moteur'!U12,IF(L15="Économiser 1 classe",H15+('08_Moteur'!AI12-MAX(1,'08_Moteur'!AI12-1))*'08_Moteur'!U12,H15)))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8">
        <f>'08_Moteur'!AN13</f>
        <v/>
      </c>
      <c r="J16" s="69">
        <f>IF(H16&lt;0,"🔴 Ne pas ouvrir",IF(I16&gt;=0.95,"🟢 Ouvrir +1 (capter+diluer)",IF(I16&lt;0.55,"🟡 Surveiller","🟢 Maintenir")))</f>
        <v/>
      </c>
      <c r="K16" s="70">
        <f>IF(H16&lt;0,"Contribution négative → fermer améliore l'EBITDA",IF(I16&gt;=0.95,"Saturé → ouvrir capte des étudiants ET dilue la structure pour tous",IF(I16&lt;0.55,"Sous-rempli mais contribution positive → GARDER","Sain")))</f>
        <v/>
      </c>
      <c r="L16" s="21" t="inlineStr">
        <is>
          <t>Maintenir</t>
        </is>
      </c>
      <c r="M16" s="50">
        <f>IF(L16="Ne pas ouvrir",0,IF(L16="Ouvrir +1 classe",E16+'08_Moteur'!O13,E16))</f>
        <v/>
      </c>
      <c r="N16" s="17">
        <f>IF(L16="Ne pas ouvrir",0,IF(L16="Ouvrir +1 classe",H16+'08_Moteur'!O13*('08_Moteur'!AE13*'08_Moteur'!AF13-('08_Moteur'!R13+'02_Leviers'!$D$19)*(1+'02_Leviers'!$G$11)-'08_Moteur'!S13)-'08_Moteur'!U13,IF(L16="Économiser 1 classe",H16+('08_Moteur'!AI13-MAX(1,'08_Moteur'!AI13-1))*'08_Moteur'!U13,H16)))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8">
        <f>'08_Moteur'!AN14</f>
        <v/>
      </c>
      <c r="J17" s="69">
        <f>IF(H17&lt;0,"🔴 Ne pas ouvrir",IF(I17&gt;=0.95,"🟢 Ouvrir +1 (capter+diluer)",IF(I17&lt;0.55,"🟡 Surveiller","🟢 Maintenir")))</f>
        <v/>
      </c>
      <c r="K17" s="70">
        <f>IF(H17&lt;0,"Contribution négative → fermer améliore l'EBITDA",IF(I17&gt;=0.95,"Saturé → ouvrir capte des étudiants ET dilue la structure pour tous",IF(I17&lt;0.55,"Sous-rempli mais contribution positive → GARDER","Sain")))</f>
        <v/>
      </c>
      <c r="L17" s="21" t="inlineStr">
        <is>
          <t>Maintenir</t>
        </is>
      </c>
      <c r="M17" s="50">
        <f>IF(L17="Ne pas ouvrir",0,IF(L17="Ouvrir +1 classe",E17+'08_Moteur'!O14,E17))</f>
        <v/>
      </c>
      <c r="N17" s="17">
        <f>IF(L17="Ne pas ouvrir",0,IF(L17="Ouvrir +1 classe",H17+'08_Moteur'!O14*('08_Moteur'!AE14*'08_Moteur'!AF14-('08_Moteur'!R14+'02_Leviers'!$D$19)*(1+'02_Leviers'!$G$11)-'08_Moteur'!S14)-'08_Moteur'!U14,IF(L17="Économiser 1 classe",H17+('08_Moteur'!AI14-MAX(1,'08_Moteur'!AI14-1))*'08_Moteur'!U14,H17)))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8">
        <f>'08_Moteur'!AN15</f>
        <v/>
      </c>
      <c r="J18" s="69">
        <f>IF(H18&lt;0,"🔴 Ne pas ouvrir",IF(I18&gt;=0.95,"🟢 Ouvrir +1 (capter+diluer)",IF(I18&lt;0.55,"🟡 Surveiller","🟢 Maintenir")))</f>
        <v/>
      </c>
      <c r="K18" s="70">
        <f>IF(H18&lt;0,"Contribution négative → fermer améliore l'EBITDA",IF(I18&gt;=0.95,"Saturé → ouvrir capte des étudiants ET dilue la structure pour tous",IF(I18&lt;0.55,"Sous-rempli mais contribution positive → GARDER","Sain")))</f>
        <v/>
      </c>
      <c r="L18" s="21" t="inlineStr">
        <is>
          <t>Maintenir</t>
        </is>
      </c>
      <c r="M18" s="50">
        <f>IF(L18="Ne pas ouvrir",0,IF(L18="Ouvrir +1 classe",E18+'08_Moteur'!O15,E18))</f>
        <v/>
      </c>
      <c r="N18" s="17">
        <f>IF(L18="Ne pas ouvrir",0,IF(L18="Ouvrir +1 classe",H18+'08_Moteur'!O15*('08_Moteur'!AE15*'08_Moteur'!AF15-('08_Moteur'!R15+'02_Leviers'!$D$19)*(1+'02_Leviers'!$G$11)-'08_Moteur'!S15)-'08_Moteur'!U15,IF(L18="Économiser 1 classe",H18+('08_Moteur'!AI15-MAX(1,'08_Moteur'!AI15-1))*'08_Moteur'!U15,H18)))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8">
        <f>'08_Moteur'!AN16</f>
        <v/>
      </c>
      <c r="J19" s="69">
        <f>IF(H19&lt;0,"🔴 Ne pas ouvrir",IF(I19&gt;=0.95,"🟢 Ouvrir +1 (capter+diluer)",IF(I19&lt;0.55,"🟡 Surveiller","🟢 Maintenir")))</f>
        <v/>
      </c>
      <c r="K19" s="70">
        <f>IF(H19&lt;0,"Contribution négative → fermer améliore l'EBITDA",IF(I19&gt;=0.95,"Saturé → ouvrir capte des étudiants ET dilue la structure pour tous",IF(I19&lt;0.55,"Sous-rempli mais contribution positive → GARDER","Sain")))</f>
        <v/>
      </c>
      <c r="L19" s="21" t="inlineStr">
        <is>
          <t>Maintenir</t>
        </is>
      </c>
      <c r="M19" s="50">
        <f>IF(L19="Ne pas ouvrir",0,IF(L19="Ouvrir +1 classe",E19+'08_Moteur'!O16,E19))</f>
        <v/>
      </c>
      <c r="N19" s="17">
        <f>IF(L19="Ne pas ouvrir",0,IF(L19="Ouvrir +1 classe",H19+'08_Moteur'!O16*('08_Moteur'!AE16*'08_Moteur'!AF16-('08_Moteur'!R16+'02_Leviers'!$D$19)*(1+'02_Leviers'!$G$11)-'08_Moteur'!S16)-'08_Moteur'!U16,IF(L19="Économiser 1 classe",H19+('08_Moteur'!AI16-MAX(1,'08_Moteur'!AI16-1))*'08_Moteur'!U16,H19)))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8">
        <f>'08_Moteur'!AN17</f>
        <v/>
      </c>
      <c r="J20" s="69">
        <f>IF(H20&lt;0,"🔴 Ne pas ouvrir",IF(I20&gt;=0.95,"🟢 Ouvrir +1 (capter+diluer)",IF(I20&lt;0.55,"🟡 Surveiller","🟢 Maintenir")))</f>
        <v/>
      </c>
      <c r="K20" s="70">
        <f>IF(H20&lt;0,"Contribution négative → fermer améliore l'EBITDA",IF(I20&gt;=0.95,"Saturé → ouvrir capte des étudiants ET dilue la structure pour tous",IF(I20&lt;0.55,"Sous-rempli mais contribution positive → GARDER","Sain")))</f>
        <v/>
      </c>
      <c r="L20" s="21" t="inlineStr">
        <is>
          <t>Maintenir</t>
        </is>
      </c>
      <c r="M20" s="50">
        <f>IF(L20="Ne pas ouvrir",0,IF(L20="Ouvrir +1 classe",E20+'08_Moteur'!O17,E20))</f>
        <v/>
      </c>
      <c r="N20" s="17">
        <f>IF(L20="Ne pas ouvrir",0,IF(L20="Ouvrir +1 classe",H20+'08_Moteur'!O17*('08_Moteur'!AE17*'08_Moteur'!AF17-('08_Moteur'!R17+'02_Leviers'!$D$19)*(1+'02_Leviers'!$G$11)-'08_Moteur'!S17)-'08_Moteur'!U17,IF(L20="Économiser 1 classe",H20+('08_Moteur'!AI17-MAX(1,'08_Moteur'!AI17-1))*'08_Moteur'!U17,H20)))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8">
        <f>'08_Moteur'!AN18</f>
        <v/>
      </c>
      <c r="J21" s="69">
        <f>IF(H21&lt;0,"🔴 Ne pas ouvrir",IF(I21&gt;=0.95,"🟢 Ouvrir +1 (capter+diluer)",IF(I21&lt;0.55,"🟡 Surveiller","🟢 Maintenir")))</f>
        <v/>
      </c>
      <c r="K21" s="70">
        <f>IF(H21&lt;0,"Contribution négative → fermer améliore l'EBITDA",IF(I21&gt;=0.95,"Saturé → ouvrir capte des étudiants ET dilue la structure pour tous",IF(I21&lt;0.55,"Sous-rempli mais contribution positive → GARDER","Sain")))</f>
        <v/>
      </c>
      <c r="L21" s="21" t="inlineStr">
        <is>
          <t>Maintenir</t>
        </is>
      </c>
      <c r="M21" s="50">
        <f>IF(L21="Ne pas ouvrir",0,IF(L21="Ouvrir +1 classe",E21+'08_Moteur'!O18,E21))</f>
        <v/>
      </c>
      <c r="N21" s="17">
        <f>IF(L21="Ne pas ouvrir",0,IF(L21="Ouvrir +1 classe",H21+'08_Moteur'!O18*('08_Moteur'!AE18*'08_Moteur'!AF18-('08_Moteur'!R18+'02_Leviers'!$D$19)*(1+'02_Leviers'!$G$11)-'08_Moteur'!S18)-'08_Moteur'!U18,IF(L21="Économiser 1 classe",H21+('08_Moteur'!AI18-MAX(1,'08_Moteur'!AI18-1))*'08_Moteur'!U18,H21)))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8">
        <f>'08_Moteur'!AN19</f>
        <v/>
      </c>
      <c r="J22" s="69">
        <f>IF(H22&lt;0,"🔴 Ne pas ouvrir",IF(I22&gt;=0.95,"🟢 Ouvrir +1 (capter+diluer)",IF(I22&lt;0.55,"🟡 Surveiller","🟢 Maintenir")))</f>
        <v/>
      </c>
      <c r="K22" s="70">
        <f>IF(H22&lt;0,"Contribution négative → fermer améliore l'EBITDA",IF(I22&gt;=0.95,"Saturé → ouvrir capte des étudiants ET dilue la structure pour tous",IF(I22&lt;0.55,"Sous-rempli mais contribution positive → GARDER","Sain")))</f>
        <v/>
      </c>
      <c r="L22" s="21" t="inlineStr">
        <is>
          <t>Maintenir</t>
        </is>
      </c>
      <c r="M22" s="50">
        <f>IF(L22="Ne pas ouvrir",0,IF(L22="Ouvrir +1 classe",E22+'08_Moteur'!O19,E22))</f>
        <v/>
      </c>
      <c r="N22" s="17">
        <f>IF(L22="Ne pas ouvrir",0,IF(L22="Ouvrir +1 classe",H22+'08_Moteur'!O19*('08_Moteur'!AE19*'08_Moteur'!AF19-('08_Moteur'!R19+'02_Leviers'!$D$19)*(1+'02_Leviers'!$G$11)-'08_Moteur'!S19)-'08_Moteur'!U19,IF(L22="Économiser 1 classe",H22+('08_Moteur'!AI19-MAX(1,'08_Moteur'!AI19-1))*'08_Moteur'!U19,H22)))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8">
        <f>'08_Moteur'!AN20</f>
        <v/>
      </c>
      <c r="J23" s="69">
        <f>IF(H23&lt;0,"🔴 Ne pas ouvrir",IF(I23&gt;=0.95,"🟢 Ouvrir +1 (capter+diluer)",IF(I23&lt;0.55,"🟡 Surveiller","🟢 Maintenir")))</f>
        <v/>
      </c>
      <c r="K23" s="70">
        <f>IF(H23&lt;0,"Contribution négative → fermer améliore l'EBITDA",IF(I23&gt;=0.95,"Saturé → ouvrir capte des étudiants ET dilue la structure pour tous",IF(I23&lt;0.55,"Sous-rempli mais contribution positive → GARDER","Sain")))</f>
        <v/>
      </c>
      <c r="L23" s="21" t="inlineStr">
        <is>
          <t>Maintenir</t>
        </is>
      </c>
      <c r="M23" s="50">
        <f>IF(L23="Ne pas ouvrir",0,IF(L23="Ouvrir +1 classe",E23+'08_Moteur'!O20,E23))</f>
        <v/>
      </c>
      <c r="N23" s="17">
        <f>IF(L23="Ne pas ouvrir",0,IF(L23="Ouvrir +1 classe",H23+'08_Moteur'!O20*('08_Moteur'!AE20*'08_Moteur'!AF20-('08_Moteur'!R20+'02_Leviers'!$D$19)*(1+'02_Leviers'!$G$11)-'08_Moteur'!S20)-'08_Moteur'!U20,IF(L23="Économiser 1 classe",H23+('08_Moteur'!AI20-MAX(1,'08_Moteur'!AI20-1))*'08_Moteur'!U20,H23)))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8">
        <f>'08_Moteur'!AN21</f>
        <v/>
      </c>
      <c r="J24" s="69">
        <f>IF(H24&lt;0,"🔴 Ne pas ouvrir",IF(I24&gt;=0.95,"🟢 Ouvrir +1 (capter+diluer)",IF(I24&lt;0.55,"🟡 Surveiller","🟢 Maintenir")))</f>
        <v/>
      </c>
      <c r="K24" s="70">
        <f>IF(H24&lt;0,"Contribution négative → fermer améliore l'EBITDA",IF(I24&gt;=0.95,"Saturé → ouvrir capte des étudiants ET dilue la structure pour tous",IF(I24&lt;0.55,"Sous-rempli mais contribution positive → GARDER","Sain")))</f>
        <v/>
      </c>
      <c r="L24" s="21" t="inlineStr">
        <is>
          <t>Maintenir</t>
        </is>
      </c>
      <c r="M24" s="50">
        <f>IF(L24="Ne pas ouvrir",0,IF(L24="Ouvrir +1 classe",E24+'08_Moteur'!O21,E24))</f>
        <v/>
      </c>
      <c r="N24" s="17">
        <f>IF(L24="Ne pas ouvrir",0,IF(L24="Ouvrir +1 classe",H24+'08_Moteur'!O21*('08_Moteur'!AE21*'08_Moteur'!AF21-('08_Moteur'!R21+'02_Leviers'!$D$19)*(1+'02_Leviers'!$G$11)-'08_Moteur'!S21)-'08_Moteur'!U21,IF(L24="Économiser 1 classe",H24+('08_Moteur'!AI21-MAX(1,'08_Moteur'!AI21-1))*'08_Moteur'!U21,H24)))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8">
        <f>'08_Moteur'!AN22</f>
        <v/>
      </c>
      <c r="J25" s="69">
        <f>IF(H25&lt;0,"🔴 Ne pas ouvrir",IF(I25&gt;=0.95,"🟢 Ouvrir +1 (capter+diluer)",IF(I25&lt;0.55,"🟡 Surveiller","🟢 Maintenir")))</f>
        <v/>
      </c>
      <c r="K25" s="70">
        <f>IF(H25&lt;0,"Contribution négative → fermer améliore l'EBITDA",IF(I25&gt;=0.95,"Saturé → ouvrir capte des étudiants ET dilue la structure pour tous",IF(I25&lt;0.55,"Sous-rempli mais contribution positive → GARDER","Sain")))</f>
        <v/>
      </c>
      <c r="L25" s="21" t="inlineStr">
        <is>
          <t>Maintenir</t>
        </is>
      </c>
      <c r="M25" s="50">
        <f>IF(L25="Ne pas ouvrir",0,IF(L25="Ouvrir +1 classe",E25+'08_Moteur'!O22,E25))</f>
        <v/>
      </c>
      <c r="N25" s="17">
        <f>IF(L25="Ne pas ouvrir",0,IF(L25="Ouvrir +1 classe",H25+'08_Moteur'!O22*('08_Moteur'!AE22*'08_Moteur'!AF22-('08_Moteur'!R22+'02_Leviers'!$D$19)*(1+'02_Leviers'!$G$11)-'08_Moteur'!S22)-'08_Moteur'!U22,IF(L25="Économiser 1 classe",H25+('08_Moteur'!AI22-MAX(1,'08_Moteur'!AI22-1))*'08_Moteur'!U22,H25)))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8">
        <f>'08_Moteur'!AN23</f>
        <v/>
      </c>
      <c r="J26" s="69">
        <f>IF(H26&lt;0,"🔴 Ne pas ouvrir",IF(I26&gt;=0.95,"🟢 Ouvrir +1 (capter+diluer)",IF(I26&lt;0.55,"🟡 Surveiller","🟢 Maintenir")))</f>
        <v/>
      </c>
      <c r="K26" s="70">
        <f>IF(H26&lt;0,"Contribution négative → fermer améliore l'EBITDA",IF(I26&gt;=0.95,"Saturé → ouvrir capte des étudiants ET dilue la structure pour tous",IF(I26&lt;0.55,"Sous-rempli mais contribution positive → GARDER","Sain")))</f>
        <v/>
      </c>
      <c r="L26" s="21" t="inlineStr">
        <is>
          <t>Maintenir</t>
        </is>
      </c>
      <c r="M26" s="50">
        <f>IF(L26="Ne pas ouvrir",0,IF(L26="Ouvrir +1 classe",E26+'08_Moteur'!O23,E26))</f>
        <v/>
      </c>
      <c r="N26" s="17">
        <f>IF(L26="Ne pas ouvrir",0,IF(L26="Ouvrir +1 classe",H26+'08_Moteur'!O23*('08_Moteur'!AE23*'08_Moteur'!AF23-('08_Moteur'!R23+'02_Leviers'!$D$19)*(1+'02_Leviers'!$G$11)-'08_Moteur'!S23)-'08_Moteur'!U23,IF(L26="Économiser 1 classe",H26+('08_Moteur'!AI23-MAX(1,'08_Moteur'!AI23-1))*'08_Moteur'!U23,H26)))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8">
        <f>'08_Moteur'!AN24</f>
        <v/>
      </c>
      <c r="J27" s="69">
        <f>IF(H27&lt;0,"🔴 Ne pas ouvrir",IF(I27&gt;=0.95,"🟢 Ouvrir +1 (capter+diluer)",IF(I27&lt;0.55,"🟡 Surveiller","🟢 Maintenir")))</f>
        <v/>
      </c>
      <c r="K27" s="70">
        <f>IF(H27&lt;0,"Contribution négative → fermer améliore l'EBITDA",IF(I27&gt;=0.95,"Saturé → ouvrir capte des étudiants ET dilue la structure pour tous",IF(I27&lt;0.55,"Sous-rempli mais contribution positive → GARDER","Sain")))</f>
        <v/>
      </c>
      <c r="L27" s="21" t="inlineStr">
        <is>
          <t>Maintenir</t>
        </is>
      </c>
      <c r="M27" s="50">
        <f>IF(L27="Ne pas ouvrir",0,IF(L27="Ouvrir +1 classe",E27+'08_Moteur'!O24,E27))</f>
        <v/>
      </c>
      <c r="N27" s="17">
        <f>IF(L27="Ne pas ouvrir",0,IF(L27="Ouvrir +1 classe",H27+'08_Moteur'!O24*('08_Moteur'!AE24*'08_Moteur'!AF24-('08_Moteur'!R24+'02_Leviers'!$D$19)*(1+'02_Leviers'!$G$11)-'08_Moteur'!S24)-'08_Moteur'!U24,IF(L27="Économiser 1 classe",H27+('08_Moteur'!AI24-MAX(1,'08_Moteur'!AI24-1))*'08_Moteur'!U24,H27)))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8">
        <f>'08_Moteur'!AN25</f>
        <v/>
      </c>
      <c r="J28" s="69">
        <f>IF(H28&lt;0,"🔴 Ne pas ouvrir",IF(I28&gt;=0.95,"🟢 Ouvrir +1 (capter+diluer)",IF(I28&lt;0.55,"🟡 Surveiller","🟢 Maintenir")))</f>
        <v/>
      </c>
      <c r="K28" s="70">
        <f>IF(H28&lt;0,"Contribution négative → fermer améliore l'EBITDA",IF(I28&gt;=0.95,"Saturé → ouvrir capte des étudiants ET dilue la structure pour tous",IF(I28&lt;0.55,"Sous-rempli mais contribution positive → GARDER","Sain")))</f>
        <v/>
      </c>
      <c r="L28" s="21" t="inlineStr">
        <is>
          <t>Maintenir</t>
        </is>
      </c>
      <c r="M28" s="50">
        <f>IF(L28="Ne pas ouvrir",0,IF(L28="Ouvrir +1 classe",E28+'08_Moteur'!O25,E28))</f>
        <v/>
      </c>
      <c r="N28" s="17">
        <f>IF(L28="Ne pas ouvrir",0,IF(L28="Ouvrir +1 classe",H28+'08_Moteur'!O25*('08_Moteur'!AE25*'08_Moteur'!AF25-('08_Moteur'!R25+'02_Leviers'!$D$19)*(1+'02_Leviers'!$G$11)-'08_Moteur'!S25)-'08_Moteur'!U25,IF(L28="Économiser 1 classe",H28+('08_Moteur'!AI25-MAX(1,'08_Moteur'!AI25-1))*'08_Moteur'!U25,H28)))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8">
        <f>'08_Moteur'!AN26</f>
        <v/>
      </c>
      <c r="J29" s="69">
        <f>IF(H29&lt;0,"🔴 Ne pas ouvrir",IF(I29&gt;=0.95,"🟢 Ouvrir +1 (capter+diluer)",IF(I29&lt;0.55,"🟡 Surveiller","🟢 Maintenir")))</f>
        <v/>
      </c>
      <c r="K29" s="70">
        <f>IF(H29&lt;0,"Contribution négative → fermer améliore l'EBITDA",IF(I29&gt;=0.95,"Saturé → ouvrir capte des étudiants ET dilue la structure pour tous",IF(I29&lt;0.55,"Sous-rempli mais contribution positive → GARDER","Sain")))</f>
        <v/>
      </c>
      <c r="L29" s="21" t="inlineStr">
        <is>
          <t>Maintenir</t>
        </is>
      </c>
      <c r="M29" s="50">
        <f>IF(L29="Ne pas ouvrir",0,IF(L29="Ouvrir +1 classe",E29+'08_Moteur'!O26,E29))</f>
        <v/>
      </c>
      <c r="N29" s="17">
        <f>IF(L29="Ne pas ouvrir",0,IF(L29="Ouvrir +1 classe",H29+'08_Moteur'!O26*('08_Moteur'!AE26*'08_Moteur'!AF26-('08_Moteur'!R26+'02_Leviers'!$D$19)*(1+'02_Leviers'!$G$11)-'08_Moteur'!S26)-'08_Moteur'!U26,IF(L29="Économiser 1 classe",H29+('08_Moteur'!AI26-MAX(1,'08_Moteur'!AI26-1))*'08_Moteur'!U26,H29)))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8">
        <f>'08_Moteur'!AN27</f>
        <v/>
      </c>
      <c r="J30" s="69">
        <f>IF(H30&lt;0,"🔴 Ne pas ouvrir",IF(I30&gt;=0.95,"🟢 Ouvrir +1 (capter+diluer)",IF(I30&lt;0.55,"🟡 Surveiller","🟢 Maintenir")))</f>
        <v/>
      </c>
      <c r="K30" s="70">
        <f>IF(H30&lt;0,"Contribution négative → fermer améliore l'EBITDA",IF(I30&gt;=0.95,"Saturé → ouvrir capte des étudiants ET dilue la structure pour tous",IF(I30&lt;0.55,"Sous-rempli mais contribution positive → GARDER","Sain")))</f>
        <v/>
      </c>
      <c r="L30" s="21" t="inlineStr">
        <is>
          <t>Maintenir</t>
        </is>
      </c>
      <c r="M30" s="50">
        <f>IF(L30="Ne pas ouvrir",0,IF(L30="Ouvrir +1 classe",E30+'08_Moteur'!O27,E30))</f>
        <v/>
      </c>
      <c r="N30" s="17">
        <f>IF(L30="Ne pas ouvrir",0,IF(L30="Ouvrir +1 classe",H30+'08_Moteur'!O27*('08_Moteur'!AE27*'08_Moteur'!AF27-('08_Moteur'!R27+'02_Leviers'!$D$19)*(1+'02_Leviers'!$G$11)-'08_Moteur'!S27)-'08_Moteur'!U27,IF(L30="Économiser 1 classe",H30+('08_Moteur'!AI27-MAX(1,'08_Moteur'!AI27-1))*'08_Moteur'!U27,H30)))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8">
        <f>'08_Moteur'!AN28</f>
        <v/>
      </c>
      <c r="J31" s="69">
        <f>IF(H31&lt;0,"🔴 Ne pas ouvrir",IF(I31&gt;=0.95,"🟢 Ouvrir +1 (capter+diluer)",IF(I31&lt;0.55,"🟡 Surveiller","🟢 Maintenir")))</f>
        <v/>
      </c>
      <c r="K31" s="70">
        <f>IF(H31&lt;0,"Contribution négative → fermer améliore l'EBITDA",IF(I31&gt;=0.95,"Saturé → ouvrir capte des étudiants ET dilue la structure pour tous",IF(I31&lt;0.55,"Sous-rempli mais contribution positive → GARDER","Sain")))</f>
        <v/>
      </c>
      <c r="L31" s="21" t="inlineStr">
        <is>
          <t>Maintenir</t>
        </is>
      </c>
      <c r="M31" s="50">
        <f>IF(L31="Ne pas ouvrir",0,IF(L31="Ouvrir +1 classe",E31+'08_Moteur'!O28,E31))</f>
        <v/>
      </c>
      <c r="N31" s="17">
        <f>IF(L31="Ne pas ouvrir",0,IF(L31="Ouvrir +1 classe",H31+'08_Moteur'!O28*('08_Moteur'!AE28*'08_Moteur'!AF28-('08_Moteur'!R28+'02_Leviers'!$D$19)*(1+'02_Leviers'!$G$11)-'08_Moteur'!S28)-'08_Moteur'!U28,IF(L31="Économiser 1 classe",H31+('08_Moteur'!AI28-MAX(1,'08_Moteur'!AI28-1))*'08_Moteur'!U28,H31)))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8">
        <f>'08_Moteur'!AN29</f>
        <v/>
      </c>
      <c r="J32" s="69">
        <f>IF(H32&lt;0,"🔴 Ne pas ouvrir",IF(I32&gt;=0.95,"🟢 Ouvrir +1 (capter+diluer)",IF(I32&lt;0.55,"🟡 Surveiller","🟢 Maintenir")))</f>
        <v/>
      </c>
      <c r="K32" s="70">
        <f>IF(H32&lt;0,"Contribution négative → fermer améliore l'EBITDA",IF(I32&gt;=0.95,"Saturé → ouvrir capte des étudiants ET dilue la structure pour tous",IF(I32&lt;0.55,"Sous-rempli mais contribution positive → GARDER","Sain")))</f>
        <v/>
      </c>
      <c r="L32" s="21" t="inlineStr">
        <is>
          <t>Maintenir</t>
        </is>
      </c>
      <c r="M32" s="50">
        <f>IF(L32="Ne pas ouvrir",0,IF(L32="Ouvrir +1 classe",E32+'08_Moteur'!O29,E32))</f>
        <v/>
      </c>
      <c r="N32" s="17">
        <f>IF(L32="Ne pas ouvrir",0,IF(L32="Ouvrir +1 classe",H32+'08_Moteur'!O29*('08_Moteur'!AE29*'08_Moteur'!AF29-('08_Moteur'!R29+'02_Leviers'!$D$19)*(1+'02_Leviers'!$G$11)-'08_Moteur'!S29)-'08_Moteur'!U29,IF(L32="Économiser 1 classe",H32+('08_Moteur'!AI29-MAX(1,'08_Moteur'!AI29-1))*'08_Moteur'!U29,H32)))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8">
        <f>'08_Moteur'!AN30</f>
        <v/>
      </c>
      <c r="J33" s="69">
        <f>IF(H33&lt;0,"🔴 Ne pas ouvrir",IF(I33&gt;=0.95,"🟢 Ouvrir +1 (capter+diluer)",IF(I33&lt;0.55,"🟡 Surveiller","🟢 Maintenir")))</f>
        <v/>
      </c>
      <c r="K33" s="70">
        <f>IF(H33&lt;0,"Contribution négative → fermer améliore l'EBITDA",IF(I33&gt;=0.95,"Saturé → ouvrir capte des étudiants ET dilue la structure pour tous",IF(I33&lt;0.55,"Sous-rempli mais contribution positive → GARDER","Sain")))</f>
        <v/>
      </c>
      <c r="L33" s="21" t="inlineStr">
        <is>
          <t>Maintenir</t>
        </is>
      </c>
      <c r="M33" s="50">
        <f>IF(L33="Ne pas ouvrir",0,IF(L33="Ouvrir +1 classe",E33+'08_Moteur'!O30,E33))</f>
        <v/>
      </c>
      <c r="N33" s="17">
        <f>IF(L33="Ne pas ouvrir",0,IF(L33="Ouvrir +1 classe",H33+'08_Moteur'!O30*('08_Moteur'!AE30*'08_Moteur'!AF30-('08_Moteur'!R30+'02_Leviers'!$D$19)*(1+'02_Leviers'!$G$11)-'08_Moteur'!S30)-'08_Moteur'!U30,IF(L33="Économiser 1 classe",H33+('08_Moteur'!AI30-MAX(1,'08_Moteur'!AI30-1))*'08_Moteur'!U30,H33)))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8">
        <f>'08_Moteur'!AN31</f>
        <v/>
      </c>
      <c r="J34" s="69">
        <f>IF(H34&lt;0,"🔴 Ne pas ouvrir",IF(I34&gt;=0.95,"🟢 Ouvrir +1 (capter+diluer)",IF(I34&lt;0.55,"🟡 Surveiller","🟢 Maintenir")))</f>
        <v/>
      </c>
      <c r="K34" s="70">
        <f>IF(H34&lt;0,"Contribution négative → fermer améliore l'EBITDA",IF(I34&gt;=0.95,"Saturé → ouvrir capte des étudiants ET dilue la structure pour tous",IF(I34&lt;0.55,"Sous-rempli mais contribution positive → GARDER","Sain")))</f>
        <v/>
      </c>
      <c r="L34" s="21" t="inlineStr">
        <is>
          <t>Maintenir</t>
        </is>
      </c>
      <c r="M34" s="50">
        <f>IF(L34="Ne pas ouvrir",0,IF(L34="Ouvrir +1 classe",E34+'08_Moteur'!O31,E34))</f>
        <v/>
      </c>
      <c r="N34" s="17">
        <f>IF(L34="Ne pas ouvrir",0,IF(L34="Ouvrir +1 classe",H34+'08_Moteur'!O31*('08_Moteur'!AE31*'08_Moteur'!AF31-('08_Moteur'!R31+'02_Leviers'!$D$19)*(1+'02_Leviers'!$G$11)-'08_Moteur'!S31)-'08_Moteur'!U31,IF(L34="Économiser 1 classe",H34+('08_Moteur'!AI31-MAX(1,'08_Moteur'!AI31-1))*'08_Moteur'!U31,H34)))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8">
        <f>'08_Moteur'!AN32</f>
        <v/>
      </c>
      <c r="J35" s="69">
        <f>IF(H35&lt;0,"🔴 Ne pas ouvrir",IF(I35&gt;=0.95,"🟢 Ouvrir +1 (capter+diluer)",IF(I35&lt;0.55,"🟡 Surveiller","🟢 Maintenir")))</f>
        <v/>
      </c>
      <c r="K35" s="70">
        <f>IF(H35&lt;0,"Contribution négative → fermer améliore l'EBITDA",IF(I35&gt;=0.95,"Saturé → ouvrir capte des étudiants ET dilue la structure pour tous",IF(I35&lt;0.55,"Sous-rempli mais contribution positive → GARDER","Sain")))</f>
        <v/>
      </c>
      <c r="L35" s="21" t="inlineStr">
        <is>
          <t>Maintenir</t>
        </is>
      </c>
      <c r="M35" s="50">
        <f>IF(L35="Ne pas ouvrir",0,IF(L35="Ouvrir +1 classe",E35+'08_Moteur'!O32,E35))</f>
        <v/>
      </c>
      <c r="N35" s="17">
        <f>IF(L35="Ne pas ouvrir",0,IF(L35="Ouvrir +1 classe",H35+'08_Moteur'!O32*('08_Moteur'!AE32*'08_Moteur'!AF32-('08_Moteur'!R32+'02_Leviers'!$D$19)*(1+'02_Leviers'!$G$11)-'08_Moteur'!S32)-'08_Moteur'!U32,IF(L35="Économiser 1 classe",H35+('08_Moteur'!AI32-MAX(1,'08_Moteur'!AI32-1))*'08_Moteur'!U32,H35)))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8">
        <f>'08_Moteur'!AN33</f>
        <v/>
      </c>
      <c r="J36" s="69">
        <f>IF(H36&lt;0,"🔴 Ne pas ouvrir",IF(I36&gt;=0.95,"🟢 Ouvrir +1 (capter+diluer)",IF(I36&lt;0.55,"🟡 Surveiller","🟢 Maintenir")))</f>
        <v/>
      </c>
      <c r="K36" s="70">
        <f>IF(H36&lt;0,"Contribution négative → fermer améliore l'EBITDA",IF(I36&gt;=0.95,"Saturé → ouvrir capte des étudiants ET dilue la structure pour tous",IF(I36&lt;0.55,"Sous-rempli mais contribution positive → GARDER","Sain")))</f>
        <v/>
      </c>
      <c r="L36" s="21" t="inlineStr">
        <is>
          <t>Maintenir</t>
        </is>
      </c>
      <c r="M36" s="50">
        <f>IF(L36="Ne pas ouvrir",0,IF(L36="Ouvrir +1 classe",E36+'08_Moteur'!O33,E36))</f>
        <v/>
      </c>
      <c r="N36" s="17">
        <f>IF(L36="Ne pas ouvrir",0,IF(L36="Ouvrir +1 classe",H36+'08_Moteur'!O33*('08_Moteur'!AE33*'08_Moteur'!AF33-('08_Moteur'!R33+'02_Leviers'!$D$19)*(1+'02_Leviers'!$G$11)-'08_Moteur'!S33)-'08_Moteur'!U33,IF(L36="Économiser 1 classe",H36+('08_Moteur'!AI33-MAX(1,'08_Moteur'!AI33-1))*'08_Moteur'!U33,H36)))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8">
        <f>'08_Moteur'!AN34</f>
        <v/>
      </c>
      <c r="J37" s="69">
        <f>IF(H37&lt;0,"🔴 Ne pas ouvrir",IF(I37&gt;=0.95,"🟢 Ouvrir +1 (capter+diluer)",IF(I37&lt;0.55,"🟡 Surveiller","🟢 Maintenir")))</f>
        <v/>
      </c>
      <c r="K37" s="70">
        <f>IF(H37&lt;0,"Contribution négative → fermer améliore l'EBITDA",IF(I37&gt;=0.95,"Saturé → ouvrir capte des étudiants ET dilue la structure pour tous",IF(I37&lt;0.55,"Sous-rempli mais contribution positive → GARDER","Sain")))</f>
        <v/>
      </c>
      <c r="L37" s="21" t="inlineStr">
        <is>
          <t>Maintenir</t>
        </is>
      </c>
      <c r="M37" s="50">
        <f>IF(L37="Ne pas ouvrir",0,IF(L37="Ouvrir +1 classe",E37+'08_Moteur'!O34,E37))</f>
        <v/>
      </c>
      <c r="N37" s="17">
        <f>IF(L37="Ne pas ouvrir",0,IF(L37="Ouvrir +1 classe",H37+'08_Moteur'!O34*('08_Moteur'!AE34*'08_Moteur'!AF34-('08_Moteur'!R34+'02_Leviers'!$D$19)*(1+'02_Leviers'!$G$11)-'08_Moteur'!S34)-'08_Moteur'!U34,IF(L37="Économiser 1 classe",H37+('08_Moteur'!AI34-MAX(1,'08_Moteur'!AI34-1))*'08_Moteur'!U34,H37)))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8">
        <f>'08_Moteur'!AN35</f>
        <v/>
      </c>
      <c r="J38" s="69">
        <f>IF(H38&lt;0,"🔴 Ne pas ouvrir",IF(I38&gt;=0.95,"🟢 Ouvrir +1 (capter+diluer)",IF(I38&lt;0.55,"🟡 Surveiller","🟢 Maintenir")))</f>
        <v/>
      </c>
      <c r="K38" s="70">
        <f>IF(H38&lt;0,"Contribution négative → fermer améliore l'EBITDA",IF(I38&gt;=0.95,"Saturé → ouvrir capte des étudiants ET dilue la structure pour tous",IF(I38&lt;0.55,"Sous-rempli mais contribution positive → GARDER","Sain")))</f>
        <v/>
      </c>
      <c r="L38" s="21" t="inlineStr">
        <is>
          <t>Maintenir</t>
        </is>
      </c>
      <c r="M38" s="50">
        <f>IF(L38="Ne pas ouvrir",0,IF(L38="Ouvrir +1 classe",E38+'08_Moteur'!O35,E38))</f>
        <v/>
      </c>
      <c r="N38" s="17">
        <f>IF(L38="Ne pas ouvrir",0,IF(L38="Ouvrir +1 classe",H38+'08_Moteur'!O35*('08_Moteur'!AE35*'08_Moteur'!AF35-('08_Moteur'!R35+'02_Leviers'!$D$19)*(1+'02_Leviers'!$G$11)-'08_Moteur'!S35)-'08_Moteur'!U35,IF(L38="Économiser 1 classe",H38+('08_Moteur'!AI35-MAX(1,'08_Moteur'!AI35-1))*'08_Moteur'!U35,H38)))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8">
        <f>'08_Moteur'!AN36</f>
        <v/>
      </c>
      <c r="J39" s="69">
        <f>IF(H39&lt;0,"🔴 Ne pas ouvrir",IF(I39&gt;=0.95,"🟢 Ouvrir +1 (capter+diluer)",IF(I39&lt;0.55,"🟡 Surveiller","🟢 Maintenir")))</f>
        <v/>
      </c>
      <c r="K39" s="70">
        <f>IF(H39&lt;0,"Contribution négative → fermer améliore l'EBITDA",IF(I39&gt;=0.95,"Saturé → ouvrir capte des étudiants ET dilue la structure pour tous",IF(I39&lt;0.55,"Sous-rempli mais contribution positive → GARDER","Sain")))</f>
        <v/>
      </c>
      <c r="L39" s="21" t="inlineStr">
        <is>
          <t>Maintenir</t>
        </is>
      </c>
      <c r="M39" s="50">
        <f>IF(L39="Ne pas ouvrir",0,IF(L39="Ouvrir +1 classe",E39+'08_Moteur'!O36,E39))</f>
        <v/>
      </c>
      <c r="N39" s="17">
        <f>IF(L39="Ne pas ouvrir",0,IF(L39="Ouvrir +1 classe",H39+'08_Moteur'!O36*('08_Moteur'!AE36*'08_Moteur'!AF36-('08_Moteur'!R36+'02_Leviers'!$D$19)*(1+'02_Leviers'!$G$11)-'08_Moteur'!S36)-'08_Moteur'!U36,IF(L39="Économiser 1 classe",H39+('08_Moteur'!AI36-MAX(1,'08_Moteur'!AI36-1))*'08_Moteur'!U36,H39)))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8">
        <f>'08_Moteur'!AN37</f>
        <v/>
      </c>
      <c r="J40" s="69">
        <f>IF(H40&lt;0,"🔴 Ne pas ouvrir",IF(I40&gt;=0.95,"🟢 Ouvrir +1 (capter+diluer)",IF(I40&lt;0.55,"🟡 Surveiller","🟢 Maintenir")))</f>
        <v/>
      </c>
      <c r="K40" s="70">
        <f>IF(H40&lt;0,"Contribution négative → fermer améliore l'EBITDA",IF(I40&gt;=0.95,"Saturé → ouvrir capte des étudiants ET dilue la structure pour tous",IF(I40&lt;0.55,"Sous-rempli mais contribution positive → GARDER","Sain")))</f>
        <v/>
      </c>
      <c r="L40" s="21" t="inlineStr">
        <is>
          <t>Maintenir</t>
        </is>
      </c>
      <c r="M40" s="50">
        <f>IF(L40="Ne pas ouvrir",0,IF(L40="Ouvrir +1 classe",E40+'08_Moteur'!O37,E40))</f>
        <v/>
      </c>
      <c r="N40" s="17">
        <f>IF(L40="Ne pas ouvrir",0,IF(L40="Ouvrir +1 classe",H40+'08_Moteur'!O37*('08_Moteur'!AE37*'08_Moteur'!AF37-('08_Moteur'!R37+'02_Leviers'!$D$19)*(1+'02_Leviers'!$G$11)-'08_Moteur'!S37)-'08_Moteur'!U37,IF(L40="Économiser 1 classe",H40+('08_Moteur'!AI37-MAX(1,'08_Moteur'!AI37-1))*'08_Moteur'!U37,H40)))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8">
        <f>'08_Moteur'!AN38</f>
        <v/>
      </c>
      <c r="J41" s="69">
        <f>IF(H41&lt;0,"🔴 Ne pas ouvrir",IF(I41&gt;=0.95,"🟢 Ouvrir +1 (capter+diluer)",IF(I41&lt;0.55,"🟡 Surveiller","🟢 Maintenir")))</f>
        <v/>
      </c>
      <c r="K41" s="70">
        <f>IF(H41&lt;0,"Contribution négative → fermer améliore l'EBITDA",IF(I41&gt;=0.95,"Saturé → ouvrir capte des étudiants ET dilue la structure pour tous",IF(I41&lt;0.55,"Sous-rempli mais contribution positive → GARDER","Sain")))</f>
        <v/>
      </c>
      <c r="L41" s="21" t="inlineStr">
        <is>
          <t>Maintenir</t>
        </is>
      </c>
      <c r="M41" s="50">
        <f>IF(L41="Ne pas ouvrir",0,IF(L41="Ouvrir +1 classe",E41+'08_Moteur'!O38,E41))</f>
        <v/>
      </c>
      <c r="N41" s="17">
        <f>IF(L41="Ne pas ouvrir",0,IF(L41="Ouvrir +1 classe",H41+'08_Moteur'!O38*('08_Moteur'!AE38*'08_Moteur'!AF38-('08_Moteur'!R38+'02_Leviers'!$D$19)*(1+'02_Leviers'!$G$11)-'08_Moteur'!S38)-'08_Moteur'!U38,IF(L41="Économiser 1 classe",H41+('08_Moteur'!AI38-MAX(1,'08_Moteur'!AI38-1))*'08_Moteur'!U38,H41)))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8">
        <f>'08_Moteur'!AN39</f>
        <v/>
      </c>
      <c r="J42" s="69">
        <f>IF(H42&lt;0,"🔴 Ne pas ouvrir",IF(I42&gt;=0.95,"🟢 Ouvrir +1 (capter+diluer)",IF(I42&lt;0.55,"🟡 Surveiller","🟢 Maintenir")))</f>
        <v/>
      </c>
      <c r="K42" s="70">
        <f>IF(H42&lt;0,"Contribution négative → fermer améliore l'EBITDA",IF(I42&gt;=0.95,"Saturé → ouvrir capte des étudiants ET dilue la structure pour tous",IF(I42&lt;0.55,"Sous-rempli mais contribution positive → GARDER","Sain")))</f>
        <v/>
      </c>
      <c r="L42" s="21" t="inlineStr">
        <is>
          <t>Maintenir</t>
        </is>
      </c>
      <c r="M42" s="50">
        <f>IF(L42="Ne pas ouvrir",0,IF(L42="Ouvrir +1 classe",E42+'08_Moteur'!O39,E42))</f>
        <v/>
      </c>
      <c r="N42" s="17">
        <f>IF(L42="Ne pas ouvrir",0,IF(L42="Ouvrir +1 classe",H42+'08_Moteur'!O39*('08_Moteur'!AE39*'08_Moteur'!AF39-('08_Moteur'!R39+'02_Leviers'!$D$19)*(1+'02_Leviers'!$G$11)-'08_Moteur'!S39)-'08_Moteur'!U39,IF(L42="Économiser 1 classe",H42+('08_Moteur'!AI39-MAX(1,'08_Moteur'!AI39-1))*'08_Moteur'!U39,H42)))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8">
        <f>'08_Moteur'!AN40</f>
        <v/>
      </c>
      <c r="J43" s="69">
        <f>IF(H43&lt;0,"🔴 Ne pas ouvrir",IF(I43&gt;=0.95,"🟢 Ouvrir +1 (capter+diluer)",IF(I43&lt;0.55,"🟡 Surveiller","🟢 Maintenir")))</f>
        <v/>
      </c>
      <c r="K43" s="70">
        <f>IF(H43&lt;0,"Contribution négative → fermer améliore l'EBITDA",IF(I43&gt;=0.95,"Saturé → ouvrir capte des étudiants ET dilue la structure pour tous",IF(I43&lt;0.55,"Sous-rempli mais contribution positive → GARDER","Sain")))</f>
        <v/>
      </c>
      <c r="L43" s="21" t="inlineStr">
        <is>
          <t>Maintenir</t>
        </is>
      </c>
      <c r="M43" s="50">
        <f>IF(L43="Ne pas ouvrir",0,IF(L43="Ouvrir +1 classe",E43+'08_Moteur'!O40,E43))</f>
        <v/>
      </c>
      <c r="N43" s="17">
        <f>IF(L43="Ne pas ouvrir",0,IF(L43="Ouvrir +1 classe",H43+'08_Moteur'!O40*('08_Moteur'!AE40*'08_Moteur'!AF40-('08_Moteur'!R40+'02_Leviers'!$D$19)*(1+'02_Leviers'!$G$11)-'08_Moteur'!S40)-'08_Moteur'!U40,IF(L43="Économiser 1 classe",H43+('08_Moteur'!AI40-MAX(1,'08_Moteur'!AI40-1))*'08_Moteur'!U40,H43)))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8">
        <f>'08_Moteur'!AN41</f>
        <v/>
      </c>
      <c r="J44" s="69">
        <f>IF(H44&lt;0,"🔴 Ne pas ouvrir",IF(I44&gt;=0.95,"🟢 Ouvrir +1 (capter+diluer)",IF(I44&lt;0.55,"🟡 Surveiller","🟢 Maintenir")))</f>
        <v/>
      </c>
      <c r="K44" s="70">
        <f>IF(H44&lt;0,"Contribution négative → fermer améliore l'EBITDA",IF(I44&gt;=0.95,"Saturé → ouvrir capte des étudiants ET dilue la structure pour tous",IF(I44&lt;0.55,"Sous-rempli mais contribution positive → GARDER","Sain")))</f>
        <v/>
      </c>
      <c r="L44" s="21" t="inlineStr">
        <is>
          <t>Maintenir</t>
        </is>
      </c>
      <c r="M44" s="50">
        <f>IF(L44="Ne pas ouvrir",0,IF(L44="Ouvrir +1 classe",E44+'08_Moteur'!O41,E44))</f>
        <v/>
      </c>
      <c r="N44" s="17">
        <f>IF(L44="Ne pas ouvrir",0,IF(L44="Ouvrir +1 classe",H44+'08_Moteur'!O41*('08_Moteur'!AE41*'08_Moteur'!AF41-('08_Moteur'!R41+'02_Leviers'!$D$19)*(1+'02_Leviers'!$G$11)-'08_Moteur'!S41)-'08_Moteur'!U41,IF(L44="Économiser 1 classe",H44+('08_Moteur'!AI41-MAX(1,'08_Moteur'!AI41-1))*'08_Moteur'!U41,H44)))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8">
        <f>'08_Moteur'!AN42</f>
        <v/>
      </c>
      <c r="J45" s="69">
        <f>IF(H45&lt;0,"🔴 Ne pas ouvrir",IF(I45&gt;=0.95,"🟢 Ouvrir +1 (capter+diluer)",IF(I45&lt;0.55,"🟡 Surveiller","🟢 Maintenir")))</f>
        <v/>
      </c>
      <c r="K45" s="70">
        <f>IF(H45&lt;0,"Contribution négative → fermer améliore l'EBITDA",IF(I45&gt;=0.95,"Saturé → ouvrir capte des étudiants ET dilue la structure pour tous",IF(I45&lt;0.55,"Sous-rempli mais contribution positive → GARDER","Sain")))</f>
        <v/>
      </c>
      <c r="L45" s="21" t="inlineStr">
        <is>
          <t>Maintenir</t>
        </is>
      </c>
      <c r="M45" s="50">
        <f>IF(L45="Ne pas ouvrir",0,IF(L45="Ouvrir +1 classe",E45+'08_Moteur'!O42,E45))</f>
        <v/>
      </c>
      <c r="N45" s="17">
        <f>IF(L45="Ne pas ouvrir",0,IF(L45="Ouvrir +1 classe",H45+'08_Moteur'!O42*('08_Moteur'!AE42*'08_Moteur'!AF42-('08_Moteur'!R42+'02_Leviers'!$D$19)*(1+'02_Leviers'!$G$11)-'08_Moteur'!S42)-'08_Moteur'!U42,IF(L45="Économiser 1 classe",H45+('08_Moteur'!AI42-MAX(1,'08_Moteur'!AI42-1))*'08_Moteur'!U42,H45)))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8">
        <f>'08_Moteur'!AN43</f>
        <v/>
      </c>
      <c r="J46" s="69">
        <f>IF(H46&lt;0,"🔴 Ne pas ouvrir",IF(I46&gt;=0.95,"🟢 Ouvrir +1 (capter+diluer)",IF(I46&lt;0.55,"🟡 Surveiller","🟢 Maintenir")))</f>
        <v/>
      </c>
      <c r="K46" s="70">
        <f>IF(H46&lt;0,"Contribution négative → fermer améliore l'EBITDA",IF(I46&gt;=0.95,"Saturé → ouvrir capte des étudiants ET dilue la structure pour tous",IF(I46&lt;0.55,"Sous-rempli mais contribution positive → GARDER","Sain")))</f>
        <v/>
      </c>
      <c r="L46" s="21" t="inlineStr">
        <is>
          <t>Maintenir</t>
        </is>
      </c>
      <c r="M46" s="50">
        <f>IF(L46="Ne pas ouvrir",0,IF(L46="Ouvrir +1 classe",E46+'08_Moteur'!O43,E46))</f>
        <v/>
      </c>
      <c r="N46" s="17">
        <f>IF(L46="Ne pas ouvrir",0,IF(L46="Ouvrir +1 classe",H46+'08_Moteur'!O43*('08_Moteur'!AE43*'08_Moteur'!AF43-('08_Moteur'!R43+'02_Leviers'!$D$19)*(1+'02_Leviers'!$G$11)-'08_Moteur'!S43)-'08_Moteur'!U43,IF(L46="Économiser 1 classe",H46+('08_Moteur'!AI43-MAX(1,'08_Moteur'!AI43-1))*'08_Moteur'!U43,H46)))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8">
        <f>'08_Moteur'!AN44</f>
        <v/>
      </c>
      <c r="J47" s="69">
        <f>IF(H47&lt;0,"🔴 Ne pas ouvrir",IF(I47&gt;=0.95,"🟢 Ouvrir +1 (capter+diluer)",IF(I47&lt;0.55,"🟡 Surveiller","🟢 Maintenir")))</f>
        <v/>
      </c>
      <c r="K47" s="70">
        <f>IF(H47&lt;0,"Contribution négative → fermer améliore l'EBITDA",IF(I47&gt;=0.95,"Saturé → ouvrir capte des étudiants ET dilue la structure pour tous",IF(I47&lt;0.55,"Sous-rempli mais contribution positive → GARDER","Sain")))</f>
        <v/>
      </c>
      <c r="L47" s="21" t="inlineStr">
        <is>
          <t>Maintenir</t>
        </is>
      </c>
      <c r="M47" s="50">
        <f>IF(L47="Ne pas ouvrir",0,IF(L47="Ouvrir +1 classe",E47+'08_Moteur'!O44,E47))</f>
        <v/>
      </c>
      <c r="N47" s="17">
        <f>IF(L47="Ne pas ouvrir",0,IF(L47="Ouvrir +1 classe",H47+'08_Moteur'!O44*('08_Moteur'!AE44*'08_Moteur'!AF44-('08_Moteur'!R44+'02_Leviers'!$D$19)*(1+'02_Leviers'!$G$11)-'08_Moteur'!S44)-'08_Moteur'!U44,IF(L47="Économiser 1 classe",H47+('08_Moteur'!AI44-MAX(1,'08_Moteur'!AI44-1))*'08_Moteur'!U44,H47)))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8">
        <f>'08_Moteur'!AN45</f>
        <v/>
      </c>
      <c r="J48" s="69">
        <f>IF(H48&lt;0,"🔴 Ne pas ouvrir",IF(I48&gt;=0.95,"🟢 Ouvrir +1 (capter+diluer)",IF(I48&lt;0.55,"🟡 Surveiller","🟢 Maintenir")))</f>
        <v/>
      </c>
      <c r="K48" s="70">
        <f>IF(H48&lt;0,"Contribution négative → fermer améliore l'EBITDA",IF(I48&gt;=0.95,"Saturé → ouvrir capte des étudiants ET dilue la structure pour tous",IF(I48&lt;0.55,"Sous-rempli mais contribution positive → GARDER","Sain")))</f>
        <v/>
      </c>
      <c r="L48" s="21" t="inlineStr">
        <is>
          <t>Maintenir</t>
        </is>
      </c>
      <c r="M48" s="50">
        <f>IF(L48="Ne pas ouvrir",0,IF(L48="Ouvrir +1 classe",E48+'08_Moteur'!O45,E48))</f>
        <v/>
      </c>
      <c r="N48" s="17">
        <f>IF(L48="Ne pas ouvrir",0,IF(L48="Ouvrir +1 classe",H48+'08_Moteur'!O45*('08_Moteur'!AE45*'08_Moteur'!AF45-('08_Moteur'!R45+'02_Leviers'!$D$19)*(1+'02_Leviers'!$G$11)-'08_Moteur'!S45)-'08_Moteur'!U45,IF(L48="Économiser 1 classe",H48+('08_Moteur'!AI45-MAX(1,'08_Moteur'!AI45-1))*'08_Moteur'!U45,H48)))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8">
        <f>'08_Moteur'!AN46</f>
        <v/>
      </c>
      <c r="J49" s="69">
        <f>IF(H49&lt;0,"🔴 Ne pas ouvrir",IF(I49&gt;=0.95,"🟢 Ouvrir +1 (capter+diluer)",IF(I49&lt;0.55,"🟡 Surveiller","🟢 Maintenir")))</f>
        <v/>
      </c>
      <c r="K49" s="70">
        <f>IF(H49&lt;0,"Contribution négative → fermer améliore l'EBITDA",IF(I49&gt;=0.95,"Saturé → ouvrir capte des étudiants ET dilue la structure pour tous",IF(I49&lt;0.55,"Sous-rempli mais contribution positive → GARDER","Sain")))</f>
        <v/>
      </c>
      <c r="L49" s="21" t="inlineStr">
        <is>
          <t>Maintenir</t>
        </is>
      </c>
      <c r="M49" s="50">
        <f>IF(L49="Ne pas ouvrir",0,IF(L49="Ouvrir +1 classe",E49+'08_Moteur'!O46,E49))</f>
        <v/>
      </c>
      <c r="N49" s="17">
        <f>IF(L49="Ne pas ouvrir",0,IF(L49="Ouvrir +1 classe",H49+'08_Moteur'!O46*('08_Moteur'!AE46*'08_Moteur'!AF46-('08_Moteur'!R46+'02_Leviers'!$D$19)*(1+'02_Leviers'!$G$11)-'08_Moteur'!S46)-'08_Moteur'!U46,IF(L49="Économiser 1 classe",H49+('08_Moteur'!AI46-MAX(1,'08_Moteur'!AI46-1))*'08_Moteur'!U46,H49)))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8">
        <f>'08_Moteur'!AN47</f>
        <v/>
      </c>
      <c r="J50" s="69">
        <f>IF(H50&lt;0,"🔴 Ne pas ouvrir",IF(I50&gt;=0.95,"🟢 Ouvrir +1 (capter+diluer)",IF(I50&lt;0.55,"🟡 Surveiller","🟢 Maintenir")))</f>
        <v/>
      </c>
      <c r="K50" s="70">
        <f>IF(H50&lt;0,"Contribution négative → fermer améliore l'EBITDA",IF(I50&gt;=0.95,"Saturé → ouvrir capte des étudiants ET dilue la structure pour tous",IF(I50&lt;0.55,"Sous-rempli mais contribution positive → GARDER","Sain")))</f>
        <v/>
      </c>
      <c r="L50" s="21" t="inlineStr">
        <is>
          <t>Maintenir</t>
        </is>
      </c>
      <c r="M50" s="50">
        <f>IF(L50="Ne pas ouvrir",0,IF(L50="Ouvrir +1 classe",E50+'08_Moteur'!O47,E50))</f>
        <v/>
      </c>
      <c r="N50" s="17">
        <f>IF(L50="Ne pas ouvrir",0,IF(L50="Ouvrir +1 classe",H50+'08_Moteur'!O47*('08_Moteur'!AE47*'08_Moteur'!AF47-('08_Moteur'!R47+'02_Leviers'!$D$19)*(1+'02_Leviers'!$G$11)-'08_Moteur'!S47)-'08_Moteur'!U47,IF(L50="Économiser 1 classe",H50+('08_Moteur'!AI47-MAX(1,'08_Moteur'!AI47-1))*'08_Moteur'!U47,H50)))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8">
        <f>'08_Moteur'!AN48</f>
        <v/>
      </c>
      <c r="J51" s="69">
        <f>IF(H51&lt;0,"🔴 Ne pas ouvrir",IF(I51&gt;=0.95,"🟢 Ouvrir +1 (capter+diluer)",IF(I51&lt;0.55,"🟡 Surveiller","🟢 Maintenir")))</f>
        <v/>
      </c>
      <c r="K51" s="70">
        <f>IF(H51&lt;0,"Contribution négative → fermer améliore l'EBITDA",IF(I51&gt;=0.95,"Saturé → ouvrir capte des étudiants ET dilue la structure pour tous",IF(I51&lt;0.55,"Sous-rempli mais contribution positive → GARDER","Sain")))</f>
        <v/>
      </c>
      <c r="L51" s="21" t="inlineStr">
        <is>
          <t>Maintenir</t>
        </is>
      </c>
      <c r="M51" s="50">
        <f>IF(L51="Ne pas ouvrir",0,IF(L51="Ouvrir +1 classe",E51+'08_Moteur'!O48,E51))</f>
        <v/>
      </c>
      <c r="N51" s="17">
        <f>IF(L51="Ne pas ouvrir",0,IF(L51="Ouvrir +1 classe",H51+'08_Moteur'!O48*('08_Moteur'!AE48*'08_Moteur'!AF48-('08_Moteur'!R48+'02_Leviers'!$D$19)*(1+'02_Leviers'!$G$11)-'08_Moteur'!S48)-'08_Moteur'!U48,IF(L51="Économiser 1 classe",H51+('08_Moteur'!AI48-MAX(1,'08_Moteur'!AI48-1))*'08_Moteur'!U48,H51)))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8">
        <f>'08_Moteur'!AN49</f>
        <v/>
      </c>
      <c r="J52" s="69">
        <f>IF(H52&lt;0,"🔴 Ne pas ouvrir",IF(I52&gt;=0.95,"🟢 Ouvrir +1 (capter+diluer)",IF(I52&lt;0.55,"🟡 Surveiller","🟢 Maintenir")))</f>
        <v/>
      </c>
      <c r="K52" s="70">
        <f>IF(H52&lt;0,"Contribution négative → fermer améliore l'EBITDA",IF(I52&gt;=0.95,"Saturé → ouvrir capte des étudiants ET dilue la structure pour tous",IF(I52&lt;0.55,"Sous-rempli mais contribution positive → GARDER","Sain")))</f>
        <v/>
      </c>
      <c r="L52" s="21" t="inlineStr">
        <is>
          <t>Maintenir</t>
        </is>
      </c>
      <c r="M52" s="50">
        <f>IF(L52="Ne pas ouvrir",0,IF(L52="Ouvrir +1 classe",E52+'08_Moteur'!O49,E52))</f>
        <v/>
      </c>
      <c r="N52" s="17">
        <f>IF(L52="Ne pas ouvrir",0,IF(L52="Ouvrir +1 classe",H52+'08_Moteur'!O49*('08_Moteur'!AE49*'08_Moteur'!AF49-('08_Moteur'!R49+'02_Leviers'!$D$19)*(1+'02_Leviers'!$G$11)-'08_Moteur'!S49)-'08_Moteur'!U49,IF(L52="Économiser 1 classe",H52+('08_Moteur'!AI49-MAX(1,'08_Moteur'!AI49-1))*'08_Moteur'!U49,H52)))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8">
        <f>'08_Moteur'!AN50</f>
        <v/>
      </c>
      <c r="J53" s="69">
        <f>IF(H53&lt;0,"🔴 Ne pas ouvrir",IF(I53&gt;=0.95,"🟢 Ouvrir +1 (capter+diluer)",IF(I53&lt;0.55,"🟡 Surveiller","🟢 Maintenir")))</f>
        <v/>
      </c>
      <c r="K53" s="70">
        <f>IF(H53&lt;0,"Contribution négative → fermer améliore l'EBITDA",IF(I53&gt;=0.95,"Saturé → ouvrir capte des étudiants ET dilue la structure pour tous",IF(I53&lt;0.55,"Sous-rempli mais contribution positive → GARDER","Sain")))</f>
        <v/>
      </c>
      <c r="L53" s="21" t="inlineStr">
        <is>
          <t>Maintenir</t>
        </is>
      </c>
      <c r="M53" s="50">
        <f>IF(L53="Ne pas ouvrir",0,IF(L53="Ouvrir +1 classe",E53+'08_Moteur'!O50,E53))</f>
        <v/>
      </c>
      <c r="N53" s="17">
        <f>IF(L53="Ne pas ouvrir",0,IF(L53="Ouvrir +1 classe",H53+'08_Moteur'!O50*('08_Moteur'!AE50*'08_Moteur'!AF50-('08_Moteur'!R50+'02_Leviers'!$D$19)*(1+'02_Leviers'!$G$11)-'08_Moteur'!S50)-'08_Moteur'!U50,IF(L53="Économiser 1 classe",H53+('08_Moteur'!AI50-MAX(1,'08_Moteur'!AI50-1))*'08_Moteur'!U50,H53)))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8">
        <f>'08_Moteur'!AN51</f>
        <v/>
      </c>
      <c r="J54" s="69">
        <f>IF(H54&lt;0,"🔴 Ne pas ouvrir",IF(I54&gt;=0.95,"🟢 Ouvrir +1 (capter+diluer)",IF(I54&lt;0.55,"🟡 Surveiller","🟢 Maintenir")))</f>
        <v/>
      </c>
      <c r="K54" s="70">
        <f>IF(H54&lt;0,"Contribution négative → fermer améliore l'EBITDA",IF(I54&gt;=0.95,"Saturé → ouvrir capte des étudiants ET dilue la structure pour tous",IF(I54&lt;0.55,"Sous-rempli mais contribution positive → GARDER","Sain")))</f>
        <v/>
      </c>
      <c r="L54" s="21" t="inlineStr">
        <is>
          <t>Maintenir</t>
        </is>
      </c>
      <c r="M54" s="50">
        <f>IF(L54="Ne pas ouvrir",0,IF(L54="Ouvrir +1 classe",E54+'08_Moteur'!O51,E54))</f>
        <v/>
      </c>
      <c r="N54" s="17">
        <f>IF(L54="Ne pas ouvrir",0,IF(L54="Ouvrir +1 classe",H54+'08_Moteur'!O51*('08_Moteur'!AE51*'08_Moteur'!AF51-('08_Moteur'!R51+'02_Leviers'!$D$19)*(1+'02_Leviers'!$G$11)-'08_Moteur'!S51)-'08_Moteur'!U51,IF(L54="Économiser 1 classe",H54+('08_Moteur'!AI51-MAX(1,'08_Moteur'!AI51-1))*'08_Moteur'!U51,H54)))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8">
        <f>'08_Moteur'!AN52</f>
        <v/>
      </c>
      <c r="J55" s="69">
        <f>IF(H55&lt;0,"🔴 Ne pas ouvrir",IF(I55&gt;=0.95,"🟢 Ouvrir +1 (capter+diluer)",IF(I55&lt;0.55,"🟡 Surveiller","🟢 Maintenir")))</f>
        <v/>
      </c>
      <c r="K55" s="70">
        <f>IF(H55&lt;0,"Contribution négative → fermer améliore l'EBITDA",IF(I55&gt;=0.95,"Saturé → ouvrir capte des étudiants ET dilue la structure pour tous",IF(I55&lt;0.55,"Sous-rempli mais contribution positive → GARDER","Sain")))</f>
        <v/>
      </c>
      <c r="L55" s="21" t="inlineStr">
        <is>
          <t>Maintenir</t>
        </is>
      </c>
      <c r="M55" s="50">
        <f>IF(L55="Ne pas ouvrir",0,IF(L55="Ouvrir +1 classe",E55+'08_Moteur'!O52,E55))</f>
        <v/>
      </c>
      <c r="N55" s="17">
        <f>IF(L55="Ne pas ouvrir",0,IF(L55="Ouvrir +1 classe",H55+'08_Moteur'!O52*('08_Moteur'!AE52*'08_Moteur'!AF52-('08_Moteur'!R52+'02_Leviers'!$D$19)*(1+'02_Leviers'!$G$11)-'08_Moteur'!S52)-'08_Moteur'!U52,IF(L55="Économiser 1 classe",H55+('08_Moteur'!AI52-MAX(1,'08_Moteur'!AI52-1))*'08_Moteur'!U52,H55)))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8">
        <f>'08_Moteur'!AN53</f>
        <v/>
      </c>
      <c r="J56" s="69">
        <f>IF(H56&lt;0,"🔴 Ne pas ouvrir",IF(I56&gt;=0.95,"🟢 Ouvrir +1 (capter+diluer)",IF(I56&lt;0.55,"🟡 Surveiller","🟢 Maintenir")))</f>
        <v/>
      </c>
      <c r="K56" s="70">
        <f>IF(H56&lt;0,"Contribution négative → fermer améliore l'EBITDA",IF(I56&gt;=0.95,"Saturé → ouvrir capte des étudiants ET dilue la structure pour tous",IF(I56&lt;0.55,"Sous-rempli mais contribution positive → GARDER","Sain")))</f>
        <v/>
      </c>
      <c r="L56" s="21" t="inlineStr">
        <is>
          <t>Maintenir</t>
        </is>
      </c>
      <c r="M56" s="50">
        <f>IF(L56="Ne pas ouvrir",0,IF(L56="Ouvrir +1 classe",E56+'08_Moteur'!O53,E56))</f>
        <v/>
      </c>
      <c r="N56" s="17">
        <f>IF(L56="Ne pas ouvrir",0,IF(L56="Ouvrir +1 classe",H56+'08_Moteur'!O53*('08_Moteur'!AE53*'08_Moteur'!AF53-('08_Moteur'!R53+'02_Leviers'!$D$19)*(1+'02_Leviers'!$G$11)-'08_Moteur'!S53)-'08_Moteur'!U53,IF(L56="Économiser 1 classe",H56+('08_Moteur'!AI53-MAX(1,'08_Moteur'!AI53-1))*'08_Moteur'!U53,H56)))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8">
        <f>'08_Moteur'!AN54</f>
        <v/>
      </c>
      <c r="J57" s="69">
        <f>IF(H57&lt;0,"🔴 Ne pas ouvrir",IF(I57&gt;=0.95,"🟢 Ouvrir +1 (capter+diluer)",IF(I57&lt;0.55,"🟡 Surveiller","🟢 Maintenir")))</f>
        <v/>
      </c>
      <c r="K57" s="70">
        <f>IF(H57&lt;0,"Contribution négative → fermer améliore l'EBITDA",IF(I57&gt;=0.95,"Saturé → ouvrir capte des étudiants ET dilue la structure pour tous",IF(I57&lt;0.55,"Sous-rempli mais contribution positive → GARDER","Sain")))</f>
        <v/>
      </c>
      <c r="L57" s="21" t="inlineStr">
        <is>
          <t>Maintenir</t>
        </is>
      </c>
      <c r="M57" s="50">
        <f>IF(L57="Ne pas ouvrir",0,IF(L57="Ouvrir +1 classe",E57+'08_Moteur'!O54,E57))</f>
        <v/>
      </c>
      <c r="N57" s="17">
        <f>IF(L57="Ne pas ouvrir",0,IF(L57="Ouvrir +1 classe",H57+'08_Moteur'!O54*('08_Moteur'!AE54*'08_Moteur'!AF54-('08_Moteur'!R54+'02_Leviers'!$D$19)*(1+'02_Leviers'!$G$11)-'08_Moteur'!S54)-'08_Moteur'!U54,IF(L57="Économiser 1 classe",H57+('08_Moteur'!AI54-MAX(1,'08_Moteur'!AI54-1))*'08_Moteur'!U54,H57)))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8">
        <f>'08_Moteur'!AN55</f>
        <v/>
      </c>
      <c r="J58" s="69">
        <f>IF(H58&lt;0,"🔴 Ne pas ouvrir",IF(I58&gt;=0.95,"🟢 Ouvrir +1 (capter+diluer)",IF(I58&lt;0.55,"🟡 Surveiller","🟢 Maintenir")))</f>
        <v/>
      </c>
      <c r="K58" s="70">
        <f>IF(H58&lt;0,"Contribution négative → fermer améliore l'EBITDA",IF(I58&gt;=0.95,"Saturé → ouvrir capte des étudiants ET dilue la structure pour tous",IF(I58&lt;0.55,"Sous-rempli mais contribution positive → GARDER","Sain")))</f>
        <v/>
      </c>
      <c r="L58" s="21" t="inlineStr">
        <is>
          <t>Maintenir</t>
        </is>
      </c>
      <c r="M58" s="50">
        <f>IF(L58="Ne pas ouvrir",0,IF(L58="Ouvrir +1 classe",E58+'08_Moteur'!O55,E58))</f>
        <v/>
      </c>
      <c r="N58" s="17">
        <f>IF(L58="Ne pas ouvrir",0,IF(L58="Ouvrir +1 classe",H58+'08_Moteur'!O55*('08_Moteur'!AE55*'08_Moteur'!AF55-('08_Moteur'!R55+'02_Leviers'!$D$19)*(1+'02_Leviers'!$G$11)-'08_Moteur'!S55)-'08_Moteur'!U55,IF(L58="Économiser 1 classe",H58+('08_Moteur'!AI55-MAX(1,'08_Moteur'!AI55-1))*'08_Moteur'!U55,H58)))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8">
        <f>'08_Moteur'!AN56</f>
        <v/>
      </c>
      <c r="J59" s="69">
        <f>IF(H59&lt;0,"🔴 Ne pas ouvrir",IF(I59&gt;=0.95,"🟢 Ouvrir +1 (capter+diluer)",IF(I59&lt;0.55,"🟡 Surveiller","🟢 Maintenir")))</f>
        <v/>
      </c>
      <c r="K59" s="70">
        <f>IF(H59&lt;0,"Contribution négative → fermer améliore l'EBITDA",IF(I59&gt;=0.95,"Saturé → ouvrir capte des étudiants ET dilue la structure pour tous",IF(I59&lt;0.55,"Sous-rempli mais contribution positive → GARDER","Sain")))</f>
        <v/>
      </c>
      <c r="L59" s="21" t="inlineStr">
        <is>
          <t>Maintenir</t>
        </is>
      </c>
      <c r="M59" s="50">
        <f>IF(L59="Ne pas ouvrir",0,IF(L59="Ouvrir +1 classe",E59+'08_Moteur'!O56,E59))</f>
        <v/>
      </c>
      <c r="N59" s="17">
        <f>IF(L59="Ne pas ouvrir",0,IF(L59="Ouvrir +1 classe",H59+'08_Moteur'!O56*('08_Moteur'!AE56*'08_Moteur'!AF56-('08_Moteur'!R56+'02_Leviers'!$D$19)*(1+'02_Leviers'!$G$11)-'08_Moteur'!S56)-'08_Moteur'!U56,IF(L59="Économiser 1 classe",H59+('08_Moteur'!AI56-MAX(1,'08_Moteur'!AI56-1))*'08_Moteur'!U56,H59)))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8">
        <f>'08_Moteur'!AN57</f>
        <v/>
      </c>
      <c r="J60" s="69">
        <f>IF(H60&lt;0,"🔴 Ne pas ouvrir",IF(I60&gt;=0.95,"🟢 Ouvrir +1 (capter+diluer)",IF(I60&lt;0.55,"🟡 Surveiller","🟢 Maintenir")))</f>
        <v/>
      </c>
      <c r="K60" s="70">
        <f>IF(H60&lt;0,"Contribution négative → fermer améliore l'EBITDA",IF(I60&gt;=0.95,"Saturé → ouvrir capte des étudiants ET dilue la structure pour tous",IF(I60&lt;0.55,"Sous-rempli mais contribution positive → GARDER","Sain")))</f>
        <v/>
      </c>
      <c r="L60" s="21" t="inlineStr">
        <is>
          <t>Maintenir</t>
        </is>
      </c>
      <c r="M60" s="50">
        <f>IF(L60="Ne pas ouvrir",0,IF(L60="Ouvrir +1 classe",E60+'08_Moteur'!O57,E60))</f>
        <v/>
      </c>
      <c r="N60" s="17">
        <f>IF(L60="Ne pas ouvrir",0,IF(L60="Ouvrir +1 classe",H60+'08_Moteur'!O57*('08_Moteur'!AE57*'08_Moteur'!AF57-('08_Moteur'!R57+'02_Leviers'!$D$19)*(1+'02_Leviers'!$G$11)-'08_Moteur'!S57)-'08_Moteur'!U57,IF(L60="Économiser 1 classe",H60+('08_Moteur'!AI57-MAX(1,'08_Moteur'!AI57-1))*'08_Moteur'!U57,H60)))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8">
        <f>'08_Moteur'!AN58</f>
        <v/>
      </c>
      <c r="J61" s="69">
        <f>IF(H61&lt;0,"🔴 Ne pas ouvrir",IF(I61&gt;=0.95,"🟢 Ouvrir +1 (capter+diluer)",IF(I61&lt;0.55,"🟡 Surveiller","🟢 Maintenir")))</f>
        <v/>
      </c>
      <c r="K61" s="70">
        <f>IF(H61&lt;0,"Contribution négative → fermer améliore l'EBITDA",IF(I61&gt;=0.95,"Saturé → ouvrir capte des étudiants ET dilue la structure pour tous",IF(I61&lt;0.55,"Sous-rempli mais contribution positive → GARDER","Sain")))</f>
        <v/>
      </c>
      <c r="L61" s="21" t="inlineStr">
        <is>
          <t>Maintenir</t>
        </is>
      </c>
      <c r="M61" s="50">
        <f>IF(L61="Ne pas ouvrir",0,IF(L61="Ouvrir +1 classe",E61+'08_Moteur'!O58,E61))</f>
        <v/>
      </c>
      <c r="N61" s="17">
        <f>IF(L61="Ne pas ouvrir",0,IF(L61="Ouvrir +1 classe",H61+'08_Moteur'!O58*('08_Moteur'!AE58*'08_Moteur'!AF58-('08_Moteur'!R58+'02_Leviers'!$D$19)*(1+'02_Leviers'!$G$11)-'08_Moteur'!S58)-'08_Moteur'!U58,IF(L61="Économiser 1 classe",H61+('08_Moteur'!AI58-MAX(1,'08_Moteur'!AI58-1))*'08_Moteur'!U58,H61)))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8">
        <f>'08_Moteur'!AN59</f>
        <v/>
      </c>
      <c r="J62" s="69">
        <f>IF(H62&lt;0,"🔴 Ne pas ouvrir",IF(I62&gt;=0.95,"🟢 Ouvrir +1 (capter+diluer)",IF(I62&lt;0.55,"🟡 Surveiller","🟢 Maintenir")))</f>
        <v/>
      </c>
      <c r="K62" s="70">
        <f>IF(H62&lt;0,"Contribution négative → fermer améliore l'EBITDA",IF(I62&gt;=0.95,"Saturé → ouvrir capte des étudiants ET dilue la structure pour tous",IF(I62&lt;0.55,"Sous-rempli mais contribution positive → GARDER","Sain")))</f>
        <v/>
      </c>
      <c r="L62" s="21" t="inlineStr">
        <is>
          <t>Maintenir</t>
        </is>
      </c>
      <c r="M62" s="50">
        <f>IF(L62="Ne pas ouvrir",0,IF(L62="Ouvrir +1 classe",E62+'08_Moteur'!O59,E62))</f>
        <v/>
      </c>
      <c r="N62" s="17">
        <f>IF(L62="Ne pas ouvrir",0,IF(L62="Ouvrir +1 classe",H62+'08_Moteur'!O59*('08_Moteur'!AE59*'08_Moteur'!AF59-('08_Moteur'!R59+'02_Leviers'!$D$19)*(1+'02_Leviers'!$G$11)-'08_Moteur'!S59)-'08_Moteur'!U59,IF(L62="Économiser 1 classe",H62+('08_Moteur'!AI59-MAX(1,'08_Moteur'!AI59-1))*'08_Moteur'!U59,H62)))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8">
        <f>'08_Moteur'!AN60</f>
        <v/>
      </c>
      <c r="J63" s="69">
        <f>IF(H63&lt;0,"🔴 Ne pas ouvrir",IF(I63&gt;=0.95,"🟢 Ouvrir +1 (capter+diluer)",IF(I63&lt;0.55,"🟡 Surveiller","🟢 Maintenir")))</f>
        <v/>
      </c>
      <c r="K63" s="70">
        <f>IF(H63&lt;0,"Contribution négative → fermer améliore l'EBITDA",IF(I63&gt;=0.95,"Saturé → ouvrir capte des étudiants ET dilue la structure pour tous",IF(I63&lt;0.55,"Sous-rempli mais contribution positive → GARDER","Sain")))</f>
        <v/>
      </c>
      <c r="L63" s="21" t="inlineStr">
        <is>
          <t>Maintenir</t>
        </is>
      </c>
      <c r="M63" s="50">
        <f>IF(L63="Ne pas ouvrir",0,IF(L63="Ouvrir +1 classe",E63+'08_Moteur'!O60,E63))</f>
        <v/>
      </c>
      <c r="N63" s="17">
        <f>IF(L63="Ne pas ouvrir",0,IF(L63="Ouvrir +1 classe",H63+'08_Moteur'!O60*('08_Moteur'!AE60*'08_Moteur'!AF60-('08_Moteur'!R60+'02_Leviers'!$D$19)*(1+'02_Leviers'!$G$11)-'08_Moteur'!S60)-'08_Moteur'!U60,IF(L63="Économiser 1 classe",H63+('08_Moteur'!AI60-MAX(1,'08_Moteur'!AI60-1))*'08_Moteur'!U60,H63)))</f>
        <v/>
      </c>
      <c r="O63" s="17">
        <f>M63*IFERROR(('09_Allocation'!E20+'09_Allocation'!F20+'09_Allocation'!I20)/SUM(M6:M63),0)</f>
        <v/>
      </c>
      <c r="P63" s="17">
        <f>N63-O63</f>
        <v/>
      </c>
      <c r="Q63" s="54">
        <f>N63-H63</f>
        <v/>
      </c>
    </row>
  </sheetData>
  <mergeCells count="11">
    <mergeCell ref="G2:H2"/>
    <mergeCell ref="E2:F2"/>
    <mergeCell ref="K2:L2"/>
    <mergeCell ref="I2:J2"/>
    <mergeCell ref="M3:Q3"/>
    <mergeCell ref="A3:C3"/>
    <mergeCell ref="E3:F3"/>
    <mergeCell ref="G3:H3"/>
    <mergeCell ref="A1:Q1"/>
    <mergeCell ref="A2:C2"/>
    <mergeCell ref="I3:J3"/>
  </mergeCells>
  <dataValidations count="1">
    <dataValidation sqref="L6 L7 L8 L9 L10 L11 L12 L13 L14 L15 L16 L17 L18 L19 L20 L21 L22 L23 L24 L25 L26 L27 L28 L29 L30 L31 L32 L33 L34 L35 L36 L37 L38 L39 L40 L41 L42 L43 L44 L45 L46 L47 L48 L49 L50 L51 L52 L53 L54 L55 L56 L57 L58 L59 L60 L61 L62 L63" showDropDown="0" showInputMessage="0" showErrorMessage="0" allowBlank="0" type="list">
      <formula1>"Maintenir,Ne pas ouvrir,Ouvrir +1 classe,Économiser 1 classe"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D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0" t="inlineStr">
        <is>
          <t>Tombe quasi intégralement en EBITDA.</t>
        </is>
      </c>
    </row>
    <row r="7" ht="26" customHeight="1">
      <c r="B7" s="14" t="inlineStr">
        <is>
          <t>+1 point de sécurisation (≤3 mois)</t>
        </is>
      </c>
      <c r="C7" s="17">
        <f>0.01*SUMPRODUCT(('08_Moteur'!$E$3:$E$60="ALT")*'08_Moteur'!$AD$3:$AD$60*'08_Moteur'!$AE$3:$AE$60)*(1-'02_Leviers'!$D$18)</f>
        <v/>
      </c>
      <c r="D7" s="70"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0" t="inlineStr">
        <is>
          <t>Plus de leads → plus d'inscrits, net du coût.</t>
        </is>
      </c>
    </row>
    <row r="9" ht="26" customHeight="1">
      <c r="B9" s="14" t="inlineStr">
        <is>
          <t>+1 point de taux de passage</t>
        </is>
      </c>
      <c r="C9" s="17">
        <f>0.01*SUMPRODUCT(('08_Moteur'!$F$3:$F$60=0)*'08_Moteur'!$K$3:$K$60)*IFERROR(SUM('08_Moteur'!$AM$3:$AM$60)/SUM('08_Moteur'!$AD$3:$AD$60),0)</f>
        <v/>
      </c>
      <c r="D9" s="70" t="inlineStr">
        <is>
          <t>Rétention : + d'étudiants qui poursuivent.</t>
        </is>
      </c>
    </row>
    <row r="11">
      <c r="B11" s="19" t="inlineStr">
        <is>
          <t>Exposition financement alternance (€ à sécuriser) :</t>
        </is>
      </c>
      <c r="D11" s="71">
        <f>SUMPRODUCT(('08_Moteur'!$E$3:$E$60="ALT")*'08_Moteur'!$AD$3:$AD$60*'08_Moteur'!$AE$3:$AE$60)*(1-'02_Leviers'!$G$9)</f>
        <v/>
      </c>
    </row>
  </sheetData>
  <mergeCells count="3">
    <mergeCell ref="B11:C11"/>
    <mergeCell ref="B3:D3"/>
    <mergeCell ref="B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E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2" t="inlineStr">
        <is>
          <t>€ à sécuriser (exposition)</t>
        </is>
      </c>
      <c r="C15" s="73">
        <f>SUMPRODUCT(('08_Moteur'!$E$3:$E$60="ALT")*'08_Moteur'!$AD$3:$AD$60*'08_Moteur'!$AE$3:$AE$60)*(1-'02_Leviers'!$G$9)</f>
        <v/>
      </c>
      <c r="D15" s="73">
        <f>SUMPRODUCT(('08_Moteur'!$E$3:$E$60="ALT")*'08_Moteur'!$G$3:$G$60*'08_Moteur'!$L$3:$L$60)*(1-'02_Leviers'!$D$20)</f>
        <v/>
      </c>
      <c r="E15" s="74">
        <f>IFERROR(C15/D15-1,0)</f>
        <v/>
      </c>
    </row>
  </sheetData>
  <mergeCells count="1">
    <mergeCell ref="B2:E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D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5" t="inlineStr">
        <is>
          <t>Marque / Campus</t>
        </is>
      </c>
      <c r="C6" s="6" t="inlineStr">
        <is>
          <t>Entity</t>
        </is>
      </c>
      <c r="D6" s="6" t="inlineStr">
        <is>
          <t>Hiérarchie Groupe→Marque→Campus</t>
        </is>
      </c>
    </row>
    <row r="7" ht="28" customHeight="1">
      <c r="B7" s="75" t="inlineStr">
        <is>
          <t>Programme × Année × Modalité</t>
        </is>
      </c>
      <c r="C7" s="6" t="inlineStr">
        <is>
          <t>Dimensions analytiques</t>
        </is>
      </c>
      <c r="D7" s="6" t="inlineStr">
        <is>
          <t>Maille fine, attributs initial/alternance</t>
        </is>
      </c>
    </row>
    <row r="8" ht="28" customHeight="1">
      <c r="B8" s="75" t="inlineStr">
        <is>
          <t>Params (capacité, heures…)</t>
        </is>
      </c>
      <c r="C8" s="6" t="inlineStr">
        <is>
          <t>Attributs de dimension / driver</t>
        </is>
      </c>
      <c r="D8" s="6" t="inlineStr">
        <is>
          <t>Données de référence par programme×année (feuille 05)</t>
        </is>
      </c>
    </row>
    <row r="9" ht="28" customHeight="1">
      <c r="B9" s="75" t="inlineStr">
        <is>
          <t>Historique N-2/N-1</t>
        </is>
      </c>
      <c r="C9" s="6" t="inlineStr">
        <is>
          <t>Category ACTUAL (multi-années)</t>
        </is>
      </c>
      <c r="D9" s="6" t="inlineStr">
        <is>
          <t>Plus de profondeur = élasticité marketing robuste</t>
        </is>
      </c>
    </row>
    <row r="10" ht="28" customHeight="1">
      <c r="B10" s="75" t="inlineStr">
        <is>
          <t>Cohortes / taux de passage</t>
        </is>
      </c>
      <c r="C10" s="6" t="inlineStr">
        <is>
          <t>Règle de calcul</t>
        </is>
      </c>
      <c r="D10" s="6" t="inlineStr">
        <is>
          <t>Progression B1→B2→B3</t>
        </is>
      </c>
    </row>
    <row r="11" ht="28" customHeight="1">
      <c r="B11" s="75" t="inlineStr">
        <is>
          <t>Sécurisation &amp; recouvrement</t>
        </is>
      </c>
      <c r="C11" s="6" t="inlineStr">
        <is>
          <t>Comptes techniques</t>
        </is>
      </c>
      <c r="D11" s="6" t="inlineStr">
        <is>
          <t>Financement alternance, exposition</t>
        </is>
      </c>
    </row>
    <row r="12" ht="28" customHeight="1">
      <c r="B12" s="75" t="inlineStr">
        <is>
          <t>Objectifs (cadrage)</t>
        </is>
      </c>
      <c r="C12" s="6" t="inlineStr">
        <is>
          <t>Version cible + écart</t>
        </is>
      </c>
      <c r="D12" s="6" t="inlineStr">
        <is>
          <t>Top-down vs bottom-up</t>
        </is>
      </c>
    </row>
    <row r="13" ht="28" customHeight="1">
      <c r="B13" s="75" t="inlineStr">
        <is>
          <t>Décisions ouvrir/fermer</t>
        </is>
      </c>
      <c r="C13" s="6" t="inlineStr">
        <is>
          <t>Scénarios / versions</t>
        </is>
      </c>
      <c r="D13" s="6" t="inlineStr">
        <is>
          <t>Simulateur → snapshot</t>
        </is>
      </c>
    </row>
    <row r="14" ht="28" customHeight="1">
      <c r="B14" s="75"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2026-08-12T11:22:14Z</dcterms:created>
  <dcterms:modified xsi:type="dcterms:W3CDTF">2026-08-12T11:22:14Z</dcterms:modified>
</cp:coreProperties>
</file>