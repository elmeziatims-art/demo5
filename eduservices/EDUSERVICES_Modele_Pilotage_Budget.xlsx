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Coefficient appliqué à l'effort marketing du cadrage pour cette marque (&gt;1 = on pousse).</t>
      </text>
    </comment>
    <comment ref="D5" authorId="0" shapeId="0">
      <text>
        <t>Coefficient appliqué à la hausse tarifaire du cadrage pour cette marque.</t>
      </text>
    </comment>
    <comment ref="E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3.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0</v>
      </c>
      <c r="J23" s="25" t="n">
        <v>0.9</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1393788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840870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ces décisions montrent un impact SIMULÉ (encadré ci-dessus) — elles n'affectent PAS le budget officiel (feuilles 09_Allocation / 10_PnL / 13_Simulation), qui se pilote via les LEVIERS (feuille 02_Leviers).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classe)",H6+('08_Moteur'!AI3-MAX(1,'08_Moteur'!AI3-1))*'08_Moteur'!U3,H6)))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(mutualiser)",IF(I7&lt;0.55,"🟡 Regrouper les classes","🟢 Maintenir"))</f>
        <v/>
      </c>
      <c r="K7" s="71">
        <f>"Poursuite : cohorte déjà inscrite (issue de l'année inférieure) → ni lancement ni capture ; seul levier = regrouper / mutualiser les classes"</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classe)",H7+('08_Moteur'!AI4-MAX(1,'08_Moteur'!AI4-1))*'08_Moteur'!U4,H7)))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(mutualiser)",IF(I8&lt;0.55,"🟡 Regrouper les classes","🟢 Maintenir"))</f>
        <v/>
      </c>
      <c r="K8" s="71">
        <f>"Poursuite : cohorte déjà inscrite (issue de l'année inférieure) → ni lancement ni capture ; seul levier = regrouper / mutualiser les classes"</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classe)",H8+('08_Moteur'!AI5-MAX(1,'08_Moteur'!AI5-1))*'08_Moteur'!U5,H8)))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classe)",H9+('08_Moteur'!AI6-MAX(1,'08_Moteur'!AI6-1))*'08_Moteur'!U6,H9)))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(mutualiser)",IF(I10&lt;0.55,"🟡 Regrouper les classes","🟢 Maintenir"))</f>
        <v/>
      </c>
      <c r="K10" s="71">
        <f>"Poursuite : cohorte déjà inscrite (issue de l'année inférieure) → ni lancement ni capture ; seul levier = regrouper / mutualiser les classes"</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classe)",H10+('08_Moteur'!AI7-MAX(1,'08_Moteur'!AI7-1))*'08_Moteur'!U7,H10)))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classe)",H11+('08_Moteur'!AI8-MAX(1,'08_Moteur'!AI8-1))*'08_Moteur'!U8,H11)))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(mutualiser)",IF(I12&lt;0.55,"🟡 Regrouper les classes","🟢 Maintenir"))</f>
        <v/>
      </c>
      <c r="K12" s="71">
        <f>"Poursuite : cohorte déjà inscrite (issue de l'année inférieure) → ni lancement ni capture ; seul levier = regrouper / mutualiser les classes"</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classe)",H12+('08_Moteur'!AI9-MAX(1,'08_Moteur'!AI9-1))*'08_Moteur'!U9,H12)))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(mutualiser)",IF(I13&lt;0.55,"🟡 Regrouper les classes","🟢 Maintenir"))</f>
        <v/>
      </c>
      <c r="K13" s="71">
        <f>"Poursuite : cohorte déjà inscrite (issue de l'année inférieure) → ni lancement ni capture ; seul levier = regrouper / mutualiser les classes"</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classe)",H13+('08_Moteur'!AI10-MAX(1,'08_Moteur'!AI10-1))*'08_Moteur'!U10,H13)))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classe)",H14+('08_Moteur'!AI11-MAX(1,'08_Moteur'!AI11-1))*'08_Moteur'!U11,H14)))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(mutualiser)",IF(I15&lt;0.55,"🟡 Regrouper les classes","🟢 Maintenir"))</f>
        <v/>
      </c>
      <c r="K15" s="71">
        <f>"Poursuite : cohorte déjà inscrite (issue de l'année inférieure) → ni lancement ni capture ; seul levier = regrouper / mutualiser les classes"</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classe)",H15+('08_Moteur'!AI12-MAX(1,'08_Moteur'!AI12-1))*'08_Moteur'!U12,H15)))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classe)",H16+('08_Moteur'!AI13-MAX(1,'08_Moteur'!AI13-1))*'08_Moteur'!U13,H16)))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(mutualiser)",IF(I17&lt;0.55,"🟡 Regrouper les classes","🟢 Maintenir"))</f>
        <v/>
      </c>
      <c r="K17" s="71">
        <f>"Poursuite : cohorte déjà inscrite (issue de l'année inférieure) → ni lancement ni capture ; seul levier = regrouper / mutualiser les classes"</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classe)",H17+('08_Moteur'!AI14-MAX(1,'08_Moteur'!AI14-1))*'08_Moteur'!U14,H17)))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(mutualiser)",IF(I18&lt;0.55,"🟡 Regrouper les classes","🟢 Maintenir"))</f>
        <v/>
      </c>
      <c r="K18" s="71">
        <f>"Poursuite : cohorte déjà inscrite (issue de l'année inférieure) → ni lancement ni capture ; seul levier = regrouper / mutualiser les classes"</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classe)",H18+('08_Moteur'!AI15-MAX(1,'08_Moteur'!AI15-1))*'08_Moteur'!U15,H18)))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classe)",H19+('08_Moteur'!AI16-MAX(1,'08_Moteur'!AI16-1))*'08_Moteur'!U16,H19)))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(mutualiser)",IF(I20&lt;0.55,"🟡 Regrouper les classes","🟢 Maintenir"))</f>
        <v/>
      </c>
      <c r="K20" s="71">
        <f>"Poursuite : cohorte déjà inscrite (issue de l'année inférieure) → ni lancement ni capture ; seul levier = regrouper / mutualiser les classes"</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classe)",H20+('08_Moteur'!AI17-MAX(1,'08_Moteur'!AI17-1))*'08_Moteur'!U17,H20)))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classe)",H21+('08_Moteur'!AI18-MAX(1,'08_Moteur'!AI18-1))*'08_Moteur'!U18,H21)))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(mutualiser)",IF(I22&lt;0.55,"🟡 Regrouper les classes","🟢 Maintenir"))</f>
        <v/>
      </c>
      <c r="K22" s="71">
        <f>"Poursuite : cohorte déjà inscrite (issue de l'année inférieure) → ni lancement ni capture ; seul levier = regrouper / mutualiser les classes"</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classe)",H22+('08_Moteur'!AI19-MAX(1,'08_Moteur'!AI19-1))*'08_Moteur'!U19,H22)))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(mutualiser)",IF(I23&lt;0.55,"🟡 Regrouper les classes","🟢 Maintenir"))</f>
        <v/>
      </c>
      <c r="K23" s="71">
        <f>"Poursuite : cohorte déjà inscrite (issue de l'année inférieure) → ni lancement ni capture ; seul levier = regrouper / mutualiser les classes"</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classe)",H23+('08_Moteur'!AI20-MAX(1,'08_Moteur'!AI20-1))*'08_Moteur'!U20,H23)))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classe)",H24+('08_Moteur'!AI21-MAX(1,'08_Moteur'!AI21-1))*'08_Moteur'!U21,H24)))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(mutualiser)",IF(I25&lt;0.55,"🟡 Regrouper les classes","🟢 Maintenir"))</f>
        <v/>
      </c>
      <c r="K25" s="71">
        <f>"Poursuite : cohorte déjà inscrite (issue de l'année inférieure) → ni lancement ni capture ; seul levier = regrouper / mutualiser les classes"</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classe)",H25+('08_Moteur'!AI22-MAX(1,'08_Moteur'!AI22-1))*'08_Moteur'!U22,H25)))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classe)",H26+('08_Moteur'!AI23-MAX(1,'08_Moteur'!AI23-1))*'08_Moteur'!U23,H26)))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(mutualiser)",IF(I27&lt;0.55,"🟡 Regrouper les classes","🟢 Maintenir"))</f>
        <v/>
      </c>
      <c r="K27" s="71">
        <f>"Poursuite : cohorte déjà inscrite (issue de l'année inférieure) → ni lancement ni capture ; seul levier = regrouper / mutualiser les classes"</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classe)",H27+('08_Moteur'!AI24-MAX(1,'08_Moteur'!AI24-1))*'08_Moteur'!U24,H27)))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(mutualiser)",IF(I28&lt;0.55,"🟡 Regrouper les classes","🟢 Maintenir"))</f>
        <v/>
      </c>
      <c r="K28" s="71">
        <f>"Poursuite : cohorte déjà inscrite (issue de l'année inférieure) → ni lancement ni capture ; seul levier = regrouper / mutualiser les classes"</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classe)",H28+('08_Moteur'!AI25-MAX(1,'08_Moteur'!AI25-1))*'08_Moteur'!U25,H28)))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classe)",H29+('08_Moteur'!AI26-MAX(1,'08_Moteur'!AI26-1))*'08_Moteur'!U26,H29)))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(mutualiser)",IF(I30&lt;0.55,"🟡 Regrouper les classes","🟢 Maintenir"))</f>
        <v/>
      </c>
      <c r="K30" s="71">
        <f>"Poursuite : cohorte déjà inscrite (issue de l'année inférieure) → ni lancement ni capture ; seul levier = regrouper / mutualiser les classes"</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classe)",H30+('08_Moteur'!AI27-MAX(1,'08_Moteur'!AI27-1))*'08_Moteur'!U27,H30)))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classe)",H31+('08_Moteur'!AI28-MAX(1,'08_Moteur'!AI28-1))*'08_Moteur'!U28,H31)))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(mutualiser)",IF(I32&lt;0.55,"🟡 Regrouper les classes","🟢 Maintenir"))</f>
        <v/>
      </c>
      <c r="K32" s="71">
        <f>"Poursuite : cohorte déjà inscrite (issue de l'année inférieure) → ni lancement ni capture ; seul levier = regrouper / mutualiser les classes"</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classe)",H32+('08_Moteur'!AI29-MAX(1,'08_Moteur'!AI29-1))*'08_Moteur'!U29,H32)))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(mutualiser)",IF(I33&lt;0.55,"🟡 Regrouper les classes","🟢 Maintenir"))</f>
        <v/>
      </c>
      <c r="K33" s="71">
        <f>"Poursuite : cohorte déjà inscrite (issue de l'année inférieure) → ni lancement ni capture ; seul levier = regrouper / mutualiser les classes"</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classe)",H33+('08_Moteur'!AI30-MAX(1,'08_Moteur'!AI30-1))*'08_Moteur'!U30,H33)))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classe)",H34+('08_Moteur'!AI31-MAX(1,'08_Moteur'!AI31-1))*'08_Moteur'!U31,H34)))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(mutualiser)",IF(I35&lt;0.55,"🟡 Regrouper les classes","🟢 Maintenir"))</f>
        <v/>
      </c>
      <c r="K35" s="71">
        <f>"Poursuite : cohorte déjà inscrite (issue de l'année inférieure) → ni lancement ni capture ; seul levier = regrouper / mutualiser les classes"</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classe)",H35+('08_Moteur'!AI32-MAX(1,'08_Moteur'!AI32-1))*'08_Moteur'!U32,H35)))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classe)",H36+('08_Moteur'!AI33-MAX(1,'08_Moteur'!AI33-1))*'08_Moteur'!U33,H36)))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(mutualiser)",IF(I37&lt;0.55,"🟡 Regrouper les classes","🟢 Maintenir"))</f>
        <v/>
      </c>
      <c r="K37" s="71">
        <f>"Poursuite : cohorte déjà inscrite (issue de l'année inférieure) → ni lancement ni capture ; seul levier = regrouper / mutualiser les classes"</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classe)",H37+('08_Moteur'!AI34-MAX(1,'08_Moteur'!AI34-1))*'08_Moteur'!U34,H37)))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(mutualiser)",IF(I38&lt;0.55,"🟡 Regrouper les classes","🟢 Maintenir"))</f>
        <v/>
      </c>
      <c r="K38" s="71">
        <f>"Poursuite : cohorte déjà inscrite (issue de l'année inférieure) → ni lancement ni capture ; seul levier = regrouper / mutualiser les classes"</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classe)",H38+('08_Moteur'!AI35-MAX(1,'08_Moteur'!AI35-1))*'08_Moteur'!U35,H38)))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classe)",H39+('08_Moteur'!AI36-MAX(1,'08_Moteur'!AI36-1))*'08_Moteur'!U36,H39)))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(mutualiser)",IF(I40&lt;0.55,"🟡 Regrouper les classes","🟢 Maintenir"))</f>
        <v/>
      </c>
      <c r="K40" s="71">
        <f>"Poursuite : cohorte déjà inscrite (issue de l'année inférieure) → ni lancement ni capture ; seul levier = regrouper / mutualiser les classes"</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classe)",H40+('08_Moteur'!AI37-MAX(1,'08_Moteur'!AI37-1))*'08_Moteur'!U37,H40)))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classe)",H41+('08_Moteur'!AI38-MAX(1,'08_Moteur'!AI38-1))*'08_Moteur'!U38,H41)))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(mutualiser)",IF(I42&lt;0.55,"🟡 Regrouper les classes","🟢 Maintenir"))</f>
        <v/>
      </c>
      <c r="K42" s="71">
        <f>"Poursuite : cohorte déjà inscrite (issue de l'année inférieure) → ni lancement ni capture ; seul levier = regrouper / mutualiser les classes"</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classe)",H42+('08_Moteur'!AI39-MAX(1,'08_Moteur'!AI39-1))*'08_Moteur'!U39,H42)))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(mutualiser)",IF(I43&lt;0.55,"🟡 Regrouper les classes","🟢 Maintenir"))</f>
        <v/>
      </c>
      <c r="K43" s="71">
        <f>"Poursuite : cohorte déjà inscrite (issue de l'année inférieure) → ni lancement ni capture ; seul levier = regrouper / mutualiser les classes"</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classe)",H43+('08_Moteur'!AI40-MAX(1,'08_Moteur'!AI40-1))*'08_Moteur'!U40,H43)))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classe)",H44+('08_Moteur'!AI41-MAX(1,'08_Moteur'!AI41-1))*'08_Moteur'!U41,H44)))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(mutualiser)",IF(I45&lt;0.55,"🟡 Regrouper les classes","🟢 Maintenir"))</f>
        <v/>
      </c>
      <c r="K45" s="71">
        <f>"Poursuite : cohorte déjà inscrite (issue de l'année inférieure) → ni lancement ni capture ; seul levier = regrouper / mutualiser les classes"</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classe)",H45+('08_Moteur'!AI42-MAX(1,'08_Moteur'!AI42-1))*'08_Moteur'!U42,H45)))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(mutualiser)",IF(I46&lt;0.55,"🟡 Regrouper les classes","🟢 Maintenir"))</f>
        <v/>
      </c>
      <c r="K46" s="71">
        <f>"Poursuite : cohorte déjà inscrite (issue de l'année inférieure) → ni lancement ni capture ; seul levier = regrouper / mutualiser les classes"</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classe)",H46+('08_Moteur'!AI43-MAX(1,'08_Moteur'!AI43-1))*'08_Moteur'!U43,H46)))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classe)",H47+('08_Moteur'!AI44-MAX(1,'08_Moteur'!AI44-1))*'08_Moteur'!U44,H47)))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(mutualiser)",IF(I48&lt;0.55,"🟡 Regrouper les classes","🟢 Maintenir"))</f>
        <v/>
      </c>
      <c r="K48" s="71">
        <f>"Poursuite : cohorte déjà inscrite (issue de l'année inférieure) → ni lancement ni capture ; seul levier = regrouper / mutualiser les classes"</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classe)",H48+('08_Moteur'!AI45-MAX(1,'08_Moteur'!AI45-1))*'08_Moteur'!U45,H48)))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(mutualiser)",IF(I49&lt;0.55,"🟡 Regrouper les classes","🟢 Maintenir"))</f>
        <v/>
      </c>
      <c r="K49" s="71">
        <f>"Poursuite : cohorte déjà inscrite (issue de l'année inférieure) → ni lancement ni capture ; seul levier = regrouper / mutualiser les classes"</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classe)",H49+('08_Moteur'!AI46-MAX(1,'08_Moteur'!AI46-1))*'08_Moteur'!U46,H49)))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classe)",H50+('08_Moteur'!AI47-MAX(1,'08_Moteur'!AI47-1))*'08_Moteur'!U47,H50)))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(mutualiser)",IF(I51&lt;0.55,"🟡 Regrouper les classes","🟢 Maintenir"))</f>
        <v/>
      </c>
      <c r="K51" s="71">
        <f>"Poursuite : cohorte déjà inscrite (issue de l'année inférieure) → ni lancement ni capture ; seul levier = regrouper / mutualiser les classes"</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classe)",H51+('08_Moteur'!AI48-MAX(1,'08_Moteur'!AI48-1))*'08_Moteur'!U48,H51)))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classe)",H52+('08_Moteur'!AI49-MAX(1,'08_Moteur'!AI49-1))*'08_Moteur'!U49,H52)))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(mutualiser)",IF(I53&lt;0.55,"🟡 Regrouper les classes","🟢 Maintenir"))</f>
        <v/>
      </c>
      <c r="K53" s="71">
        <f>"Poursuite : cohorte déjà inscrite (issue de l'année inférieure) → ni lancement ni capture ; seul levier = regrouper / mutualiser les classes"</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classe)",H53+('08_Moteur'!AI50-MAX(1,'08_Moteur'!AI50-1))*'08_Moteur'!U50,H53)))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classe)",H54+('08_Moteur'!AI51-MAX(1,'08_Moteur'!AI51-1))*'08_Moteur'!U51,H54)))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(mutualiser)",IF(I55&lt;0.55,"🟡 Regrouper les classes","🟢 Maintenir"))</f>
        <v/>
      </c>
      <c r="K55" s="71">
        <f>"Poursuite : cohorte déjà inscrite (issue de l'année inférieure) → ni lancement ni capture ; seul levier = regrouper / mutualiser les classes"</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classe)",H55+('08_Moteur'!AI52-MAX(1,'08_Moteur'!AI52-1))*'08_Moteur'!U52,H55)))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classe)",H56+('08_Moteur'!AI53-MAX(1,'08_Moteur'!AI53-1))*'08_Moteur'!U53,H56)))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(mutualiser)",IF(I57&lt;0.55,"🟡 Regrouper les classes","🟢 Maintenir"))</f>
        <v/>
      </c>
      <c r="K57" s="71">
        <f>"Poursuite : cohorte déjà inscrite (issue de l'année inférieure) → ni lancement ni capture ; seul levier = regrouper / mutualiser les classes"</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classe)",H57+('08_Moteur'!AI54-MAX(1,'08_Moteur'!AI54-1))*'08_Moteur'!U54,H57)))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classe)",H58+('08_Moteur'!AI55-MAX(1,'08_Moteur'!AI55-1))*'08_Moteur'!U55,H58)))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(mutualiser)",IF(I59&lt;0.55,"🟡 Regrouper les classes","🟢 Maintenir"))</f>
        <v/>
      </c>
      <c r="K59" s="71">
        <f>"Poursuite : cohorte déjà inscrite (issue de l'année inférieure) → ni lancement ni capture ; seul levier = regrouper / mutualiser les classes"</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classe)",H59+('08_Moteur'!AI56-MAX(1,'08_Moteur'!AI56-1))*'08_Moteur'!U56,H59)))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(mutualiser)",IF(I60&lt;0.55,"🟡 Regrouper les classes","🟢 Maintenir"))</f>
        <v/>
      </c>
      <c r="K60" s="71">
        <f>"Poursuite : cohorte déjà inscrite (issue de l'année inférieure) → ni lancement ni capture ; seul levier = regrouper / mutualiser les classes"</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classe)",H60+('08_Moteur'!AI57-MAX(1,'08_Moteur'!AI57-1))*'08_Moteur'!U57,H60)))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classe)",H61+('08_Moteur'!AI58-MAX(1,'08_Moteur'!AI58-1))*'08_Moteur'!U58,H61)))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(mutualiser)",IF(I62&lt;0.55,"🟡 Regrouper les classes","🟢 Maintenir"))</f>
        <v/>
      </c>
      <c r="K62" s="71">
        <f>"Poursuite : cohorte déjà inscrite (issue de l'année inférieure) → ni lancement ni capture ; seul levier = regrouper / mutualiser les classes"</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classe)",H62+('08_Moteur'!AI59-MAX(1,'08_Moteur'!AI59-1))*'08_Moteur'!U59,H62)))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(mutualiser)",IF(I63&lt;0.55,"🟡 Regrouper les classes","🟢 Maintenir"))</f>
        <v/>
      </c>
      <c r="K63" s="71">
        <f>"Poursuite : cohorte déjà inscrite (issue de l'année inférieure) → ni lancement ni capture ; seul levier = regrouper / mutualiser les classes"</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classe)",H63+('08_Moteur'!AI60-MAX(1,'08_Moteur'!AI60-1))*'08_Moteur'!U60,H63)))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2">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3" t="inlineStr">
        <is>
          <t>€ à sécuriser (exposition)</t>
        </is>
      </c>
      <c r="C15" s="74">
        <f>SUMPRODUCT(('08_Moteur'!$E$3:$E$60="ALT")*'08_Moteur'!$AD$3:$AD$60*'08_Moteur'!$AE$3:$AE$60)*(1-'02_Leviers'!$G$9)</f>
        <v/>
      </c>
      <c r="D15" s="74">
        <f>SUMPRODUCT(('08_Moteur'!$E$3:$E$60="ALT")*'08_Moteur'!$G$3:$G$60*'08_Moteur'!$L$3:$L$60)*(1-'02_Leviers'!$D$20)</f>
        <v/>
      </c>
      <c r="E15" s="75">
        <f>IFERROR(C15/D15-1,0)</f>
        <v/>
      </c>
    </row>
  </sheetData>
  <mergeCells count="1">
    <mergeCell ref="B2:E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6" t="inlineStr">
        <is>
          <t>Marque / Campus</t>
        </is>
      </c>
      <c r="C6" s="6" t="inlineStr">
        <is>
          <t>Entity</t>
        </is>
      </c>
      <c r="D6" s="6" t="inlineStr">
        <is>
          <t>Hiérarchie Groupe→Marque→Campus</t>
        </is>
      </c>
    </row>
    <row r="7" ht="28" customHeight="1">
      <c r="B7" s="76" t="inlineStr">
        <is>
          <t>Programme × Année × Modalité</t>
        </is>
      </c>
      <c r="C7" s="6" t="inlineStr">
        <is>
          <t>Dimensions analytiques</t>
        </is>
      </c>
      <c r="D7" s="6" t="inlineStr">
        <is>
          <t>Maille fine, attributs initial/alternance</t>
        </is>
      </c>
    </row>
    <row r="8" ht="28" customHeight="1">
      <c r="B8" s="76" t="inlineStr">
        <is>
          <t>Params (capacité, heures…)</t>
        </is>
      </c>
      <c r="C8" s="6" t="inlineStr">
        <is>
          <t>Attributs de dimension / driver</t>
        </is>
      </c>
      <c r="D8" s="6" t="inlineStr">
        <is>
          <t>Données de référence par programme×année (feuille 05)</t>
        </is>
      </c>
    </row>
    <row r="9" ht="28" customHeight="1">
      <c r="B9" s="76" t="inlineStr">
        <is>
          <t>Historique N-2/N-1</t>
        </is>
      </c>
      <c r="C9" s="6" t="inlineStr">
        <is>
          <t>Category ACTUAL (multi-années)</t>
        </is>
      </c>
      <c r="D9" s="6" t="inlineStr">
        <is>
          <t>Plus de profondeur = élasticité marketing robuste</t>
        </is>
      </c>
    </row>
    <row r="10" ht="28" customHeight="1">
      <c r="B10" s="76" t="inlineStr">
        <is>
          <t>Cohortes / taux de passage</t>
        </is>
      </c>
      <c r="C10" s="6" t="inlineStr">
        <is>
          <t>Règle de calcul</t>
        </is>
      </c>
      <c r="D10" s="6" t="inlineStr">
        <is>
          <t>Progression B1→B2→B3</t>
        </is>
      </c>
    </row>
    <row r="11" ht="28" customHeight="1">
      <c r="B11" s="76" t="inlineStr">
        <is>
          <t>Sécurisation &amp; recouvrement</t>
        </is>
      </c>
      <c r="C11" s="6" t="inlineStr">
        <is>
          <t>Comptes techniques</t>
        </is>
      </c>
      <c r="D11" s="6" t="inlineStr">
        <is>
          <t>Financement alternance, exposition</t>
        </is>
      </c>
    </row>
    <row r="12" ht="28" customHeight="1">
      <c r="B12" s="76" t="inlineStr">
        <is>
          <t>Objectifs (cadrage)</t>
        </is>
      </c>
      <c r="C12" s="6" t="inlineStr">
        <is>
          <t>Version cible + écart</t>
        </is>
      </c>
      <c r="D12" s="6" t="inlineStr">
        <is>
          <t>Top-down vs bottom-up</t>
        </is>
      </c>
    </row>
    <row r="13" ht="28" customHeight="1">
      <c r="B13" s="76" t="inlineStr">
        <is>
          <t>Décisions ouvrir/fermer</t>
        </is>
      </c>
      <c r="C13" s="6" t="inlineStr">
        <is>
          <t>Scénarios / versions</t>
        </is>
      </c>
      <c r="D13" s="6" t="inlineStr">
        <is>
          <t>Simulateur → snapshot</t>
        </is>
      </c>
    </row>
    <row r="14" ht="28" customHeight="1">
      <c r="B14" s="76"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2026-08-12T13:13:48Z</dcterms:created>
  <dcterms:modified xsi:type="dcterms:W3CDTF">2026-08-12T13:13:48Z</dcterms:modified>
</cp:coreProperties>
</file>