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1">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166" fontId="10" fillId="7" borderId="1" applyAlignment="1" pivotButton="0" quotePrefix="0" xfId="0">
      <alignment horizontal="center" vertical="center" wrapText="1"/>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380</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320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320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600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320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320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600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320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320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250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320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320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320</v>
      </c>
      <c r="J23" s="25" t="n">
        <v>0.9</v>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1785470</v>
      </c>
      <c r="F4" s="41" t="n">
        <v>271000</v>
      </c>
      <c r="G4" s="39" t="n">
        <v>12</v>
      </c>
      <c r="H4" s="17">
        <f>G4*'02_Leviers'!$D$15</f>
        <v/>
      </c>
      <c r="I4" s="41" t="n">
        <v>148000</v>
      </c>
      <c r="J4" s="39" t="n">
        <v>2328</v>
      </c>
      <c r="K4" s="17">
        <f>E4-F4-H4</f>
        <v/>
      </c>
    </row>
    <row r="5">
      <c r="A5" s="38" t="inlineStr">
        <is>
          <t>MBway</t>
        </is>
      </c>
      <c r="B5" s="7" t="inlineStr">
        <is>
          <t>Lyon</t>
        </is>
      </c>
      <c r="C5" s="39" t="n">
        <v>248</v>
      </c>
      <c r="D5" s="41" t="n">
        <v>2102540</v>
      </c>
      <c r="E5" s="41" t="n">
        <v>1531180</v>
      </c>
      <c r="F5" s="41" t="n">
        <v>231000</v>
      </c>
      <c r="G5" s="39" t="n">
        <v>11</v>
      </c>
      <c r="H5" s="17">
        <f>G5*'02_Leviers'!$D$15</f>
        <v/>
      </c>
      <c r="I5" s="41" t="n">
        <v>126000</v>
      </c>
      <c r="J5" s="39" t="n">
        <v>1984</v>
      </c>
      <c r="K5" s="17">
        <f>E5-F5-H5</f>
        <v/>
      </c>
    </row>
    <row r="6">
      <c r="A6" s="38" t="inlineStr">
        <is>
          <t>MBway</t>
        </is>
      </c>
      <c r="B6" s="7" t="inlineStr">
        <is>
          <t>Nantes</t>
        </is>
      </c>
      <c r="C6" s="39" t="n">
        <v>224</v>
      </c>
      <c r="D6" s="41" t="n">
        <v>1898640</v>
      </c>
      <c r="E6" s="41" t="n">
        <v>1351280</v>
      </c>
      <c r="F6" s="41" t="n">
        <v>209000</v>
      </c>
      <c r="G6" s="39" t="n">
        <v>10</v>
      </c>
      <c r="H6" s="17">
        <f>G6*'02_Leviers'!$D$15</f>
        <v/>
      </c>
      <c r="I6" s="41" t="n">
        <v>114000</v>
      </c>
      <c r="J6" s="39" t="n">
        <v>1792</v>
      </c>
      <c r="K6" s="17">
        <f>E6-F6-H6</f>
        <v/>
      </c>
    </row>
    <row r="7">
      <c r="A7" s="38" t="inlineStr">
        <is>
          <t>MBway</t>
        </is>
      </c>
      <c r="B7" s="7" t="inlineStr">
        <is>
          <t>Bordeaux</t>
        </is>
      </c>
      <c r="C7" s="39" t="n">
        <v>191</v>
      </c>
      <c r="D7" s="41" t="n">
        <v>1619880</v>
      </c>
      <c r="E7" s="41" t="n">
        <v>1105220</v>
      </c>
      <c r="F7" s="41" t="n">
        <v>178000</v>
      </c>
      <c r="G7" s="39" t="n">
        <v>9</v>
      </c>
      <c r="H7" s="17">
        <f>G7*'02_Leviers'!$D$15</f>
        <v/>
      </c>
      <c r="I7" s="41" t="n">
        <v>97000</v>
      </c>
      <c r="J7" s="39" t="n">
        <v>1528</v>
      </c>
      <c r="K7" s="17">
        <f>E7-F7-H7</f>
        <v/>
      </c>
    </row>
    <row r="8">
      <c r="A8" s="38" t="inlineStr">
        <is>
          <t>ISCOM</t>
        </is>
      </c>
      <c r="B8" s="7" t="inlineStr">
        <is>
          <t>Paris</t>
        </is>
      </c>
      <c r="C8" s="39" t="n">
        <v>269</v>
      </c>
      <c r="D8" s="41" t="n">
        <v>2280350</v>
      </c>
      <c r="E8" s="41" t="n">
        <v>1589820</v>
      </c>
      <c r="F8" s="41" t="n">
        <v>251000</v>
      </c>
      <c r="G8" s="39" t="n">
        <v>12</v>
      </c>
      <c r="H8" s="17">
        <f>G8*'02_Leviers'!$D$15</f>
        <v/>
      </c>
      <c r="I8" s="41" t="n">
        <v>137000</v>
      </c>
      <c r="J8" s="39" t="n">
        <v>2152</v>
      </c>
      <c r="K8" s="17">
        <f>E8-F8-H8</f>
        <v/>
      </c>
    </row>
    <row r="9">
      <c r="A9" s="38" t="inlineStr">
        <is>
          <t>ISCOM</t>
        </is>
      </c>
      <c r="B9" s="7" t="inlineStr">
        <is>
          <t>Lille</t>
        </is>
      </c>
      <c r="C9" s="39" t="n">
        <v>187</v>
      </c>
      <c r="D9" s="41" t="n">
        <v>1585200</v>
      </c>
      <c r="E9" s="41" t="n">
        <v>1025970</v>
      </c>
      <c r="F9" s="41" t="n">
        <v>174000</v>
      </c>
      <c r="G9" s="39" t="n">
        <v>9</v>
      </c>
      <c r="H9" s="17">
        <f>G9*'02_Leviers'!$D$15</f>
        <v/>
      </c>
      <c r="I9" s="41" t="n">
        <v>95000</v>
      </c>
      <c r="J9" s="39" t="n">
        <v>1496</v>
      </c>
      <c r="K9" s="17">
        <f>E9-F9-H9</f>
        <v/>
      </c>
    </row>
    <row r="10">
      <c r="A10" s="38" t="inlineStr">
        <is>
          <t>ISCOM</t>
        </is>
      </c>
      <c r="B10" s="7" t="inlineStr">
        <is>
          <t>Toulouse</t>
        </is>
      </c>
      <c r="C10" s="39" t="n">
        <v>175</v>
      </c>
      <c r="D10" s="41" t="n">
        <v>1483250</v>
      </c>
      <c r="E10" s="41" t="n">
        <v>937820</v>
      </c>
      <c r="F10" s="41" t="n">
        <v>163000</v>
      </c>
      <c r="G10" s="39" t="n">
        <v>8</v>
      </c>
      <c r="H10" s="17">
        <f>G10*'02_Leviers'!$D$15</f>
        <v/>
      </c>
      <c r="I10" s="41" t="n">
        <v>89000</v>
      </c>
      <c r="J10" s="39" t="n">
        <v>1400</v>
      </c>
      <c r="K10" s="17">
        <f>E10-F10-H10</f>
        <v/>
      </c>
    </row>
    <row r="11">
      <c r="A11" s="38" t="inlineStr">
        <is>
          <t>Ipac Bachelor Factory</t>
        </is>
      </c>
      <c r="B11" s="7" t="inlineStr">
        <is>
          <t>Nantes</t>
        </is>
      </c>
      <c r="C11" s="39" t="n">
        <v>130</v>
      </c>
      <c r="D11" s="41" t="n">
        <v>1044500</v>
      </c>
      <c r="E11" s="41" t="n">
        <v>734820</v>
      </c>
      <c r="F11" s="41" t="n">
        <v>115000</v>
      </c>
      <c r="G11" s="39" t="n">
        <v>7</v>
      </c>
      <c r="H11" s="17">
        <f>G11*'02_Leviers'!$D$15</f>
        <v/>
      </c>
      <c r="I11" s="41" t="n">
        <v>63000</v>
      </c>
      <c r="J11" s="39" t="n">
        <v>1040</v>
      </c>
      <c r="K11" s="17">
        <f>E11-F11-H11</f>
        <v/>
      </c>
    </row>
    <row r="12">
      <c r="A12" s="38" t="inlineStr">
        <is>
          <t>Ipac Bachelor Factory</t>
        </is>
      </c>
      <c r="B12" s="7" t="inlineStr">
        <is>
          <t>Rennes</t>
        </is>
      </c>
      <c r="C12" s="39" t="n">
        <v>104</v>
      </c>
      <c r="D12" s="41" t="n">
        <v>835600</v>
      </c>
      <c r="E12" s="41" t="n">
        <v>579040</v>
      </c>
      <c r="F12" s="41" t="n">
        <v>92000</v>
      </c>
      <c r="G12" s="39" t="n">
        <v>6</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579040</v>
      </c>
      <c r="F13" s="41" t="n">
        <v>92000</v>
      </c>
      <c r="G13" s="39" t="n">
        <v>6</v>
      </c>
      <c r="H13" s="17">
        <f>G13*'02_Leviers'!$D$15</f>
        <v/>
      </c>
      <c r="I13" s="41" t="n">
        <v>50000</v>
      </c>
      <c r="J13" s="39" t="n">
        <v>832</v>
      </c>
      <c r="K13" s="17">
        <f>E13-F13-H13</f>
        <v/>
      </c>
    </row>
    <row r="14">
      <c r="A14" s="38" t="inlineStr">
        <is>
          <t>Pigier</t>
        </is>
      </c>
      <c r="B14" s="7" t="inlineStr">
        <is>
          <t>Lyon</t>
        </is>
      </c>
      <c r="C14" s="39" t="n">
        <v>149</v>
      </c>
      <c r="D14" s="41" t="n">
        <v>1130470</v>
      </c>
      <c r="E14" s="41" t="n">
        <v>711410</v>
      </c>
      <c r="F14" s="41" t="n">
        <v>124000</v>
      </c>
      <c r="G14" s="39" t="n">
        <v>7</v>
      </c>
      <c r="H14" s="17">
        <f>G14*'02_Leviers'!$D$15</f>
        <v/>
      </c>
      <c r="I14" s="41" t="n">
        <v>68000</v>
      </c>
      <c r="J14" s="39" t="n">
        <v>1192</v>
      </c>
      <c r="K14" s="17">
        <f>E14-F14-H14</f>
        <v/>
      </c>
    </row>
    <row r="15">
      <c r="A15" s="38" t="inlineStr">
        <is>
          <t>Pigier</t>
        </is>
      </c>
      <c r="B15" s="7" t="inlineStr">
        <is>
          <t>Bordeaux</t>
        </is>
      </c>
      <c r="C15" s="39" t="n">
        <v>117</v>
      </c>
      <c r="D15" s="41" t="n">
        <v>887850</v>
      </c>
      <c r="E15" s="41" t="n">
        <v>605020</v>
      </c>
      <c r="F15" s="41" t="n">
        <v>98000</v>
      </c>
      <c r="G15" s="39" t="n">
        <v>6</v>
      </c>
      <c r="H15" s="17">
        <f>G15*'02_Leviers'!$D$15</f>
        <v/>
      </c>
      <c r="I15" s="41" t="n">
        <v>53000</v>
      </c>
      <c r="J15" s="39" t="n">
        <v>936</v>
      </c>
      <c r="K15" s="17">
        <f>E15-F15-H15</f>
        <v/>
      </c>
    </row>
    <row r="16">
      <c r="A16" s="38" t="inlineStr">
        <is>
          <t>Tunon</t>
        </is>
      </c>
      <c r="B16" s="7" t="inlineStr">
        <is>
          <t>Paris</t>
        </is>
      </c>
      <c r="C16" s="39" t="n">
        <v>122</v>
      </c>
      <c r="D16" s="41" t="n">
        <v>980230</v>
      </c>
      <c r="E16" s="41" t="n">
        <v>675770</v>
      </c>
      <c r="F16" s="41" t="n">
        <v>108000</v>
      </c>
      <c r="G16" s="39" t="n">
        <v>6</v>
      </c>
      <c r="H16" s="17">
        <f>G16*'02_Leviers'!$D$15</f>
        <v/>
      </c>
      <c r="I16" s="41" t="n">
        <v>59000</v>
      </c>
      <c r="J16" s="39" t="n">
        <v>976</v>
      </c>
      <c r="K16" s="17">
        <f>E16-F16-H16</f>
        <v/>
      </c>
    </row>
    <row r="17">
      <c r="A17" s="38" t="inlineStr">
        <is>
          <t>Tunon</t>
        </is>
      </c>
      <c r="B17" s="7" t="inlineStr">
        <is>
          <t>Lyon</t>
        </is>
      </c>
      <c r="C17" s="39" t="n">
        <v>104</v>
      </c>
      <c r="D17" s="41" t="n">
        <v>835600</v>
      </c>
      <c r="E17" s="41" t="n">
        <v>577440</v>
      </c>
      <c r="F17" s="41" t="n">
        <v>92000</v>
      </c>
      <c r="G17" s="39" t="n">
        <v>6</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L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11" customWidth="1" min="9" max="9"/>
    <col width="12" customWidth="1" min="10" max="10"/>
    <col width="7" customWidth="1" min="11" max="11"/>
    <col width="17" customWidth="1" min="12" max="12"/>
    <col width="42" customWidth="1" min="13" max="13"/>
    <col width="17" customWidth="1" min="14" max="14"/>
    <col width="12" customWidth="1" min="15" max="15"/>
    <col width="11" customWidth="1" min="16" max="16"/>
  </cols>
  <sheetData>
    <row r="1" ht="22" customHeight="1">
      <c r="A1" s="1" t="inlineStr">
        <is>
          <t>Simulateur &amp; conseil de décisions — logique CFO : on décide sur la MARGE DE CONTRIBUTION (col. H)</t>
        </is>
      </c>
    </row>
    <row r="2">
      <c r="A2" s="19" t="inlineStr">
        <is>
          <t>EBITDA groupe AVANT :</t>
        </is>
      </c>
      <c r="D2" s="54">
        <f>'09_Allocation'!J20</f>
        <v/>
      </c>
      <c r="E2" s="19" t="inlineStr">
        <is>
          <t>Σ Δ décisions :</t>
        </is>
      </c>
      <c r="G2" s="54">
        <f>SUM(P6:P63)</f>
        <v/>
      </c>
      <c r="H2" s="30" t="n"/>
      <c r="I2" s="19" t="inlineStr">
        <is>
          <t>EBITDA groupe APRÈS :</t>
        </is>
      </c>
      <c r="K2" s="46">
        <f>D2+G2</f>
        <v/>
      </c>
      <c r="L2" s="30" t="n"/>
    </row>
    <row r="3" ht="28" customHeight="1">
      <c r="A3" s="19" t="inlineStr">
        <is>
          <t>Structure / étudiant — AVANT :</t>
        </is>
      </c>
      <c r="D3" s="54">
        <f>('09_Allocation'!E20+'09_Allocation'!F20+'09_Allocation'!I20)/SUM('08_Moteur'!$AD$3:$AD$60)</f>
        <v/>
      </c>
      <c r="E3" s="19" t="inlineStr">
        <is>
          <t>APRÈS (dilution) :</t>
        </is>
      </c>
      <c r="G3" s="20">
        <f>IFERROR(('09_Allocation'!E20+'09_Allocation'!F20+'09_Allocation'!I20)/SUMPRODUCT((N6:N63&lt;&gt;"Ne pas ouvrir")*E6:E63),0)</f>
        <v/>
      </c>
      <c r="H3" s="30" t="n"/>
      <c r="I3" s="19" t="inlineStr">
        <is>
          <t>🔴 promos contribution &lt; 0 :</t>
        </is>
      </c>
      <c r="K3" s="68">
        <f>SUMPRODUCT(--('08_Moteur'!$AM$3:$AM$60&lt;0))</f>
        <v/>
      </c>
      <c r="M3" s="12" t="inlineStr">
        <is>
          <t>⚠ Fermer une promo n'économise PAS la structure (loyer, permanents, siège) : elle RESTE et se redilue sur les autres → on ferme UNIQUEMENT si la contribution (H) est négative.</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Structure allouée
(après, dilution)</t>
        </is>
      </c>
      <c r="J5" s="13" t="inlineStr">
        <is>
          <t>Résultat tout
compris (après)</t>
        </is>
      </c>
      <c r="K5" s="13" t="inlineStr">
        <is>
          <t>Rempl.</t>
        </is>
      </c>
      <c r="L5" s="13" t="inlineStr">
        <is>
          <t>🤖 Reco</t>
        </is>
      </c>
      <c r="M5" s="13" t="inlineStr">
        <is>
          <t>Motif</t>
        </is>
      </c>
      <c r="N5" s="13" t="inlineStr">
        <is>
          <t>Décision</t>
        </is>
      </c>
      <c r="O5" s="13" t="inlineStr">
        <is>
          <t>Contribution
après</t>
        </is>
      </c>
      <c r="P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17">
        <f>IF(N6="Ne pas ouvrir",0,E6)*IFERROR(('09_Allocation'!E20+'09_Allocation'!F20+'09_Allocation'!I20)/SUMPRODUCT((N6:N63&lt;&gt;"Ne pas ouvrir")*E6:E63),0)</f>
        <v/>
      </c>
      <c r="J6" s="17">
        <f>O6-I6</f>
        <v/>
      </c>
      <c r="K6" s="69">
        <f>'08_Moteur'!AN3</f>
        <v/>
      </c>
      <c r="L6" s="70">
        <f>IF(H6&lt;0,"🔴 Ne pas ouvrir",IF(K6&gt;=0.95,"🟢 Ouvrir +1 classe",IF(K6&lt;0.55,"🟡 Surveiller","🟢 Maintenir")))</f>
        <v/>
      </c>
      <c r="M6" s="71">
        <f>IF(H6&lt;0,"Contribution négative : la fermer améliore l'EBITDA",IF(K6&gt;=0.95,"Quasi saturé : +1 classe capte la demande",IF(K6&lt;0.55,"Sous-rempli MAIS contribution positive → GARDER (fermer perdrait la marge, la structure resterait)","Sain")))</f>
        <v/>
      </c>
      <c r="N6" s="21" t="inlineStr">
        <is>
          <t>Maintenir</t>
        </is>
      </c>
      <c r="O6" s="17">
        <f>IF(N6="Ne pas ouvrir",0,IF(N6="Ouvrir +1 classe",H6-'08_Moteur'!U3,IF(N6="Économiser 1 classe",H6+('08_Moteur'!AI3-MAX(1,'08_Moteur'!AI3-1))*'08_Moteur'!U3,H6)))</f>
        <v/>
      </c>
      <c r="P6" s="54">
        <f>O6-H6</f>
        <v/>
      </c>
    </row>
    <row r="7">
      <c r="A7" s="47">
        <f>'08_Moteur'!A4</f>
        <v/>
      </c>
      <c r="B7" s="10">
        <f>'08_Moteur'!B4</f>
        <v/>
      </c>
      <c r="C7" s="47">
        <f>'08_Moteur'!C4</f>
        <v/>
      </c>
      <c r="D7" s="10">
        <f>'08_Moteur'!D4</f>
        <v/>
      </c>
      <c r="E7" s="48">
        <f>'08_Moteur'!AD4</f>
        <v/>
      </c>
      <c r="F7" s="16">
        <f>'08_Moteur'!AH4</f>
        <v/>
      </c>
      <c r="G7" s="17">
        <f>F7-'08_Moteur'!AM4</f>
        <v/>
      </c>
      <c r="H7" s="63">
        <f>'08_Moteur'!AM4</f>
        <v/>
      </c>
      <c r="I7" s="17">
        <f>IF(N7="Ne pas ouvrir",0,E7)*IFERROR(('09_Allocation'!E20+'09_Allocation'!F20+'09_Allocation'!I20)/SUMPRODUCT((N6:N63&lt;&gt;"Ne pas ouvrir")*E6:E63),0)</f>
        <v/>
      </c>
      <c r="J7" s="17">
        <f>O7-I7</f>
        <v/>
      </c>
      <c r="K7" s="69">
        <f>'08_Moteur'!AN4</f>
        <v/>
      </c>
      <c r="L7" s="70">
        <f>IF(H7&lt;0,"🔴 Ne pas ouvrir",IF(K7&gt;=0.95,"🟢 Ouvrir +1 classe",IF(K7&lt;0.55,"🟡 Surveiller","🟢 Maintenir")))</f>
        <v/>
      </c>
      <c r="M7" s="71">
        <f>IF(H7&lt;0,"Contribution négative : la fermer améliore l'EBITDA",IF(K7&gt;=0.95,"Quasi saturé : +1 classe capte la demande",IF(K7&lt;0.55,"Sous-rempli MAIS contribution positive → GARDER (fermer perdrait la marge, la structure resterait)","Sain")))</f>
        <v/>
      </c>
      <c r="N7" s="21" t="inlineStr">
        <is>
          <t>Maintenir</t>
        </is>
      </c>
      <c r="O7" s="17">
        <f>IF(N7="Ne pas ouvrir",0,IF(N7="Ouvrir +1 classe",H7-'08_Moteur'!U4,IF(N7="Économiser 1 classe",H7+('08_Moteur'!AI4-MAX(1,'08_Moteur'!AI4-1))*'08_Moteur'!U4,H7)))</f>
        <v/>
      </c>
      <c r="P7" s="54">
        <f>O7-H7</f>
        <v/>
      </c>
    </row>
    <row r="8">
      <c r="A8" s="47">
        <f>'08_Moteur'!A5</f>
        <v/>
      </c>
      <c r="B8" s="10">
        <f>'08_Moteur'!B5</f>
        <v/>
      </c>
      <c r="C8" s="47">
        <f>'08_Moteur'!C5</f>
        <v/>
      </c>
      <c r="D8" s="10">
        <f>'08_Moteur'!D5</f>
        <v/>
      </c>
      <c r="E8" s="48">
        <f>'08_Moteur'!AD5</f>
        <v/>
      </c>
      <c r="F8" s="16">
        <f>'08_Moteur'!AH5</f>
        <v/>
      </c>
      <c r="G8" s="17">
        <f>F8-'08_Moteur'!AM5</f>
        <v/>
      </c>
      <c r="H8" s="63">
        <f>'08_Moteur'!AM5</f>
        <v/>
      </c>
      <c r="I8" s="17">
        <f>IF(N8="Ne pas ouvrir",0,E8)*IFERROR(('09_Allocation'!E20+'09_Allocation'!F20+'09_Allocation'!I20)/SUMPRODUCT((N6:N63&lt;&gt;"Ne pas ouvrir")*E6:E63),0)</f>
        <v/>
      </c>
      <c r="J8" s="17">
        <f>O8-I8</f>
        <v/>
      </c>
      <c r="K8" s="69">
        <f>'08_Moteur'!AN5</f>
        <v/>
      </c>
      <c r="L8" s="70">
        <f>IF(H8&lt;0,"🔴 Ne pas ouvrir",IF(K8&gt;=0.95,"🟢 Ouvrir +1 classe",IF(K8&lt;0.55,"🟡 Surveiller","🟢 Maintenir")))</f>
        <v/>
      </c>
      <c r="M8" s="71">
        <f>IF(H8&lt;0,"Contribution négative : la fermer améliore l'EBITDA",IF(K8&gt;=0.95,"Quasi saturé : +1 classe capte la demande",IF(K8&lt;0.55,"Sous-rempli MAIS contribution positive → GARDER (fermer perdrait la marge, la structure resterait)","Sain")))</f>
        <v/>
      </c>
      <c r="N8" s="21" t="inlineStr">
        <is>
          <t>Maintenir</t>
        </is>
      </c>
      <c r="O8" s="17">
        <f>IF(N8="Ne pas ouvrir",0,IF(N8="Ouvrir +1 classe",H8-'08_Moteur'!U5,IF(N8="Économiser 1 classe",H8+('08_Moteur'!AI5-MAX(1,'08_Moteur'!AI5-1))*'08_Moteur'!U5,H8)))</f>
        <v/>
      </c>
      <c r="P8" s="54">
        <f>O8-H8</f>
        <v/>
      </c>
    </row>
    <row r="9">
      <c r="A9" s="47">
        <f>'08_Moteur'!A6</f>
        <v/>
      </c>
      <c r="B9" s="10">
        <f>'08_Moteur'!B6</f>
        <v/>
      </c>
      <c r="C9" s="47">
        <f>'08_Moteur'!C6</f>
        <v/>
      </c>
      <c r="D9" s="10">
        <f>'08_Moteur'!D6</f>
        <v/>
      </c>
      <c r="E9" s="48">
        <f>'08_Moteur'!AD6</f>
        <v/>
      </c>
      <c r="F9" s="16">
        <f>'08_Moteur'!AH6</f>
        <v/>
      </c>
      <c r="G9" s="17">
        <f>F9-'08_Moteur'!AM6</f>
        <v/>
      </c>
      <c r="H9" s="63">
        <f>'08_Moteur'!AM6</f>
        <v/>
      </c>
      <c r="I9" s="17">
        <f>IF(N9="Ne pas ouvrir",0,E9)*IFERROR(('09_Allocation'!E20+'09_Allocation'!F20+'09_Allocation'!I20)/SUMPRODUCT((N6:N63&lt;&gt;"Ne pas ouvrir")*E6:E63),0)</f>
        <v/>
      </c>
      <c r="J9" s="17">
        <f>O9-I9</f>
        <v/>
      </c>
      <c r="K9" s="69">
        <f>'08_Moteur'!AN6</f>
        <v/>
      </c>
      <c r="L9" s="70">
        <f>IF(H9&lt;0,"🔴 Ne pas ouvrir",IF(K9&gt;=0.95,"🟢 Ouvrir +1 classe",IF(K9&lt;0.55,"🟡 Surveiller","🟢 Maintenir")))</f>
        <v/>
      </c>
      <c r="M9" s="71">
        <f>IF(H9&lt;0,"Contribution négative : la fermer améliore l'EBITDA",IF(K9&gt;=0.95,"Quasi saturé : +1 classe capte la demande",IF(K9&lt;0.55,"Sous-rempli MAIS contribution positive → GARDER (fermer perdrait la marge, la structure resterait)","Sain")))</f>
        <v/>
      </c>
      <c r="N9" s="21" t="inlineStr">
        <is>
          <t>Maintenir</t>
        </is>
      </c>
      <c r="O9" s="17">
        <f>IF(N9="Ne pas ouvrir",0,IF(N9="Ouvrir +1 classe",H9-'08_Moteur'!U6,IF(N9="Économiser 1 classe",H9+('08_Moteur'!AI6-MAX(1,'08_Moteur'!AI6-1))*'08_Moteur'!U6,H9)))</f>
        <v/>
      </c>
      <c r="P9" s="54">
        <f>O9-H9</f>
        <v/>
      </c>
    </row>
    <row r="10">
      <c r="A10" s="47">
        <f>'08_Moteur'!A7</f>
        <v/>
      </c>
      <c r="B10" s="10">
        <f>'08_Moteur'!B7</f>
        <v/>
      </c>
      <c r="C10" s="47">
        <f>'08_Moteur'!C7</f>
        <v/>
      </c>
      <c r="D10" s="10">
        <f>'08_Moteur'!D7</f>
        <v/>
      </c>
      <c r="E10" s="48">
        <f>'08_Moteur'!AD7</f>
        <v/>
      </c>
      <c r="F10" s="16">
        <f>'08_Moteur'!AH7</f>
        <v/>
      </c>
      <c r="G10" s="17">
        <f>F10-'08_Moteur'!AM7</f>
        <v/>
      </c>
      <c r="H10" s="63">
        <f>'08_Moteur'!AM7</f>
        <v/>
      </c>
      <c r="I10" s="17">
        <f>IF(N10="Ne pas ouvrir",0,E10)*IFERROR(('09_Allocation'!E20+'09_Allocation'!F20+'09_Allocation'!I20)/SUMPRODUCT((N6:N63&lt;&gt;"Ne pas ouvrir")*E6:E63),0)</f>
        <v/>
      </c>
      <c r="J10" s="17">
        <f>O10-I10</f>
        <v/>
      </c>
      <c r="K10" s="69">
        <f>'08_Moteur'!AN7</f>
        <v/>
      </c>
      <c r="L10" s="70">
        <f>IF(H10&lt;0,"🔴 Ne pas ouvrir",IF(K10&gt;=0.95,"🟢 Ouvrir +1 classe",IF(K10&lt;0.55,"🟡 Surveiller","🟢 Maintenir")))</f>
        <v/>
      </c>
      <c r="M10" s="71">
        <f>IF(H10&lt;0,"Contribution négative : la fermer améliore l'EBITDA",IF(K10&gt;=0.95,"Quasi saturé : +1 classe capte la demande",IF(K10&lt;0.55,"Sous-rempli MAIS contribution positive → GARDER (fermer perdrait la marge, la structure resterait)","Sain")))</f>
        <v/>
      </c>
      <c r="N10" s="21" t="inlineStr">
        <is>
          <t>Maintenir</t>
        </is>
      </c>
      <c r="O10" s="17">
        <f>IF(N10="Ne pas ouvrir",0,IF(N10="Ouvrir +1 classe",H10-'08_Moteur'!U7,IF(N10="Économiser 1 classe",H10+('08_Moteur'!AI7-MAX(1,'08_Moteur'!AI7-1))*'08_Moteur'!U7,H10)))</f>
        <v/>
      </c>
      <c r="P10" s="54">
        <f>O10-H10</f>
        <v/>
      </c>
    </row>
    <row r="11">
      <c r="A11" s="47">
        <f>'08_Moteur'!A8</f>
        <v/>
      </c>
      <c r="B11" s="10">
        <f>'08_Moteur'!B8</f>
        <v/>
      </c>
      <c r="C11" s="47">
        <f>'08_Moteur'!C8</f>
        <v/>
      </c>
      <c r="D11" s="10">
        <f>'08_Moteur'!D8</f>
        <v/>
      </c>
      <c r="E11" s="48">
        <f>'08_Moteur'!AD8</f>
        <v/>
      </c>
      <c r="F11" s="16">
        <f>'08_Moteur'!AH8</f>
        <v/>
      </c>
      <c r="G11" s="17">
        <f>F11-'08_Moteur'!AM8</f>
        <v/>
      </c>
      <c r="H11" s="63">
        <f>'08_Moteur'!AM8</f>
        <v/>
      </c>
      <c r="I11" s="17">
        <f>IF(N11="Ne pas ouvrir",0,E11)*IFERROR(('09_Allocation'!E20+'09_Allocation'!F20+'09_Allocation'!I20)/SUMPRODUCT((N6:N63&lt;&gt;"Ne pas ouvrir")*E6:E63),0)</f>
        <v/>
      </c>
      <c r="J11" s="17">
        <f>O11-I11</f>
        <v/>
      </c>
      <c r="K11" s="69">
        <f>'08_Moteur'!AN8</f>
        <v/>
      </c>
      <c r="L11" s="70">
        <f>IF(H11&lt;0,"🔴 Ne pas ouvrir",IF(K11&gt;=0.95,"🟢 Ouvrir +1 classe",IF(K11&lt;0.55,"🟡 Surveiller","🟢 Maintenir")))</f>
        <v/>
      </c>
      <c r="M11" s="71">
        <f>IF(H11&lt;0,"Contribution négative : la fermer améliore l'EBITDA",IF(K11&gt;=0.95,"Quasi saturé : +1 classe capte la demande",IF(K11&lt;0.55,"Sous-rempli MAIS contribution positive → GARDER (fermer perdrait la marge, la structure resterait)","Sain")))</f>
        <v/>
      </c>
      <c r="N11" s="21" t="inlineStr">
        <is>
          <t>Maintenir</t>
        </is>
      </c>
      <c r="O11" s="17">
        <f>IF(N11="Ne pas ouvrir",0,IF(N11="Ouvrir +1 classe",H11-'08_Moteur'!U8,IF(N11="Économiser 1 classe",H11+('08_Moteur'!AI8-MAX(1,'08_Moteur'!AI8-1))*'08_Moteur'!U8,H11)))</f>
        <v/>
      </c>
      <c r="P11" s="54">
        <f>O11-H11</f>
        <v/>
      </c>
    </row>
    <row r="12">
      <c r="A12" s="47">
        <f>'08_Moteur'!A9</f>
        <v/>
      </c>
      <c r="B12" s="10">
        <f>'08_Moteur'!B9</f>
        <v/>
      </c>
      <c r="C12" s="47">
        <f>'08_Moteur'!C9</f>
        <v/>
      </c>
      <c r="D12" s="10">
        <f>'08_Moteur'!D9</f>
        <v/>
      </c>
      <c r="E12" s="48">
        <f>'08_Moteur'!AD9</f>
        <v/>
      </c>
      <c r="F12" s="16">
        <f>'08_Moteur'!AH9</f>
        <v/>
      </c>
      <c r="G12" s="17">
        <f>F12-'08_Moteur'!AM9</f>
        <v/>
      </c>
      <c r="H12" s="63">
        <f>'08_Moteur'!AM9</f>
        <v/>
      </c>
      <c r="I12" s="17">
        <f>IF(N12="Ne pas ouvrir",0,E12)*IFERROR(('09_Allocation'!E20+'09_Allocation'!F20+'09_Allocation'!I20)/SUMPRODUCT((N6:N63&lt;&gt;"Ne pas ouvrir")*E6:E63),0)</f>
        <v/>
      </c>
      <c r="J12" s="17">
        <f>O12-I12</f>
        <v/>
      </c>
      <c r="K12" s="69">
        <f>'08_Moteur'!AN9</f>
        <v/>
      </c>
      <c r="L12" s="70">
        <f>IF(H12&lt;0,"🔴 Ne pas ouvrir",IF(K12&gt;=0.95,"🟢 Ouvrir +1 classe",IF(K12&lt;0.55,"🟡 Surveiller","🟢 Maintenir")))</f>
        <v/>
      </c>
      <c r="M12" s="71">
        <f>IF(H12&lt;0,"Contribution négative : la fermer améliore l'EBITDA",IF(K12&gt;=0.95,"Quasi saturé : +1 classe capte la demande",IF(K12&lt;0.55,"Sous-rempli MAIS contribution positive → GARDER (fermer perdrait la marge, la structure resterait)","Sain")))</f>
        <v/>
      </c>
      <c r="N12" s="21" t="inlineStr">
        <is>
          <t>Maintenir</t>
        </is>
      </c>
      <c r="O12" s="17">
        <f>IF(N12="Ne pas ouvrir",0,IF(N12="Ouvrir +1 classe",H12-'08_Moteur'!U9,IF(N12="Économiser 1 classe",H12+('08_Moteur'!AI9-MAX(1,'08_Moteur'!AI9-1))*'08_Moteur'!U9,H12)))</f>
        <v/>
      </c>
      <c r="P12" s="54">
        <f>O12-H12</f>
        <v/>
      </c>
    </row>
    <row r="13">
      <c r="A13" s="47">
        <f>'08_Moteur'!A10</f>
        <v/>
      </c>
      <c r="B13" s="10">
        <f>'08_Moteur'!B10</f>
        <v/>
      </c>
      <c r="C13" s="47">
        <f>'08_Moteur'!C10</f>
        <v/>
      </c>
      <c r="D13" s="10">
        <f>'08_Moteur'!D10</f>
        <v/>
      </c>
      <c r="E13" s="48">
        <f>'08_Moteur'!AD10</f>
        <v/>
      </c>
      <c r="F13" s="16">
        <f>'08_Moteur'!AH10</f>
        <v/>
      </c>
      <c r="G13" s="17">
        <f>F13-'08_Moteur'!AM10</f>
        <v/>
      </c>
      <c r="H13" s="63">
        <f>'08_Moteur'!AM10</f>
        <v/>
      </c>
      <c r="I13" s="17">
        <f>IF(N13="Ne pas ouvrir",0,E13)*IFERROR(('09_Allocation'!E20+'09_Allocation'!F20+'09_Allocation'!I20)/SUMPRODUCT((N6:N63&lt;&gt;"Ne pas ouvrir")*E6:E63),0)</f>
        <v/>
      </c>
      <c r="J13" s="17">
        <f>O13-I13</f>
        <v/>
      </c>
      <c r="K13" s="69">
        <f>'08_Moteur'!AN10</f>
        <v/>
      </c>
      <c r="L13" s="70">
        <f>IF(H13&lt;0,"🔴 Ne pas ouvrir",IF(K13&gt;=0.95,"🟢 Ouvrir +1 classe",IF(K13&lt;0.55,"🟡 Surveiller","🟢 Maintenir")))</f>
        <v/>
      </c>
      <c r="M13" s="71">
        <f>IF(H13&lt;0,"Contribution négative : la fermer améliore l'EBITDA",IF(K13&gt;=0.95,"Quasi saturé : +1 classe capte la demande",IF(K13&lt;0.55,"Sous-rempli MAIS contribution positive → GARDER (fermer perdrait la marge, la structure resterait)","Sain")))</f>
        <v/>
      </c>
      <c r="N13" s="21" t="inlineStr">
        <is>
          <t>Maintenir</t>
        </is>
      </c>
      <c r="O13" s="17">
        <f>IF(N13="Ne pas ouvrir",0,IF(N13="Ouvrir +1 classe",H13-'08_Moteur'!U10,IF(N13="Économiser 1 classe",H13+('08_Moteur'!AI10-MAX(1,'08_Moteur'!AI10-1))*'08_Moteur'!U10,H13)))</f>
        <v/>
      </c>
      <c r="P13" s="54">
        <f>O13-H13</f>
        <v/>
      </c>
    </row>
    <row r="14">
      <c r="A14" s="47">
        <f>'08_Moteur'!A11</f>
        <v/>
      </c>
      <c r="B14" s="10">
        <f>'08_Moteur'!B11</f>
        <v/>
      </c>
      <c r="C14" s="47">
        <f>'08_Moteur'!C11</f>
        <v/>
      </c>
      <c r="D14" s="10">
        <f>'08_Moteur'!D11</f>
        <v/>
      </c>
      <c r="E14" s="48">
        <f>'08_Moteur'!AD11</f>
        <v/>
      </c>
      <c r="F14" s="16">
        <f>'08_Moteur'!AH11</f>
        <v/>
      </c>
      <c r="G14" s="17">
        <f>F14-'08_Moteur'!AM11</f>
        <v/>
      </c>
      <c r="H14" s="63">
        <f>'08_Moteur'!AM11</f>
        <v/>
      </c>
      <c r="I14" s="17">
        <f>IF(N14="Ne pas ouvrir",0,E14)*IFERROR(('09_Allocation'!E20+'09_Allocation'!F20+'09_Allocation'!I20)/SUMPRODUCT((N6:N63&lt;&gt;"Ne pas ouvrir")*E6:E63),0)</f>
        <v/>
      </c>
      <c r="J14" s="17">
        <f>O14-I14</f>
        <v/>
      </c>
      <c r="K14" s="69">
        <f>'08_Moteur'!AN11</f>
        <v/>
      </c>
      <c r="L14" s="70">
        <f>IF(H14&lt;0,"🔴 Ne pas ouvrir",IF(K14&gt;=0.95,"🟢 Ouvrir +1 classe",IF(K14&lt;0.55,"🟡 Surveiller","🟢 Maintenir")))</f>
        <v/>
      </c>
      <c r="M14" s="71">
        <f>IF(H14&lt;0,"Contribution négative : la fermer améliore l'EBITDA",IF(K14&gt;=0.95,"Quasi saturé : +1 classe capte la demande",IF(K14&lt;0.55,"Sous-rempli MAIS contribution positive → GARDER (fermer perdrait la marge, la structure resterait)","Sain")))</f>
        <v/>
      </c>
      <c r="N14" s="21" t="inlineStr">
        <is>
          <t>Maintenir</t>
        </is>
      </c>
      <c r="O14" s="17">
        <f>IF(N14="Ne pas ouvrir",0,IF(N14="Ouvrir +1 classe",H14-'08_Moteur'!U11,IF(N14="Économiser 1 classe",H14+('08_Moteur'!AI11-MAX(1,'08_Moteur'!AI11-1))*'08_Moteur'!U11,H14)))</f>
        <v/>
      </c>
      <c r="P14" s="54">
        <f>O14-H14</f>
        <v/>
      </c>
    </row>
    <row r="15">
      <c r="A15" s="47">
        <f>'08_Moteur'!A12</f>
        <v/>
      </c>
      <c r="B15" s="10">
        <f>'08_Moteur'!B12</f>
        <v/>
      </c>
      <c r="C15" s="47">
        <f>'08_Moteur'!C12</f>
        <v/>
      </c>
      <c r="D15" s="10">
        <f>'08_Moteur'!D12</f>
        <v/>
      </c>
      <c r="E15" s="48">
        <f>'08_Moteur'!AD12</f>
        <v/>
      </c>
      <c r="F15" s="16">
        <f>'08_Moteur'!AH12</f>
        <v/>
      </c>
      <c r="G15" s="17">
        <f>F15-'08_Moteur'!AM12</f>
        <v/>
      </c>
      <c r="H15" s="63">
        <f>'08_Moteur'!AM12</f>
        <v/>
      </c>
      <c r="I15" s="17">
        <f>IF(N15="Ne pas ouvrir",0,E15)*IFERROR(('09_Allocation'!E20+'09_Allocation'!F20+'09_Allocation'!I20)/SUMPRODUCT((N6:N63&lt;&gt;"Ne pas ouvrir")*E6:E63),0)</f>
        <v/>
      </c>
      <c r="J15" s="17">
        <f>O15-I15</f>
        <v/>
      </c>
      <c r="K15" s="69">
        <f>'08_Moteur'!AN12</f>
        <v/>
      </c>
      <c r="L15" s="70">
        <f>IF(H15&lt;0,"🔴 Ne pas ouvrir",IF(K15&gt;=0.95,"🟢 Ouvrir +1 classe",IF(K15&lt;0.55,"🟡 Surveiller","🟢 Maintenir")))</f>
        <v/>
      </c>
      <c r="M15" s="71">
        <f>IF(H15&lt;0,"Contribution négative : la fermer améliore l'EBITDA",IF(K15&gt;=0.95,"Quasi saturé : +1 classe capte la demande",IF(K15&lt;0.55,"Sous-rempli MAIS contribution positive → GARDER (fermer perdrait la marge, la structure resterait)","Sain")))</f>
        <v/>
      </c>
      <c r="N15" s="21" t="inlineStr">
        <is>
          <t>Maintenir</t>
        </is>
      </c>
      <c r="O15" s="17">
        <f>IF(N15="Ne pas ouvrir",0,IF(N15="Ouvrir +1 classe",H15-'08_Moteur'!U12,IF(N15="Économiser 1 classe",H15+('08_Moteur'!AI12-MAX(1,'08_Moteur'!AI12-1))*'08_Moteur'!U12,H15)))</f>
        <v/>
      </c>
      <c r="P15" s="54">
        <f>O15-H15</f>
        <v/>
      </c>
    </row>
    <row r="16">
      <c r="A16" s="47">
        <f>'08_Moteur'!A13</f>
        <v/>
      </c>
      <c r="B16" s="10">
        <f>'08_Moteur'!B13</f>
        <v/>
      </c>
      <c r="C16" s="47">
        <f>'08_Moteur'!C13</f>
        <v/>
      </c>
      <c r="D16" s="10">
        <f>'08_Moteur'!D13</f>
        <v/>
      </c>
      <c r="E16" s="48">
        <f>'08_Moteur'!AD13</f>
        <v/>
      </c>
      <c r="F16" s="16">
        <f>'08_Moteur'!AH13</f>
        <v/>
      </c>
      <c r="G16" s="17">
        <f>F16-'08_Moteur'!AM13</f>
        <v/>
      </c>
      <c r="H16" s="63">
        <f>'08_Moteur'!AM13</f>
        <v/>
      </c>
      <c r="I16" s="17">
        <f>IF(N16="Ne pas ouvrir",0,E16)*IFERROR(('09_Allocation'!E20+'09_Allocation'!F20+'09_Allocation'!I20)/SUMPRODUCT((N6:N63&lt;&gt;"Ne pas ouvrir")*E6:E63),0)</f>
        <v/>
      </c>
      <c r="J16" s="17">
        <f>O16-I16</f>
        <v/>
      </c>
      <c r="K16" s="69">
        <f>'08_Moteur'!AN13</f>
        <v/>
      </c>
      <c r="L16" s="70">
        <f>IF(H16&lt;0,"🔴 Ne pas ouvrir",IF(K16&gt;=0.95,"🟢 Ouvrir +1 classe",IF(K16&lt;0.55,"🟡 Surveiller","🟢 Maintenir")))</f>
        <v/>
      </c>
      <c r="M16" s="71">
        <f>IF(H16&lt;0,"Contribution négative : la fermer améliore l'EBITDA",IF(K16&gt;=0.95,"Quasi saturé : +1 classe capte la demande",IF(K16&lt;0.55,"Sous-rempli MAIS contribution positive → GARDER (fermer perdrait la marge, la structure resterait)","Sain")))</f>
        <v/>
      </c>
      <c r="N16" s="21" t="inlineStr">
        <is>
          <t>Maintenir</t>
        </is>
      </c>
      <c r="O16" s="17">
        <f>IF(N16="Ne pas ouvrir",0,IF(N16="Ouvrir +1 classe",H16-'08_Moteur'!U13,IF(N16="Économiser 1 classe",H16+('08_Moteur'!AI13-MAX(1,'08_Moteur'!AI13-1))*'08_Moteur'!U13,H16)))</f>
        <v/>
      </c>
      <c r="P16" s="54">
        <f>O16-H16</f>
        <v/>
      </c>
    </row>
    <row r="17">
      <c r="A17" s="47">
        <f>'08_Moteur'!A14</f>
        <v/>
      </c>
      <c r="B17" s="10">
        <f>'08_Moteur'!B14</f>
        <v/>
      </c>
      <c r="C17" s="47">
        <f>'08_Moteur'!C14</f>
        <v/>
      </c>
      <c r="D17" s="10">
        <f>'08_Moteur'!D14</f>
        <v/>
      </c>
      <c r="E17" s="48">
        <f>'08_Moteur'!AD14</f>
        <v/>
      </c>
      <c r="F17" s="16">
        <f>'08_Moteur'!AH14</f>
        <v/>
      </c>
      <c r="G17" s="17">
        <f>F17-'08_Moteur'!AM14</f>
        <v/>
      </c>
      <c r="H17" s="63">
        <f>'08_Moteur'!AM14</f>
        <v/>
      </c>
      <c r="I17" s="17">
        <f>IF(N17="Ne pas ouvrir",0,E17)*IFERROR(('09_Allocation'!E20+'09_Allocation'!F20+'09_Allocation'!I20)/SUMPRODUCT((N6:N63&lt;&gt;"Ne pas ouvrir")*E6:E63),0)</f>
        <v/>
      </c>
      <c r="J17" s="17">
        <f>O17-I17</f>
        <v/>
      </c>
      <c r="K17" s="69">
        <f>'08_Moteur'!AN14</f>
        <v/>
      </c>
      <c r="L17" s="70">
        <f>IF(H17&lt;0,"🔴 Ne pas ouvrir",IF(K17&gt;=0.95,"🟢 Ouvrir +1 classe",IF(K17&lt;0.55,"🟡 Surveiller","🟢 Maintenir")))</f>
        <v/>
      </c>
      <c r="M17" s="71">
        <f>IF(H17&lt;0,"Contribution négative : la fermer améliore l'EBITDA",IF(K17&gt;=0.95,"Quasi saturé : +1 classe capte la demande",IF(K17&lt;0.55,"Sous-rempli MAIS contribution positive → GARDER (fermer perdrait la marge, la structure resterait)","Sain")))</f>
        <v/>
      </c>
      <c r="N17" s="21" t="inlineStr">
        <is>
          <t>Maintenir</t>
        </is>
      </c>
      <c r="O17" s="17">
        <f>IF(N17="Ne pas ouvrir",0,IF(N17="Ouvrir +1 classe",H17-'08_Moteur'!U14,IF(N17="Économiser 1 classe",H17+('08_Moteur'!AI14-MAX(1,'08_Moteur'!AI14-1))*'08_Moteur'!U14,H17)))</f>
        <v/>
      </c>
      <c r="P17" s="54">
        <f>O17-H17</f>
        <v/>
      </c>
    </row>
    <row r="18">
      <c r="A18" s="47">
        <f>'08_Moteur'!A15</f>
        <v/>
      </c>
      <c r="B18" s="10">
        <f>'08_Moteur'!B15</f>
        <v/>
      </c>
      <c r="C18" s="47">
        <f>'08_Moteur'!C15</f>
        <v/>
      </c>
      <c r="D18" s="10">
        <f>'08_Moteur'!D15</f>
        <v/>
      </c>
      <c r="E18" s="48">
        <f>'08_Moteur'!AD15</f>
        <v/>
      </c>
      <c r="F18" s="16">
        <f>'08_Moteur'!AH15</f>
        <v/>
      </c>
      <c r="G18" s="17">
        <f>F18-'08_Moteur'!AM15</f>
        <v/>
      </c>
      <c r="H18" s="63">
        <f>'08_Moteur'!AM15</f>
        <v/>
      </c>
      <c r="I18" s="17">
        <f>IF(N18="Ne pas ouvrir",0,E18)*IFERROR(('09_Allocation'!E20+'09_Allocation'!F20+'09_Allocation'!I20)/SUMPRODUCT((N6:N63&lt;&gt;"Ne pas ouvrir")*E6:E63),0)</f>
        <v/>
      </c>
      <c r="J18" s="17">
        <f>O18-I18</f>
        <v/>
      </c>
      <c r="K18" s="69">
        <f>'08_Moteur'!AN15</f>
        <v/>
      </c>
      <c r="L18" s="70">
        <f>IF(H18&lt;0,"🔴 Ne pas ouvrir",IF(K18&gt;=0.95,"🟢 Ouvrir +1 classe",IF(K18&lt;0.55,"🟡 Surveiller","🟢 Maintenir")))</f>
        <v/>
      </c>
      <c r="M18" s="71">
        <f>IF(H18&lt;0,"Contribution négative : la fermer améliore l'EBITDA",IF(K18&gt;=0.95,"Quasi saturé : +1 classe capte la demande",IF(K18&lt;0.55,"Sous-rempli MAIS contribution positive → GARDER (fermer perdrait la marge, la structure resterait)","Sain")))</f>
        <v/>
      </c>
      <c r="N18" s="21" t="inlineStr">
        <is>
          <t>Maintenir</t>
        </is>
      </c>
      <c r="O18" s="17">
        <f>IF(N18="Ne pas ouvrir",0,IF(N18="Ouvrir +1 classe",H18-'08_Moteur'!U15,IF(N18="Économiser 1 classe",H18+('08_Moteur'!AI15-MAX(1,'08_Moteur'!AI15-1))*'08_Moteur'!U15,H18)))</f>
        <v/>
      </c>
      <c r="P18" s="54">
        <f>O18-H18</f>
        <v/>
      </c>
    </row>
    <row r="19">
      <c r="A19" s="47">
        <f>'08_Moteur'!A16</f>
        <v/>
      </c>
      <c r="B19" s="10">
        <f>'08_Moteur'!B16</f>
        <v/>
      </c>
      <c r="C19" s="47">
        <f>'08_Moteur'!C16</f>
        <v/>
      </c>
      <c r="D19" s="10">
        <f>'08_Moteur'!D16</f>
        <v/>
      </c>
      <c r="E19" s="48">
        <f>'08_Moteur'!AD16</f>
        <v/>
      </c>
      <c r="F19" s="16">
        <f>'08_Moteur'!AH16</f>
        <v/>
      </c>
      <c r="G19" s="17">
        <f>F19-'08_Moteur'!AM16</f>
        <v/>
      </c>
      <c r="H19" s="63">
        <f>'08_Moteur'!AM16</f>
        <v/>
      </c>
      <c r="I19" s="17">
        <f>IF(N19="Ne pas ouvrir",0,E19)*IFERROR(('09_Allocation'!E20+'09_Allocation'!F20+'09_Allocation'!I20)/SUMPRODUCT((N6:N63&lt;&gt;"Ne pas ouvrir")*E6:E63),0)</f>
        <v/>
      </c>
      <c r="J19" s="17">
        <f>O19-I19</f>
        <v/>
      </c>
      <c r="K19" s="69">
        <f>'08_Moteur'!AN16</f>
        <v/>
      </c>
      <c r="L19" s="70">
        <f>IF(H19&lt;0,"🔴 Ne pas ouvrir",IF(K19&gt;=0.95,"🟢 Ouvrir +1 classe",IF(K19&lt;0.55,"🟡 Surveiller","🟢 Maintenir")))</f>
        <v/>
      </c>
      <c r="M19" s="71">
        <f>IF(H19&lt;0,"Contribution négative : la fermer améliore l'EBITDA",IF(K19&gt;=0.95,"Quasi saturé : +1 classe capte la demande",IF(K19&lt;0.55,"Sous-rempli MAIS contribution positive → GARDER (fermer perdrait la marge, la structure resterait)","Sain")))</f>
        <v/>
      </c>
      <c r="N19" s="21" t="inlineStr">
        <is>
          <t>Maintenir</t>
        </is>
      </c>
      <c r="O19" s="17">
        <f>IF(N19="Ne pas ouvrir",0,IF(N19="Ouvrir +1 classe",H19-'08_Moteur'!U16,IF(N19="Économiser 1 classe",H19+('08_Moteur'!AI16-MAX(1,'08_Moteur'!AI16-1))*'08_Moteur'!U16,H19)))</f>
        <v/>
      </c>
      <c r="P19" s="54">
        <f>O19-H19</f>
        <v/>
      </c>
    </row>
    <row r="20">
      <c r="A20" s="47">
        <f>'08_Moteur'!A17</f>
        <v/>
      </c>
      <c r="B20" s="10">
        <f>'08_Moteur'!B17</f>
        <v/>
      </c>
      <c r="C20" s="47">
        <f>'08_Moteur'!C17</f>
        <v/>
      </c>
      <c r="D20" s="10">
        <f>'08_Moteur'!D17</f>
        <v/>
      </c>
      <c r="E20" s="48">
        <f>'08_Moteur'!AD17</f>
        <v/>
      </c>
      <c r="F20" s="16">
        <f>'08_Moteur'!AH17</f>
        <v/>
      </c>
      <c r="G20" s="17">
        <f>F20-'08_Moteur'!AM17</f>
        <v/>
      </c>
      <c r="H20" s="63">
        <f>'08_Moteur'!AM17</f>
        <v/>
      </c>
      <c r="I20" s="17">
        <f>IF(N20="Ne pas ouvrir",0,E20)*IFERROR(('09_Allocation'!E20+'09_Allocation'!F20+'09_Allocation'!I20)/SUMPRODUCT((N6:N63&lt;&gt;"Ne pas ouvrir")*E6:E63),0)</f>
        <v/>
      </c>
      <c r="J20" s="17">
        <f>O20-I20</f>
        <v/>
      </c>
      <c r="K20" s="69">
        <f>'08_Moteur'!AN17</f>
        <v/>
      </c>
      <c r="L20" s="70">
        <f>IF(H20&lt;0,"🔴 Ne pas ouvrir",IF(K20&gt;=0.95,"🟢 Ouvrir +1 classe",IF(K20&lt;0.55,"🟡 Surveiller","🟢 Maintenir")))</f>
        <v/>
      </c>
      <c r="M20" s="71">
        <f>IF(H20&lt;0,"Contribution négative : la fermer améliore l'EBITDA",IF(K20&gt;=0.95,"Quasi saturé : +1 classe capte la demande",IF(K20&lt;0.55,"Sous-rempli MAIS contribution positive → GARDER (fermer perdrait la marge, la structure resterait)","Sain")))</f>
        <v/>
      </c>
      <c r="N20" s="21" t="inlineStr">
        <is>
          <t>Maintenir</t>
        </is>
      </c>
      <c r="O20" s="17">
        <f>IF(N20="Ne pas ouvrir",0,IF(N20="Ouvrir +1 classe",H20-'08_Moteur'!U17,IF(N20="Économiser 1 classe",H20+('08_Moteur'!AI17-MAX(1,'08_Moteur'!AI17-1))*'08_Moteur'!U17,H20)))</f>
        <v/>
      </c>
      <c r="P20" s="54">
        <f>O20-H20</f>
        <v/>
      </c>
    </row>
    <row r="21">
      <c r="A21" s="47">
        <f>'08_Moteur'!A18</f>
        <v/>
      </c>
      <c r="B21" s="10">
        <f>'08_Moteur'!B18</f>
        <v/>
      </c>
      <c r="C21" s="47">
        <f>'08_Moteur'!C18</f>
        <v/>
      </c>
      <c r="D21" s="10">
        <f>'08_Moteur'!D18</f>
        <v/>
      </c>
      <c r="E21" s="48">
        <f>'08_Moteur'!AD18</f>
        <v/>
      </c>
      <c r="F21" s="16">
        <f>'08_Moteur'!AH18</f>
        <v/>
      </c>
      <c r="G21" s="17">
        <f>F21-'08_Moteur'!AM18</f>
        <v/>
      </c>
      <c r="H21" s="63">
        <f>'08_Moteur'!AM18</f>
        <v/>
      </c>
      <c r="I21" s="17">
        <f>IF(N21="Ne pas ouvrir",0,E21)*IFERROR(('09_Allocation'!E20+'09_Allocation'!F20+'09_Allocation'!I20)/SUMPRODUCT((N6:N63&lt;&gt;"Ne pas ouvrir")*E6:E63),0)</f>
        <v/>
      </c>
      <c r="J21" s="17">
        <f>O21-I21</f>
        <v/>
      </c>
      <c r="K21" s="69">
        <f>'08_Moteur'!AN18</f>
        <v/>
      </c>
      <c r="L21" s="70">
        <f>IF(H21&lt;0,"🔴 Ne pas ouvrir",IF(K21&gt;=0.95,"🟢 Ouvrir +1 classe",IF(K21&lt;0.55,"🟡 Surveiller","🟢 Maintenir")))</f>
        <v/>
      </c>
      <c r="M21" s="71">
        <f>IF(H21&lt;0,"Contribution négative : la fermer améliore l'EBITDA",IF(K21&gt;=0.95,"Quasi saturé : +1 classe capte la demande",IF(K21&lt;0.55,"Sous-rempli MAIS contribution positive → GARDER (fermer perdrait la marge, la structure resterait)","Sain")))</f>
        <v/>
      </c>
      <c r="N21" s="21" t="inlineStr">
        <is>
          <t>Maintenir</t>
        </is>
      </c>
      <c r="O21" s="17">
        <f>IF(N21="Ne pas ouvrir",0,IF(N21="Ouvrir +1 classe",H21-'08_Moteur'!U18,IF(N21="Économiser 1 classe",H21+('08_Moteur'!AI18-MAX(1,'08_Moteur'!AI18-1))*'08_Moteur'!U18,H21)))</f>
        <v/>
      </c>
      <c r="P21" s="54">
        <f>O21-H21</f>
        <v/>
      </c>
    </row>
    <row r="22">
      <c r="A22" s="47">
        <f>'08_Moteur'!A19</f>
        <v/>
      </c>
      <c r="B22" s="10">
        <f>'08_Moteur'!B19</f>
        <v/>
      </c>
      <c r="C22" s="47">
        <f>'08_Moteur'!C19</f>
        <v/>
      </c>
      <c r="D22" s="10">
        <f>'08_Moteur'!D19</f>
        <v/>
      </c>
      <c r="E22" s="48">
        <f>'08_Moteur'!AD19</f>
        <v/>
      </c>
      <c r="F22" s="16">
        <f>'08_Moteur'!AH19</f>
        <v/>
      </c>
      <c r="G22" s="17">
        <f>F22-'08_Moteur'!AM19</f>
        <v/>
      </c>
      <c r="H22" s="63">
        <f>'08_Moteur'!AM19</f>
        <v/>
      </c>
      <c r="I22" s="17">
        <f>IF(N22="Ne pas ouvrir",0,E22)*IFERROR(('09_Allocation'!E20+'09_Allocation'!F20+'09_Allocation'!I20)/SUMPRODUCT((N6:N63&lt;&gt;"Ne pas ouvrir")*E6:E63),0)</f>
        <v/>
      </c>
      <c r="J22" s="17">
        <f>O22-I22</f>
        <v/>
      </c>
      <c r="K22" s="69">
        <f>'08_Moteur'!AN19</f>
        <v/>
      </c>
      <c r="L22" s="70">
        <f>IF(H22&lt;0,"🔴 Ne pas ouvrir",IF(K22&gt;=0.95,"🟢 Ouvrir +1 classe",IF(K22&lt;0.55,"🟡 Surveiller","🟢 Maintenir")))</f>
        <v/>
      </c>
      <c r="M22" s="71">
        <f>IF(H22&lt;0,"Contribution négative : la fermer améliore l'EBITDA",IF(K22&gt;=0.95,"Quasi saturé : +1 classe capte la demande",IF(K22&lt;0.55,"Sous-rempli MAIS contribution positive → GARDER (fermer perdrait la marge, la structure resterait)","Sain")))</f>
        <v/>
      </c>
      <c r="N22" s="21" t="inlineStr">
        <is>
          <t>Maintenir</t>
        </is>
      </c>
      <c r="O22" s="17">
        <f>IF(N22="Ne pas ouvrir",0,IF(N22="Ouvrir +1 classe",H22-'08_Moteur'!U19,IF(N22="Économiser 1 classe",H22+('08_Moteur'!AI19-MAX(1,'08_Moteur'!AI19-1))*'08_Moteur'!U19,H22)))</f>
        <v/>
      </c>
      <c r="P22" s="54">
        <f>O22-H22</f>
        <v/>
      </c>
    </row>
    <row r="23">
      <c r="A23" s="47">
        <f>'08_Moteur'!A20</f>
        <v/>
      </c>
      <c r="B23" s="10">
        <f>'08_Moteur'!B20</f>
        <v/>
      </c>
      <c r="C23" s="47">
        <f>'08_Moteur'!C20</f>
        <v/>
      </c>
      <c r="D23" s="10">
        <f>'08_Moteur'!D20</f>
        <v/>
      </c>
      <c r="E23" s="48">
        <f>'08_Moteur'!AD20</f>
        <v/>
      </c>
      <c r="F23" s="16">
        <f>'08_Moteur'!AH20</f>
        <v/>
      </c>
      <c r="G23" s="17">
        <f>F23-'08_Moteur'!AM20</f>
        <v/>
      </c>
      <c r="H23" s="63">
        <f>'08_Moteur'!AM20</f>
        <v/>
      </c>
      <c r="I23" s="17">
        <f>IF(N23="Ne pas ouvrir",0,E23)*IFERROR(('09_Allocation'!E20+'09_Allocation'!F20+'09_Allocation'!I20)/SUMPRODUCT((N6:N63&lt;&gt;"Ne pas ouvrir")*E6:E63),0)</f>
        <v/>
      </c>
      <c r="J23" s="17">
        <f>O23-I23</f>
        <v/>
      </c>
      <c r="K23" s="69">
        <f>'08_Moteur'!AN20</f>
        <v/>
      </c>
      <c r="L23" s="70">
        <f>IF(H23&lt;0,"🔴 Ne pas ouvrir",IF(K23&gt;=0.95,"🟢 Ouvrir +1 classe",IF(K23&lt;0.55,"🟡 Surveiller","🟢 Maintenir")))</f>
        <v/>
      </c>
      <c r="M23" s="71">
        <f>IF(H23&lt;0,"Contribution négative : la fermer améliore l'EBITDA",IF(K23&gt;=0.95,"Quasi saturé : +1 classe capte la demande",IF(K23&lt;0.55,"Sous-rempli MAIS contribution positive → GARDER (fermer perdrait la marge, la structure resterait)","Sain")))</f>
        <v/>
      </c>
      <c r="N23" s="21" t="inlineStr">
        <is>
          <t>Maintenir</t>
        </is>
      </c>
      <c r="O23" s="17">
        <f>IF(N23="Ne pas ouvrir",0,IF(N23="Ouvrir +1 classe",H23-'08_Moteur'!U20,IF(N23="Économiser 1 classe",H23+('08_Moteur'!AI20-MAX(1,'08_Moteur'!AI20-1))*'08_Moteur'!U20,H23)))</f>
        <v/>
      </c>
      <c r="P23" s="54">
        <f>O23-H23</f>
        <v/>
      </c>
    </row>
    <row r="24">
      <c r="A24" s="47">
        <f>'08_Moteur'!A21</f>
        <v/>
      </c>
      <c r="B24" s="10">
        <f>'08_Moteur'!B21</f>
        <v/>
      </c>
      <c r="C24" s="47">
        <f>'08_Moteur'!C21</f>
        <v/>
      </c>
      <c r="D24" s="10">
        <f>'08_Moteur'!D21</f>
        <v/>
      </c>
      <c r="E24" s="48">
        <f>'08_Moteur'!AD21</f>
        <v/>
      </c>
      <c r="F24" s="16">
        <f>'08_Moteur'!AH21</f>
        <v/>
      </c>
      <c r="G24" s="17">
        <f>F24-'08_Moteur'!AM21</f>
        <v/>
      </c>
      <c r="H24" s="63">
        <f>'08_Moteur'!AM21</f>
        <v/>
      </c>
      <c r="I24" s="17">
        <f>IF(N24="Ne pas ouvrir",0,E24)*IFERROR(('09_Allocation'!E20+'09_Allocation'!F20+'09_Allocation'!I20)/SUMPRODUCT((N6:N63&lt;&gt;"Ne pas ouvrir")*E6:E63),0)</f>
        <v/>
      </c>
      <c r="J24" s="17">
        <f>O24-I24</f>
        <v/>
      </c>
      <c r="K24" s="69">
        <f>'08_Moteur'!AN21</f>
        <v/>
      </c>
      <c r="L24" s="70">
        <f>IF(H24&lt;0,"🔴 Ne pas ouvrir",IF(K24&gt;=0.95,"🟢 Ouvrir +1 classe",IF(K24&lt;0.55,"🟡 Surveiller","🟢 Maintenir")))</f>
        <v/>
      </c>
      <c r="M24" s="71">
        <f>IF(H24&lt;0,"Contribution négative : la fermer améliore l'EBITDA",IF(K24&gt;=0.95,"Quasi saturé : +1 classe capte la demande",IF(K24&lt;0.55,"Sous-rempli MAIS contribution positive → GARDER (fermer perdrait la marge, la structure resterait)","Sain")))</f>
        <v/>
      </c>
      <c r="N24" s="21" t="inlineStr">
        <is>
          <t>Maintenir</t>
        </is>
      </c>
      <c r="O24" s="17">
        <f>IF(N24="Ne pas ouvrir",0,IF(N24="Ouvrir +1 classe",H24-'08_Moteur'!U21,IF(N24="Économiser 1 classe",H24+('08_Moteur'!AI21-MAX(1,'08_Moteur'!AI21-1))*'08_Moteur'!U21,H24)))</f>
        <v/>
      </c>
      <c r="P24" s="54">
        <f>O24-H24</f>
        <v/>
      </c>
    </row>
    <row r="25">
      <c r="A25" s="47">
        <f>'08_Moteur'!A22</f>
        <v/>
      </c>
      <c r="B25" s="10">
        <f>'08_Moteur'!B22</f>
        <v/>
      </c>
      <c r="C25" s="47">
        <f>'08_Moteur'!C22</f>
        <v/>
      </c>
      <c r="D25" s="10">
        <f>'08_Moteur'!D22</f>
        <v/>
      </c>
      <c r="E25" s="48">
        <f>'08_Moteur'!AD22</f>
        <v/>
      </c>
      <c r="F25" s="16">
        <f>'08_Moteur'!AH22</f>
        <v/>
      </c>
      <c r="G25" s="17">
        <f>F25-'08_Moteur'!AM22</f>
        <v/>
      </c>
      <c r="H25" s="63">
        <f>'08_Moteur'!AM22</f>
        <v/>
      </c>
      <c r="I25" s="17">
        <f>IF(N25="Ne pas ouvrir",0,E25)*IFERROR(('09_Allocation'!E20+'09_Allocation'!F20+'09_Allocation'!I20)/SUMPRODUCT((N6:N63&lt;&gt;"Ne pas ouvrir")*E6:E63),0)</f>
        <v/>
      </c>
      <c r="J25" s="17">
        <f>O25-I25</f>
        <v/>
      </c>
      <c r="K25" s="69">
        <f>'08_Moteur'!AN22</f>
        <v/>
      </c>
      <c r="L25" s="70">
        <f>IF(H25&lt;0,"🔴 Ne pas ouvrir",IF(K25&gt;=0.95,"🟢 Ouvrir +1 classe",IF(K25&lt;0.55,"🟡 Surveiller","🟢 Maintenir")))</f>
        <v/>
      </c>
      <c r="M25" s="71">
        <f>IF(H25&lt;0,"Contribution négative : la fermer améliore l'EBITDA",IF(K25&gt;=0.95,"Quasi saturé : +1 classe capte la demande",IF(K25&lt;0.55,"Sous-rempli MAIS contribution positive → GARDER (fermer perdrait la marge, la structure resterait)","Sain")))</f>
        <v/>
      </c>
      <c r="N25" s="21" t="inlineStr">
        <is>
          <t>Maintenir</t>
        </is>
      </c>
      <c r="O25" s="17">
        <f>IF(N25="Ne pas ouvrir",0,IF(N25="Ouvrir +1 classe",H25-'08_Moteur'!U22,IF(N25="Économiser 1 classe",H25+('08_Moteur'!AI22-MAX(1,'08_Moteur'!AI22-1))*'08_Moteur'!U22,H25)))</f>
        <v/>
      </c>
      <c r="P25" s="54">
        <f>O25-H25</f>
        <v/>
      </c>
    </row>
    <row r="26">
      <c r="A26" s="47">
        <f>'08_Moteur'!A23</f>
        <v/>
      </c>
      <c r="B26" s="10">
        <f>'08_Moteur'!B23</f>
        <v/>
      </c>
      <c r="C26" s="47">
        <f>'08_Moteur'!C23</f>
        <v/>
      </c>
      <c r="D26" s="10">
        <f>'08_Moteur'!D23</f>
        <v/>
      </c>
      <c r="E26" s="48">
        <f>'08_Moteur'!AD23</f>
        <v/>
      </c>
      <c r="F26" s="16">
        <f>'08_Moteur'!AH23</f>
        <v/>
      </c>
      <c r="G26" s="17">
        <f>F26-'08_Moteur'!AM23</f>
        <v/>
      </c>
      <c r="H26" s="63">
        <f>'08_Moteur'!AM23</f>
        <v/>
      </c>
      <c r="I26" s="17">
        <f>IF(N26="Ne pas ouvrir",0,E26)*IFERROR(('09_Allocation'!E20+'09_Allocation'!F20+'09_Allocation'!I20)/SUMPRODUCT((N6:N63&lt;&gt;"Ne pas ouvrir")*E6:E63),0)</f>
        <v/>
      </c>
      <c r="J26" s="17">
        <f>O26-I26</f>
        <v/>
      </c>
      <c r="K26" s="69">
        <f>'08_Moteur'!AN23</f>
        <v/>
      </c>
      <c r="L26" s="70">
        <f>IF(H26&lt;0,"🔴 Ne pas ouvrir",IF(K26&gt;=0.95,"🟢 Ouvrir +1 classe",IF(K26&lt;0.55,"🟡 Surveiller","🟢 Maintenir")))</f>
        <v/>
      </c>
      <c r="M26" s="71">
        <f>IF(H26&lt;0,"Contribution négative : la fermer améliore l'EBITDA",IF(K26&gt;=0.95,"Quasi saturé : +1 classe capte la demande",IF(K26&lt;0.55,"Sous-rempli MAIS contribution positive → GARDER (fermer perdrait la marge, la structure resterait)","Sain")))</f>
        <v/>
      </c>
      <c r="N26" s="21" t="inlineStr">
        <is>
          <t>Maintenir</t>
        </is>
      </c>
      <c r="O26" s="17">
        <f>IF(N26="Ne pas ouvrir",0,IF(N26="Ouvrir +1 classe",H26-'08_Moteur'!U23,IF(N26="Économiser 1 classe",H26+('08_Moteur'!AI23-MAX(1,'08_Moteur'!AI23-1))*'08_Moteur'!U23,H26)))</f>
        <v/>
      </c>
      <c r="P26" s="54">
        <f>O26-H26</f>
        <v/>
      </c>
    </row>
    <row r="27">
      <c r="A27" s="47">
        <f>'08_Moteur'!A24</f>
        <v/>
      </c>
      <c r="B27" s="10">
        <f>'08_Moteur'!B24</f>
        <v/>
      </c>
      <c r="C27" s="47">
        <f>'08_Moteur'!C24</f>
        <v/>
      </c>
      <c r="D27" s="10">
        <f>'08_Moteur'!D24</f>
        <v/>
      </c>
      <c r="E27" s="48">
        <f>'08_Moteur'!AD24</f>
        <v/>
      </c>
      <c r="F27" s="16">
        <f>'08_Moteur'!AH24</f>
        <v/>
      </c>
      <c r="G27" s="17">
        <f>F27-'08_Moteur'!AM24</f>
        <v/>
      </c>
      <c r="H27" s="63">
        <f>'08_Moteur'!AM24</f>
        <v/>
      </c>
      <c r="I27" s="17">
        <f>IF(N27="Ne pas ouvrir",0,E27)*IFERROR(('09_Allocation'!E20+'09_Allocation'!F20+'09_Allocation'!I20)/SUMPRODUCT((N6:N63&lt;&gt;"Ne pas ouvrir")*E6:E63),0)</f>
        <v/>
      </c>
      <c r="J27" s="17">
        <f>O27-I27</f>
        <v/>
      </c>
      <c r="K27" s="69">
        <f>'08_Moteur'!AN24</f>
        <v/>
      </c>
      <c r="L27" s="70">
        <f>IF(H27&lt;0,"🔴 Ne pas ouvrir",IF(K27&gt;=0.95,"🟢 Ouvrir +1 classe",IF(K27&lt;0.55,"🟡 Surveiller","🟢 Maintenir")))</f>
        <v/>
      </c>
      <c r="M27" s="71">
        <f>IF(H27&lt;0,"Contribution négative : la fermer améliore l'EBITDA",IF(K27&gt;=0.95,"Quasi saturé : +1 classe capte la demande",IF(K27&lt;0.55,"Sous-rempli MAIS contribution positive → GARDER (fermer perdrait la marge, la structure resterait)","Sain")))</f>
        <v/>
      </c>
      <c r="N27" s="21" t="inlineStr">
        <is>
          <t>Maintenir</t>
        </is>
      </c>
      <c r="O27" s="17">
        <f>IF(N27="Ne pas ouvrir",0,IF(N27="Ouvrir +1 classe",H27-'08_Moteur'!U24,IF(N27="Économiser 1 classe",H27+('08_Moteur'!AI24-MAX(1,'08_Moteur'!AI24-1))*'08_Moteur'!U24,H27)))</f>
        <v/>
      </c>
      <c r="P27" s="54">
        <f>O27-H27</f>
        <v/>
      </c>
    </row>
    <row r="28">
      <c r="A28" s="47">
        <f>'08_Moteur'!A25</f>
        <v/>
      </c>
      <c r="B28" s="10">
        <f>'08_Moteur'!B25</f>
        <v/>
      </c>
      <c r="C28" s="47">
        <f>'08_Moteur'!C25</f>
        <v/>
      </c>
      <c r="D28" s="10">
        <f>'08_Moteur'!D25</f>
        <v/>
      </c>
      <c r="E28" s="48">
        <f>'08_Moteur'!AD25</f>
        <v/>
      </c>
      <c r="F28" s="16">
        <f>'08_Moteur'!AH25</f>
        <v/>
      </c>
      <c r="G28" s="17">
        <f>F28-'08_Moteur'!AM25</f>
        <v/>
      </c>
      <c r="H28" s="63">
        <f>'08_Moteur'!AM25</f>
        <v/>
      </c>
      <c r="I28" s="17">
        <f>IF(N28="Ne pas ouvrir",0,E28)*IFERROR(('09_Allocation'!E20+'09_Allocation'!F20+'09_Allocation'!I20)/SUMPRODUCT((N6:N63&lt;&gt;"Ne pas ouvrir")*E6:E63),0)</f>
        <v/>
      </c>
      <c r="J28" s="17">
        <f>O28-I28</f>
        <v/>
      </c>
      <c r="K28" s="69">
        <f>'08_Moteur'!AN25</f>
        <v/>
      </c>
      <c r="L28" s="70">
        <f>IF(H28&lt;0,"🔴 Ne pas ouvrir",IF(K28&gt;=0.95,"🟢 Ouvrir +1 classe",IF(K28&lt;0.55,"🟡 Surveiller","🟢 Maintenir")))</f>
        <v/>
      </c>
      <c r="M28" s="71">
        <f>IF(H28&lt;0,"Contribution négative : la fermer améliore l'EBITDA",IF(K28&gt;=0.95,"Quasi saturé : +1 classe capte la demande",IF(K28&lt;0.55,"Sous-rempli MAIS contribution positive → GARDER (fermer perdrait la marge, la structure resterait)","Sain")))</f>
        <v/>
      </c>
      <c r="N28" s="21" t="inlineStr">
        <is>
          <t>Maintenir</t>
        </is>
      </c>
      <c r="O28" s="17">
        <f>IF(N28="Ne pas ouvrir",0,IF(N28="Ouvrir +1 classe",H28-'08_Moteur'!U25,IF(N28="Économiser 1 classe",H28+('08_Moteur'!AI25-MAX(1,'08_Moteur'!AI25-1))*'08_Moteur'!U25,H28)))</f>
        <v/>
      </c>
      <c r="P28" s="54">
        <f>O28-H28</f>
        <v/>
      </c>
    </row>
    <row r="29">
      <c r="A29" s="47">
        <f>'08_Moteur'!A26</f>
        <v/>
      </c>
      <c r="B29" s="10">
        <f>'08_Moteur'!B26</f>
        <v/>
      </c>
      <c r="C29" s="47">
        <f>'08_Moteur'!C26</f>
        <v/>
      </c>
      <c r="D29" s="10">
        <f>'08_Moteur'!D26</f>
        <v/>
      </c>
      <c r="E29" s="48">
        <f>'08_Moteur'!AD26</f>
        <v/>
      </c>
      <c r="F29" s="16">
        <f>'08_Moteur'!AH26</f>
        <v/>
      </c>
      <c r="G29" s="17">
        <f>F29-'08_Moteur'!AM26</f>
        <v/>
      </c>
      <c r="H29" s="63">
        <f>'08_Moteur'!AM26</f>
        <v/>
      </c>
      <c r="I29" s="17">
        <f>IF(N29="Ne pas ouvrir",0,E29)*IFERROR(('09_Allocation'!E20+'09_Allocation'!F20+'09_Allocation'!I20)/SUMPRODUCT((N6:N63&lt;&gt;"Ne pas ouvrir")*E6:E63),0)</f>
        <v/>
      </c>
      <c r="J29" s="17">
        <f>O29-I29</f>
        <v/>
      </c>
      <c r="K29" s="69">
        <f>'08_Moteur'!AN26</f>
        <v/>
      </c>
      <c r="L29" s="70">
        <f>IF(H29&lt;0,"🔴 Ne pas ouvrir",IF(K29&gt;=0.95,"🟢 Ouvrir +1 classe",IF(K29&lt;0.55,"🟡 Surveiller","🟢 Maintenir")))</f>
        <v/>
      </c>
      <c r="M29" s="71">
        <f>IF(H29&lt;0,"Contribution négative : la fermer améliore l'EBITDA",IF(K29&gt;=0.95,"Quasi saturé : +1 classe capte la demande",IF(K29&lt;0.55,"Sous-rempli MAIS contribution positive → GARDER (fermer perdrait la marge, la structure resterait)","Sain")))</f>
        <v/>
      </c>
      <c r="N29" s="21" t="inlineStr">
        <is>
          <t>Maintenir</t>
        </is>
      </c>
      <c r="O29" s="17">
        <f>IF(N29="Ne pas ouvrir",0,IF(N29="Ouvrir +1 classe",H29-'08_Moteur'!U26,IF(N29="Économiser 1 classe",H29+('08_Moteur'!AI26-MAX(1,'08_Moteur'!AI26-1))*'08_Moteur'!U26,H29)))</f>
        <v/>
      </c>
      <c r="P29" s="54">
        <f>O29-H29</f>
        <v/>
      </c>
    </row>
    <row r="30">
      <c r="A30" s="47">
        <f>'08_Moteur'!A27</f>
        <v/>
      </c>
      <c r="B30" s="10">
        <f>'08_Moteur'!B27</f>
        <v/>
      </c>
      <c r="C30" s="47">
        <f>'08_Moteur'!C27</f>
        <v/>
      </c>
      <c r="D30" s="10">
        <f>'08_Moteur'!D27</f>
        <v/>
      </c>
      <c r="E30" s="48">
        <f>'08_Moteur'!AD27</f>
        <v/>
      </c>
      <c r="F30" s="16">
        <f>'08_Moteur'!AH27</f>
        <v/>
      </c>
      <c r="G30" s="17">
        <f>F30-'08_Moteur'!AM27</f>
        <v/>
      </c>
      <c r="H30" s="63">
        <f>'08_Moteur'!AM27</f>
        <v/>
      </c>
      <c r="I30" s="17">
        <f>IF(N30="Ne pas ouvrir",0,E30)*IFERROR(('09_Allocation'!E20+'09_Allocation'!F20+'09_Allocation'!I20)/SUMPRODUCT((N6:N63&lt;&gt;"Ne pas ouvrir")*E6:E63),0)</f>
        <v/>
      </c>
      <c r="J30" s="17">
        <f>O30-I30</f>
        <v/>
      </c>
      <c r="K30" s="69">
        <f>'08_Moteur'!AN27</f>
        <v/>
      </c>
      <c r="L30" s="70">
        <f>IF(H30&lt;0,"🔴 Ne pas ouvrir",IF(K30&gt;=0.95,"🟢 Ouvrir +1 classe",IF(K30&lt;0.55,"🟡 Surveiller","🟢 Maintenir")))</f>
        <v/>
      </c>
      <c r="M30" s="71">
        <f>IF(H30&lt;0,"Contribution négative : la fermer améliore l'EBITDA",IF(K30&gt;=0.95,"Quasi saturé : +1 classe capte la demande",IF(K30&lt;0.55,"Sous-rempli MAIS contribution positive → GARDER (fermer perdrait la marge, la structure resterait)","Sain")))</f>
        <v/>
      </c>
      <c r="N30" s="21" t="inlineStr">
        <is>
          <t>Maintenir</t>
        </is>
      </c>
      <c r="O30" s="17">
        <f>IF(N30="Ne pas ouvrir",0,IF(N30="Ouvrir +1 classe",H30-'08_Moteur'!U27,IF(N30="Économiser 1 classe",H30+('08_Moteur'!AI27-MAX(1,'08_Moteur'!AI27-1))*'08_Moteur'!U27,H30)))</f>
        <v/>
      </c>
      <c r="P30" s="54">
        <f>O30-H30</f>
        <v/>
      </c>
    </row>
    <row r="31">
      <c r="A31" s="47">
        <f>'08_Moteur'!A28</f>
        <v/>
      </c>
      <c r="B31" s="10">
        <f>'08_Moteur'!B28</f>
        <v/>
      </c>
      <c r="C31" s="47">
        <f>'08_Moteur'!C28</f>
        <v/>
      </c>
      <c r="D31" s="10">
        <f>'08_Moteur'!D28</f>
        <v/>
      </c>
      <c r="E31" s="48">
        <f>'08_Moteur'!AD28</f>
        <v/>
      </c>
      <c r="F31" s="16">
        <f>'08_Moteur'!AH28</f>
        <v/>
      </c>
      <c r="G31" s="17">
        <f>F31-'08_Moteur'!AM28</f>
        <v/>
      </c>
      <c r="H31" s="63">
        <f>'08_Moteur'!AM28</f>
        <v/>
      </c>
      <c r="I31" s="17">
        <f>IF(N31="Ne pas ouvrir",0,E31)*IFERROR(('09_Allocation'!E20+'09_Allocation'!F20+'09_Allocation'!I20)/SUMPRODUCT((N6:N63&lt;&gt;"Ne pas ouvrir")*E6:E63),0)</f>
        <v/>
      </c>
      <c r="J31" s="17">
        <f>O31-I31</f>
        <v/>
      </c>
      <c r="K31" s="69">
        <f>'08_Moteur'!AN28</f>
        <v/>
      </c>
      <c r="L31" s="70">
        <f>IF(H31&lt;0,"🔴 Ne pas ouvrir",IF(K31&gt;=0.95,"🟢 Ouvrir +1 classe",IF(K31&lt;0.55,"🟡 Surveiller","🟢 Maintenir")))</f>
        <v/>
      </c>
      <c r="M31" s="71">
        <f>IF(H31&lt;0,"Contribution négative : la fermer améliore l'EBITDA",IF(K31&gt;=0.95,"Quasi saturé : +1 classe capte la demande",IF(K31&lt;0.55,"Sous-rempli MAIS contribution positive → GARDER (fermer perdrait la marge, la structure resterait)","Sain")))</f>
        <v/>
      </c>
      <c r="N31" s="21" t="inlineStr">
        <is>
          <t>Maintenir</t>
        </is>
      </c>
      <c r="O31" s="17">
        <f>IF(N31="Ne pas ouvrir",0,IF(N31="Ouvrir +1 classe",H31-'08_Moteur'!U28,IF(N31="Économiser 1 classe",H31+('08_Moteur'!AI28-MAX(1,'08_Moteur'!AI28-1))*'08_Moteur'!U28,H31)))</f>
        <v/>
      </c>
      <c r="P31" s="54">
        <f>O31-H31</f>
        <v/>
      </c>
    </row>
    <row r="32">
      <c r="A32" s="47">
        <f>'08_Moteur'!A29</f>
        <v/>
      </c>
      <c r="B32" s="10">
        <f>'08_Moteur'!B29</f>
        <v/>
      </c>
      <c r="C32" s="47">
        <f>'08_Moteur'!C29</f>
        <v/>
      </c>
      <c r="D32" s="10">
        <f>'08_Moteur'!D29</f>
        <v/>
      </c>
      <c r="E32" s="48">
        <f>'08_Moteur'!AD29</f>
        <v/>
      </c>
      <c r="F32" s="16">
        <f>'08_Moteur'!AH29</f>
        <v/>
      </c>
      <c r="G32" s="17">
        <f>F32-'08_Moteur'!AM29</f>
        <v/>
      </c>
      <c r="H32" s="63">
        <f>'08_Moteur'!AM29</f>
        <v/>
      </c>
      <c r="I32" s="17">
        <f>IF(N32="Ne pas ouvrir",0,E32)*IFERROR(('09_Allocation'!E20+'09_Allocation'!F20+'09_Allocation'!I20)/SUMPRODUCT((N6:N63&lt;&gt;"Ne pas ouvrir")*E6:E63),0)</f>
        <v/>
      </c>
      <c r="J32" s="17">
        <f>O32-I32</f>
        <v/>
      </c>
      <c r="K32" s="69">
        <f>'08_Moteur'!AN29</f>
        <v/>
      </c>
      <c r="L32" s="70">
        <f>IF(H32&lt;0,"🔴 Ne pas ouvrir",IF(K32&gt;=0.95,"🟢 Ouvrir +1 classe",IF(K32&lt;0.55,"🟡 Surveiller","🟢 Maintenir")))</f>
        <v/>
      </c>
      <c r="M32" s="71">
        <f>IF(H32&lt;0,"Contribution négative : la fermer améliore l'EBITDA",IF(K32&gt;=0.95,"Quasi saturé : +1 classe capte la demande",IF(K32&lt;0.55,"Sous-rempli MAIS contribution positive → GARDER (fermer perdrait la marge, la structure resterait)","Sain")))</f>
        <v/>
      </c>
      <c r="N32" s="21" t="inlineStr">
        <is>
          <t>Maintenir</t>
        </is>
      </c>
      <c r="O32" s="17">
        <f>IF(N32="Ne pas ouvrir",0,IF(N32="Ouvrir +1 classe",H32-'08_Moteur'!U29,IF(N32="Économiser 1 classe",H32+('08_Moteur'!AI29-MAX(1,'08_Moteur'!AI29-1))*'08_Moteur'!U29,H32)))</f>
        <v/>
      </c>
      <c r="P32" s="54">
        <f>O32-H32</f>
        <v/>
      </c>
    </row>
    <row r="33">
      <c r="A33" s="47">
        <f>'08_Moteur'!A30</f>
        <v/>
      </c>
      <c r="B33" s="10">
        <f>'08_Moteur'!B30</f>
        <v/>
      </c>
      <c r="C33" s="47">
        <f>'08_Moteur'!C30</f>
        <v/>
      </c>
      <c r="D33" s="10">
        <f>'08_Moteur'!D30</f>
        <v/>
      </c>
      <c r="E33" s="48">
        <f>'08_Moteur'!AD30</f>
        <v/>
      </c>
      <c r="F33" s="16">
        <f>'08_Moteur'!AH30</f>
        <v/>
      </c>
      <c r="G33" s="17">
        <f>F33-'08_Moteur'!AM30</f>
        <v/>
      </c>
      <c r="H33" s="63">
        <f>'08_Moteur'!AM30</f>
        <v/>
      </c>
      <c r="I33" s="17">
        <f>IF(N33="Ne pas ouvrir",0,E33)*IFERROR(('09_Allocation'!E20+'09_Allocation'!F20+'09_Allocation'!I20)/SUMPRODUCT((N6:N63&lt;&gt;"Ne pas ouvrir")*E6:E63),0)</f>
        <v/>
      </c>
      <c r="J33" s="17">
        <f>O33-I33</f>
        <v/>
      </c>
      <c r="K33" s="69">
        <f>'08_Moteur'!AN30</f>
        <v/>
      </c>
      <c r="L33" s="70">
        <f>IF(H33&lt;0,"🔴 Ne pas ouvrir",IF(K33&gt;=0.95,"🟢 Ouvrir +1 classe",IF(K33&lt;0.55,"🟡 Surveiller","🟢 Maintenir")))</f>
        <v/>
      </c>
      <c r="M33" s="71">
        <f>IF(H33&lt;0,"Contribution négative : la fermer améliore l'EBITDA",IF(K33&gt;=0.95,"Quasi saturé : +1 classe capte la demande",IF(K33&lt;0.55,"Sous-rempli MAIS contribution positive → GARDER (fermer perdrait la marge, la structure resterait)","Sain")))</f>
        <v/>
      </c>
      <c r="N33" s="21" t="inlineStr">
        <is>
          <t>Maintenir</t>
        </is>
      </c>
      <c r="O33" s="17">
        <f>IF(N33="Ne pas ouvrir",0,IF(N33="Ouvrir +1 classe",H33-'08_Moteur'!U30,IF(N33="Économiser 1 classe",H33+('08_Moteur'!AI30-MAX(1,'08_Moteur'!AI30-1))*'08_Moteur'!U30,H33)))</f>
        <v/>
      </c>
      <c r="P33" s="54">
        <f>O33-H33</f>
        <v/>
      </c>
    </row>
    <row r="34">
      <c r="A34" s="47">
        <f>'08_Moteur'!A31</f>
        <v/>
      </c>
      <c r="B34" s="10">
        <f>'08_Moteur'!B31</f>
        <v/>
      </c>
      <c r="C34" s="47">
        <f>'08_Moteur'!C31</f>
        <v/>
      </c>
      <c r="D34" s="10">
        <f>'08_Moteur'!D31</f>
        <v/>
      </c>
      <c r="E34" s="48">
        <f>'08_Moteur'!AD31</f>
        <v/>
      </c>
      <c r="F34" s="16">
        <f>'08_Moteur'!AH31</f>
        <v/>
      </c>
      <c r="G34" s="17">
        <f>F34-'08_Moteur'!AM31</f>
        <v/>
      </c>
      <c r="H34" s="63">
        <f>'08_Moteur'!AM31</f>
        <v/>
      </c>
      <c r="I34" s="17">
        <f>IF(N34="Ne pas ouvrir",0,E34)*IFERROR(('09_Allocation'!E20+'09_Allocation'!F20+'09_Allocation'!I20)/SUMPRODUCT((N6:N63&lt;&gt;"Ne pas ouvrir")*E6:E63),0)</f>
        <v/>
      </c>
      <c r="J34" s="17">
        <f>O34-I34</f>
        <v/>
      </c>
      <c r="K34" s="69">
        <f>'08_Moteur'!AN31</f>
        <v/>
      </c>
      <c r="L34" s="70">
        <f>IF(H34&lt;0,"🔴 Ne pas ouvrir",IF(K34&gt;=0.95,"🟢 Ouvrir +1 classe",IF(K34&lt;0.55,"🟡 Surveiller","🟢 Maintenir")))</f>
        <v/>
      </c>
      <c r="M34" s="71">
        <f>IF(H34&lt;0,"Contribution négative : la fermer améliore l'EBITDA",IF(K34&gt;=0.95,"Quasi saturé : +1 classe capte la demande",IF(K34&lt;0.55,"Sous-rempli MAIS contribution positive → GARDER (fermer perdrait la marge, la structure resterait)","Sain")))</f>
        <v/>
      </c>
      <c r="N34" s="21" t="inlineStr">
        <is>
          <t>Maintenir</t>
        </is>
      </c>
      <c r="O34" s="17">
        <f>IF(N34="Ne pas ouvrir",0,IF(N34="Ouvrir +1 classe",H34-'08_Moteur'!U31,IF(N34="Économiser 1 classe",H34+('08_Moteur'!AI31-MAX(1,'08_Moteur'!AI31-1))*'08_Moteur'!U31,H34)))</f>
        <v/>
      </c>
      <c r="P34" s="54">
        <f>O34-H34</f>
        <v/>
      </c>
    </row>
    <row r="35">
      <c r="A35" s="47">
        <f>'08_Moteur'!A32</f>
        <v/>
      </c>
      <c r="B35" s="10">
        <f>'08_Moteur'!B32</f>
        <v/>
      </c>
      <c r="C35" s="47">
        <f>'08_Moteur'!C32</f>
        <v/>
      </c>
      <c r="D35" s="10">
        <f>'08_Moteur'!D32</f>
        <v/>
      </c>
      <c r="E35" s="48">
        <f>'08_Moteur'!AD32</f>
        <v/>
      </c>
      <c r="F35" s="16">
        <f>'08_Moteur'!AH32</f>
        <v/>
      </c>
      <c r="G35" s="17">
        <f>F35-'08_Moteur'!AM32</f>
        <v/>
      </c>
      <c r="H35" s="63">
        <f>'08_Moteur'!AM32</f>
        <v/>
      </c>
      <c r="I35" s="17">
        <f>IF(N35="Ne pas ouvrir",0,E35)*IFERROR(('09_Allocation'!E20+'09_Allocation'!F20+'09_Allocation'!I20)/SUMPRODUCT((N6:N63&lt;&gt;"Ne pas ouvrir")*E6:E63),0)</f>
        <v/>
      </c>
      <c r="J35" s="17">
        <f>O35-I35</f>
        <v/>
      </c>
      <c r="K35" s="69">
        <f>'08_Moteur'!AN32</f>
        <v/>
      </c>
      <c r="L35" s="70">
        <f>IF(H35&lt;0,"🔴 Ne pas ouvrir",IF(K35&gt;=0.95,"🟢 Ouvrir +1 classe",IF(K35&lt;0.55,"🟡 Surveiller","🟢 Maintenir")))</f>
        <v/>
      </c>
      <c r="M35" s="71">
        <f>IF(H35&lt;0,"Contribution négative : la fermer améliore l'EBITDA",IF(K35&gt;=0.95,"Quasi saturé : +1 classe capte la demande",IF(K35&lt;0.55,"Sous-rempli MAIS contribution positive → GARDER (fermer perdrait la marge, la structure resterait)","Sain")))</f>
        <v/>
      </c>
      <c r="N35" s="21" t="inlineStr">
        <is>
          <t>Maintenir</t>
        </is>
      </c>
      <c r="O35" s="17">
        <f>IF(N35="Ne pas ouvrir",0,IF(N35="Ouvrir +1 classe",H35-'08_Moteur'!U32,IF(N35="Économiser 1 classe",H35+('08_Moteur'!AI32-MAX(1,'08_Moteur'!AI32-1))*'08_Moteur'!U32,H35)))</f>
        <v/>
      </c>
      <c r="P35" s="54">
        <f>O35-H35</f>
        <v/>
      </c>
    </row>
    <row r="36">
      <c r="A36" s="47">
        <f>'08_Moteur'!A33</f>
        <v/>
      </c>
      <c r="B36" s="10">
        <f>'08_Moteur'!B33</f>
        <v/>
      </c>
      <c r="C36" s="47">
        <f>'08_Moteur'!C33</f>
        <v/>
      </c>
      <c r="D36" s="10">
        <f>'08_Moteur'!D33</f>
        <v/>
      </c>
      <c r="E36" s="48">
        <f>'08_Moteur'!AD33</f>
        <v/>
      </c>
      <c r="F36" s="16">
        <f>'08_Moteur'!AH33</f>
        <v/>
      </c>
      <c r="G36" s="17">
        <f>F36-'08_Moteur'!AM33</f>
        <v/>
      </c>
      <c r="H36" s="63">
        <f>'08_Moteur'!AM33</f>
        <v/>
      </c>
      <c r="I36" s="17">
        <f>IF(N36="Ne pas ouvrir",0,E36)*IFERROR(('09_Allocation'!E20+'09_Allocation'!F20+'09_Allocation'!I20)/SUMPRODUCT((N6:N63&lt;&gt;"Ne pas ouvrir")*E6:E63),0)</f>
        <v/>
      </c>
      <c r="J36" s="17">
        <f>O36-I36</f>
        <v/>
      </c>
      <c r="K36" s="69">
        <f>'08_Moteur'!AN33</f>
        <v/>
      </c>
      <c r="L36" s="70">
        <f>IF(H36&lt;0,"🔴 Ne pas ouvrir",IF(K36&gt;=0.95,"🟢 Ouvrir +1 classe",IF(K36&lt;0.55,"🟡 Surveiller","🟢 Maintenir")))</f>
        <v/>
      </c>
      <c r="M36" s="71">
        <f>IF(H36&lt;0,"Contribution négative : la fermer améliore l'EBITDA",IF(K36&gt;=0.95,"Quasi saturé : +1 classe capte la demande",IF(K36&lt;0.55,"Sous-rempli MAIS contribution positive → GARDER (fermer perdrait la marge, la structure resterait)","Sain")))</f>
        <v/>
      </c>
      <c r="N36" s="21" t="inlineStr">
        <is>
          <t>Maintenir</t>
        </is>
      </c>
      <c r="O36" s="17">
        <f>IF(N36="Ne pas ouvrir",0,IF(N36="Ouvrir +1 classe",H36-'08_Moteur'!U33,IF(N36="Économiser 1 classe",H36+('08_Moteur'!AI33-MAX(1,'08_Moteur'!AI33-1))*'08_Moteur'!U33,H36)))</f>
        <v/>
      </c>
      <c r="P36" s="54">
        <f>O36-H36</f>
        <v/>
      </c>
    </row>
    <row r="37">
      <c r="A37" s="47">
        <f>'08_Moteur'!A34</f>
        <v/>
      </c>
      <c r="B37" s="10">
        <f>'08_Moteur'!B34</f>
        <v/>
      </c>
      <c r="C37" s="47">
        <f>'08_Moteur'!C34</f>
        <v/>
      </c>
      <c r="D37" s="10">
        <f>'08_Moteur'!D34</f>
        <v/>
      </c>
      <c r="E37" s="48">
        <f>'08_Moteur'!AD34</f>
        <v/>
      </c>
      <c r="F37" s="16">
        <f>'08_Moteur'!AH34</f>
        <v/>
      </c>
      <c r="G37" s="17">
        <f>F37-'08_Moteur'!AM34</f>
        <v/>
      </c>
      <c r="H37" s="63">
        <f>'08_Moteur'!AM34</f>
        <v/>
      </c>
      <c r="I37" s="17">
        <f>IF(N37="Ne pas ouvrir",0,E37)*IFERROR(('09_Allocation'!E20+'09_Allocation'!F20+'09_Allocation'!I20)/SUMPRODUCT((N6:N63&lt;&gt;"Ne pas ouvrir")*E6:E63),0)</f>
        <v/>
      </c>
      <c r="J37" s="17">
        <f>O37-I37</f>
        <v/>
      </c>
      <c r="K37" s="69">
        <f>'08_Moteur'!AN34</f>
        <v/>
      </c>
      <c r="L37" s="70">
        <f>IF(H37&lt;0,"🔴 Ne pas ouvrir",IF(K37&gt;=0.95,"🟢 Ouvrir +1 classe",IF(K37&lt;0.55,"🟡 Surveiller","🟢 Maintenir")))</f>
        <v/>
      </c>
      <c r="M37" s="71">
        <f>IF(H37&lt;0,"Contribution négative : la fermer améliore l'EBITDA",IF(K37&gt;=0.95,"Quasi saturé : +1 classe capte la demande",IF(K37&lt;0.55,"Sous-rempli MAIS contribution positive → GARDER (fermer perdrait la marge, la structure resterait)","Sain")))</f>
        <v/>
      </c>
      <c r="N37" s="21" t="inlineStr">
        <is>
          <t>Maintenir</t>
        </is>
      </c>
      <c r="O37" s="17">
        <f>IF(N37="Ne pas ouvrir",0,IF(N37="Ouvrir +1 classe",H37-'08_Moteur'!U34,IF(N37="Économiser 1 classe",H37+('08_Moteur'!AI34-MAX(1,'08_Moteur'!AI34-1))*'08_Moteur'!U34,H37)))</f>
        <v/>
      </c>
      <c r="P37" s="54">
        <f>O37-H37</f>
        <v/>
      </c>
    </row>
    <row r="38">
      <c r="A38" s="47">
        <f>'08_Moteur'!A35</f>
        <v/>
      </c>
      <c r="B38" s="10">
        <f>'08_Moteur'!B35</f>
        <v/>
      </c>
      <c r="C38" s="47">
        <f>'08_Moteur'!C35</f>
        <v/>
      </c>
      <c r="D38" s="10">
        <f>'08_Moteur'!D35</f>
        <v/>
      </c>
      <c r="E38" s="48">
        <f>'08_Moteur'!AD35</f>
        <v/>
      </c>
      <c r="F38" s="16">
        <f>'08_Moteur'!AH35</f>
        <v/>
      </c>
      <c r="G38" s="17">
        <f>F38-'08_Moteur'!AM35</f>
        <v/>
      </c>
      <c r="H38" s="63">
        <f>'08_Moteur'!AM35</f>
        <v/>
      </c>
      <c r="I38" s="17">
        <f>IF(N38="Ne pas ouvrir",0,E38)*IFERROR(('09_Allocation'!E20+'09_Allocation'!F20+'09_Allocation'!I20)/SUMPRODUCT((N6:N63&lt;&gt;"Ne pas ouvrir")*E6:E63),0)</f>
        <v/>
      </c>
      <c r="J38" s="17">
        <f>O38-I38</f>
        <v/>
      </c>
      <c r="K38" s="69">
        <f>'08_Moteur'!AN35</f>
        <v/>
      </c>
      <c r="L38" s="70">
        <f>IF(H38&lt;0,"🔴 Ne pas ouvrir",IF(K38&gt;=0.95,"🟢 Ouvrir +1 classe",IF(K38&lt;0.55,"🟡 Surveiller","🟢 Maintenir")))</f>
        <v/>
      </c>
      <c r="M38" s="71">
        <f>IF(H38&lt;0,"Contribution négative : la fermer améliore l'EBITDA",IF(K38&gt;=0.95,"Quasi saturé : +1 classe capte la demande",IF(K38&lt;0.55,"Sous-rempli MAIS contribution positive → GARDER (fermer perdrait la marge, la structure resterait)","Sain")))</f>
        <v/>
      </c>
      <c r="N38" s="21" t="inlineStr">
        <is>
          <t>Maintenir</t>
        </is>
      </c>
      <c r="O38" s="17">
        <f>IF(N38="Ne pas ouvrir",0,IF(N38="Ouvrir +1 classe",H38-'08_Moteur'!U35,IF(N38="Économiser 1 classe",H38+('08_Moteur'!AI35-MAX(1,'08_Moteur'!AI35-1))*'08_Moteur'!U35,H38)))</f>
        <v/>
      </c>
      <c r="P38" s="54">
        <f>O38-H38</f>
        <v/>
      </c>
    </row>
    <row r="39">
      <c r="A39" s="47">
        <f>'08_Moteur'!A36</f>
        <v/>
      </c>
      <c r="B39" s="10">
        <f>'08_Moteur'!B36</f>
        <v/>
      </c>
      <c r="C39" s="47">
        <f>'08_Moteur'!C36</f>
        <v/>
      </c>
      <c r="D39" s="10">
        <f>'08_Moteur'!D36</f>
        <v/>
      </c>
      <c r="E39" s="48">
        <f>'08_Moteur'!AD36</f>
        <v/>
      </c>
      <c r="F39" s="16">
        <f>'08_Moteur'!AH36</f>
        <v/>
      </c>
      <c r="G39" s="17">
        <f>F39-'08_Moteur'!AM36</f>
        <v/>
      </c>
      <c r="H39" s="63">
        <f>'08_Moteur'!AM36</f>
        <v/>
      </c>
      <c r="I39" s="17">
        <f>IF(N39="Ne pas ouvrir",0,E39)*IFERROR(('09_Allocation'!E20+'09_Allocation'!F20+'09_Allocation'!I20)/SUMPRODUCT((N6:N63&lt;&gt;"Ne pas ouvrir")*E6:E63),0)</f>
        <v/>
      </c>
      <c r="J39" s="17">
        <f>O39-I39</f>
        <v/>
      </c>
      <c r="K39" s="69">
        <f>'08_Moteur'!AN36</f>
        <v/>
      </c>
      <c r="L39" s="70">
        <f>IF(H39&lt;0,"🔴 Ne pas ouvrir",IF(K39&gt;=0.95,"🟢 Ouvrir +1 classe",IF(K39&lt;0.55,"🟡 Surveiller","🟢 Maintenir")))</f>
        <v/>
      </c>
      <c r="M39" s="71">
        <f>IF(H39&lt;0,"Contribution négative : la fermer améliore l'EBITDA",IF(K39&gt;=0.95,"Quasi saturé : +1 classe capte la demande",IF(K39&lt;0.55,"Sous-rempli MAIS contribution positive → GARDER (fermer perdrait la marge, la structure resterait)","Sain")))</f>
        <v/>
      </c>
      <c r="N39" s="21" t="inlineStr">
        <is>
          <t>Maintenir</t>
        </is>
      </c>
      <c r="O39" s="17">
        <f>IF(N39="Ne pas ouvrir",0,IF(N39="Ouvrir +1 classe",H39-'08_Moteur'!U36,IF(N39="Économiser 1 classe",H39+('08_Moteur'!AI36-MAX(1,'08_Moteur'!AI36-1))*'08_Moteur'!U36,H39)))</f>
        <v/>
      </c>
      <c r="P39" s="54">
        <f>O39-H39</f>
        <v/>
      </c>
    </row>
    <row r="40">
      <c r="A40" s="47">
        <f>'08_Moteur'!A37</f>
        <v/>
      </c>
      <c r="B40" s="10">
        <f>'08_Moteur'!B37</f>
        <v/>
      </c>
      <c r="C40" s="47">
        <f>'08_Moteur'!C37</f>
        <v/>
      </c>
      <c r="D40" s="10">
        <f>'08_Moteur'!D37</f>
        <v/>
      </c>
      <c r="E40" s="48">
        <f>'08_Moteur'!AD37</f>
        <v/>
      </c>
      <c r="F40" s="16">
        <f>'08_Moteur'!AH37</f>
        <v/>
      </c>
      <c r="G40" s="17">
        <f>F40-'08_Moteur'!AM37</f>
        <v/>
      </c>
      <c r="H40" s="63">
        <f>'08_Moteur'!AM37</f>
        <v/>
      </c>
      <c r="I40" s="17">
        <f>IF(N40="Ne pas ouvrir",0,E40)*IFERROR(('09_Allocation'!E20+'09_Allocation'!F20+'09_Allocation'!I20)/SUMPRODUCT((N6:N63&lt;&gt;"Ne pas ouvrir")*E6:E63),0)</f>
        <v/>
      </c>
      <c r="J40" s="17">
        <f>O40-I40</f>
        <v/>
      </c>
      <c r="K40" s="69">
        <f>'08_Moteur'!AN37</f>
        <v/>
      </c>
      <c r="L40" s="70">
        <f>IF(H40&lt;0,"🔴 Ne pas ouvrir",IF(K40&gt;=0.95,"🟢 Ouvrir +1 classe",IF(K40&lt;0.55,"🟡 Surveiller","🟢 Maintenir")))</f>
        <v/>
      </c>
      <c r="M40" s="71">
        <f>IF(H40&lt;0,"Contribution négative : la fermer améliore l'EBITDA",IF(K40&gt;=0.95,"Quasi saturé : +1 classe capte la demande",IF(K40&lt;0.55,"Sous-rempli MAIS contribution positive → GARDER (fermer perdrait la marge, la structure resterait)","Sain")))</f>
        <v/>
      </c>
      <c r="N40" s="21" t="inlineStr">
        <is>
          <t>Maintenir</t>
        </is>
      </c>
      <c r="O40" s="17">
        <f>IF(N40="Ne pas ouvrir",0,IF(N40="Ouvrir +1 classe",H40-'08_Moteur'!U37,IF(N40="Économiser 1 classe",H40+('08_Moteur'!AI37-MAX(1,'08_Moteur'!AI37-1))*'08_Moteur'!U37,H40)))</f>
        <v/>
      </c>
      <c r="P40" s="54">
        <f>O40-H40</f>
        <v/>
      </c>
    </row>
    <row r="41">
      <c r="A41" s="47">
        <f>'08_Moteur'!A38</f>
        <v/>
      </c>
      <c r="B41" s="10">
        <f>'08_Moteur'!B38</f>
        <v/>
      </c>
      <c r="C41" s="47">
        <f>'08_Moteur'!C38</f>
        <v/>
      </c>
      <c r="D41" s="10">
        <f>'08_Moteur'!D38</f>
        <v/>
      </c>
      <c r="E41" s="48">
        <f>'08_Moteur'!AD38</f>
        <v/>
      </c>
      <c r="F41" s="16">
        <f>'08_Moteur'!AH38</f>
        <v/>
      </c>
      <c r="G41" s="17">
        <f>F41-'08_Moteur'!AM38</f>
        <v/>
      </c>
      <c r="H41" s="63">
        <f>'08_Moteur'!AM38</f>
        <v/>
      </c>
      <c r="I41" s="17">
        <f>IF(N41="Ne pas ouvrir",0,E41)*IFERROR(('09_Allocation'!E20+'09_Allocation'!F20+'09_Allocation'!I20)/SUMPRODUCT((N6:N63&lt;&gt;"Ne pas ouvrir")*E6:E63),0)</f>
        <v/>
      </c>
      <c r="J41" s="17">
        <f>O41-I41</f>
        <v/>
      </c>
      <c r="K41" s="69">
        <f>'08_Moteur'!AN38</f>
        <v/>
      </c>
      <c r="L41" s="70">
        <f>IF(H41&lt;0,"🔴 Ne pas ouvrir",IF(K41&gt;=0.95,"🟢 Ouvrir +1 classe",IF(K41&lt;0.55,"🟡 Surveiller","🟢 Maintenir")))</f>
        <v/>
      </c>
      <c r="M41" s="71">
        <f>IF(H41&lt;0,"Contribution négative : la fermer améliore l'EBITDA",IF(K41&gt;=0.95,"Quasi saturé : +1 classe capte la demande",IF(K41&lt;0.55,"Sous-rempli MAIS contribution positive → GARDER (fermer perdrait la marge, la structure resterait)","Sain")))</f>
        <v/>
      </c>
      <c r="N41" s="21" t="inlineStr">
        <is>
          <t>Maintenir</t>
        </is>
      </c>
      <c r="O41" s="17">
        <f>IF(N41="Ne pas ouvrir",0,IF(N41="Ouvrir +1 classe",H41-'08_Moteur'!U38,IF(N41="Économiser 1 classe",H41+('08_Moteur'!AI38-MAX(1,'08_Moteur'!AI38-1))*'08_Moteur'!U38,H41)))</f>
        <v/>
      </c>
      <c r="P41" s="54">
        <f>O41-H41</f>
        <v/>
      </c>
    </row>
    <row r="42">
      <c r="A42" s="47">
        <f>'08_Moteur'!A39</f>
        <v/>
      </c>
      <c r="B42" s="10">
        <f>'08_Moteur'!B39</f>
        <v/>
      </c>
      <c r="C42" s="47">
        <f>'08_Moteur'!C39</f>
        <v/>
      </c>
      <c r="D42" s="10">
        <f>'08_Moteur'!D39</f>
        <v/>
      </c>
      <c r="E42" s="48">
        <f>'08_Moteur'!AD39</f>
        <v/>
      </c>
      <c r="F42" s="16">
        <f>'08_Moteur'!AH39</f>
        <v/>
      </c>
      <c r="G42" s="17">
        <f>F42-'08_Moteur'!AM39</f>
        <v/>
      </c>
      <c r="H42" s="63">
        <f>'08_Moteur'!AM39</f>
        <v/>
      </c>
      <c r="I42" s="17">
        <f>IF(N42="Ne pas ouvrir",0,E42)*IFERROR(('09_Allocation'!E20+'09_Allocation'!F20+'09_Allocation'!I20)/SUMPRODUCT((N6:N63&lt;&gt;"Ne pas ouvrir")*E6:E63),0)</f>
        <v/>
      </c>
      <c r="J42" s="17">
        <f>O42-I42</f>
        <v/>
      </c>
      <c r="K42" s="69">
        <f>'08_Moteur'!AN39</f>
        <v/>
      </c>
      <c r="L42" s="70">
        <f>IF(H42&lt;0,"🔴 Ne pas ouvrir",IF(K42&gt;=0.95,"🟢 Ouvrir +1 classe",IF(K42&lt;0.55,"🟡 Surveiller","🟢 Maintenir")))</f>
        <v/>
      </c>
      <c r="M42" s="71">
        <f>IF(H42&lt;0,"Contribution négative : la fermer améliore l'EBITDA",IF(K42&gt;=0.95,"Quasi saturé : +1 classe capte la demande",IF(K42&lt;0.55,"Sous-rempli MAIS contribution positive → GARDER (fermer perdrait la marge, la structure resterait)","Sain")))</f>
        <v/>
      </c>
      <c r="N42" s="21" t="inlineStr">
        <is>
          <t>Maintenir</t>
        </is>
      </c>
      <c r="O42" s="17">
        <f>IF(N42="Ne pas ouvrir",0,IF(N42="Ouvrir +1 classe",H42-'08_Moteur'!U39,IF(N42="Économiser 1 classe",H42+('08_Moteur'!AI39-MAX(1,'08_Moteur'!AI39-1))*'08_Moteur'!U39,H42)))</f>
        <v/>
      </c>
      <c r="P42" s="54">
        <f>O42-H42</f>
        <v/>
      </c>
    </row>
    <row r="43">
      <c r="A43" s="47">
        <f>'08_Moteur'!A40</f>
        <v/>
      </c>
      <c r="B43" s="10">
        <f>'08_Moteur'!B40</f>
        <v/>
      </c>
      <c r="C43" s="47">
        <f>'08_Moteur'!C40</f>
        <v/>
      </c>
      <c r="D43" s="10">
        <f>'08_Moteur'!D40</f>
        <v/>
      </c>
      <c r="E43" s="48">
        <f>'08_Moteur'!AD40</f>
        <v/>
      </c>
      <c r="F43" s="16">
        <f>'08_Moteur'!AH40</f>
        <v/>
      </c>
      <c r="G43" s="17">
        <f>F43-'08_Moteur'!AM40</f>
        <v/>
      </c>
      <c r="H43" s="63">
        <f>'08_Moteur'!AM40</f>
        <v/>
      </c>
      <c r="I43" s="17">
        <f>IF(N43="Ne pas ouvrir",0,E43)*IFERROR(('09_Allocation'!E20+'09_Allocation'!F20+'09_Allocation'!I20)/SUMPRODUCT((N6:N63&lt;&gt;"Ne pas ouvrir")*E6:E63),0)</f>
        <v/>
      </c>
      <c r="J43" s="17">
        <f>O43-I43</f>
        <v/>
      </c>
      <c r="K43" s="69">
        <f>'08_Moteur'!AN40</f>
        <v/>
      </c>
      <c r="L43" s="70">
        <f>IF(H43&lt;0,"🔴 Ne pas ouvrir",IF(K43&gt;=0.95,"🟢 Ouvrir +1 classe",IF(K43&lt;0.55,"🟡 Surveiller","🟢 Maintenir")))</f>
        <v/>
      </c>
      <c r="M43" s="71">
        <f>IF(H43&lt;0,"Contribution négative : la fermer améliore l'EBITDA",IF(K43&gt;=0.95,"Quasi saturé : +1 classe capte la demande",IF(K43&lt;0.55,"Sous-rempli MAIS contribution positive → GARDER (fermer perdrait la marge, la structure resterait)","Sain")))</f>
        <v/>
      </c>
      <c r="N43" s="21" t="inlineStr">
        <is>
          <t>Maintenir</t>
        </is>
      </c>
      <c r="O43" s="17">
        <f>IF(N43="Ne pas ouvrir",0,IF(N43="Ouvrir +1 classe",H43-'08_Moteur'!U40,IF(N43="Économiser 1 classe",H43+('08_Moteur'!AI40-MAX(1,'08_Moteur'!AI40-1))*'08_Moteur'!U40,H43)))</f>
        <v/>
      </c>
      <c r="P43" s="54">
        <f>O43-H43</f>
        <v/>
      </c>
    </row>
    <row r="44">
      <c r="A44" s="47">
        <f>'08_Moteur'!A41</f>
        <v/>
      </c>
      <c r="B44" s="10">
        <f>'08_Moteur'!B41</f>
        <v/>
      </c>
      <c r="C44" s="47">
        <f>'08_Moteur'!C41</f>
        <v/>
      </c>
      <c r="D44" s="10">
        <f>'08_Moteur'!D41</f>
        <v/>
      </c>
      <c r="E44" s="48">
        <f>'08_Moteur'!AD41</f>
        <v/>
      </c>
      <c r="F44" s="16">
        <f>'08_Moteur'!AH41</f>
        <v/>
      </c>
      <c r="G44" s="17">
        <f>F44-'08_Moteur'!AM41</f>
        <v/>
      </c>
      <c r="H44" s="63">
        <f>'08_Moteur'!AM41</f>
        <v/>
      </c>
      <c r="I44" s="17">
        <f>IF(N44="Ne pas ouvrir",0,E44)*IFERROR(('09_Allocation'!E20+'09_Allocation'!F20+'09_Allocation'!I20)/SUMPRODUCT((N6:N63&lt;&gt;"Ne pas ouvrir")*E6:E63),0)</f>
        <v/>
      </c>
      <c r="J44" s="17">
        <f>O44-I44</f>
        <v/>
      </c>
      <c r="K44" s="69">
        <f>'08_Moteur'!AN41</f>
        <v/>
      </c>
      <c r="L44" s="70">
        <f>IF(H44&lt;0,"🔴 Ne pas ouvrir",IF(K44&gt;=0.95,"🟢 Ouvrir +1 classe",IF(K44&lt;0.55,"🟡 Surveiller","🟢 Maintenir")))</f>
        <v/>
      </c>
      <c r="M44" s="71">
        <f>IF(H44&lt;0,"Contribution négative : la fermer améliore l'EBITDA",IF(K44&gt;=0.95,"Quasi saturé : +1 classe capte la demande",IF(K44&lt;0.55,"Sous-rempli MAIS contribution positive → GARDER (fermer perdrait la marge, la structure resterait)","Sain")))</f>
        <v/>
      </c>
      <c r="N44" s="21" t="inlineStr">
        <is>
          <t>Maintenir</t>
        </is>
      </c>
      <c r="O44" s="17">
        <f>IF(N44="Ne pas ouvrir",0,IF(N44="Ouvrir +1 classe",H44-'08_Moteur'!U41,IF(N44="Économiser 1 classe",H44+('08_Moteur'!AI41-MAX(1,'08_Moteur'!AI41-1))*'08_Moteur'!U41,H44)))</f>
        <v/>
      </c>
      <c r="P44" s="54">
        <f>O44-H44</f>
        <v/>
      </c>
    </row>
    <row r="45">
      <c r="A45" s="47">
        <f>'08_Moteur'!A42</f>
        <v/>
      </c>
      <c r="B45" s="10">
        <f>'08_Moteur'!B42</f>
        <v/>
      </c>
      <c r="C45" s="47">
        <f>'08_Moteur'!C42</f>
        <v/>
      </c>
      <c r="D45" s="10">
        <f>'08_Moteur'!D42</f>
        <v/>
      </c>
      <c r="E45" s="48">
        <f>'08_Moteur'!AD42</f>
        <v/>
      </c>
      <c r="F45" s="16">
        <f>'08_Moteur'!AH42</f>
        <v/>
      </c>
      <c r="G45" s="17">
        <f>F45-'08_Moteur'!AM42</f>
        <v/>
      </c>
      <c r="H45" s="63">
        <f>'08_Moteur'!AM42</f>
        <v/>
      </c>
      <c r="I45" s="17">
        <f>IF(N45="Ne pas ouvrir",0,E45)*IFERROR(('09_Allocation'!E20+'09_Allocation'!F20+'09_Allocation'!I20)/SUMPRODUCT((N6:N63&lt;&gt;"Ne pas ouvrir")*E6:E63),0)</f>
        <v/>
      </c>
      <c r="J45" s="17">
        <f>O45-I45</f>
        <v/>
      </c>
      <c r="K45" s="69">
        <f>'08_Moteur'!AN42</f>
        <v/>
      </c>
      <c r="L45" s="70">
        <f>IF(H45&lt;0,"🔴 Ne pas ouvrir",IF(K45&gt;=0.95,"🟢 Ouvrir +1 classe",IF(K45&lt;0.55,"🟡 Surveiller","🟢 Maintenir")))</f>
        <v/>
      </c>
      <c r="M45" s="71">
        <f>IF(H45&lt;0,"Contribution négative : la fermer améliore l'EBITDA",IF(K45&gt;=0.95,"Quasi saturé : +1 classe capte la demande",IF(K45&lt;0.55,"Sous-rempli MAIS contribution positive → GARDER (fermer perdrait la marge, la structure resterait)","Sain")))</f>
        <v/>
      </c>
      <c r="N45" s="21" t="inlineStr">
        <is>
          <t>Maintenir</t>
        </is>
      </c>
      <c r="O45" s="17">
        <f>IF(N45="Ne pas ouvrir",0,IF(N45="Ouvrir +1 classe",H45-'08_Moteur'!U42,IF(N45="Économiser 1 classe",H45+('08_Moteur'!AI42-MAX(1,'08_Moteur'!AI42-1))*'08_Moteur'!U42,H45)))</f>
        <v/>
      </c>
      <c r="P45" s="54">
        <f>O45-H45</f>
        <v/>
      </c>
    </row>
    <row r="46">
      <c r="A46" s="47">
        <f>'08_Moteur'!A43</f>
        <v/>
      </c>
      <c r="B46" s="10">
        <f>'08_Moteur'!B43</f>
        <v/>
      </c>
      <c r="C46" s="47">
        <f>'08_Moteur'!C43</f>
        <v/>
      </c>
      <c r="D46" s="10">
        <f>'08_Moteur'!D43</f>
        <v/>
      </c>
      <c r="E46" s="48">
        <f>'08_Moteur'!AD43</f>
        <v/>
      </c>
      <c r="F46" s="16">
        <f>'08_Moteur'!AH43</f>
        <v/>
      </c>
      <c r="G46" s="17">
        <f>F46-'08_Moteur'!AM43</f>
        <v/>
      </c>
      <c r="H46" s="63">
        <f>'08_Moteur'!AM43</f>
        <v/>
      </c>
      <c r="I46" s="17">
        <f>IF(N46="Ne pas ouvrir",0,E46)*IFERROR(('09_Allocation'!E20+'09_Allocation'!F20+'09_Allocation'!I20)/SUMPRODUCT((N6:N63&lt;&gt;"Ne pas ouvrir")*E6:E63),0)</f>
        <v/>
      </c>
      <c r="J46" s="17">
        <f>O46-I46</f>
        <v/>
      </c>
      <c r="K46" s="69">
        <f>'08_Moteur'!AN43</f>
        <v/>
      </c>
      <c r="L46" s="70">
        <f>IF(H46&lt;0,"🔴 Ne pas ouvrir",IF(K46&gt;=0.95,"🟢 Ouvrir +1 classe",IF(K46&lt;0.55,"🟡 Surveiller","🟢 Maintenir")))</f>
        <v/>
      </c>
      <c r="M46" s="71">
        <f>IF(H46&lt;0,"Contribution négative : la fermer améliore l'EBITDA",IF(K46&gt;=0.95,"Quasi saturé : +1 classe capte la demande",IF(K46&lt;0.55,"Sous-rempli MAIS contribution positive → GARDER (fermer perdrait la marge, la structure resterait)","Sain")))</f>
        <v/>
      </c>
      <c r="N46" s="21" t="inlineStr">
        <is>
          <t>Maintenir</t>
        </is>
      </c>
      <c r="O46" s="17">
        <f>IF(N46="Ne pas ouvrir",0,IF(N46="Ouvrir +1 classe",H46-'08_Moteur'!U43,IF(N46="Économiser 1 classe",H46+('08_Moteur'!AI43-MAX(1,'08_Moteur'!AI43-1))*'08_Moteur'!U43,H46)))</f>
        <v/>
      </c>
      <c r="P46" s="54">
        <f>O46-H46</f>
        <v/>
      </c>
    </row>
    <row r="47">
      <c r="A47" s="47">
        <f>'08_Moteur'!A44</f>
        <v/>
      </c>
      <c r="B47" s="10">
        <f>'08_Moteur'!B44</f>
        <v/>
      </c>
      <c r="C47" s="47">
        <f>'08_Moteur'!C44</f>
        <v/>
      </c>
      <c r="D47" s="10">
        <f>'08_Moteur'!D44</f>
        <v/>
      </c>
      <c r="E47" s="48">
        <f>'08_Moteur'!AD44</f>
        <v/>
      </c>
      <c r="F47" s="16">
        <f>'08_Moteur'!AH44</f>
        <v/>
      </c>
      <c r="G47" s="17">
        <f>F47-'08_Moteur'!AM44</f>
        <v/>
      </c>
      <c r="H47" s="63">
        <f>'08_Moteur'!AM44</f>
        <v/>
      </c>
      <c r="I47" s="17">
        <f>IF(N47="Ne pas ouvrir",0,E47)*IFERROR(('09_Allocation'!E20+'09_Allocation'!F20+'09_Allocation'!I20)/SUMPRODUCT((N6:N63&lt;&gt;"Ne pas ouvrir")*E6:E63),0)</f>
        <v/>
      </c>
      <c r="J47" s="17">
        <f>O47-I47</f>
        <v/>
      </c>
      <c r="K47" s="69">
        <f>'08_Moteur'!AN44</f>
        <v/>
      </c>
      <c r="L47" s="70">
        <f>IF(H47&lt;0,"🔴 Ne pas ouvrir",IF(K47&gt;=0.95,"🟢 Ouvrir +1 classe",IF(K47&lt;0.55,"🟡 Surveiller","🟢 Maintenir")))</f>
        <v/>
      </c>
      <c r="M47" s="71">
        <f>IF(H47&lt;0,"Contribution négative : la fermer améliore l'EBITDA",IF(K47&gt;=0.95,"Quasi saturé : +1 classe capte la demande",IF(K47&lt;0.55,"Sous-rempli MAIS contribution positive → GARDER (fermer perdrait la marge, la structure resterait)","Sain")))</f>
        <v/>
      </c>
      <c r="N47" s="21" t="inlineStr">
        <is>
          <t>Maintenir</t>
        </is>
      </c>
      <c r="O47" s="17">
        <f>IF(N47="Ne pas ouvrir",0,IF(N47="Ouvrir +1 classe",H47-'08_Moteur'!U44,IF(N47="Économiser 1 classe",H47+('08_Moteur'!AI44-MAX(1,'08_Moteur'!AI44-1))*'08_Moteur'!U44,H47)))</f>
        <v/>
      </c>
      <c r="P47" s="54">
        <f>O47-H47</f>
        <v/>
      </c>
    </row>
    <row r="48">
      <c r="A48" s="47">
        <f>'08_Moteur'!A45</f>
        <v/>
      </c>
      <c r="B48" s="10">
        <f>'08_Moteur'!B45</f>
        <v/>
      </c>
      <c r="C48" s="47">
        <f>'08_Moteur'!C45</f>
        <v/>
      </c>
      <c r="D48" s="10">
        <f>'08_Moteur'!D45</f>
        <v/>
      </c>
      <c r="E48" s="48">
        <f>'08_Moteur'!AD45</f>
        <v/>
      </c>
      <c r="F48" s="16">
        <f>'08_Moteur'!AH45</f>
        <v/>
      </c>
      <c r="G48" s="17">
        <f>F48-'08_Moteur'!AM45</f>
        <v/>
      </c>
      <c r="H48" s="63">
        <f>'08_Moteur'!AM45</f>
        <v/>
      </c>
      <c r="I48" s="17">
        <f>IF(N48="Ne pas ouvrir",0,E48)*IFERROR(('09_Allocation'!E20+'09_Allocation'!F20+'09_Allocation'!I20)/SUMPRODUCT((N6:N63&lt;&gt;"Ne pas ouvrir")*E6:E63),0)</f>
        <v/>
      </c>
      <c r="J48" s="17">
        <f>O48-I48</f>
        <v/>
      </c>
      <c r="K48" s="69">
        <f>'08_Moteur'!AN45</f>
        <v/>
      </c>
      <c r="L48" s="70">
        <f>IF(H48&lt;0,"🔴 Ne pas ouvrir",IF(K48&gt;=0.95,"🟢 Ouvrir +1 classe",IF(K48&lt;0.55,"🟡 Surveiller","🟢 Maintenir")))</f>
        <v/>
      </c>
      <c r="M48" s="71">
        <f>IF(H48&lt;0,"Contribution négative : la fermer améliore l'EBITDA",IF(K48&gt;=0.95,"Quasi saturé : +1 classe capte la demande",IF(K48&lt;0.55,"Sous-rempli MAIS contribution positive → GARDER (fermer perdrait la marge, la structure resterait)","Sain")))</f>
        <v/>
      </c>
      <c r="N48" s="21" t="inlineStr">
        <is>
          <t>Maintenir</t>
        </is>
      </c>
      <c r="O48" s="17">
        <f>IF(N48="Ne pas ouvrir",0,IF(N48="Ouvrir +1 classe",H48-'08_Moteur'!U45,IF(N48="Économiser 1 classe",H48+('08_Moteur'!AI45-MAX(1,'08_Moteur'!AI45-1))*'08_Moteur'!U45,H48)))</f>
        <v/>
      </c>
      <c r="P48" s="54">
        <f>O48-H48</f>
        <v/>
      </c>
    </row>
    <row r="49">
      <c r="A49" s="47">
        <f>'08_Moteur'!A46</f>
        <v/>
      </c>
      <c r="B49" s="10">
        <f>'08_Moteur'!B46</f>
        <v/>
      </c>
      <c r="C49" s="47">
        <f>'08_Moteur'!C46</f>
        <v/>
      </c>
      <c r="D49" s="10">
        <f>'08_Moteur'!D46</f>
        <v/>
      </c>
      <c r="E49" s="48">
        <f>'08_Moteur'!AD46</f>
        <v/>
      </c>
      <c r="F49" s="16">
        <f>'08_Moteur'!AH46</f>
        <v/>
      </c>
      <c r="G49" s="17">
        <f>F49-'08_Moteur'!AM46</f>
        <v/>
      </c>
      <c r="H49" s="63">
        <f>'08_Moteur'!AM46</f>
        <v/>
      </c>
      <c r="I49" s="17">
        <f>IF(N49="Ne pas ouvrir",0,E49)*IFERROR(('09_Allocation'!E20+'09_Allocation'!F20+'09_Allocation'!I20)/SUMPRODUCT((N6:N63&lt;&gt;"Ne pas ouvrir")*E6:E63),0)</f>
        <v/>
      </c>
      <c r="J49" s="17">
        <f>O49-I49</f>
        <v/>
      </c>
      <c r="K49" s="69">
        <f>'08_Moteur'!AN46</f>
        <v/>
      </c>
      <c r="L49" s="70">
        <f>IF(H49&lt;0,"🔴 Ne pas ouvrir",IF(K49&gt;=0.95,"🟢 Ouvrir +1 classe",IF(K49&lt;0.55,"🟡 Surveiller","🟢 Maintenir")))</f>
        <v/>
      </c>
      <c r="M49" s="71">
        <f>IF(H49&lt;0,"Contribution négative : la fermer améliore l'EBITDA",IF(K49&gt;=0.95,"Quasi saturé : +1 classe capte la demande",IF(K49&lt;0.55,"Sous-rempli MAIS contribution positive → GARDER (fermer perdrait la marge, la structure resterait)","Sain")))</f>
        <v/>
      </c>
      <c r="N49" s="21" t="inlineStr">
        <is>
          <t>Maintenir</t>
        </is>
      </c>
      <c r="O49" s="17">
        <f>IF(N49="Ne pas ouvrir",0,IF(N49="Ouvrir +1 classe",H49-'08_Moteur'!U46,IF(N49="Économiser 1 classe",H49+('08_Moteur'!AI46-MAX(1,'08_Moteur'!AI46-1))*'08_Moteur'!U46,H49)))</f>
        <v/>
      </c>
      <c r="P49" s="54">
        <f>O49-H49</f>
        <v/>
      </c>
    </row>
    <row r="50">
      <c r="A50" s="47">
        <f>'08_Moteur'!A47</f>
        <v/>
      </c>
      <c r="B50" s="10">
        <f>'08_Moteur'!B47</f>
        <v/>
      </c>
      <c r="C50" s="47">
        <f>'08_Moteur'!C47</f>
        <v/>
      </c>
      <c r="D50" s="10">
        <f>'08_Moteur'!D47</f>
        <v/>
      </c>
      <c r="E50" s="48">
        <f>'08_Moteur'!AD47</f>
        <v/>
      </c>
      <c r="F50" s="16">
        <f>'08_Moteur'!AH47</f>
        <v/>
      </c>
      <c r="G50" s="17">
        <f>F50-'08_Moteur'!AM47</f>
        <v/>
      </c>
      <c r="H50" s="63">
        <f>'08_Moteur'!AM47</f>
        <v/>
      </c>
      <c r="I50" s="17">
        <f>IF(N50="Ne pas ouvrir",0,E50)*IFERROR(('09_Allocation'!E20+'09_Allocation'!F20+'09_Allocation'!I20)/SUMPRODUCT((N6:N63&lt;&gt;"Ne pas ouvrir")*E6:E63),0)</f>
        <v/>
      </c>
      <c r="J50" s="17">
        <f>O50-I50</f>
        <v/>
      </c>
      <c r="K50" s="69">
        <f>'08_Moteur'!AN47</f>
        <v/>
      </c>
      <c r="L50" s="70">
        <f>IF(H50&lt;0,"🔴 Ne pas ouvrir",IF(K50&gt;=0.95,"🟢 Ouvrir +1 classe",IF(K50&lt;0.55,"🟡 Surveiller","🟢 Maintenir")))</f>
        <v/>
      </c>
      <c r="M50" s="71">
        <f>IF(H50&lt;0,"Contribution négative : la fermer améliore l'EBITDA",IF(K50&gt;=0.95,"Quasi saturé : +1 classe capte la demande",IF(K50&lt;0.55,"Sous-rempli MAIS contribution positive → GARDER (fermer perdrait la marge, la structure resterait)","Sain")))</f>
        <v/>
      </c>
      <c r="N50" s="21" t="inlineStr">
        <is>
          <t>Maintenir</t>
        </is>
      </c>
      <c r="O50" s="17">
        <f>IF(N50="Ne pas ouvrir",0,IF(N50="Ouvrir +1 classe",H50-'08_Moteur'!U47,IF(N50="Économiser 1 classe",H50+('08_Moteur'!AI47-MAX(1,'08_Moteur'!AI47-1))*'08_Moteur'!U47,H50)))</f>
        <v/>
      </c>
      <c r="P50" s="54">
        <f>O50-H50</f>
        <v/>
      </c>
    </row>
    <row r="51">
      <c r="A51" s="47">
        <f>'08_Moteur'!A48</f>
        <v/>
      </c>
      <c r="B51" s="10">
        <f>'08_Moteur'!B48</f>
        <v/>
      </c>
      <c r="C51" s="47">
        <f>'08_Moteur'!C48</f>
        <v/>
      </c>
      <c r="D51" s="10">
        <f>'08_Moteur'!D48</f>
        <v/>
      </c>
      <c r="E51" s="48">
        <f>'08_Moteur'!AD48</f>
        <v/>
      </c>
      <c r="F51" s="16">
        <f>'08_Moteur'!AH48</f>
        <v/>
      </c>
      <c r="G51" s="17">
        <f>F51-'08_Moteur'!AM48</f>
        <v/>
      </c>
      <c r="H51" s="63">
        <f>'08_Moteur'!AM48</f>
        <v/>
      </c>
      <c r="I51" s="17">
        <f>IF(N51="Ne pas ouvrir",0,E51)*IFERROR(('09_Allocation'!E20+'09_Allocation'!F20+'09_Allocation'!I20)/SUMPRODUCT((N6:N63&lt;&gt;"Ne pas ouvrir")*E6:E63),0)</f>
        <v/>
      </c>
      <c r="J51" s="17">
        <f>O51-I51</f>
        <v/>
      </c>
      <c r="K51" s="69">
        <f>'08_Moteur'!AN48</f>
        <v/>
      </c>
      <c r="L51" s="70">
        <f>IF(H51&lt;0,"🔴 Ne pas ouvrir",IF(K51&gt;=0.95,"🟢 Ouvrir +1 classe",IF(K51&lt;0.55,"🟡 Surveiller","🟢 Maintenir")))</f>
        <v/>
      </c>
      <c r="M51" s="71">
        <f>IF(H51&lt;0,"Contribution négative : la fermer améliore l'EBITDA",IF(K51&gt;=0.95,"Quasi saturé : +1 classe capte la demande",IF(K51&lt;0.55,"Sous-rempli MAIS contribution positive → GARDER (fermer perdrait la marge, la structure resterait)","Sain")))</f>
        <v/>
      </c>
      <c r="N51" s="21" t="inlineStr">
        <is>
          <t>Maintenir</t>
        </is>
      </c>
      <c r="O51" s="17">
        <f>IF(N51="Ne pas ouvrir",0,IF(N51="Ouvrir +1 classe",H51-'08_Moteur'!U48,IF(N51="Économiser 1 classe",H51+('08_Moteur'!AI48-MAX(1,'08_Moteur'!AI48-1))*'08_Moteur'!U48,H51)))</f>
        <v/>
      </c>
      <c r="P51" s="54">
        <f>O51-H51</f>
        <v/>
      </c>
    </row>
    <row r="52">
      <c r="A52" s="47">
        <f>'08_Moteur'!A49</f>
        <v/>
      </c>
      <c r="B52" s="10">
        <f>'08_Moteur'!B49</f>
        <v/>
      </c>
      <c r="C52" s="47">
        <f>'08_Moteur'!C49</f>
        <v/>
      </c>
      <c r="D52" s="10">
        <f>'08_Moteur'!D49</f>
        <v/>
      </c>
      <c r="E52" s="48">
        <f>'08_Moteur'!AD49</f>
        <v/>
      </c>
      <c r="F52" s="16">
        <f>'08_Moteur'!AH49</f>
        <v/>
      </c>
      <c r="G52" s="17">
        <f>F52-'08_Moteur'!AM49</f>
        <v/>
      </c>
      <c r="H52" s="63">
        <f>'08_Moteur'!AM49</f>
        <v/>
      </c>
      <c r="I52" s="17">
        <f>IF(N52="Ne pas ouvrir",0,E52)*IFERROR(('09_Allocation'!E20+'09_Allocation'!F20+'09_Allocation'!I20)/SUMPRODUCT((N6:N63&lt;&gt;"Ne pas ouvrir")*E6:E63),0)</f>
        <v/>
      </c>
      <c r="J52" s="17">
        <f>O52-I52</f>
        <v/>
      </c>
      <c r="K52" s="69">
        <f>'08_Moteur'!AN49</f>
        <v/>
      </c>
      <c r="L52" s="70">
        <f>IF(H52&lt;0,"🔴 Ne pas ouvrir",IF(K52&gt;=0.95,"🟢 Ouvrir +1 classe",IF(K52&lt;0.55,"🟡 Surveiller","🟢 Maintenir")))</f>
        <v/>
      </c>
      <c r="M52" s="71">
        <f>IF(H52&lt;0,"Contribution négative : la fermer améliore l'EBITDA",IF(K52&gt;=0.95,"Quasi saturé : +1 classe capte la demande",IF(K52&lt;0.55,"Sous-rempli MAIS contribution positive → GARDER (fermer perdrait la marge, la structure resterait)","Sain")))</f>
        <v/>
      </c>
      <c r="N52" s="21" t="inlineStr">
        <is>
          <t>Maintenir</t>
        </is>
      </c>
      <c r="O52" s="17">
        <f>IF(N52="Ne pas ouvrir",0,IF(N52="Ouvrir +1 classe",H52-'08_Moteur'!U49,IF(N52="Économiser 1 classe",H52+('08_Moteur'!AI49-MAX(1,'08_Moteur'!AI49-1))*'08_Moteur'!U49,H52)))</f>
        <v/>
      </c>
      <c r="P52" s="54">
        <f>O52-H52</f>
        <v/>
      </c>
    </row>
    <row r="53">
      <c r="A53" s="47">
        <f>'08_Moteur'!A50</f>
        <v/>
      </c>
      <c r="B53" s="10">
        <f>'08_Moteur'!B50</f>
        <v/>
      </c>
      <c r="C53" s="47">
        <f>'08_Moteur'!C50</f>
        <v/>
      </c>
      <c r="D53" s="10">
        <f>'08_Moteur'!D50</f>
        <v/>
      </c>
      <c r="E53" s="48">
        <f>'08_Moteur'!AD50</f>
        <v/>
      </c>
      <c r="F53" s="16">
        <f>'08_Moteur'!AH50</f>
        <v/>
      </c>
      <c r="G53" s="17">
        <f>F53-'08_Moteur'!AM50</f>
        <v/>
      </c>
      <c r="H53" s="63">
        <f>'08_Moteur'!AM50</f>
        <v/>
      </c>
      <c r="I53" s="17">
        <f>IF(N53="Ne pas ouvrir",0,E53)*IFERROR(('09_Allocation'!E20+'09_Allocation'!F20+'09_Allocation'!I20)/SUMPRODUCT((N6:N63&lt;&gt;"Ne pas ouvrir")*E6:E63),0)</f>
        <v/>
      </c>
      <c r="J53" s="17">
        <f>O53-I53</f>
        <v/>
      </c>
      <c r="K53" s="69">
        <f>'08_Moteur'!AN50</f>
        <v/>
      </c>
      <c r="L53" s="70">
        <f>IF(H53&lt;0,"🔴 Ne pas ouvrir",IF(K53&gt;=0.95,"🟢 Ouvrir +1 classe",IF(K53&lt;0.55,"🟡 Surveiller","🟢 Maintenir")))</f>
        <v/>
      </c>
      <c r="M53" s="71">
        <f>IF(H53&lt;0,"Contribution négative : la fermer améliore l'EBITDA",IF(K53&gt;=0.95,"Quasi saturé : +1 classe capte la demande",IF(K53&lt;0.55,"Sous-rempli MAIS contribution positive → GARDER (fermer perdrait la marge, la structure resterait)","Sain")))</f>
        <v/>
      </c>
      <c r="N53" s="21" t="inlineStr">
        <is>
          <t>Maintenir</t>
        </is>
      </c>
      <c r="O53" s="17">
        <f>IF(N53="Ne pas ouvrir",0,IF(N53="Ouvrir +1 classe",H53-'08_Moteur'!U50,IF(N53="Économiser 1 classe",H53+('08_Moteur'!AI50-MAX(1,'08_Moteur'!AI50-1))*'08_Moteur'!U50,H53)))</f>
        <v/>
      </c>
      <c r="P53" s="54">
        <f>O53-H53</f>
        <v/>
      </c>
    </row>
    <row r="54">
      <c r="A54" s="47">
        <f>'08_Moteur'!A51</f>
        <v/>
      </c>
      <c r="B54" s="10">
        <f>'08_Moteur'!B51</f>
        <v/>
      </c>
      <c r="C54" s="47">
        <f>'08_Moteur'!C51</f>
        <v/>
      </c>
      <c r="D54" s="10">
        <f>'08_Moteur'!D51</f>
        <v/>
      </c>
      <c r="E54" s="48">
        <f>'08_Moteur'!AD51</f>
        <v/>
      </c>
      <c r="F54" s="16">
        <f>'08_Moteur'!AH51</f>
        <v/>
      </c>
      <c r="G54" s="17">
        <f>F54-'08_Moteur'!AM51</f>
        <v/>
      </c>
      <c r="H54" s="63">
        <f>'08_Moteur'!AM51</f>
        <v/>
      </c>
      <c r="I54" s="17">
        <f>IF(N54="Ne pas ouvrir",0,E54)*IFERROR(('09_Allocation'!E20+'09_Allocation'!F20+'09_Allocation'!I20)/SUMPRODUCT((N6:N63&lt;&gt;"Ne pas ouvrir")*E6:E63),0)</f>
        <v/>
      </c>
      <c r="J54" s="17">
        <f>O54-I54</f>
        <v/>
      </c>
      <c r="K54" s="69">
        <f>'08_Moteur'!AN51</f>
        <v/>
      </c>
      <c r="L54" s="70">
        <f>IF(H54&lt;0,"🔴 Ne pas ouvrir",IF(K54&gt;=0.95,"🟢 Ouvrir +1 classe",IF(K54&lt;0.55,"🟡 Surveiller","🟢 Maintenir")))</f>
        <v/>
      </c>
      <c r="M54" s="71">
        <f>IF(H54&lt;0,"Contribution négative : la fermer améliore l'EBITDA",IF(K54&gt;=0.95,"Quasi saturé : +1 classe capte la demande",IF(K54&lt;0.55,"Sous-rempli MAIS contribution positive → GARDER (fermer perdrait la marge, la structure resterait)","Sain")))</f>
        <v/>
      </c>
      <c r="N54" s="21" t="inlineStr">
        <is>
          <t>Maintenir</t>
        </is>
      </c>
      <c r="O54" s="17">
        <f>IF(N54="Ne pas ouvrir",0,IF(N54="Ouvrir +1 classe",H54-'08_Moteur'!U51,IF(N54="Économiser 1 classe",H54+('08_Moteur'!AI51-MAX(1,'08_Moteur'!AI51-1))*'08_Moteur'!U51,H54)))</f>
        <v/>
      </c>
      <c r="P54" s="54">
        <f>O54-H54</f>
        <v/>
      </c>
    </row>
    <row r="55">
      <c r="A55" s="47">
        <f>'08_Moteur'!A52</f>
        <v/>
      </c>
      <c r="B55" s="10">
        <f>'08_Moteur'!B52</f>
        <v/>
      </c>
      <c r="C55" s="47">
        <f>'08_Moteur'!C52</f>
        <v/>
      </c>
      <c r="D55" s="10">
        <f>'08_Moteur'!D52</f>
        <v/>
      </c>
      <c r="E55" s="48">
        <f>'08_Moteur'!AD52</f>
        <v/>
      </c>
      <c r="F55" s="16">
        <f>'08_Moteur'!AH52</f>
        <v/>
      </c>
      <c r="G55" s="17">
        <f>F55-'08_Moteur'!AM52</f>
        <v/>
      </c>
      <c r="H55" s="63">
        <f>'08_Moteur'!AM52</f>
        <v/>
      </c>
      <c r="I55" s="17">
        <f>IF(N55="Ne pas ouvrir",0,E55)*IFERROR(('09_Allocation'!E20+'09_Allocation'!F20+'09_Allocation'!I20)/SUMPRODUCT((N6:N63&lt;&gt;"Ne pas ouvrir")*E6:E63),0)</f>
        <v/>
      </c>
      <c r="J55" s="17">
        <f>O55-I55</f>
        <v/>
      </c>
      <c r="K55" s="69">
        <f>'08_Moteur'!AN52</f>
        <v/>
      </c>
      <c r="L55" s="70">
        <f>IF(H55&lt;0,"🔴 Ne pas ouvrir",IF(K55&gt;=0.95,"🟢 Ouvrir +1 classe",IF(K55&lt;0.55,"🟡 Surveiller","🟢 Maintenir")))</f>
        <v/>
      </c>
      <c r="M55" s="71">
        <f>IF(H55&lt;0,"Contribution négative : la fermer améliore l'EBITDA",IF(K55&gt;=0.95,"Quasi saturé : +1 classe capte la demande",IF(K55&lt;0.55,"Sous-rempli MAIS contribution positive → GARDER (fermer perdrait la marge, la structure resterait)","Sain")))</f>
        <v/>
      </c>
      <c r="N55" s="21" t="inlineStr">
        <is>
          <t>Maintenir</t>
        </is>
      </c>
      <c r="O55" s="17">
        <f>IF(N55="Ne pas ouvrir",0,IF(N55="Ouvrir +1 classe",H55-'08_Moteur'!U52,IF(N55="Économiser 1 classe",H55+('08_Moteur'!AI52-MAX(1,'08_Moteur'!AI52-1))*'08_Moteur'!U52,H55)))</f>
        <v/>
      </c>
      <c r="P55" s="54">
        <f>O55-H55</f>
        <v/>
      </c>
    </row>
    <row r="56">
      <c r="A56" s="47">
        <f>'08_Moteur'!A53</f>
        <v/>
      </c>
      <c r="B56" s="10">
        <f>'08_Moteur'!B53</f>
        <v/>
      </c>
      <c r="C56" s="47">
        <f>'08_Moteur'!C53</f>
        <v/>
      </c>
      <c r="D56" s="10">
        <f>'08_Moteur'!D53</f>
        <v/>
      </c>
      <c r="E56" s="48">
        <f>'08_Moteur'!AD53</f>
        <v/>
      </c>
      <c r="F56" s="16">
        <f>'08_Moteur'!AH53</f>
        <v/>
      </c>
      <c r="G56" s="17">
        <f>F56-'08_Moteur'!AM53</f>
        <v/>
      </c>
      <c r="H56" s="63">
        <f>'08_Moteur'!AM53</f>
        <v/>
      </c>
      <c r="I56" s="17">
        <f>IF(N56="Ne pas ouvrir",0,E56)*IFERROR(('09_Allocation'!E20+'09_Allocation'!F20+'09_Allocation'!I20)/SUMPRODUCT((N6:N63&lt;&gt;"Ne pas ouvrir")*E6:E63),0)</f>
        <v/>
      </c>
      <c r="J56" s="17">
        <f>O56-I56</f>
        <v/>
      </c>
      <c r="K56" s="69">
        <f>'08_Moteur'!AN53</f>
        <v/>
      </c>
      <c r="L56" s="70">
        <f>IF(H56&lt;0,"🔴 Ne pas ouvrir",IF(K56&gt;=0.95,"🟢 Ouvrir +1 classe",IF(K56&lt;0.55,"🟡 Surveiller","🟢 Maintenir")))</f>
        <v/>
      </c>
      <c r="M56" s="71">
        <f>IF(H56&lt;0,"Contribution négative : la fermer améliore l'EBITDA",IF(K56&gt;=0.95,"Quasi saturé : +1 classe capte la demande",IF(K56&lt;0.55,"Sous-rempli MAIS contribution positive → GARDER (fermer perdrait la marge, la structure resterait)","Sain")))</f>
        <v/>
      </c>
      <c r="N56" s="21" t="inlineStr">
        <is>
          <t>Maintenir</t>
        </is>
      </c>
      <c r="O56" s="17">
        <f>IF(N56="Ne pas ouvrir",0,IF(N56="Ouvrir +1 classe",H56-'08_Moteur'!U53,IF(N56="Économiser 1 classe",H56+('08_Moteur'!AI53-MAX(1,'08_Moteur'!AI53-1))*'08_Moteur'!U53,H56)))</f>
        <v/>
      </c>
      <c r="P56" s="54">
        <f>O56-H56</f>
        <v/>
      </c>
    </row>
    <row r="57">
      <c r="A57" s="47">
        <f>'08_Moteur'!A54</f>
        <v/>
      </c>
      <c r="B57" s="10">
        <f>'08_Moteur'!B54</f>
        <v/>
      </c>
      <c r="C57" s="47">
        <f>'08_Moteur'!C54</f>
        <v/>
      </c>
      <c r="D57" s="10">
        <f>'08_Moteur'!D54</f>
        <v/>
      </c>
      <c r="E57" s="48">
        <f>'08_Moteur'!AD54</f>
        <v/>
      </c>
      <c r="F57" s="16">
        <f>'08_Moteur'!AH54</f>
        <v/>
      </c>
      <c r="G57" s="17">
        <f>F57-'08_Moteur'!AM54</f>
        <v/>
      </c>
      <c r="H57" s="63">
        <f>'08_Moteur'!AM54</f>
        <v/>
      </c>
      <c r="I57" s="17">
        <f>IF(N57="Ne pas ouvrir",0,E57)*IFERROR(('09_Allocation'!E20+'09_Allocation'!F20+'09_Allocation'!I20)/SUMPRODUCT((N6:N63&lt;&gt;"Ne pas ouvrir")*E6:E63),0)</f>
        <v/>
      </c>
      <c r="J57" s="17">
        <f>O57-I57</f>
        <v/>
      </c>
      <c r="K57" s="69">
        <f>'08_Moteur'!AN54</f>
        <v/>
      </c>
      <c r="L57" s="70">
        <f>IF(H57&lt;0,"🔴 Ne pas ouvrir",IF(K57&gt;=0.95,"🟢 Ouvrir +1 classe",IF(K57&lt;0.55,"🟡 Surveiller","🟢 Maintenir")))</f>
        <v/>
      </c>
      <c r="M57" s="71">
        <f>IF(H57&lt;0,"Contribution négative : la fermer améliore l'EBITDA",IF(K57&gt;=0.95,"Quasi saturé : +1 classe capte la demande",IF(K57&lt;0.55,"Sous-rempli MAIS contribution positive → GARDER (fermer perdrait la marge, la structure resterait)","Sain")))</f>
        <v/>
      </c>
      <c r="N57" s="21" t="inlineStr">
        <is>
          <t>Maintenir</t>
        </is>
      </c>
      <c r="O57" s="17">
        <f>IF(N57="Ne pas ouvrir",0,IF(N57="Ouvrir +1 classe",H57-'08_Moteur'!U54,IF(N57="Économiser 1 classe",H57+('08_Moteur'!AI54-MAX(1,'08_Moteur'!AI54-1))*'08_Moteur'!U54,H57)))</f>
        <v/>
      </c>
      <c r="P57" s="54">
        <f>O57-H57</f>
        <v/>
      </c>
    </row>
    <row r="58">
      <c r="A58" s="47">
        <f>'08_Moteur'!A55</f>
        <v/>
      </c>
      <c r="B58" s="10">
        <f>'08_Moteur'!B55</f>
        <v/>
      </c>
      <c r="C58" s="47">
        <f>'08_Moteur'!C55</f>
        <v/>
      </c>
      <c r="D58" s="10">
        <f>'08_Moteur'!D55</f>
        <v/>
      </c>
      <c r="E58" s="48">
        <f>'08_Moteur'!AD55</f>
        <v/>
      </c>
      <c r="F58" s="16">
        <f>'08_Moteur'!AH55</f>
        <v/>
      </c>
      <c r="G58" s="17">
        <f>F58-'08_Moteur'!AM55</f>
        <v/>
      </c>
      <c r="H58" s="63">
        <f>'08_Moteur'!AM55</f>
        <v/>
      </c>
      <c r="I58" s="17">
        <f>IF(N58="Ne pas ouvrir",0,E58)*IFERROR(('09_Allocation'!E20+'09_Allocation'!F20+'09_Allocation'!I20)/SUMPRODUCT((N6:N63&lt;&gt;"Ne pas ouvrir")*E6:E63),0)</f>
        <v/>
      </c>
      <c r="J58" s="17">
        <f>O58-I58</f>
        <v/>
      </c>
      <c r="K58" s="69">
        <f>'08_Moteur'!AN55</f>
        <v/>
      </c>
      <c r="L58" s="70">
        <f>IF(H58&lt;0,"🔴 Ne pas ouvrir",IF(K58&gt;=0.95,"🟢 Ouvrir +1 classe",IF(K58&lt;0.55,"🟡 Surveiller","🟢 Maintenir")))</f>
        <v/>
      </c>
      <c r="M58" s="71">
        <f>IF(H58&lt;0,"Contribution négative : la fermer améliore l'EBITDA",IF(K58&gt;=0.95,"Quasi saturé : +1 classe capte la demande",IF(K58&lt;0.55,"Sous-rempli MAIS contribution positive → GARDER (fermer perdrait la marge, la structure resterait)","Sain")))</f>
        <v/>
      </c>
      <c r="N58" s="21" t="inlineStr">
        <is>
          <t>Maintenir</t>
        </is>
      </c>
      <c r="O58" s="17">
        <f>IF(N58="Ne pas ouvrir",0,IF(N58="Ouvrir +1 classe",H58-'08_Moteur'!U55,IF(N58="Économiser 1 classe",H58+('08_Moteur'!AI55-MAX(1,'08_Moteur'!AI55-1))*'08_Moteur'!U55,H58)))</f>
        <v/>
      </c>
      <c r="P58" s="54">
        <f>O58-H58</f>
        <v/>
      </c>
    </row>
    <row r="59">
      <c r="A59" s="47">
        <f>'08_Moteur'!A56</f>
        <v/>
      </c>
      <c r="B59" s="10">
        <f>'08_Moteur'!B56</f>
        <v/>
      </c>
      <c r="C59" s="47">
        <f>'08_Moteur'!C56</f>
        <v/>
      </c>
      <c r="D59" s="10">
        <f>'08_Moteur'!D56</f>
        <v/>
      </c>
      <c r="E59" s="48">
        <f>'08_Moteur'!AD56</f>
        <v/>
      </c>
      <c r="F59" s="16">
        <f>'08_Moteur'!AH56</f>
        <v/>
      </c>
      <c r="G59" s="17">
        <f>F59-'08_Moteur'!AM56</f>
        <v/>
      </c>
      <c r="H59" s="63">
        <f>'08_Moteur'!AM56</f>
        <v/>
      </c>
      <c r="I59" s="17">
        <f>IF(N59="Ne pas ouvrir",0,E59)*IFERROR(('09_Allocation'!E20+'09_Allocation'!F20+'09_Allocation'!I20)/SUMPRODUCT((N6:N63&lt;&gt;"Ne pas ouvrir")*E6:E63),0)</f>
        <v/>
      </c>
      <c r="J59" s="17">
        <f>O59-I59</f>
        <v/>
      </c>
      <c r="K59" s="69">
        <f>'08_Moteur'!AN56</f>
        <v/>
      </c>
      <c r="L59" s="70">
        <f>IF(H59&lt;0,"🔴 Ne pas ouvrir",IF(K59&gt;=0.95,"🟢 Ouvrir +1 classe",IF(K59&lt;0.55,"🟡 Surveiller","🟢 Maintenir")))</f>
        <v/>
      </c>
      <c r="M59" s="71">
        <f>IF(H59&lt;0,"Contribution négative : la fermer améliore l'EBITDA",IF(K59&gt;=0.95,"Quasi saturé : +1 classe capte la demande",IF(K59&lt;0.55,"Sous-rempli MAIS contribution positive → GARDER (fermer perdrait la marge, la structure resterait)","Sain")))</f>
        <v/>
      </c>
      <c r="N59" s="21" t="inlineStr">
        <is>
          <t>Maintenir</t>
        </is>
      </c>
      <c r="O59" s="17">
        <f>IF(N59="Ne pas ouvrir",0,IF(N59="Ouvrir +1 classe",H59-'08_Moteur'!U56,IF(N59="Économiser 1 classe",H59+('08_Moteur'!AI56-MAX(1,'08_Moteur'!AI56-1))*'08_Moteur'!U56,H59)))</f>
        <v/>
      </c>
      <c r="P59" s="54">
        <f>O59-H59</f>
        <v/>
      </c>
    </row>
    <row r="60">
      <c r="A60" s="47">
        <f>'08_Moteur'!A57</f>
        <v/>
      </c>
      <c r="B60" s="10">
        <f>'08_Moteur'!B57</f>
        <v/>
      </c>
      <c r="C60" s="47">
        <f>'08_Moteur'!C57</f>
        <v/>
      </c>
      <c r="D60" s="10">
        <f>'08_Moteur'!D57</f>
        <v/>
      </c>
      <c r="E60" s="48">
        <f>'08_Moteur'!AD57</f>
        <v/>
      </c>
      <c r="F60" s="16">
        <f>'08_Moteur'!AH57</f>
        <v/>
      </c>
      <c r="G60" s="17">
        <f>F60-'08_Moteur'!AM57</f>
        <v/>
      </c>
      <c r="H60" s="63">
        <f>'08_Moteur'!AM57</f>
        <v/>
      </c>
      <c r="I60" s="17">
        <f>IF(N60="Ne pas ouvrir",0,E60)*IFERROR(('09_Allocation'!E20+'09_Allocation'!F20+'09_Allocation'!I20)/SUMPRODUCT((N6:N63&lt;&gt;"Ne pas ouvrir")*E6:E63),0)</f>
        <v/>
      </c>
      <c r="J60" s="17">
        <f>O60-I60</f>
        <v/>
      </c>
      <c r="K60" s="69">
        <f>'08_Moteur'!AN57</f>
        <v/>
      </c>
      <c r="L60" s="70">
        <f>IF(H60&lt;0,"🔴 Ne pas ouvrir",IF(K60&gt;=0.95,"🟢 Ouvrir +1 classe",IF(K60&lt;0.55,"🟡 Surveiller","🟢 Maintenir")))</f>
        <v/>
      </c>
      <c r="M60" s="71">
        <f>IF(H60&lt;0,"Contribution négative : la fermer améliore l'EBITDA",IF(K60&gt;=0.95,"Quasi saturé : +1 classe capte la demande",IF(K60&lt;0.55,"Sous-rempli MAIS contribution positive → GARDER (fermer perdrait la marge, la structure resterait)","Sain")))</f>
        <v/>
      </c>
      <c r="N60" s="21" t="inlineStr">
        <is>
          <t>Maintenir</t>
        </is>
      </c>
      <c r="O60" s="17">
        <f>IF(N60="Ne pas ouvrir",0,IF(N60="Ouvrir +1 classe",H60-'08_Moteur'!U57,IF(N60="Économiser 1 classe",H60+('08_Moteur'!AI57-MAX(1,'08_Moteur'!AI57-1))*'08_Moteur'!U57,H60)))</f>
        <v/>
      </c>
      <c r="P60" s="54">
        <f>O60-H60</f>
        <v/>
      </c>
    </row>
    <row r="61">
      <c r="A61" s="47">
        <f>'08_Moteur'!A58</f>
        <v/>
      </c>
      <c r="B61" s="10">
        <f>'08_Moteur'!B58</f>
        <v/>
      </c>
      <c r="C61" s="47">
        <f>'08_Moteur'!C58</f>
        <v/>
      </c>
      <c r="D61" s="10">
        <f>'08_Moteur'!D58</f>
        <v/>
      </c>
      <c r="E61" s="48">
        <f>'08_Moteur'!AD58</f>
        <v/>
      </c>
      <c r="F61" s="16">
        <f>'08_Moteur'!AH58</f>
        <v/>
      </c>
      <c r="G61" s="17">
        <f>F61-'08_Moteur'!AM58</f>
        <v/>
      </c>
      <c r="H61" s="63">
        <f>'08_Moteur'!AM58</f>
        <v/>
      </c>
      <c r="I61" s="17">
        <f>IF(N61="Ne pas ouvrir",0,E61)*IFERROR(('09_Allocation'!E20+'09_Allocation'!F20+'09_Allocation'!I20)/SUMPRODUCT((N6:N63&lt;&gt;"Ne pas ouvrir")*E6:E63),0)</f>
        <v/>
      </c>
      <c r="J61" s="17">
        <f>O61-I61</f>
        <v/>
      </c>
      <c r="K61" s="69">
        <f>'08_Moteur'!AN58</f>
        <v/>
      </c>
      <c r="L61" s="70">
        <f>IF(H61&lt;0,"🔴 Ne pas ouvrir",IF(K61&gt;=0.95,"🟢 Ouvrir +1 classe",IF(K61&lt;0.55,"🟡 Surveiller","🟢 Maintenir")))</f>
        <v/>
      </c>
      <c r="M61" s="71">
        <f>IF(H61&lt;0,"Contribution négative : la fermer améliore l'EBITDA",IF(K61&gt;=0.95,"Quasi saturé : +1 classe capte la demande",IF(K61&lt;0.55,"Sous-rempli MAIS contribution positive → GARDER (fermer perdrait la marge, la structure resterait)","Sain")))</f>
        <v/>
      </c>
      <c r="N61" s="21" t="inlineStr">
        <is>
          <t>Maintenir</t>
        </is>
      </c>
      <c r="O61" s="17">
        <f>IF(N61="Ne pas ouvrir",0,IF(N61="Ouvrir +1 classe",H61-'08_Moteur'!U58,IF(N61="Économiser 1 classe",H61+('08_Moteur'!AI58-MAX(1,'08_Moteur'!AI58-1))*'08_Moteur'!U58,H61)))</f>
        <v/>
      </c>
      <c r="P61" s="54">
        <f>O61-H61</f>
        <v/>
      </c>
    </row>
    <row r="62">
      <c r="A62" s="47">
        <f>'08_Moteur'!A59</f>
        <v/>
      </c>
      <c r="B62" s="10">
        <f>'08_Moteur'!B59</f>
        <v/>
      </c>
      <c r="C62" s="47">
        <f>'08_Moteur'!C59</f>
        <v/>
      </c>
      <c r="D62" s="10">
        <f>'08_Moteur'!D59</f>
        <v/>
      </c>
      <c r="E62" s="48">
        <f>'08_Moteur'!AD59</f>
        <v/>
      </c>
      <c r="F62" s="16">
        <f>'08_Moteur'!AH59</f>
        <v/>
      </c>
      <c r="G62" s="17">
        <f>F62-'08_Moteur'!AM59</f>
        <v/>
      </c>
      <c r="H62" s="63">
        <f>'08_Moteur'!AM59</f>
        <v/>
      </c>
      <c r="I62" s="17">
        <f>IF(N62="Ne pas ouvrir",0,E62)*IFERROR(('09_Allocation'!E20+'09_Allocation'!F20+'09_Allocation'!I20)/SUMPRODUCT((N6:N63&lt;&gt;"Ne pas ouvrir")*E6:E63),0)</f>
        <v/>
      </c>
      <c r="J62" s="17">
        <f>O62-I62</f>
        <v/>
      </c>
      <c r="K62" s="69">
        <f>'08_Moteur'!AN59</f>
        <v/>
      </c>
      <c r="L62" s="70">
        <f>IF(H62&lt;0,"🔴 Ne pas ouvrir",IF(K62&gt;=0.95,"🟢 Ouvrir +1 classe",IF(K62&lt;0.55,"🟡 Surveiller","🟢 Maintenir")))</f>
        <v/>
      </c>
      <c r="M62" s="71">
        <f>IF(H62&lt;0,"Contribution négative : la fermer améliore l'EBITDA",IF(K62&gt;=0.95,"Quasi saturé : +1 classe capte la demande",IF(K62&lt;0.55,"Sous-rempli MAIS contribution positive → GARDER (fermer perdrait la marge, la structure resterait)","Sain")))</f>
        <v/>
      </c>
      <c r="N62" s="21" t="inlineStr">
        <is>
          <t>Maintenir</t>
        </is>
      </c>
      <c r="O62" s="17">
        <f>IF(N62="Ne pas ouvrir",0,IF(N62="Ouvrir +1 classe",H62-'08_Moteur'!U59,IF(N62="Économiser 1 classe",H62+('08_Moteur'!AI59-MAX(1,'08_Moteur'!AI59-1))*'08_Moteur'!U59,H62)))</f>
        <v/>
      </c>
      <c r="P62" s="54">
        <f>O62-H62</f>
        <v/>
      </c>
    </row>
    <row r="63">
      <c r="A63" s="47">
        <f>'08_Moteur'!A60</f>
        <v/>
      </c>
      <c r="B63" s="10">
        <f>'08_Moteur'!B60</f>
        <v/>
      </c>
      <c r="C63" s="47">
        <f>'08_Moteur'!C60</f>
        <v/>
      </c>
      <c r="D63" s="10">
        <f>'08_Moteur'!D60</f>
        <v/>
      </c>
      <c r="E63" s="48">
        <f>'08_Moteur'!AD60</f>
        <v/>
      </c>
      <c r="F63" s="16">
        <f>'08_Moteur'!AH60</f>
        <v/>
      </c>
      <c r="G63" s="17">
        <f>F63-'08_Moteur'!AM60</f>
        <v/>
      </c>
      <c r="H63" s="63">
        <f>'08_Moteur'!AM60</f>
        <v/>
      </c>
      <c r="I63" s="17">
        <f>IF(N63="Ne pas ouvrir",0,E63)*IFERROR(('09_Allocation'!E20+'09_Allocation'!F20+'09_Allocation'!I20)/SUMPRODUCT((N6:N63&lt;&gt;"Ne pas ouvrir")*E6:E63),0)</f>
        <v/>
      </c>
      <c r="J63" s="17">
        <f>O63-I63</f>
        <v/>
      </c>
      <c r="K63" s="69">
        <f>'08_Moteur'!AN60</f>
        <v/>
      </c>
      <c r="L63" s="70">
        <f>IF(H63&lt;0,"🔴 Ne pas ouvrir",IF(K63&gt;=0.95,"🟢 Ouvrir +1 classe",IF(K63&lt;0.55,"🟡 Surveiller","🟢 Maintenir")))</f>
        <v/>
      </c>
      <c r="M63" s="71">
        <f>IF(H63&lt;0,"Contribution négative : la fermer améliore l'EBITDA",IF(K63&gt;=0.95,"Quasi saturé : +1 classe capte la demande",IF(K63&lt;0.55,"Sous-rempli MAIS contribution positive → GARDER (fermer perdrait la marge, la structure resterait)","Sain")))</f>
        <v/>
      </c>
      <c r="N63" s="21" t="inlineStr">
        <is>
          <t>Maintenir</t>
        </is>
      </c>
      <c r="O63" s="17">
        <f>IF(N63="Ne pas ouvrir",0,IF(N63="Ouvrir +1 classe",H63-'08_Moteur'!U60,IF(N63="Économiser 1 classe",H63+('08_Moteur'!AI60-MAX(1,'08_Moteur'!AI60-1))*'08_Moteur'!U60,H63)))</f>
        <v/>
      </c>
      <c r="P63" s="54">
        <f>O63-H63</f>
        <v/>
      </c>
    </row>
  </sheetData>
  <mergeCells count="11">
    <mergeCell ref="M3:P3"/>
    <mergeCell ref="G2:H2"/>
    <mergeCell ref="E2:F2"/>
    <mergeCell ref="A1:P1"/>
    <mergeCell ref="I2:J2"/>
    <mergeCell ref="K2:L2"/>
    <mergeCell ref="A3:C3"/>
    <mergeCell ref="E3:F3"/>
    <mergeCell ref="G3:H3"/>
    <mergeCell ref="A2:C2"/>
    <mergeCell ref="I3:J3"/>
  </mergeCells>
  <dataValidations count="1">
    <dataValidation sqref="N6 N7 N8 N9 N10 N11 N12 N13 N14 N15 N16 N17 N18 N19 N20 N21 N22 N23 N24 N25 N26 N27 N28 N29 N30 N31 N32 N33 N34 N35 N36 N37 N38 N39 N40 N41 N42 N43 N44 N45 N46 N47 N48 N49 N50 N51 N52 N53 N54 N55 N56 N57 N58 N59 N60 N61 N62 N63" showDropDown="0" showInputMessage="0" showErrorMessage="0" allowBlank="0" type="list">
      <formula1>"Maintenir,Ne pas ouvrir,Ouvrir +1 classe,Économiser 1 classe"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D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2">
        <f>SUMPRODUCT(('08_Moteur'!$E$3:$E$60="ALT")*'08_Moteur'!$AD$3:$AD$60*'08_Moteur'!$AE$3:$AE$60)*(1-'02_Leviers'!$G$9)</f>
        <v/>
      </c>
    </row>
  </sheetData>
  <mergeCells count="3">
    <mergeCell ref="B11:C11"/>
    <mergeCell ref="B3:D3"/>
    <mergeCell ref="B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E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3" t="inlineStr">
        <is>
          <t>€ à sécuriser (exposition)</t>
        </is>
      </c>
      <c r="C15" s="74">
        <f>SUMPRODUCT(('08_Moteur'!$E$3:$E$60="ALT")*'08_Moteur'!$AD$3:$AD$60*'08_Moteur'!$AE$3:$AE$60)*(1-'02_Leviers'!$G$9)</f>
        <v/>
      </c>
      <c r="D15" s="74">
        <f>SUMPRODUCT(('08_Moteur'!$E$3:$E$60="ALT")*'08_Moteur'!$G$3:$G$60*'08_Moteur'!$L$3:$L$60)*(1-'02_Leviers'!$D$20)</f>
        <v/>
      </c>
      <c r="E15" s="75">
        <f>IFERROR(C15/D15-1,0)</f>
        <v/>
      </c>
    </row>
  </sheetData>
  <mergeCells count="1">
    <mergeCell ref="B2:E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D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6" t="inlineStr">
        <is>
          <t>Marque / Campus</t>
        </is>
      </c>
      <c r="C6" s="6" t="inlineStr">
        <is>
          <t>Entity</t>
        </is>
      </c>
      <c r="D6" s="6" t="inlineStr">
        <is>
          <t>Hiérarchie Groupe→Marque→Campus</t>
        </is>
      </c>
    </row>
    <row r="7" ht="28" customHeight="1">
      <c r="B7" s="76" t="inlineStr">
        <is>
          <t>Programme × Année × Modalité</t>
        </is>
      </c>
      <c r="C7" s="6" t="inlineStr">
        <is>
          <t>Dimensions analytiques</t>
        </is>
      </c>
      <c r="D7" s="6" t="inlineStr">
        <is>
          <t>Maille fine, attributs initial/alternance</t>
        </is>
      </c>
    </row>
    <row r="8" ht="28" customHeight="1">
      <c r="B8" s="76" t="inlineStr">
        <is>
          <t>Params (capacité, heures…)</t>
        </is>
      </c>
      <c r="C8" s="6" t="inlineStr">
        <is>
          <t>Attributs de dimension / driver</t>
        </is>
      </c>
      <c r="D8" s="6" t="inlineStr">
        <is>
          <t>Données de référence par programme×année (feuille 05)</t>
        </is>
      </c>
    </row>
    <row r="9" ht="28" customHeight="1">
      <c r="B9" s="76" t="inlineStr">
        <is>
          <t>Historique N-2/N-1</t>
        </is>
      </c>
      <c r="C9" s="6" t="inlineStr">
        <is>
          <t>Category ACTUAL (multi-années)</t>
        </is>
      </c>
      <c r="D9" s="6" t="inlineStr">
        <is>
          <t>Plus de profondeur = élasticité marketing robuste</t>
        </is>
      </c>
    </row>
    <row r="10" ht="28" customHeight="1">
      <c r="B10" s="76" t="inlineStr">
        <is>
          <t>Cohortes / taux de passage</t>
        </is>
      </c>
      <c r="C10" s="6" t="inlineStr">
        <is>
          <t>Règle de calcul</t>
        </is>
      </c>
      <c r="D10" s="6" t="inlineStr">
        <is>
          <t>Progression B1→B2→B3</t>
        </is>
      </c>
    </row>
    <row r="11" ht="28" customHeight="1">
      <c r="B11" s="76" t="inlineStr">
        <is>
          <t>Sécurisation &amp; recouvrement</t>
        </is>
      </c>
      <c r="C11" s="6" t="inlineStr">
        <is>
          <t>Comptes techniques</t>
        </is>
      </c>
      <c r="D11" s="6" t="inlineStr">
        <is>
          <t>Financement alternance, exposition</t>
        </is>
      </c>
    </row>
    <row r="12" ht="28" customHeight="1">
      <c r="B12" s="76" t="inlineStr">
        <is>
          <t>Objectifs (cadrage)</t>
        </is>
      </c>
      <c r="C12" s="6" t="inlineStr">
        <is>
          <t>Version cible + écart</t>
        </is>
      </c>
      <c r="D12" s="6" t="inlineStr">
        <is>
          <t>Top-down vs bottom-up</t>
        </is>
      </c>
    </row>
    <row r="13" ht="28" customHeight="1">
      <c r="B13" s="76" t="inlineStr">
        <is>
          <t>Décisions ouvrir/fermer</t>
        </is>
      </c>
      <c r="C13" s="6" t="inlineStr">
        <is>
          <t>Scénarios / versions</t>
        </is>
      </c>
      <c r="D13" s="6" t="inlineStr">
        <is>
          <t>Simulateur → snapshot</t>
        </is>
      </c>
    </row>
    <row r="14" ht="28" customHeight="1">
      <c r="B14" s="76"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2026-08-12T11:07:45Z</dcterms:created>
  <dcterms:modified xsi:type="dcterms:W3CDTF">2026-08-12T11:07:46Z</dcterms:modified>
</cp:coreProperties>
</file>