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position" sheetId="1" state="visible" r:id="rId1"/>
    <sheet name="Mon périmètre" sheetId="2" state="visible" r:id="rId2"/>
    <sheet name="Cible vs Construi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8">
    <numFmt numFmtId="164" formatCode="#,##0&quot; €&quot;;[Red]-#,##0&quot; €&quot;;&quot;–&quot;"/>
    <numFmt numFmtId="165" formatCode="+#,##0&quot; €&quot;;[Red]-#,##0&quot; €&quot;;&quot;–&quot;"/>
    <numFmt numFmtId="166" formatCode="#,##0.0"/>
    <numFmt numFmtId="167" formatCode="0.0%;[Red]-0.0%;&quot;–&quot;"/>
    <numFmt numFmtId="168" formatCode="0.000000"/>
    <numFmt numFmtId="169" formatCode="+0.00%;[Red]-0.00%;&quot;–&quot;"/>
    <numFmt numFmtId="170" formatCode="#,##0.00&quot; €&quot;"/>
    <numFmt numFmtId="171" formatCode="+#,##0.0;[Red]-#,##0.0;&quot;–&quot;"/>
  </numFmts>
  <fonts count="22">
    <font>
      <name val="Calibri"/>
      <family val="2"/>
      <color theme="1"/>
      <sz val="11"/>
      <scheme val="minor"/>
    </font>
    <font>
      <name val="Arial"/>
      <b val="1"/>
      <color rgb="00262626"/>
      <sz val="14"/>
    </font>
    <font>
      <name val="Arial"/>
      <i val="1"/>
      <color rgb="006B7075"/>
      <sz val="9"/>
    </font>
    <font>
      <name val="Arial"/>
      <b val="1"/>
      <color rgb="00262626"/>
      <sz val="9"/>
    </font>
    <font>
      <name val="Arial"/>
      <b val="1"/>
      <color rgb="00262626"/>
      <sz val="11"/>
    </font>
    <font>
      <name val="Arial"/>
      <b val="1"/>
      <color rgb="002E7D4F"/>
      <sz val="11"/>
    </font>
    <font>
      <name val="Arial"/>
      <i val="1"/>
      <color rgb="006B7075"/>
      <sz val="8"/>
    </font>
    <font>
      <name val="Arial"/>
      <b val="1"/>
      <color rgb="00262626"/>
      <sz val="10.5"/>
    </font>
    <font>
      <name val="Arial"/>
      <i val="1"/>
      <color rgb="006B7075"/>
      <sz val="7.5"/>
    </font>
    <font>
      <name val="Arial"/>
      <b val="1"/>
      <color rgb="00262626"/>
      <sz val="8"/>
    </font>
    <font>
      <name val="Arial"/>
      <color rgb="00262626"/>
      <sz val="8.5"/>
    </font>
    <font>
      <name val="Arial"/>
      <color rgb="006B7075"/>
      <sz val="8.5"/>
    </font>
    <font>
      <name val="Arial"/>
      <b val="1"/>
      <color rgb="00262626"/>
      <sz val="8.5"/>
    </font>
    <font>
      <name val="Arial"/>
      <b val="1"/>
      <color rgb="006B7075"/>
      <sz val="8"/>
    </font>
    <font>
      <name val="Arial"/>
      <color rgb="006B7075"/>
      <sz val="8"/>
    </font>
    <font>
      <name val="Arial"/>
      <b val="1"/>
      <color rgb="00FFFFFF"/>
      <sz val="8"/>
    </font>
    <font>
      <name val="Arial"/>
      <color rgb="002E7D4F"/>
      <sz val="8.5"/>
    </font>
    <font>
      <name val="Arial"/>
      <color rgb="00262626"/>
      <sz val="9"/>
    </font>
    <font>
      <name val="Arial"/>
      <color rgb="002E7D4F"/>
      <sz val="9"/>
    </font>
    <font>
      <name val="Arial"/>
      <b val="1"/>
      <color rgb="002E7D4F"/>
      <sz val="9"/>
    </font>
    <font>
      <name val="Arial"/>
      <b val="1"/>
      <color rgb="00262626"/>
      <sz val="10"/>
    </font>
    <font>
      <name val="Arial"/>
      <i val="1"/>
      <color rgb="006B7075"/>
      <sz val="8.5"/>
    </font>
  </fonts>
  <fills count="7">
    <fill>
      <patternFill/>
    </fill>
    <fill>
      <patternFill patternType="gray125"/>
    </fill>
    <fill>
      <patternFill patternType="solid">
        <fgColor rgb="00FFFFFF"/>
      </patternFill>
    </fill>
    <fill>
      <patternFill patternType="solid">
        <fgColor rgb="00007AC3"/>
      </patternFill>
    </fill>
    <fill>
      <patternFill patternType="solid">
        <fgColor rgb="00E7E6E6"/>
      </patternFill>
    </fill>
    <fill>
      <patternFill patternType="solid">
        <fgColor rgb="00E8F1F9"/>
      </patternFill>
    </fill>
    <fill>
      <patternFill patternType="solid">
        <fgColor rgb="00FFF2CC"/>
      </patternFill>
    </fill>
  </fills>
  <borders count="8">
    <border>
      <left/>
      <right/>
      <top/>
      <bottom/>
      <diagonal/>
    </border>
    <border>
      <bottom style="thin">
        <color rgb="00262626"/>
      </bottom>
    </border>
    <border>
      <top style="thin">
        <color rgb="00262626"/>
      </top>
      <bottom style="thin">
        <color rgb="00262626"/>
      </bottom>
    </border>
    <border>
      <bottom style="thin">
        <color rgb="00EDEEF0"/>
      </bottom>
    </border>
    <border>
      <top style="thin">
        <color rgb="00262626"/>
      </top>
      <bottom style="double">
        <color rgb="00262626"/>
      </bottom>
    </border>
    <border>
      <left style="thin">
        <color rgb="00262626"/>
      </left>
      <right style="thin">
        <color rgb="00262626"/>
      </right>
      <top style="thin">
        <color rgb="00262626"/>
      </top>
      <bottom style="thin">
        <color rgb="00262626"/>
      </bottom>
    </border>
    <border>
      <top style="thin">
        <color rgb="00007AC3"/>
      </top>
      <bottom style="thin">
        <color rgb="00007AC3"/>
      </bottom>
    </border>
    <border>
      <top style="thin">
        <color rgb="00007AC3"/>
      </top>
      <bottom style="double">
        <color rgb="00262626"/>
      </bottom>
    </border>
  </borders>
  <cellStyleXfs count="1">
    <xf numFmtId="0" fontId="0" fillId="0" borderId="0"/>
  </cellStyleXfs>
  <cellXfs count="82">
    <xf numFmtId="0" fontId="0" fillId="0" borderId="0" pivotButton="0" quotePrefix="0" xfId="0"/>
    <xf numFmtId="0" fontId="10" fillId="2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left" vertical="center"/>
    </xf>
    <xf numFmtId="0" fontId="10" fillId="3" borderId="0" pivotButton="0" quotePrefix="0" xfId="0"/>
    <xf numFmtId="0" fontId="3" fillId="2" borderId="0" applyAlignment="1" pivotButton="0" quotePrefix="0" xfId="0">
      <alignment horizontal="left" vertical="center"/>
    </xf>
    <xf numFmtId="164" fontId="4" fillId="2" borderId="0" applyAlignment="1" pivotButton="0" quotePrefix="0" xfId="0">
      <alignment horizontal="right" vertical="center"/>
    </xf>
    <xf numFmtId="0" fontId="3" fillId="2" borderId="0" applyAlignment="1" pivotButton="0" quotePrefix="0" xfId="0">
      <alignment horizontal="right" vertical="center"/>
    </xf>
    <xf numFmtId="165" fontId="5" fillId="2" borderId="0" applyAlignment="1" pivotButton="0" quotePrefix="0" xfId="0">
      <alignment horizontal="right" vertical="center"/>
    </xf>
    <xf numFmtId="0" fontId="6" fillId="2" borderId="0" applyAlignment="1" pivotButton="0" quotePrefix="0" xfId="0">
      <alignment horizontal="left" vertical="center"/>
    </xf>
    <xf numFmtId="0" fontId="7" fillId="2" borderId="1" applyAlignment="1" pivotButton="0" quotePrefix="0" xfId="0">
      <alignment horizontal="left" vertical="center"/>
    </xf>
    <xf numFmtId="0" fontId="10" fillId="2" borderId="1" pivotButton="0" quotePrefix="0" xfId="0"/>
    <xf numFmtId="0" fontId="8" fillId="2" borderId="1" applyAlignment="1" pivotButton="0" quotePrefix="0" xfId="0">
      <alignment horizontal="right" vertical="center"/>
    </xf>
    <xf numFmtId="0" fontId="9" fillId="4" borderId="2" applyAlignment="1" pivotButton="0" quotePrefix="0" xfId="0">
      <alignment horizontal="left" vertical="center" indent="1"/>
    </xf>
    <xf numFmtId="0" fontId="9" fillId="4" borderId="2" applyAlignment="1" pivotButton="0" quotePrefix="0" xfId="0">
      <alignment horizontal="right" vertical="center"/>
    </xf>
    <xf numFmtId="0" fontId="10" fillId="2" borderId="3" applyAlignment="1" pivotButton="0" quotePrefix="0" xfId="0">
      <alignment horizontal="left" vertical="center" indent="1"/>
    </xf>
    <xf numFmtId="0" fontId="11" fillId="2" borderId="3" applyAlignment="1" pivotButton="0" quotePrefix="0" xfId="0">
      <alignment horizontal="left" vertical="center"/>
    </xf>
    <xf numFmtId="166" fontId="10" fillId="2" borderId="3" applyAlignment="1" pivotButton="0" quotePrefix="0" xfId="0">
      <alignment horizontal="right" vertical="center"/>
    </xf>
    <xf numFmtId="164" fontId="10" fillId="2" borderId="3" applyAlignment="1" pivotButton="0" quotePrefix="0" xfId="0">
      <alignment horizontal="right" vertical="center"/>
    </xf>
    <xf numFmtId="167" fontId="10" fillId="2" borderId="3" applyAlignment="1" pivotButton="0" quotePrefix="0" xfId="0">
      <alignment horizontal="right" vertical="center"/>
    </xf>
    <xf numFmtId="0" fontId="12" fillId="5" borderId="3" applyAlignment="1" pivotButton="0" quotePrefix="0" xfId="0">
      <alignment horizontal="left" vertical="center" indent="1"/>
    </xf>
    <xf numFmtId="0" fontId="11" fillId="5" borderId="3" applyAlignment="1" pivotButton="0" quotePrefix="0" xfId="0">
      <alignment horizontal="left" vertical="center"/>
    </xf>
    <xf numFmtId="166" fontId="10" fillId="5" borderId="3" applyAlignment="1" pivotButton="0" quotePrefix="0" xfId="0">
      <alignment horizontal="right" vertical="center"/>
    </xf>
    <xf numFmtId="164" fontId="12" fillId="5" borderId="3" applyAlignment="1" pivotButton="0" quotePrefix="0" xfId="0">
      <alignment horizontal="right" vertical="center"/>
    </xf>
    <xf numFmtId="164" fontId="10" fillId="5" borderId="3" applyAlignment="1" pivotButton="0" quotePrefix="0" xfId="0">
      <alignment horizontal="right" vertical="center"/>
    </xf>
    <xf numFmtId="167" fontId="10" fillId="5" borderId="3" applyAlignment="1" pivotButton="0" quotePrefix="0" xfId="0">
      <alignment horizontal="right" vertical="center"/>
    </xf>
    <xf numFmtId="0" fontId="3" fillId="4" borderId="4" applyAlignment="1" pivotButton="0" quotePrefix="0" xfId="0">
      <alignment horizontal="left" vertical="center" indent="1"/>
    </xf>
    <xf numFmtId="0" fontId="10" fillId="4" borderId="4" pivotButton="0" quotePrefix="0" xfId="0"/>
    <xf numFmtId="166" fontId="3" fillId="4" borderId="4" applyAlignment="1" pivotButton="0" quotePrefix="0" xfId="0">
      <alignment horizontal="right" vertical="center"/>
    </xf>
    <xf numFmtId="164" fontId="3" fillId="4" borderId="4" applyAlignment="1" pivotButton="0" quotePrefix="0" xfId="0">
      <alignment horizontal="right" vertical="center"/>
    </xf>
    <xf numFmtId="167" fontId="3" fillId="4" borderId="4" applyAlignment="1" pivotButton="0" quotePrefix="0" xfId="0">
      <alignment horizontal="right" vertical="center"/>
    </xf>
    <xf numFmtId="0" fontId="8" fillId="2" borderId="0" applyAlignment="1" pivotButton="0" quotePrefix="0" xfId="0">
      <alignment horizontal="left" vertical="center"/>
    </xf>
    <xf numFmtId="0" fontId="13" fillId="2" borderId="0" applyAlignment="1" pivotButton="0" quotePrefix="0" xfId="0">
      <alignment horizontal="left" vertical="center"/>
    </xf>
    <xf numFmtId="0" fontId="9" fillId="4" borderId="2" applyAlignment="1" pivotButton="0" quotePrefix="0" xfId="0">
      <alignment horizontal="center" vertical="center"/>
    </xf>
    <xf numFmtId="0" fontId="15" fillId="3" borderId="2" applyAlignment="1" pivotButton="0" quotePrefix="0" xfId="0">
      <alignment horizontal="center" vertical="center"/>
    </xf>
    <xf numFmtId="0" fontId="14" fillId="2" borderId="0" applyAlignment="1" pivotButton="0" quotePrefix="0" xfId="0">
      <alignment horizontal="left" vertical="center"/>
    </xf>
    <xf numFmtId="166" fontId="14" fillId="2" borderId="0" applyAlignment="1" pivotButton="0" quotePrefix="0" xfId="0">
      <alignment horizontal="right" vertical="center"/>
    </xf>
    <xf numFmtId="169" fontId="11" fillId="2" borderId="3" applyAlignment="1" pivotButton="0" quotePrefix="0" xfId="0">
      <alignment horizontal="center" vertical="center"/>
    </xf>
    <xf numFmtId="169" fontId="3" fillId="6" borderId="3" applyAlignment="1" pivotButton="0" quotePrefix="0" xfId="0">
      <alignment horizontal="center" vertical="center"/>
    </xf>
    <xf numFmtId="169" fontId="16" fillId="2" borderId="3" applyAlignment="1" pivotButton="0" quotePrefix="0" xfId="0">
      <alignment horizontal="center" vertical="center"/>
    </xf>
    <xf numFmtId="0" fontId="8" fillId="4" borderId="3" applyAlignment="1" pivotButton="0" quotePrefix="0" xfId="0">
      <alignment horizontal="center" vertical="center"/>
    </xf>
    <xf numFmtId="168" fontId="14" fillId="2" borderId="0" applyAlignment="1" pivotButton="0" quotePrefix="0" xfId="0">
      <alignment horizontal="right" vertical="center"/>
    </xf>
    <xf numFmtId="2" fontId="14" fillId="2" borderId="0" applyAlignment="1" pivotButton="0" quotePrefix="0" xfId="0">
      <alignment horizontal="right" vertical="center"/>
    </xf>
    <xf numFmtId="164" fontId="14" fillId="2" borderId="0" applyAlignment="1" pivotButton="0" quotePrefix="0" xfId="0">
      <alignment horizontal="right" vertical="center"/>
    </xf>
    <xf numFmtId="0" fontId="12" fillId="2" borderId="0" applyAlignment="1" pivotButton="0" quotePrefix="0" xfId="0">
      <alignment horizontal="left" vertical="center" indent="1"/>
    </xf>
    <xf numFmtId="168" fontId="3" fillId="5" borderId="0" applyAlignment="1" pivotButton="0" quotePrefix="0" xfId="0">
      <alignment horizontal="center" vertical="center"/>
    </xf>
    <xf numFmtId="169" fontId="14" fillId="2" borderId="0" applyAlignment="1" pivotButton="0" quotePrefix="0" xfId="0">
      <alignment horizontal="right" vertical="center"/>
    </xf>
    <xf numFmtId="0" fontId="15" fillId="3" borderId="2" applyAlignment="1" pivotButton="0" quotePrefix="0" xfId="0">
      <alignment horizontal="right" vertical="center"/>
    </xf>
    <xf numFmtId="170" fontId="10" fillId="2" borderId="3" applyAlignment="1" pivotButton="0" quotePrefix="0" xfId="0">
      <alignment horizontal="right" vertical="center"/>
    </xf>
    <xf numFmtId="164" fontId="11" fillId="2" borderId="3" applyAlignment="1" pivotButton="0" quotePrefix="0" xfId="0">
      <alignment horizontal="right" vertical="center"/>
    </xf>
    <xf numFmtId="165" fontId="10" fillId="2" borderId="3" applyAlignment="1" pivotButton="0" quotePrefix="0" xfId="0">
      <alignment horizontal="right" vertical="center"/>
    </xf>
    <xf numFmtId="166" fontId="11" fillId="2" borderId="3" applyAlignment="1" pivotButton="0" quotePrefix="0" xfId="0">
      <alignment horizontal="right" vertical="center"/>
    </xf>
    <xf numFmtId="165" fontId="3" fillId="4" borderId="4" applyAlignment="1" pivotButton="0" quotePrefix="0" xfId="0">
      <alignment horizontal="right" vertical="center"/>
    </xf>
    <xf numFmtId="0" fontId="17" fillId="2" borderId="3" applyAlignment="1" pivotButton="0" quotePrefix="0" xfId="0">
      <alignment horizontal="left" vertical="center" indent="1"/>
    </xf>
    <xf numFmtId="164" fontId="17" fillId="2" borderId="3" applyAlignment="1" pivotButton="0" quotePrefix="0" xfId="0">
      <alignment horizontal="right" vertical="center"/>
    </xf>
    <xf numFmtId="165" fontId="18" fillId="2" borderId="3" applyAlignment="1" pivotButton="0" quotePrefix="0" xfId="0">
      <alignment horizontal="right" vertical="center"/>
    </xf>
    <xf numFmtId="166" fontId="17" fillId="2" borderId="3" applyAlignment="1" pivotButton="0" quotePrefix="0" xfId="0">
      <alignment horizontal="right" vertical="center"/>
    </xf>
    <xf numFmtId="171" fontId="18" fillId="2" borderId="3" applyAlignment="1" pivotButton="0" quotePrefix="0" xfId="0">
      <alignment horizontal="right" vertical="center"/>
    </xf>
    <xf numFmtId="0" fontId="3" fillId="5" borderId="6" applyAlignment="1" pivotButton="0" quotePrefix="0" xfId="0">
      <alignment horizontal="left" vertical="center" indent="1"/>
    </xf>
    <xf numFmtId="164" fontId="3" fillId="5" borderId="6" applyAlignment="1" pivotButton="0" quotePrefix="0" xfId="0">
      <alignment horizontal="right" vertical="center"/>
    </xf>
    <xf numFmtId="165" fontId="19" fillId="5" borderId="6" applyAlignment="1" pivotButton="0" quotePrefix="0" xfId="0">
      <alignment horizontal="right" vertical="center"/>
    </xf>
    <xf numFmtId="0" fontId="10" fillId="2" borderId="0" applyAlignment="1" pivotButton="0" quotePrefix="0" xfId="0">
      <alignment horizontal="left" vertical="center" indent="1"/>
    </xf>
    <xf numFmtId="167" fontId="12" fillId="2" borderId="0" applyAlignment="1" pivotButton="0" quotePrefix="0" xfId="0">
      <alignment horizontal="right" vertical="center"/>
    </xf>
    <xf numFmtId="0" fontId="10" fillId="2" borderId="3" pivotButton="0" quotePrefix="0" xfId="0"/>
    <xf numFmtId="167" fontId="3" fillId="2" borderId="3" applyAlignment="1" pivotButton="0" quotePrefix="0" xfId="0">
      <alignment horizontal="right" vertical="center"/>
    </xf>
    <xf numFmtId="3" fontId="3" fillId="2" borderId="3" applyAlignment="1" pivotButton="0" quotePrefix="0" xfId="0">
      <alignment horizontal="right" vertical="center"/>
    </xf>
    <xf numFmtId="0" fontId="3" fillId="4" borderId="0" applyAlignment="1" pivotButton="0" quotePrefix="0" xfId="0">
      <alignment horizontal="left" vertical="center" indent="1"/>
    </xf>
    <xf numFmtId="164" fontId="3" fillId="4" borderId="0" applyAlignment="1" pivotButton="0" quotePrefix="0" xfId="0">
      <alignment horizontal="right" vertical="center"/>
    </xf>
    <xf numFmtId="165" fontId="17" fillId="4" borderId="0" applyAlignment="1" pivotButton="0" quotePrefix="0" xfId="0">
      <alignment horizontal="right" vertical="center"/>
    </xf>
    <xf numFmtId="0" fontId="17" fillId="2" borderId="0" applyAlignment="1" pivotButton="0" quotePrefix="0" xfId="0">
      <alignment horizontal="left" vertical="center" indent="1"/>
    </xf>
    <xf numFmtId="164" fontId="17" fillId="2" borderId="0" applyAlignment="1" pivotButton="0" quotePrefix="0" xfId="0">
      <alignment horizontal="right" vertical="center"/>
    </xf>
    <xf numFmtId="165" fontId="17" fillId="2" borderId="0" applyAlignment="1" pivotButton="0" quotePrefix="0" xfId="0">
      <alignment horizontal="right" vertical="center"/>
    </xf>
    <xf numFmtId="165" fontId="18" fillId="2" borderId="0" applyAlignment="1" pivotButton="0" quotePrefix="0" xfId="0">
      <alignment horizontal="right" vertical="center"/>
    </xf>
    <xf numFmtId="0" fontId="3" fillId="5" borderId="7" applyAlignment="1" pivotButton="0" quotePrefix="0" xfId="0">
      <alignment horizontal="left" vertical="center" indent="1"/>
    </xf>
    <xf numFmtId="164" fontId="20" fillId="5" borderId="7" applyAlignment="1" pivotButton="0" quotePrefix="0" xfId="0">
      <alignment horizontal="right" vertical="center"/>
    </xf>
    <xf numFmtId="165" fontId="20" fillId="5" borderId="7" applyAlignment="1" pivotButton="0" quotePrefix="0" xfId="0">
      <alignment horizontal="right" vertical="center"/>
    </xf>
    <xf numFmtId="0" fontId="3" fillId="5" borderId="0" applyAlignment="1" pivotButton="0" quotePrefix="0" xfId="0">
      <alignment horizontal="left" vertical="center"/>
    </xf>
    <xf numFmtId="0" fontId="10" fillId="5" borderId="0" pivotButton="0" quotePrefix="0" xfId="0"/>
    <xf numFmtId="3" fontId="11" fillId="2" borderId="3" applyAlignment="1" pivotButton="0" quotePrefix="0" xfId="0">
      <alignment horizontal="center" vertical="center"/>
    </xf>
    <xf numFmtId="3" fontId="12" fillId="5" borderId="3" applyAlignment="1" pivotButton="0" quotePrefix="0" xfId="0">
      <alignment horizontal="center" vertical="center"/>
    </xf>
    <xf numFmtId="0" fontId="10" fillId="5" borderId="3" applyAlignment="1" pivotButton="0" quotePrefix="0" xfId="0">
      <alignment horizontal="left" vertical="center"/>
    </xf>
    <xf numFmtId="0" fontId="21" fillId="5" borderId="3" applyAlignment="1" pivotButton="0" quotePrefix="0" xfId="0">
      <alignment horizontal="left" vertical="center"/>
    </xf>
  </cellXfs>
  <cellStyles count="1">
    <cellStyle name="Normal" xfId="0" builtinId="0" hidden="0"/>
  </cellStyles>
  <dxfs count="1">
    <dxf>
      <font>
        <name val="Arial"/>
        <b val="1"/>
        <color rgb="00C41822"/>
        <sz val="9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0"/>
  <sheetViews>
    <sheetView showGridLines="0" workbookViewId="0">
      <pane xSplit="1" ySplit="9" topLeftCell="B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.4" customWidth="1" min="1" max="1"/>
    <col width="22" customWidth="1" min="2" max="2"/>
    <col width="22" customWidth="1" min="3" max="3"/>
    <col width="14" customWidth="1" min="4" max="4"/>
    <col width="16" customWidth="1" min="5" max="5"/>
    <col width="16" customWidth="1" min="6" max="6"/>
    <col width="16" customWidth="1" min="7" max="7"/>
    <col width="12" customWidth="1" min="8" max="8"/>
    <col width="2.4" customWidth="1" min="9" max="9"/>
  </cols>
  <sheetData>
    <row r="1" ht="8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</row>
    <row r="2" ht="26" customHeight="1">
      <c r="A2" s="1" t="n"/>
      <c r="B2" s="2" t="inlineStr">
        <is>
          <t>① La proposition</t>
        </is>
      </c>
      <c r="C2" s="1" t="n"/>
      <c r="D2" s="3" t="inlineStr">
        <is>
          <t>ce que le moteur descend de la cible groupe, campus par campus</t>
        </is>
      </c>
      <c r="E2" s="1" t="n"/>
      <c r="F2" s="1" t="n"/>
      <c r="G2" s="1" t="n"/>
      <c r="H2" s="1" t="n"/>
      <c r="I2" s="1" t="n"/>
      <c r="J2" s="1" t="n"/>
    </row>
    <row r="3" ht="3" customHeight="1">
      <c r="A3" s="4" t="n"/>
      <c r="B3" s="4" t="n"/>
      <c r="C3" s="4" t="n"/>
      <c r="D3" s="4" t="n"/>
      <c r="E3" s="4" t="n"/>
      <c r="F3" s="4" t="n"/>
      <c r="G3" s="4" t="n"/>
      <c r="H3" s="4" t="n"/>
      <c r="I3" s="4" t="n"/>
      <c r="J3" s="1" t="n"/>
    </row>
    <row r="4">
      <c r="A4" s="1" t="n"/>
      <c r="B4" s="1" t="n"/>
      <c r="C4" s="1" t="n"/>
      <c r="D4" s="1" t="n"/>
      <c r="E4" s="1" t="n"/>
      <c r="F4" s="1" t="n"/>
      <c r="G4" s="1" t="n"/>
      <c r="H4" s="1" t="n"/>
      <c r="I4" s="1" t="n"/>
      <c r="J4" s="1" t="n"/>
    </row>
    <row r="5">
      <c r="A5" s="1" t="n"/>
      <c r="B5" s="5" t="inlineStr">
        <is>
          <t>Cible EBITDA groupe</t>
        </is>
      </c>
      <c r="C5" s="1" t="n"/>
      <c r="D5" s="6" t="n">
        <v>4095766.36</v>
      </c>
      <c r="E5" s="7" t="inlineStr">
        <is>
          <t>Proposition</t>
        </is>
      </c>
      <c r="F5" s="6" t="n">
        <v>4111503.64</v>
      </c>
      <c r="G5" s="7" t="inlineStr">
        <is>
          <t>Écart</t>
        </is>
      </c>
      <c r="H5" s="8" t="n">
        <v>15737.28000000026</v>
      </c>
      <c r="I5" s="1" t="n"/>
      <c r="J5" s="1" t="n"/>
    </row>
    <row r="6">
      <c r="A6" s="1" t="n"/>
      <c r="B6" s="9" t="inlineStr">
        <is>
          <t>La proposition n'est pas une quote-part : c'est ce que produit la mécanique de chaque campus — son entonnoir, ses cohortes, ses classes.</t>
        </is>
      </c>
      <c r="C6" s="1" t="n"/>
      <c r="D6" s="1" t="n"/>
      <c r="E6" s="1" t="n"/>
      <c r="F6" s="1" t="n"/>
      <c r="G6" s="1" t="n"/>
      <c r="H6" s="1" t="n"/>
      <c r="I6" s="1" t="n"/>
      <c r="J6" s="1" t="n"/>
    </row>
    <row r="7">
      <c r="A7" s="1" t="n"/>
      <c r="B7" s="1" t="n"/>
      <c r="C7" s="1" t="n"/>
      <c r="D7" s="1" t="n"/>
      <c r="E7" s="1" t="n"/>
      <c r="F7" s="1" t="n"/>
      <c r="G7" s="1" t="n"/>
      <c r="H7" s="1" t="n"/>
      <c r="I7" s="1" t="n"/>
      <c r="J7" s="1" t="n"/>
    </row>
    <row r="8" ht="24" customHeight="1">
      <c r="A8" s="1" t="n"/>
      <c r="B8" s="10" t="inlineStr">
        <is>
          <t>PAR CAMPUS</t>
        </is>
      </c>
      <c r="C8" s="11" t="n"/>
      <c r="D8" s="11" t="n"/>
      <c r="E8" s="11" t="n"/>
      <c r="F8" s="11" t="n"/>
      <c r="G8" s="11" t="n"/>
      <c r="H8" s="12" t="inlineStr">
        <is>
          <t>scénario Cadrage · version V01</t>
        </is>
      </c>
      <c r="I8" s="1" t="n"/>
      <c r="J8" s="1" t="n"/>
    </row>
    <row r="9" ht="20" customHeight="1">
      <c r="A9" s="1" t="n"/>
      <c r="B9" s="13" t="inlineStr">
        <is>
          <t>Campus</t>
        </is>
      </c>
      <c r="C9" s="13" t="inlineStr">
        <is>
          <t>Marque</t>
        </is>
      </c>
      <c r="D9" s="14" t="inlineStr">
        <is>
          <t>Effectif</t>
        </is>
      </c>
      <c r="E9" s="14" t="inlineStr">
        <is>
          <t>Chiffre d'affaires</t>
        </is>
      </c>
      <c r="F9" s="14" t="inlineStr">
        <is>
          <t>Coûts campus</t>
        </is>
      </c>
      <c r="G9" s="14" t="inlineStr">
        <is>
          <t>Marge campus</t>
        </is>
      </c>
      <c r="H9" s="14" t="inlineStr">
        <is>
          <t>Marge %</t>
        </is>
      </c>
      <c r="I9" s="1" t="n"/>
      <c r="J9" s="1" t="n"/>
    </row>
    <row r="10" ht="17" customHeight="1">
      <c r="A10" s="1" t="n"/>
      <c r="B10" s="15" t="inlineStr">
        <is>
          <t>Montpellier</t>
        </is>
      </c>
      <c r="C10" s="16" t="inlineStr">
        <is>
          <t>Ipac Bachelor Factory</t>
        </is>
      </c>
      <c r="D10" s="17" t="n">
        <v>122.132581</v>
      </c>
      <c r="E10" s="18" t="n">
        <v>818445.7303000001</v>
      </c>
      <c r="F10" s="18" t="n">
        <v>529597.1340000001</v>
      </c>
      <c r="G10" s="18" t="n">
        <v>288848.5963</v>
      </c>
      <c r="H10" s="19">
        <f>IF(E10=0,0,G10/E10)</f>
        <v/>
      </c>
      <c r="I10" s="1" t="n"/>
      <c r="J10" s="1" t="n"/>
    </row>
    <row r="11" ht="17" customHeight="1">
      <c r="A11" s="1" t="n"/>
      <c r="B11" s="15" t="inlineStr">
        <is>
          <t>Nantes</t>
        </is>
      </c>
      <c r="C11" s="16" t="inlineStr">
        <is>
          <t>Ipac Bachelor Factory</t>
        </is>
      </c>
      <c r="D11" s="17" t="n">
        <v>151.322531</v>
      </c>
      <c r="E11" s="18" t="n">
        <v>1067200.8998</v>
      </c>
      <c r="F11" s="18" t="n">
        <v>738309.2434</v>
      </c>
      <c r="G11" s="18" t="n">
        <v>328891.6564</v>
      </c>
      <c r="H11" s="19">
        <f>IF(E11=0,0,G11/E11)</f>
        <v/>
      </c>
      <c r="I11" s="1" t="n"/>
      <c r="J11" s="1" t="n"/>
    </row>
    <row r="12" ht="17" customHeight="1">
      <c r="A12" s="1" t="n"/>
      <c r="B12" s="15" t="inlineStr">
        <is>
          <t>Rennes</t>
        </is>
      </c>
      <c r="C12" s="16" t="inlineStr">
        <is>
          <t>Ipac Bachelor Factory</t>
        </is>
      </c>
      <c r="D12" s="17" t="n">
        <v>122.121592</v>
      </c>
      <c r="E12" s="18" t="n">
        <v>818371.3392</v>
      </c>
      <c r="F12" s="18" t="n">
        <v>565663.7574</v>
      </c>
      <c r="G12" s="18" t="n">
        <v>252707.5818</v>
      </c>
      <c r="H12" s="19">
        <f>IF(E12=0,0,G12/E12)</f>
        <v/>
      </c>
      <c r="I12" s="1" t="n"/>
      <c r="J12" s="1" t="n"/>
    </row>
    <row r="13" ht="17" customHeight="1">
      <c r="A13" s="1" t="n"/>
      <c r="B13" s="15" t="inlineStr">
        <is>
          <t>Lille</t>
        </is>
      </c>
      <c r="C13" s="16" t="inlineStr">
        <is>
          <t>ISCOM</t>
        </is>
      </c>
      <c r="D13" s="17" t="n">
        <v>255.086642</v>
      </c>
      <c r="E13" s="18" t="n">
        <v>1844124.619</v>
      </c>
      <c r="F13" s="18" t="n">
        <v>1239173.7856</v>
      </c>
      <c r="G13" s="18" t="n">
        <v>604950.8333999999</v>
      </c>
      <c r="H13" s="19">
        <f>IF(E13=0,0,G13/E13)</f>
        <v/>
      </c>
      <c r="I13" s="1" t="n"/>
      <c r="J13" s="1" t="n"/>
    </row>
    <row r="14" ht="17" customHeight="1">
      <c r="A14" s="1" t="n"/>
      <c r="B14" s="15" t="inlineStr">
        <is>
          <t>Paris</t>
        </is>
      </c>
      <c r="C14" s="16" t="inlineStr">
        <is>
          <t>ISCOM</t>
        </is>
      </c>
      <c r="D14" s="17" t="n">
        <v>369.352343</v>
      </c>
      <c r="E14" s="18" t="n">
        <v>3048653.6062</v>
      </c>
      <c r="F14" s="18" t="n">
        <v>2065590.5653</v>
      </c>
      <c r="G14" s="18" t="n">
        <v>983063.0408999999</v>
      </c>
      <c r="H14" s="19">
        <f>IF(E14=0,0,G14/E14)</f>
        <v/>
      </c>
      <c r="I14" s="1" t="n"/>
      <c r="J14" s="1" t="n"/>
    </row>
    <row r="15" ht="17" customHeight="1">
      <c r="A15" s="1" t="n"/>
      <c r="B15" s="15" t="inlineStr">
        <is>
          <t>Toulouse</t>
        </is>
      </c>
      <c r="C15" s="16" t="inlineStr">
        <is>
          <t>ISCOM</t>
        </is>
      </c>
      <c r="D15" s="17" t="n">
        <v>241.481357</v>
      </c>
      <c r="E15" s="18" t="n">
        <v>1709754.9257</v>
      </c>
      <c r="F15" s="18" t="n">
        <v>1147803.0676</v>
      </c>
      <c r="G15" s="18" t="n">
        <v>561951.8581000001</v>
      </c>
      <c r="H15" s="19">
        <f>IF(E15=0,0,G15/E15)</f>
        <v/>
      </c>
      <c r="I15" s="1" t="n"/>
      <c r="J15" s="1" t="n"/>
    </row>
    <row r="16" ht="17" customHeight="1">
      <c r="A16" s="1" t="n"/>
      <c r="B16" s="15" t="inlineStr">
        <is>
          <t>Bordeaux</t>
        </is>
      </c>
      <c r="C16" s="16" t="inlineStr">
        <is>
          <t>MBway</t>
        </is>
      </c>
      <c r="D16" s="17" t="n">
        <v>260.41181</v>
      </c>
      <c r="E16" s="18" t="n">
        <v>1863775.8159</v>
      </c>
      <c r="F16" s="18" t="n">
        <v>1235181.1315</v>
      </c>
      <c r="G16" s="18" t="n">
        <v>628594.6843999999</v>
      </c>
      <c r="H16" s="19">
        <f>IF(E16=0,0,G16/E16)</f>
        <v/>
      </c>
      <c r="I16" s="1" t="n"/>
      <c r="J16" s="1" t="n"/>
    </row>
    <row r="17" ht="17" customHeight="1">
      <c r="A17" s="1" t="n"/>
      <c r="B17" s="15" t="inlineStr">
        <is>
          <t>Lyon</t>
        </is>
      </c>
      <c r="C17" s="16" t="inlineStr">
        <is>
          <t>MBway</t>
        </is>
      </c>
      <c r="D17" s="17" t="n">
        <v>338.498202</v>
      </c>
      <c r="E17" s="18" t="n">
        <v>2620797.0556</v>
      </c>
      <c r="F17" s="18" t="n">
        <v>1742694.5197</v>
      </c>
      <c r="G17" s="18" t="n">
        <v>878102.5359</v>
      </c>
      <c r="H17" s="19">
        <f>IF(E17=0,0,G17/E17)</f>
        <v/>
      </c>
      <c r="I17" s="1" t="n"/>
      <c r="J17" s="1" t="n"/>
    </row>
    <row r="18" ht="17" customHeight="1">
      <c r="A18" s="1" t="n"/>
      <c r="B18" s="15" t="inlineStr">
        <is>
          <t>Nantes</t>
        </is>
      </c>
      <c r="C18" s="16" t="inlineStr">
        <is>
          <t>MBway</t>
        </is>
      </c>
      <c r="D18" s="17" t="n">
        <v>307.342957</v>
      </c>
      <c r="E18" s="18" t="n">
        <v>2267018.4682</v>
      </c>
      <c r="F18" s="18" t="n">
        <v>1500434.9494</v>
      </c>
      <c r="G18" s="18" t="n">
        <v>766583.5188</v>
      </c>
      <c r="H18" s="19">
        <f>IF(E18=0,0,G18/E18)</f>
        <v/>
      </c>
      <c r="I18" s="1" t="n"/>
      <c r="J18" s="1" t="n"/>
    </row>
    <row r="19" ht="17" customHeight="1">
      <c r="A19" s="1" t="n"/>
      <c r="B19" s="15" t="inlineStr">
        <is>
          <t>Paris</t>
        </is>
      </c>
      <c r="C19" s="16" t="inlineStr">
        <is>
          <t>MBway</t>
        </is>
      </c>
      <c r="D19" s="17" t="n">
        <v>398.782457</v>
      </c>
      <c r="E19" s="18" t="n">
        <v>3292150.8481</v>
      </c>
      <c r="F19" s="18" t="n">
        <v>2196367.1396</v>
      </c>
      <c r="G19" s="18" t="n">
        <v>1095783.7085</v>
      </c>
      <c r="H19" s="19">
        <f>IF(E19=0,0,G19/E19)</f>
        <v/>
      </c>
      <c r="I19" s="1" t="n"/>
      <c r="J19" s="1" t="n"/>
    </row>
    <row r="20" ht="17" customHeight="1">
      <c r="A20" s="1" t="n"/>
      <c r="B20" s="20" t="inlineStr">
        <is>
          <t>Bordeaux</t>
        </is>
      </c>
      <c r="C20" s="21" t="inlineStr">
        <is>
          <t>Pigier</t>
        </is>
      </c>
      <c r="D20" s="22" t="n">
        <v>184.71664</v>
      </c>
      <c r="E20" s="23" t="n">
        <v>1191512.6045</v>
      </c>
      <c r="F20" s="24" t="n">
        <v>733093.143</v>
      </c>
      <c r="G20" s="24" t="n">
        <v>458419.4614999999</v>
      </c>
      <c r="H20" s="25">
        <f>IF(E20=0,0,G20/E20)</f>
        <v/>
      </c>
      <c r="I20" s="1" t="n"/>
      <c r="J20" s="1" t="n"/>
    </row>
    <row r="21" ht="17" customHeight="1">
      <c r="A21" s="1" t="n"/>
      <c r="B21" s="15" t="inlineStr">
        <is>
          <t>Lyon</t>
        </is>
      </c>
      <c r="C21" s="16" t="inlineStr">
        <is>
          <t>Pigier</t>
        </is>
      </c>
      <c r="D21" s="17" t="n">
        <v>236.947532</v>
      </c>
      <c r="E21" s="18" t="n">
        <v>1653870.0637</v>
      </c>
      <c r="F21" s="18" t="n">
        <v>1024336.2134</v>
      </c>
      <c r="G21" s="18" t="n">
        <v>629533.8503</v>
      </c>
      <c r="H21" s="19">
        <f>IF(E21=0,0,G21/E21)</f>
        <v/>
      </c>
      <c r="I21" s="1" t="n"/>
      <c r="J21" s="1" t="n"/>
    </row>
    <row r="22" ht="17" customHeight="1">
      <c r="A22" s="1" t="n"/>
      <c r="B22" s="15" t="inlineStr">
        <is>
          <t>Lyon</t>
        </is>
      </c>
      <c r="C22" s="16" t="inlineStr">
        <is>
          <t>Tunon</t>
        </is>
      </c>
      <c r="D22" s="17" t="n">
        <v>121.859881</v>
      </c>
      <c r="E22" s="18" t="n">
        <v>902399.2802</v>
      </c>
      <c r="F22" s="18" t="n">
        <v>727137.1553</v>
      </c>
      <c r="G22" s="18" t="n">
        <v>175262.1249000001</v>
      </c>
      <c r="H22" s="19">
        <f>IF(E22=0,0,G22/E22)</f>
        <v/>
      </c>
      <c r="I22" s="1" t="n"/>
      <c r="J22" s="1" t="n"/>
    </row>
    <row r="23" ht="17" customHeight="1">
      <c r="A23" s="1" t="n"/>
      <c r="B23" s="15" t="inlineStr">
        <is>
          <t>Paris</t>
        </is>
      </c>
      <c r="C23" s="16" t="inlineStr">
        <is>
          <t>Tunon</t>
        </is>
      </c>
      <c r="D23" s="17" t="n">
        <v>143.560305</v>
      </c>
      <c r="E23" s="18" t="n">
        <v>1133628.5551</v>
      </c>
      <c r="F23" s="18" t="n">
        <v>918901.8228</v>
      </c>
      <c r="G23" s="18" t="n">
        <v>214726.7323</v>
      </c>
      <c r="H23" s="19">
        <f>IF(E23=0,0,G23/E23)</f>
        <v/>
      </c>
      <c r="I23" s="1" t="n"/>
      <c r="J23" s="1" t="n"/>
    </row>
    <row r="24" ht="19" customHeight="1">
      <c r="A24" s="1" t="n"/>
      <c r="B24" s="26" t="inlineStr">
        <is>
          <t>Réseau</t>
        </is>
      </c>
      <c r="C24" s="27" t="n"/>
      <c r="D24" s="28">
        <f>SUM(D10:D23)</f>
        <v/>
      </c>
      <c r="E24" s="29">
        <f>SUM(E10:E23)</f>
        <v/>
      </c>
      <c r="F24" s="29">
        <f>SUM(F10:F23)</f>
        <v/>
      </c>
      <c r="G24" s="29">
        <f>SUM(G10:G23)</f>
        <v/>
      </c>
      <c r="H24" s="30">
        <f>IF(E24=0,0,G24/E24)</f>
        <v/>
      </c>
      <c r="I24" s="1" t="n"/>
      <c r="J24" s="1" t="n"/>
    </row>
    <row r="25">
      <c r="A25" s="1" t="n"/>
      <c r="B25" s="1" t="n"/>
      <c r="C25" s="1" t="n"/>
      <c r="D25" s="1" t="n"/>
      <c r="E25" s="1" t="n"/>
      <c r="F25" s="1" t="n"/>
      <c r="G25" s="1" t="n"/>
      <c r="H25" s="1" t="n"/>
      <c r="I25" s="1" t="n"/>
      <c r="J25" s="1" t="n"/>
    </row>
    <row r="26">
      <c r="A26" s="1" t="n"/>
      <c r="B26" s="31" t="inlineStr">
        <is>
          <t>Source : V_MOTEUR et V_ALLOCATION, scénario 2027BUD_V1, version V01. La ligne en bleu est le campus ouvert au challenge.</t>
        </is>
      </c>
      <c r="C26" s="1" t="n"/>
      <c r="D26" s="1" t="n"/>
      <c r="E26" s="1" t="n"/>
      <c r="F26" s="1" t="n"/>
      <c r="G26" s="1" t="n"/>
      <c r="H26" s="1" t="n"/>
      <c r="I26" s="1" t="n"/>
      <c r="J26" s="1" t="n"/>
    </row>
    <row r="27">
      <c r="A27" s="1" t="n"/>
      <c r="B27" s="1" t="n"/>
      <c r="C27" s="1" t="n"/>
      <c r="D27" s="1" t="n"/>
      <c r="E27" s="1" t="n"/>
      <c r="F27" s="1" t="n"/>
      <c r="G27" s="1" t="n"/>
      <c r="H27" s="1" t="n"/>
      <c r="I27" s="1" t="n"/>
      <c r="J27" s="1" t="n"/>
    </row>
    <row r="28">
      <c r="A28" s="1" t="n"/>
      <c r="B28" s="1" t="n"/>
      <c r="C28" s="1" t="n"/>
      <c r="D28" s="1" t="n"/>
      <c r="E28" s="1" t="n"/>
      <c r="F28" s="1" t="n"/>
      <c r="G28" s="1" t="n"/>
      <c r="H28" s="1" t="n"/>
      <c r="I28" s="1" t="n"/>
      <c r="J28" s="1" t="n"/>
    </row>
    <row r="29">
      <c r="A29" s="1" t="n"/>
      <c r="B29" s="1" t="n"/>
      <c r="C29" s="1" t="n"/>
      <c r="D29" s="1" t="n"/>
      <c r="E29" s="1" t="n"/>
      <c r="F29" s="1" t="n"/>
      <c r="G29" s="1" t="n"/>
      <c r="H29" s="1" t="n"/>
      <c r="I29" s="1" t="n"/>
      <c r="J29" s="1" t="n"/>
    </row>
    <row r="30">
      <c r="A30" s="1" t="n"/>
      <c r="B30" s="1" t="n"/>
      <c r="C30" s="1" t="n"/>
      <c r="D30" s="1" t="n"/>
      <c r="E30" s="1" t="n"/>
      <c r="F30" s="1" t="n"/>
      <c r="G30" s="1" t="n"/>
      <c r="H30" s="1" t="n"/>
      <c r="I30" s="1" t="n"/>
      <c r="J30" s="1" t="n"/>
    </row>
    <row r="31">
      <c r="A31" s="1" t="n"/>
      <c r="B31" s="1" t="n"/>
      <c r="C31" s="1" t="n"/>
      <c r="D31" s="1" t="n"/>
      <c r="E31" s="1" t="n"/>
      <c r="F31" s="1" t="n"/>
      <c r="G31" s="1" t="n"/>
      <c r="H31" s="1" t="n"/>
      <c r="I31" s="1" t="n"/>
      <c r="J31" s="1" t="n"/>
    </row>
    <row r="32">
      <c r="A32" s="1" t="n"/>
      <c r="B32" s="1" t="n"/>
      <c r="C32" s="1" t="n"/>
      <c r="D32" s="1" t="n"/>
      <c r="E32" s="1" t="n"/>
      <c r="F32" s="1" t="n"/>
      <c r="G32" s="1" t="n"/>
      <c r="H32" s="1" t="n"/>
      <c r="I32" s="1" t="n"/>
      <c r="J32" s="1" t="n"/>
    </row>
    <row r="33">
      <c r="A33" s="1" t="n"/>
      <c r="B33" s="1" t="n"/>
      <c r="C33" s="1" t="n"/>
      <c r="D33" s="1" t="n"/>
      <c r="E33" s="1" t="n"/>
      <c r="F33" s="1" t="n"/>
      <c r="G33" s="1" t="n"/>
      <c r="H33" s="1" t="n"/>
      <c r="I33" s="1" t="n"/>
      <c r="J33" s="1" t="n"/>
    </row>
    <row r="34">
      <c r="A34" s="1" t="n"/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</row>
    <row r="35">
      <c r="A35" s="1" t="n"/>
      <c r="B35" s="1" t="n"/>
      <c r="C35" s="1" t="n"/>
      <c r="D35" s="1" t="n"/>
      <c r="E35" s="1" t="n"/>
      <c r="F35" s="1" t="n"/>
      <c r="G35" s="1" t="n"/>
      <c r="H35" s="1" t="n"/>
      <c r="I35" s="1" t="n"/>
      <c r="J35" s="1" t="n"/>
    </row>
    <row r="36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  <c r="J36" s="1" t="n"/>
    </row>
    <row r="37">
      <c r="A37" s="1" t="n"/>
      <c r="B37" s="1" t="n"/>
      <c r="C37" s="1" t="n"/>
      <c r="D37" s="1" t="n"/>
      <c r="E37" s="1" t="n"/>
      <c r="F37" s="1" t="n"/>
      <c r="G37" s="1" t="n"/>
      <c r="H37" s="1" t="n"/>
      <c r="I37" s="1" t="n"/>
      <c r="J37" s="1" t="n"/>
    </row>
    <row r="38">
      <c r="A38" s="1" t="n"/>
      <c r="B38" s="1" t="n"/>
      <c r="C38" s="1" t="n"/>
      <c r="D38" s="1" t="n"/>
      <c r="E38" s="1" t="n"/>
      <c r="F38" s="1" t="n"/>
      <c r="G38" s="1" t="n"/>
      <c r="H38" s="1" t="n"/>
      <c r="I38" s="1" t="n"/>
      <c r="J38" s="1" t="n"/>
    </row>
    <row r="39">
      <c r="A39" s="1" t="n"/>
      <c r="B39" s="1" t="n"/>
      <c r="C39" s="1" t="n"/>
      <c r="D39" s="1" t="n"/>
      <c r="E39" s="1" t="n"/>
      <c r="F39" s="1" t="n"/>
      <c r="G39" s="1" t="n"/>
      <c r="H39" s="1" t="n"/>
      <c r="I39" s="1" t="n"/>
      <c r="J39" s="1" t="n"/>
    </row>
    <row r="40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  <c r="J40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70"/>
  <sheetViews>
    <sheetView showGridLines="0" workbookViewId="0">
      <pane xSplit="1" ySplit="6" topLeftCell="B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.4" customWidth="1" min="1" max="1"/>
    <col width="24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5" customWidth="1" min="9" max="9"/>
    <col width="15" customWidth="1" min="10" max="10"/>
    <col width="2.4" customWidth="1" min="11" max="11"/>
    <col hidden="1" width="20" customWidth="1" min="12" max="12"/>
    <col hidden="1" width="13" customWidth="1" min="13" max="13"/>
  </cols>
  <sheetData>
    <row r="1" ht="8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</row>
    <row r="2" ht="26" customHeight="1">
      <c r="A2" s="1" t="n"/>
      <c r="B2" s="2" t="inlineStr">
        <is>
          <t>② Mon périmètre  ·  Pigier Bordeaux</t>
        </is>
      </c>
      <c r="C2" s="1" t="n"/>
      <c r="D2" s="3" t="inlineStr">
        <is>
          <t>j'ajuste ce que je maîtrise, le reste suit</t>
        </is>
      </c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</row>
    <row r="3" ht="3" customHeight="1">
      <c r="A3" s="4" t="n"/>
      <c r="B3" s="4" t="n"/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1" t="n"/>
      <c r="M3" s="1" t="n"/>
      <c r="N3" s="1" t="n"/>
    </row>
    <row r="4">
      <c r="A4" s="1" t="n"/>
      <c r="B4" s="1" t="n"/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</row>
    <row r="5" ht="24" customHeight="1">
      <c r="A5" s="1" t="n"/>
      <c r="B5" s="10" t="inlineStr">
        <is>
          <t>ⓐ   LES LEVIERS DE MON PÉRIMÈTRE</t>
        </is>
      </c>
      <c r="C5" s="11" t="n"/>
      <c r="D5" s="11" t="n"/>
      <c r="E5" s="12" t="inlineStr">
        <is>
          <t>jaune = je saisis · gris = décidé au-dessus de moi</t>
        </is>
      </c>
      <c r="F5" s="1" t="n"/>
      <c r="G5" s="1" t="n"/>
      <c r="H5" s="1" t="n"/>
      <c r="I5" s="1" t="n"/>
      <c r="J5" s="1" t="n"/>
      <c r="K5" s="1" t="n"/>
      <c r="L5" s="32" t="inlineStr">
        <is>
          <t>Restitution</t>
        </is>
      </c>
      <c r="M5" s="1" t="n"/>
      <c r="N5" s="1" t="n"/>
    </row>
    <row r="6" ht="20" customHeight="1">
      <c r="A6" s="1" t="n"/>
      <c r="B6" s="13" t="inlineStr">
        <is>
          <t>Levier</t>
        </is>
      </c>
      <c r="C6" s="33" t="inlineStr">
        <is>
          <t>Proposé</t>
        </is>
      </c>
      <c r="D6" s="34" t="inlineStr">
        <is>
          <t>Ajusté</t>
        </is>
      </c>
      <c r="E6" s="33" t="inlineStr">
        <is>
          <t>Écart</t>
        </is>
      </c>
      <c r="F6" s="1" t="n"/>
      <c r="G6" s="1" t="n"/>
      <c r="H6" s="1" t="n"/>
      <c r="I6" s="1" t="n"/>
      <c r="J6" s="1" t="n"/>
      <c r="K6" s="1" t="n"/>
      <c r="L6" s="35" t="inlineStr">
        <is>
          <t>Leads organiques 2026</t>
        </is>
      </c>
      <c r="M6" s="36" t="n">
        <v>652</v>
      </c>
      <c r="N6" s="1" t="n"/>
    </row>
    <row r="7" ht="18" customHeight="1">
      <c r="A7" s="1" t="n"/>
      <c r="B7" s="15" t="inlineStr">
        <is>
          <t>Budget d'acquisition</t>
        </is>
      </c>
      <c r="C7" s="37" t="n">
        <v>0.08</v>
      </c>
      <c r="D7" s="38" t="n">
        <v>0.08</v>
      </c>
      <c r="E7" s="39">
        <f>IF(ISNUMBER(D7),D7-C7,0)</f>
        <v/>
      </c>
      <c r="F7" s="1" t="n"/>
      <c r="G7" s="1" t="n"/>
      <c r="H7" s="1" t="n"/>
      <c r="I7" s="1" t="n"/>
      <c r="J7" s="1" t="n"/>
      <c r="K7" s="1" t="n"/>
      <c r="L7" s="35" t="inlineStr">
        <is>
          <t>Leads payants 2026</t>
        </is>
      </c>
      <c r="M7" s="36" t="n">
        <v>578</v>
      </c>
      <c r="N7" s="1" t="n"/>
    </row>
    <row r="8" ht="18" customHeight="1">
      <c r="A8" s="1" t="n"/>
      <c r="B8" s="15" t="inlineStr">
        <is>
          <t>Budget de marque</t>
        </is>
      </c>
      <c r="C8" s="37" t="n">
        <v>0.1</v>
      </c>
      <c r="D8" s="40" t="inlineStr">
        <is>
          <t>décidé par la marque</t>
        </is>
      </c>
      <c r="E8" s="39">
        <f>IF(ISNUMBER(D8),D8-C8,0)</f>
        <v/>
      </c>
      <c r="F8" s="1" t="n"/>
      <c r="G8" s="1" t="n"/>
      <c r="H8" s="1" t="n"/>
      <c r="I8" s="1" t="n"/>
      <c r="J8" s="1" t="n"/>
      <c r="K8" s="1" t="n"/>
      <c r="L8" s="35" t="inlineStr">
        <is>
          <t>Leads totaux 2026</t>
        </is>
      </c>
      <c r="M8" s="36" t="n">
        <v>1230</v>
      </c>
      <c r="N8" s="1" t="n"/>
    </row>
    <row r="9" ht="18" customHeight="1">
      <c r="A9" s="1" t="n"/>
      <c r="B9" s="15" t="inlineStr">
        <is>
          <t>Hausse tarifaire</t>
        </is>
      </c>
      <c r="C9" s="37" t="n">
        <v>0.0029</v>
      </c>
      <c r="D9" s="38" t="n">
        <v>0.0029</v>
      </c>
      <c r="E9" s="39">
        <f>IF(ISNUMBER(D9),D9-C9,0)</f>
        <v/>
      </c>
      <c r="F9" s="1" t="n"/>
      <c r="G9" s="1" t="n"/>
      <c r="H9" s="1" t="n"/>
      <c r="I9" s="1" t="n"/>
      <c r="J9" s="1" t="n"/>
      <c r="K9" s="1" t="n"/>
      <c r="L9" s="35" t="inlineStr">
        <is>
          <t>Rendement acquisition</t>
        </is>
      </c>
      <c r="M9" s="41" t="n">
        <v>0.474597</v>
      </c>
      <c r="N9" s="1" t="n"/>
    </row>
    <row r="10" ht="18" customHeight="1">
      <c r="A10" s="1" t="n"/>
      <c r="B10" s="15" t="inlineStr">
        <is>
          <t>Conversion lead → candidature</t>
        </is>
      </c>
      <c r="C10" s="37" t="n">
        <v>0.01</v>
      </c>
      <c r="D10" s="38" t="n">
        <v>0.01</v>
      </c>
      <c r="E10" s="39">
        <f>IF(ISNUMBER(D10),D10-C10,0)</f>
        <v/>
      </c>
      <c r="F10" s="1" t="n"/>
      <c r="G10" s="1" t="n"/>
      <c r="H10" s="1" t="n"/>
      <c r="I10" s="1" t="n"/>
      <c r="J10" s="1" t="n"/>
      <c r="K10" s="1" t="n"/>
      <c r="L10" s="35" t="inlineStr">
        <is>
          <t>Rendement marque</t>
        </is>
      </c>
      <c r="M10" s="41" t="n">
        <v>0.357574</v>
      </c>
      <c r="N10" s="1" t="n"/>
    </row>
    <row r="11" ht="18" customHeight="1">
      <c r="A11" s="1" t="n"/>
      <c r="B11" s="15" t="inlineStr">
        <is>
          <t>Conversion admis → inscrit</t>
        </is>
      </c>
      <c r="C11" s="37" t="n">
        <v>0.01</v>
      </c>
      <c r="D11" s="38" t="n">
        <v>0.01</v>
      </c>
      <c r="E11" s="39">
        <f>IF(ISNUMBER(D11),D11-C11,0)</f>
        <v/>
      </c>
      <c r="F11" s="1" t="n"/>
      <c r="G11" s="1" t="n"/>
      <c r="H11" s="1" t="n"/>
      <c r="I11" s="1" t="n"/>
      <c r="J11" s="1" t="n"/>
      <c r="K11" s="1" t="n"/>
      <c r="L11" s="35" t="inlineStr">
        <is>
          <t>Coefficient prix marque</t>
        </is>
      </c>
      <c r="M11" s="42" t="n">
        <v>0.9</v>
      </c>
      <c r="N11" s="1" t="n"/>
    </row>
    <row r="12" ht="18" customHeight="1">
      <c r="A12" s="1" t="n"/>
      <c r="B12" s="15" t="inlineStr">
        <is>
          <t>Taux de passage</t>
        </is>
      </c>
      <c r="C12" s="37" t="n">
        <v>0.005</v>
      </c>
      <c r="D12" s="38" t="n">
        <v>0.005</v>
      </c>
      <c r="E12" s="39">
        <f>IF(ISNUMBER(D12),D12-C12,0)</f>
        <v/>
      </c>
      <c r="F12" s="1" t="n"/>
      <c r="G12" s="1" t="n"/>
      <c r="H12" s="1" t="n"/>
      <c r="I12" s="1" t="n"/>
      <c r="J12" s="1" t="n"/>
      <c r="K12" s="1" t="n"/>
      <c r="L12" s="35" t="inlineStr">
        <is>
          <t>Frais de dossier</t>
        </is>
      </c>
      <c r="M12" s="43" t="n">
        <v>90</v>
      </c>
      <c r="N12" s="1" t="n"/>
    </row>
    <row r="13">
      <c r="A13" s="1" t="n"/>
      <c r="B13" s="1" t="n"/>
      <c r="C13" s="1" t="n"/>
      <c r="D13" s="1" t="n"/>
      <c r="E13" s="1" t="n"/>
      <c r="F13" s="1" t="n"/>
      <c r="G13" s="1" t="n"/>
      <c r="H13" s="1" t="n"/>
      <c r="I13" s="1" t="n"/>
      <c r="J13" s="1" t="n"/>
      <c r="K13" s="1" t="n"/>
      <c r="L13" s="35" t="inlineStr">
        <is>
          <t>Produits 2026</t>
        </is>
      </c>
      <c r="M13" s="43" t="n">
        <v>1132650</v>
      </c>
      <c r="N13" s="1" t="n"/>
    </row>
    <row r="14">
      <c r="A14" s="1" t="n"/>
      <c r="B14" s="44" t="inlineStr">
        <is>
          <t>Effet sur mes leads</t>
        </is>
      </c>
      <c r="C14" s="1" t="n"/>
      <c r="D14" s="45">
        <f>($M$6*(1+$C$8)^$M$10+$M$7*(1+$D$7)^$M$9)/$M$8</f>
        <v/>
      </c>
      <c r="E14" s="31" t="inlineStr">
        <is>
          <t xml:space="preserve">rendement 0.475 — doubler la dépense ne double pas les leads   </t>
        </is>
      </c>
      <c r="F14" s="1" t="n"/>
      <c r="G14" s="1" t="n"/>
      <c r="H14" s="1" t="n"/>
      <c r="I14" s="1" t="n"/>
      <c r="J14" s="1" t="n"/>
      <c r="K14" s="1" t="n"/>
      <c r="L14" s="35" t="inlineStr">
        <is>
          <t>Variables 2026  621/604/6063</t>
        </is>
      </c>
      <c r="M14" s="43" t="n">
        <v>149421</v>
      </c>
      <c r="N14" s="1" t="n"/>
    </row>
    <row r="15">
      <c r="A15" s="1" t="n"/>
      <c r="B15" s="1" t="n"/>
      <c r="C15" s="1" t="n"/>
      <c r="D15" s="1" t="n"/>
      <c r="E15" s="1" t="n"/>
      <c r="F15" s="1" t="n"/>
      <c r="G15" s="1" t="n"/>
      <c r="H15" s="1" t="n"/>
      <c r="I15" s="1" t="n"/>
      <c r="J15" s="1" t="n"/>
      <c r="K15" s="1" t="n"/>
      <c r="L15" s="35" t="inlineStr">
        <is>
          <t>Charges fixes projetées 2027</t>
        </is>
      </c>
      <c r="M15" s="43" t="n">
        <v>579244.8263088999</v>
      </c>
      <c r="N15" s="1" t="n"/>
    </row>
    <row r="16" ht="24" customHeight="1">
      <c r="A16" s="1" t="n"/>
      <c r="B16" s="10" t="inlineStr">
        <is>
          <t>ⓑ   CE QUE ÇA DONNE, LIGNE À LIGNE</t>
        </is>
      </c>
      <c r="C16" s="11" t="n"/>
      <c r="D16" s="11" t="n"/>
      <c r="E16" s="11" t="n"/>
      <c r="F16" s="11" t="n"/>
      <c r="G16" s="11" t="n"/>
      <c r="H16" s="11" t="n"/>
      <c r="I16" s="11" t="n"/>
      <c r="J16" s="12" t="inlineStr">
        <is>
          <t>l'entonnoir rejoué à l'identique du moteur</t>
        </is>
      </c>
      <c r="K16" s="1" t="n"/>
      <c r="L16" s="35" t="inlineStr">
        <is>
          <t>Effort de productivité</t>
        </is>
      </c>
      <c r="M16" s="46" t="n">
        <v>0.0185</v>
      </c>
      <c r="N16" s="1" t="n"/>
    </row>
    <row r="17" ht="20" customHeight="1">
      <c r="A17" s="1" t="n"/>
      <c r="B17" s="13" t="inlineStr">
        <is>
          <t>Programme</t>
        </is>
      </c>
      <c r="C17" s="13" t="inlineStr">
        <is>
          <t>Année</t>
        </is>
      </c>
      <c r="D17" s="14" t="inlineStr">
        <is>
          <t>Leads</t>
        </is>
      </c>
      <c r="E17" s="14" t="inlineStr">
        <is>
          <t>Nouveaux</t>
        </is>
      </c>
      <c r="F17" s="14" t="inlineStr">
        <is>
          <t>Effectif</t>
        </is>
      </c>
      <c r="G17" s="14" t="inlineStr">
        <is>
          <t>Prix</t>
        </is>
      </c>
      <c r="H17" s="47" t="inlineStr">
        <is>
          <t>CA ajusté</t>
        </is>
      </c>
      <c r="I17" s="14" t="inlineStr">
        <is>
          <t>CA proposé</t>
        </is>
      </c>
      <c r="J17" s="14" t="inlineStr">
        <is>
          <t>Écart</t>
        </is>
      </c>
      <c r="K17" s="1" t="n"/>
      <c r="L17" s="1" t="n"/>
      <c r="M17" s="1" t="n"/>
      <c r="N17" s="1" t="n"/>
    </row>
    <row r="18" ht="17" customHeight="1">
      <c r="A18" s="1" t="n"/>
      <c r="B18" s="15" t="inlineStr">
        <is>
          <t>BTS Gestion</t>
        </is>
      </c>
      <c r="C18" s="16" t="inlineStr">
        <is>
          <t>1re année</t>
        </is>
      </c>
      <c r="D18" s="17">
        <f>615*$D$14</f>
        <v/>
      </c>
      <c r="E18" s="17">
        <f>D18*(0.2+$D$10)*0.69918699*(0.41860465+$D$11)</f>
        <v/>
      </c>
      <c r="F18" s="17">
        <f>E18</f>
        <v/>
      </c>
      <c r="G18" s="48">
        <f>5820.0*(1+$D$9*$M$11)</f>
        <v/>
      </c>
      <c r="H18" s="23">
        <f>F18*G18+E18*$M$12</f>
        <v/>
      </c>
      <c r="I18" s="49" t="n">
        <v>237545.706705685</v>
      </c>
      <c r="J18" s="50">
        <f>H18-I18</f>
        <v/>
      </c>
      <c r="K18" s="1" t="n"/>
      <c r="L18" s="1" t="n"/>
      <c r="M18" s="1" t="n"/>
      <c r="N18" s="1" t="n"/>
    </row>
    <row r="19" ht="17" customHeight="1">
      <c r="A19" s="1" t="n"/>
      <c r="B19" s="15" t="inlineStr">
        <is>
          <t>BTS Gestion</t>
        </is>
      </c>
      <c r="C19" s="16" t="inlineStr">
        <is>
          <t>2e année</t>
        </is>
      </c>
      <c r="D19" s="17">
        <f>0*$D$14</f>
        <v/>
      </c>
      <c r="E19" s="51" t="n">
        <v>0</v>
      </c>
      <c r="F19" s="17">
        <f>36.0*(0.97222222+$D$12)</f>
        <v/>
      </c>
      <c r="G19" s="48">
        <f>5820.0*(1+$D$9*$M$11)</f>
        <v/>
      </c>
      <c r="H19" s="23">
        <f>F19*G19+E19*$M$12</f>
        <v/>
      </c>
      <c r="I19" s="49" t="n">
        <v>205281.9907691848</v>
      </c>
      <c r="J19" s="50">
        <f>H19-I19</f>
        <v/>
      </c>
      <c r="K19" s="1" t="n"/>
      <c r="L19" s="1" t="n"/>
      <c r="M19" s="1" t="n"/>
      <c r="N19" s="1" t="n"/>
    </row>
    <row r="20" ht="17" customHeight="1">
      <c r="A20" s="1" t="n"/>
      <c r="B20" s="15" t="inlineStr">
        <is>
          <t>Bachelor RH</t>
        </is>
      </c>
      <c r="C20" s="16" t="inlineStr">
        <is>
          <t>1re année</t>
        </is>
      </c>
      <c r="D20" s="17">
        <f>615*$D$14</f>
        <v/>
      </c>
      <c r="E20" s="17">
        <f>D20*(0.2+$D$10)*0.69918699*(0.41860465+$D$11)</f>
        <v/>
      </c>
      <c r="F20" s="17">
        <f>E20</f>
        <v/>
      </c>
      <c r="G20" s="48">
        <f>6790.0*(1+$D$9*$M$11)</f>
        <v/>
      </c>
      <c r="H20" s="23">
        <f>F20*G20+E20*$M$12</f>
        <v/>
      </c>
      <c r="I20" s="49" t="n">
        <v>276535.2955918242</v>
      </c>
      <c r="J20" s="50">
        <f>H20-I20</f>
        <v/>
      </c>
      <c r="K20" s="1" t="n"/>
      <c r="L20" s="1" t="n"/>
      <c r="M20" s="1" t="n"/>
      <c r="N20" s="1" t="n"/>
    </row>
    <row r="21" ht="17" customHeight="1">
      <c r="A21" s="1" t="n"/>
      <c r="B21" s="15" t="inlineStr">
        <is>
          <t>Bachelor RH</t>
        </is>
      </c>
      <c r="C21" s="16" t="inlineStr">
        <is>
          <t>2e année</t>
        </is>
      </c>
      <c r="D21" s="17">
        <f>0*$D$14</f>
        <v/>
      </c>
      <c r="E21" s="51" t="n">
        <v>0</v>
      </c>
      <c r="F21" s="17">
        <f>36.0*(0.97222222+$D$12)</f>
        <v/>
      </c>
      <c r="G21" s="48">
        <f>6790.0*(1+$D$9*$M$11)</f>
        <v/>
      </c>
      <c r="H21" s="23">
        <f>F21*G21+E21*$M$12</f>
        <v/>
      </c>
      <c r="I21" s="49" t="n">
        <v>239495.6558973823</v>
      </c>
      <c r="J21" s="50">
        <f>H21-I21</f>
        <v/>
      </c>
      <c r="K21" s="1" t="n"/>
      <c r="L21" s="1" t="n"/>
      <c r="M21" s="1" t="n"/>
      <c r="N21" s="1" t="n"/>
    </row>
    <row r="22" ht="17" customHeight="1">
      <c r="A22" s="1" t="n"/>
      <c r="B22" s="15" t="inlineStr">
        <is>
          <t>Bachelor RH</t>
        </is>
      </c>
      <c r="C22" s="16" t="inlineStr">
        <is>
          <t>3e année</t>
        </is>
      </c>
      <c r="D22" s="17">
        <f>0*$D$14</f>
        <v/>
      </c>
      <c r="E22" s="51" t="n">
        <v>0</v>
      </c>
      <c r="F22" s="17">
        <f>35.0*(0.97142857+$D$12)</f>
        <v/>
      </c>
      <c r="G22" s="48">
        <f>6790.0*(1+$D$9*$M$11)</f>
        <v/>
      </c>
      <c r="H22" s="23">
        <f>F22*G22+E22*$M$12</f>
        <v/>
      </c>
      <c r="I22" s="49" t="n">
        <v>232653.8955921139</v>
      </c>
      <c r="J22" s="50">
        <f>H22-I22</f>
        <v/>
      </c>
      <c r="K22" s="1" t="n"/>
      <c r="L22" s="1" t="n"/>
      <c r="M22" s="1" t="n"/>
      <c r="N22" s="1" t="n"/>
    </row>
    <row r="23" ht="19" customHeight="1">
      <c r="A23" s="1" t="n"/>
      <c r="B23" s="26" t="inlineStr">
        <is>
          <t>Total campus</t>
        </is>
      </c>
      <c r="C23" s="27" t="n"/>
      <c r="D23" s="27" t="n"/>
      <c r="E23" s="28">
        <f>SUM(E18:E22)</f>
        <v/>
      </c>
      <c r="F23" s="28">
        <f>SUM(F18:F22)</f>
        <v/>
      </c>
      <c r="G23" s="27" t="n"/>
      <c r="H23" s="29">
        <f>SUM(H18:H22)</f>
        <v/>
      </c>
      <c r="I23" s="29">
        <f>SUM(I18:I22)</f>
        <v/>
      </c>
      <c r="J23" s="52">
        <f>SUM(J18:J22)</f>
        <v/>
      </c>
      <c r="K23" s="1" t="n"/>
      <c r="L23" s="1" t="n"/>
      <c r="M23" s="1" t="n"/>
      <c r="N23" s="1" t="n"/>
    </row>
    <row r="24">
      <c r="A24" s="1" t="n"/>
      <c r="B24" s="1" t="n"/>
      <c r="C24" s="1" t="n"/>
      <c r="D24" s="1" t="n"/>
      <c r="E24" s="1" t="n"/>
      <c r="F24" s="1" t="n"/>
      <c r="G24" s="1" t="n"/>
      <c r="H24" s="1" t="n"/>
      <c r="I24" s="1" t="n"/>
      <c r="J24" s="1" t="n"/>
      <c r="K24" s="1" t="n"/>
      <c r="L24" s="1" t="n"/>
      <c r="M24" s="1" t="n"/>
      <c r="N24" s="1" t="n"/>
    </row>
    <row r="25" ht="24" customHeight="1">
      <c r="A25" s="1" t="n"/>
      <c r="B25" s="10" t="inlineStr">
        <is>
          <t>ⓒ   CE QUE ÇA CHANGE</t>
        </is>
      </c>
      <c r="C25" s="11" t="n"/>
      <c r="D25" s="11" t="n"/>
      <c r="E25" s="12" t="inlineStr">
        <is>
          <t>règle de coûts identique à V_BUDGET : seuls 621, 604 et 6063 suivent le CA</t>
        </is>
      </c>
      <c r="F25" s="1" t="n"/>
      <c r="G25" s="1" t="n"/>
      <c r="H25" s="1" t="n"/>
      <c r="I25" s="1" t="n"/>
      <c r="J25" s="1" t="n"/>
      <c r="K25" s="1" t="n"/>
      <c r="L25" s="1" t="n"/>
      <c r="M25" s="1" t="n"/>
      <c r="N25" s="1" t="n"/>
    </row>
    <row r="26" ht="20" customHeight="1">
      <c r="A26" s="1" t="n"/>
      <c r="B26" s="13" t="inlineStr"/>
      <c r="C26" s="14" t="inlineStr">
        <is>
          <t>Proposé</t>
        </is>
      </c>
      <c r="D26" s="47" t="inlineStr">
        <is>
          <t>Ajusté</t>
        </is>
      </c>
      <c r="E26" s="14" t="inlineStr">
        <is>
          <t>Écart</t>
        </is>
      </c>
      <c r="F26" s="1" t="n"/>
      <c r="G26" s="1" t="n"/>
      <c r="H26" s="1" t="n"/>
      <c r="I26" s="1" t="n"/>
      <c r="J26" s="1" t="n"/>
      <c r="K26" s="1" t="n"/>
      <c r="L26" s="1" t="n"/>
      <c r="M26" s="1" t="n"/>
      <c r="N26" s="1" t="n"/>
    </row>
    <row r="27" ht="18" customHeight="1">
      <c r="A27" s="1" t="n"/>
      <c r="B27" s="53" t="inlineStr">
        <is>
          <t>Chiffre d'affaires</t>
        </is>
      </c>
      <c r="C27" s="54">
        <f>$I$23</f>
        <v/>
      </c>
      <c r="D27" s="54">
        <f>$H$23</f>
        <v/>
      </c>
      <c r="E27" s="55">
        <f>D27-C27</f>
        <v/>
      </c>
      <c r="F27" s="1" t="n"/>
      <c r="G27" s="1" t="n"/>
      <c r="H27" s="1" t="n"/>
      <c r="I27" s="1" t="n"/>
      <c r="J27" s="1" t="n"/>
      <c r="K27" s="1" t="n"/>
      <c r="L27" s="1" t="n"/>
      <c r="M27" s="1" t="n"/>
      <c r="N27" s="1" t="n"/>
    </row>
    <row r="28" ht="18" customHeight="1">
      <c r="A28" s="1" t="n"/>
      <c r="B28" s="53" t="inlineStr">
        <is>
          <t>Effectif</t>
        </is>
      </c>
      <c r="C28" s="56" t="n">
        <v>184.716631</v>
      </c>
      <c r="D28" s="56">
        <f>$F$23</f>
        <v/>
      </c>
      <c r="E28" s="57">
        <f>D28-C28</f>
        <v/>
      </c>
      <c r="F28" s="1" t="n"/>
      <c r="G28" s="1" t="n"/>
      <c r="H28" s="1" t="n"/>
      <c r="I28" s="1" t="n"/>
      <c r="J28" s="1" t="n"/>
      <c r="K28" s="1" t="n"/>
      <c r="L28" s="1" t="n"/>
      <c r="M28" s="1" t="n"/>
      <c r="N28" s="1" t="n"/>
    </row>
    <row r="29" ht="18" customHeight="1">
      <c r="A29" s="1" t="n"/>
      <c r="B29" s="58" t="inlineStr">
        <is>
          <t>EBITDA du campus</t>
        </is>
      </c>
      <c r="C29" s="59">
        <f>$I$23-($M$14*($I$23/$M$13)*(1-$M$16)+$M$15)</f>
        <v/>
      </c>
      <c r="D29" s="59">
        <f>C29+(H23-I23)*(1-$M$14*(1-$M$16)/$M$13)</f>
        <v/>
      </c>
      <c r="E29" s="60">
        <f>D29-C29</f>
        <v/>
      </c>
      <c r="F29" s="1" t="n"/>
      <c r="G29" s="1" t="n"/>
      <c r="H29" s="1" t="n"/>
      <c r="I29" s="1" t="n"/>
      <c r="J29" s="1" t="n"/>
      <c r="K29" s="1" t="n"/>
      <c r="L29" s="1" t="n"/>
      <c r="M29" s="1" t="n"/>
      <c r="N29" s="1" t="n"/>
    </row>
    <row r="30">
      <c r="A30" s="1" t="n"/>
      <c r="B30" s="1" t="n"/>
      <c r="C30" s="1" t="n"/>
      <c r="D30" s="1" t="n"/>
      <c r="E30" s="1" t="n"/>
      <c r="F30" s="1" t="n"/>
      <c r="G30" s="1" t="n"/>
      <c r="H30" s="1" t="n"/>
      <c r="I30" s="1" t="n"/>
      <c r="J30" s="1" t="n"/>
      <c r="K30" s="1" t="n"/>
      <c r="L30" s="1" t="n"/>
      <c r="M30" s="1" t="n"/>
      <c r="N30" s="1" t="n"/>
    </row>
    <row r="31">
      <c r="A31" s="1" t="n"/>
      <c r="B31" s="61" t="inlineStr">
        <is>
          <t>Taux marginal</t>
        </is>
      </c>
      <c r="C31" s="62">
        <f>(1-$M$14*(1-$M$16)/$M$13)</f>
        <v/>
      </c>
      <c r="D31" s="1" t="n"/>
      <c r="E31" s="31" t="inlineStr">
        <is>
          <t>part de chaque euro de CA supplémentaire qui tombe en EBITDA — les autres comptes ne suivent pas le chiffre d'affaires</t>
        </is>
      </c>
      <c r="F31" s="1" t="n"/>
      <c r="G31" s="1" t="n"/>
      <c r="H31" s="1" t="n"/>
      <c r="I31" s="1" t="n"/>
      <c r="J31" s="1" t="n"/>
      <c r="K31" s="1" t="n"/>
      <c r="L31" s="1" t="n"/>
      <c r="M31" s="1" t="n"/>
      <c r="N31" s="1" t="n"/>
    </row>
    <row r="32">
      <c r="A32" s="1" t="n"/>
      <c r="B32" s="1" t="n"/>
      <c r="C32" s="1" t="n"/>
      <c r="D32" s="1" t="n"/>
      <c r="E32" s="1" t="n"/>
      <c r="F32" s="1" t="n"/>
      <c r="G32" s="1" t="n"/>
      <c r="H32" s="1" t="n"/>
      <c r="I32" s="1" t="n"/>
      <c r="J32" s="1" t="n"/>
      <c r="K32" s="1" t="n"/>
      <c r="L32" s="1" t="n"/>
      <c r="M32" s="1" t="n"/>
      <c r="N32" s="1" t="n"/>
    </row>
    <row r="33" ht="24" customHeight="1">
      <c r="A33" s="1" t="n"/>
      <c r="B33" s="10" t="inlineStr">
        <is>
          <t>ⓓ   AI-JE LA PLACE ?</t>
        </is>
      </c>
      <c r="C33" s="11" t="n"/>
      <c r="D33" s="11" t="n"/>
      <c r="E33" s="12" t="inlineStr">
        <is>
          <t>testé sur les cohortes d'entrée, jamais sur le campus entier</t>
        </is>
      </c>
      <c r="F33" s="1" t="n"/>
      <c r="G33" s="1" t="n"/>
      <c r="H33" s="1" t="n"/>
      <c r="I33" s="1" t="n"/>
      <c r="J33" s="1" t="n"/>
      <c r="K33" s="1" t="n"/>
      <c r="L33" s="1" t="n"/>
      <c r="M33" s="1" t="n"/>
      <c r="N33" s="1" t="n"/>
    </row>
    <row r="34" ht="17" customHeight="1">
      <c r="A34" s="1" t="n"/>
      <c r="B34" s="15" t="inlineStr">
        <is>
          <t>Places en cohorte d'entrée</t>
        </is>
      </c>
      <c r="C34" s="56" t="n">
        <v>124</v>
      </c>
      <c r="D34" s="63" t="n"/>
      <c r="E34" s="63" t="n"/>
      <c r="F34" s="1" t="n"/>
      <c r="G34" s="1" t="n"/>
      <c r="H34" s="1" t="n"/>
      <c r="I34" s="1" t="n"/>
      <c r="J34" s="1" t="n"/>
      <c r="K34" s="1" t="n"/>
      <c r="L34" s="1" t="n"/>
      <c r="M34" s="1" t="n"/>
      <c r="N34" s="1" t="n"/>
    </row>
    <row r="35" ht="17" customHeight="1">
      <c r="A35" s="1" t="n"/>
      <c r="B35" s="15" t="inlineStr">
        <is>
          <t>Nouveaux inscrits attendus</t>
        </is>
      </c>
      <c r="C35" s="56">
        <f>E18+E20</f>
        <v/>
      </c>
      <c r="D35" s="63" t="n"/>
      <c r="E35" s="63" t="n"/>
      <c r="F35" s="1" t="n"/>
      <c r="G35" s="1" t="n"/>
      <c r="H35" s="1" t="n"/>
      <c r="I35" s="1" t="n"/>
      <c r="J35" s="1" t="n"/>
      <c r="K35" s="1" t="n"/>
      <c r="L35" s="1" t="n"/>
      <c r="M35" s="1" t="n"/>
      <c r="N35" s="1" t="n"/>
    </row>
    <row r="36" ht="17" customHeight="1">
      <c r="A36" s="1" t="n"/>
      <c r="B36" s="15" t="inlineStr">
        <is>
          <t>Taux de remplissage à l'entrée</t>
        </is>
      </c>
      <c r="C36" s="64">
        <f>IF(124=0,0,(E18+E20)/124)</f>
        <v/>
      </c>
      <c r="D36" s="63" t="n"/>
      <c r="E36" s="63" t="n"/>
      <c r="F36" s="1" t="n"/>
      <c r="G36" s="1" t="n"/>
      <c r="H36" s="1" t="n"/>
      <c r="I36" s="1" t="n"/>
      <c r="J36" s="1" t="n"/>
      <c r="K36" s="1" t="n"/>
      <c r="L36" s="1" t="n"/>
      <c r="M36" s="1" t="n"/>
      <c r="N36" s="1" t="n"/>
    </row>
    <row r="37" ht="17" customHeight="1">
      <c r="A37" s="1" t="n"/>
      <c r="B37" s="15" t="inlineStr">
        <is>
          <t>Classes à ouvrir</t>
        </is>
      </c>
      <c r="C37" s="65">
        <f>MAX(0,ROUNDUP(((E18+E20)-124)/30,0))</f>
        <v/>
      </c>
      <c r="D37" s="63" t="n"/>
      <c r="E37" s="63" t="n"/>
      <c r="F37" s="1" t="n"/>
      <c r="G37" s="1" t="n"/>
      <c r="H37" s="1" t="n"/>
      <c r="I37" s="1" t="n"/>
      <c r="J37" s="1" t="n"/>
      <c r="K37" s="1" t="n"/>
      <c r="L37" s="1" t="n"/>
      <c r="M37" s="1" t="n"/>
      <c r="N37" s="1" t="n"/>
    </row>
    <row r="38">
      <c r="A38" s="1" t="n"/>
      <c r="B38" s="1" t="n"/>
      <c r="C38" s="1" t="n"/>
      <c r="D38" s="1" t="n"/>
      <c r="E38" s="1" t="n"/>
      <c r="F38" s="1" t="n"/>
      <c r="G38" s="1" t="n"/>
      <c r="H38" s="1" t="n"/>
      <c r="I38" s="1" t="n"/>
      <c r="J38" s="1" t="n"/>
      <c r="K38" s="1" t="n"/>
      <c r="L38" s="1" t="n"/>
      <c r="M38" s="1" t="n"/>
      <c r="N38" s="1" t="n"/>
    </row>
    <row r="39">
      <c r="A39" s="1" t="n"/>
      <c r="B39" s="31" t="inlineStr">
        <is>
          <t>Le réseau a 974 places libres mais seulement 351 en première année : les autres sont en 2e et 3e année, on n'y entre pas. Un contrôle au niveau du campus laisserait passer des inscriptions qu'aucune classe ne peut prendre.</t>
        </is>
      </c>
      <c r="C39" s="1" t="n"/>
      <c r="D39" s="1" t="n"/>
      <c r="E39" s="1" t="n"/>
      <c r="F39" s="1" t="n"/>
      <c r="G39" s="1" t="n"/>
      <c r="H39" s="1" t="n"/>
      <c r="I39" s="1" t="n"/>
      <c r="J39" s="1" t="n"/>
      <c r="K39" s="1" t="n"/>
      <c r="L39" s="1" t="n"/>
      <c r="M39" s="1" t="n"/>
      <c r="N39" s="1" t="n"/>
    </row>
    <row r="40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  <c r="J40" s="1" t="n"/>
      <c r="K40" s="1" t="n"/>
      <c r="L40" s="1" t="n"/>
      <c r="M40" s="1" t="n"/>
      <c r="N40" s="1" t="n"/>
    </row>
    <row r="41">
      <c r="A41" s="1" t="n"/>
      <c r="B41" s="1" t="n"/>
      <c r="C41" s="1" t="n"/>
      <c r="D41" s="1" t="n"/>
      <c r="E41" s="1" t="n"/>
      <c r="F41" s="1" t="n"/>
      <c r="G41" s="1" t="n"/>
      <c r="H41" s="1" t="n"/>
      <c r="I41" s="1" t="n"/>
      <c r="J41" s="1" t="n"/>
      <c r="K41" s="1" t="n"/>
      <c r="L41" s="1" t="n"/>
      <c r="M41" s="1" t="n"/>
      <c r="N41" s="1" t="n"/>
    </row>
    <row r="42">
      <c r="A42" s="1" t="n"/>
      <c r="B42" s="1" t="n"/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  <c r="L42" s="1" t="n"/>
      <c r="M42" s="1" t="n"/>
      <c r="N42" s="1" t="n"/>
    </row>
    <row r="43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  <c r="J43" s="1" t="n"/>
      <c r="K43" s="1" t="n"/>
      <c r="L43" s="1" t="n"/>
      <c r="M43" s="1" t="n"/>
      <c r="N43" s="1" t="n"/>
    </row>
    <row r="44">
      <c r="A44" s="1" t="n"/>
      <c r="B44" s="1" t="n"/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  <c r="L44" s="1" t="n"/>
      <c r="M44" s="1" t="n"/>
      <c r="N44" s="1" t="n"/>
    </row>
    <row r="45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  <c r="J45" s="1" t="n"/>
      <c r="K45" s="1" t="n"/>
      <c r="L45" s="1" t="n"/>
      <c r="M45" s="1" t="n"/>
      <c r="N45" s="1" t="n"/>
    </row>
    <row r="46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  <c r="J46" s="1" t="n"/>
      <c r="K46" s="1" t="n"/>
      <c r="L46" s="1" t="n"/>
      <c r="M46" s="1" t="n"/>
      <c r="N46" s="1" t="n"/>
    </row>
    <row r="47">
      <c r="A47" s="1" t="n"/>
      <c r="B47" s="1" t="n"/>
      <c r="C47" s="1" t="n"/>
      <c r="D47" s="1" t="n"/>
      <c r="E47" s="1" t="n"/>
      <c r="F47" s="1" t="n"/>
      <c r="G47" s="1" t="n"/>
      <c r="H47" s="1" t="n"/>
      <c r="I47" s="1" t="n"/>
      <c r="J47" s="1" t="n"/>
      <c r="K47" s="1" t="n"/>
      <c r="L47" s="1" t="n"/>
      <c r="M47" s="1" t="n"/>
      <c r="N47" s="1" t="n"/>
    </row>
    <row r="48">
      <c r="A48" s="1" t="n"/>
      <c r="B48" s="1" t="n"/>
      <c r="C48" s="1" t="n"/>
      <c r="D48" s="1" t="n"/>
      <c r="E48" s="1" t="n"/>
      <c r="F48" s="1" t="n"/>
      <c r="G48" s="1" t="n"/>
      <c r="H48" s="1" t="n"/>
      <c r="I48" s="1" t="n"/>
      <c r="J48" s="1" t="n"/>
      <c r="K48" s="1" t="n"/>
      <c r="L48" s="1" t="n"/>
      <c r="M48" s="1" t="n"/>
      <c r="N48" s="1" t="n"/>
    </row>
    <row r="49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  <c r="J49" s="1" t="n"/>
      <c r="K49" s="1" t="n"/>
      <c r="L49" s="1" t="n"/>
      <c r="M49" s="1" t="n"/>
      <c r="N49" s="1" t="n"/>
    </row>
    <row r="50">
      <c r="A50" s="1" t="n"/>
      <c r="B50" s="1" t="n"/>
      <c r="C50" s="1" t="n"/>
      <c r="D50" s="1" t="n"/>
      <c r="E50" s="1" t="n"/>
      <c r="F50" s="1" t="n"/>
      <c r="G50" s="1" t="n"/>
      <c r="H50" s="1" t="n"/>
      <c r="I50" s="1" t="n"/>
      <c r="J50" s="1" t="n"/>
      <c r="K50" s="1" t="n"/>
      <c r="L50" s="1" t="n"/>
      <c r="M50" s="1" t="n"/>
      <c r="N50" s="1" t="n"/>
    </row>
    <row r="51">
      <c r="A51" s="1" t="n"/>
      <c r="B51" s="1" t="n"/>
      <c r="C51" s="1" t="n"/>
      <c r="D51" s="1" t="n"/>
      <c r="E51" s="1" t="n"/>
      <c r="F51" s="1" t="n"/>
      <c r="G51" s="1" t="n"/>
      <c r="H51" s="1" t="n"/>
      <c r="I51" s="1" t="n"/>
      <c r="J51" s="1" t="n"/>
      <c r="K51" s="1" t="n"/>
      <c r="L51" s="1" t="n"/>
      <c r="M51" s="1" t="n"/>
      <c r="N51" s="1" t="n"/>
    </row>
    <row r="52">
      <c r="A52" s="1" t="n"/>
      <c r="B52" s="1" t="n"/>
      <c r="C52" s="1" t="n"/>
      <c r="D52" s="1" t="n"/>
      <c r="E52" s="1" t="n"/>
      <c r="F52" s="1" t="n"/>
      <c r="G52" s="1" t="n"/>
      <c r="H52" s="1" t="n"/>
      <c r="I52" s="1" t="n"/>
      <c r="J52" s="1" t="n"/>
      <c r="K52" s="1" t="n"/>
      <c r="L52" s="1" t="n"/>
      <c r="M52" s="1" t="n"/>
      <c r="N52" s="1" t="n"/>
    </row>
    <row r="53">
      <c r="A53" s="1" t="n"/>
      <c r="B53" s="1" t="n"/>
      <c r="C53" s="1" t="n"/>
      <c r="D53" s="1" t="n"/>
      <c r="E53" s="1" t="n"/>
      <c r="F53" s="1" t="n"/>
      <c r="G53" s="1" t="n"/>
      <c r="H53" s="1" t="n"/>
      <c r="I53" s="1" t="n"/>
      <c r="J53" s="1" t="n"/>
      <c r="K53" s="1" t="n"/>
      <c r="L53" s="1" t="n"/>
      <c r="M53" s="1" t="n"/>
      <c r="N53" s="1" t="n"/>
    </row>
    <row r="54">
      <c r="A54" s="1" t="n"/>
      <c r="B54" s="1" t="n"/>
      <c r="C54" s="1" t="n"/>
      <c r="D54" s="1" t="n"/>
      <c r="E54" s="1" t="n"/>
      <c r="F54" s="1" t="n"/>
      <c r="G54" s="1" t="n"/>
      <c r="H54" s="1" t="n"/>
      <c r="I54" s="1" t="n"/>
      <c r="J54" s="1" t="n"/>
      <c r="K54" s="1" t="n"/>
      <c r="L54" s="1" t="n"/>
      <c r="M54" s="1" t="n"/>
      <c r="N54" s="1" t="n"/>
    </row>
    <row r="55">
      <c r="A55" s="1" t="n"/>
      <c r="B55" s="1" t="n"/>
      <c r="C55" s="1" t="n"/>
      <c r="D55" s="1" t="n"/>
      <c r="E55" s="1" t="n"/>
      <c r="F55" s="1" t="n"/>
      <c r="G55" s="1" t="n"/>
      <c r="H55" s="1" t="n"/>
      <c r="I55" s="1" t="n"/>
      <c r="J55" s="1" t="n"/>
      <c r="K55" s="1" t="n"/>
      <c r="L55" s="1" t="n"/>
      <c r="M55" s="1" t="n"/>
      <c r="N55" s="1" t="n"/>
    </row>
    <row r="56">
      <c r="A56" s="1" t="n"/>
      <c r="B56" s="1" t="n"/>
      <c r="C56" s="1" t="n"/>
      <c r="D56" s="1" t="n"/>
      <c r="E56" s="1" t="n"/>
      <c r="F56" s="1" t="n"/>
      <c r="G56" s="1" t="n"/>
      <c r="H56" s="1" t="n"/>
      <c r="I56" s="1" t="n"/>
      <c r="J56" s="1" t="n"/>
      <c r="K56" s="1" t="n"/>
      <c r="L56" s="1" t="n"/>
      <c r="M56" s="1" t="n"/>
      <c r="N56" s="1" t="n"/>
    </row>
    <row r="57">
      <c r="A57" s="1" t="n"/>
      <c r="B57" s="1" t="n"/>
      <c r="C57" s="1" t="n"/>
      <c r="D57" s="1" t="n"/>
      <c r="E57" s="1" t="n"/>
      <c r="F57" s="1" t="n"/>
      <c r="G57" s="1" t="n"/>
      <c r="H57" s="1" t="n"/>
      <c r="I57" s="1" t="n"/>
      <c r="J57" s="1" t="n"/>
      <c r="K57" s="1" t="n"/>
      <c r="L57" s="1" t="n"/>
      <c r="M57" s="1" t="n"/>
      <c r="N57" s="1" t="n"/>
    </row>
    <row r="58">
      <c r="A58" s="1" t="n"/>
      <c r="B58" s="1" t="n"/>
      <c r="C58" s="1" t="n"/>
      <c r="D58" s="1" t="n"/>
      <c r="E58" s="1" t="n"/>
      <c r="F58" s="1" t="n"/>
      <c r="G58" s="1" t="n"/>
      <c r="H58" s="1" t="n"/>
      <c r="I58" s="1" t="n"/>
      <c r="J58" s="1" t="n"/>
      <c r="K58" s="1" t="n"/>
      <c r="L58" s="1" t="n"/>
      <c r="M58" s="1" t="n"/>
      <c r="N58" s="1" t="n"/>
    </row>
    <row r="59">
      <c r="A59" s="1" t="n"/>
      <c r="B59" s="1" t="n"/>
      <c r="C59" s="1" t="n"/>
      <c r="D59" s="1" t="n"/>
      <c r="E59" s="1" t="n"/>
      <c r="F59" s="1" t="n"/>
      <c r="G59" s="1" t="n"/>
      <c r="H59" s="1" t="n"/>
      <c r="I59" s="1" t="n"/>
      <c r="J59" s="1" t="n"/>
      <c r="K59" s="1" t="n"/>
      <c r="L59" s="1" t="n"/>
      <c r="M59" s="1" t="n"/>
      <c r="N59" s="1" t="n"/>
    </row>
    <row r="60">
      <c r="A60" s="1" t="n"/>
      <c r="B60" s="1" t="n"/>
      <c r="C60" s="1" t="n"/>
      <c r="D60" s="1" t="n"/>
      <c r="E60" s="1" t="n"/>
      <c r="F60" s="1" t="n"/>
      <c r="G60" s="1" t="n"/>
      <c r="H60" s="1" t="n"/>
      <c r="I60" s="1" t="n"/>
      <c r="J60" s="1" t="n"/>
      <c r="K60" s="1" t="n"/>
      <c r="L60" s="1" t="n"/>
      <c r="M60" s="1" t="n"/>
      <c r="N60" s="1" t="n"/>
    </row>
    <row r="61">
      <c r="A61" s="1" t="n"/>
      <c r="B61" s="1" t="n"/>
      <c r="C61" s="1" t="n"/>
      <c r="D61" s="1" t="n"/>
      <c r="E61" s="1" t="n"/>
      <c r="F61" s="1" t="n"/>
      <c r="G61" s="1" t="n"/>
      <c r="H61" s="1" t="n"/>
      <c r="I61" s="1" t="n"/>
      <c r="J61" s="1" t="n"/>
      <c r="K61" s="1" t="n"/>
      <c r="L61" s="1" t="n"/>
      <c r="M61" s="1" t="n"/>
      <c r="N61" s="1" t="n"/>
    </row>
    <row r="62">
      <c r="A62" s="1" t="n"/>
      <c r="B62" s="1" t="n"/>
      <c r="C62" s="1" t="n"/>
      <c r="D62" s="1" t="n"/>
      <c r="E62" s="1" t="n"/>
      <c r="F62" s="1" t="n"/>
      <c r="G62" s="1" t="n"/>
      <c r="H62" s="1" t="n"/>
      <c r="I62" s="1" t="n"/>
      <c r="J62" s="1" t="n"/>
      <c r="K62" s="1" t="n"/>
      <c r="L62" s="1" t="n"/>
      <c r="M62" s="1" t="n"/>
      <c r="N62" s="1" t="n"/>
    </row>
    <row r="63">
      <c r="A63" s="1" t="n"/>
      <c r="B63" s="1" t="n"/>
      <c r="C63" s="1" t="n"/>
      <c r="D63" s="1" t="n"/>
      <c r="E63" s="1" t="n"/>
      <c r="F63" s="1" t="n"/>
      <c r="G63" s="1" t="n"/>
      <c r="H63" s="1" t="n"/>
      <c r="I63" s="1" t="n"/>
      <c r="J63" s="1" t="n"/>
      <c r="K63" s="1" t="n"/>
      <c r="L63" s="1" t="n"/>
      <c r="M63" s="1" t="n"/>
      <c r="N63" s="1" t="n"/>
    </row>
    <row r="64">
      <c r="A64" s="1" t="n"/>
      <c r="B64" s="1" t="n"/>
      <c r="C64" s="1" t="n"/>
      <c r="D64" s="1" t="n"/>
      <c r="E64" s="1" t="n"/>
      <c r="F64" s="1" t="n"/>
      <c r="G64" s="1" t="n"/>
      <c r="H64" s="1" t="n"/>
      <c r="I64" s="1" t="n"/>
      <c r="J64" s="1" t="n"/>
      <c r="K64" s="1" t="n"/>
      <c r="L64" s="1" t="n"/>
      <c r="M64" s="1" t="n"/>
      <c r="N64" s="1" t="n"/>
    </row>
    <row r="65">
      <c r="A65" s="1" t="n"/>
      <c r="B65" s="1" t="n"/>
      <c r="C65" s="1" t="n"/>
      <c r="D65" s="1" t="n"/>
      <c r="E65" s="1" t="n"/>
      <c r="F65" s="1" t="n"/>
      <c r="G65" s="1" t="n"/>
      <c r="H65" s="1" t="n"/>
      <c r="I65" s="1" t="n"/>
      <c r="J65" s="1" t="n"/>
      <c r="K65" s="1" t="n"/>
      <c r="L65" s="1" t="n"/>
      <c r="M65" s="1" t="n"/>
      <c r="N65" s="1" t="n"/>
    </row>
    <row r="66">
      <c r="A66" s="1" t="n"/>
      <c r="B66" s="1" t="n"/>
      <c r="C66" s="1" t="n"/>
      <c r="D66" s="1" t="n"/>
      <c r="E66" s="1" t="n"/>
      <c r="F66" s="1" t="n"/>
      <c r="G66" s="1" t="n"/>
      <c r="H66" s="1" t="n"/>
      <c r="I66" s="1" t="n"/>
      <c r="J66" s="1" t="n"/>
      <c r="K66" s="1" t="n"/>
      <c r="L66" s="1" t="n"/>
      <c r="M66" s="1" t="n"/>
      <c r="N66" s="1" t="n"/>
    </row>
    <row r="67">
      <c r="A67" s="1" t="n"/>
      <c r="B67" s="1" t="n"/>
      <c r="C67" s="1" t="n"/>
      <c r="D67" s="1" t="n"/>
      <c r="E67" s="1" t="n"/>
      <c r="F67" s="1" t="n"/>
      <c r="G67" s="1" t="n"/>
      <c r="H67" s="1" t="n"/>
      <c r="I67" s="1" t="n"/>
      <c r="J67" s="1" t="n"/>
      <c r="K67" s="1" t="n"/>
      <c r="L67" s="1" t="n"/>
      <c r="M67" s="1" t="n"/>
      <c r="N67" s="1" t="n"/>
    </row>
    <row r="68">
      <c r="A68" s="1" t="n"/>
      <c r="B68" s="1" t="n"/>
      <c r="C68" s="1" t="n"/>
      <c r="D68" s="1" t="n"/>
      <c r="E68" s="1" t="n"/>
      <c r="F68" s="1" t="n"/>
      <c r="G68" s="1" t="n"/>
      <c r="H68" s="1" t="n"/>
      <c r="I68" s="1" t="n"/>
      <c r="J68" s="1" t="n"/>
      <c r="K68" s="1" t="n"/>
      <c r="L68" s="1" t="n"/>
      <c r="M68" s="1" t="n"/>
      <c r="N68" s="1" t="n"/>
    </row>
    <row r="69">
      <c r="A69" s="1" t="n"/>
      <c r="B69" s="1" t="n"/>
      <c r="C69" s="1" t="n"/>
      <c r="D69" s="1" t="n"/>
      <c r="E69" s="1" t="n"/>
      <c r="F69" s="1" t="n"/>
      <c r="G69" s="1" t="n"/>
      <c r="H69" s="1" t="n"/>
      <c r="I69" s="1" t="n"/>
      <c r="J69" s="1" t="n"/>
      <c r="K69" s="1" t="n"/>
      <c r="L69" s="1" t="n"/>
      <c r="M69" s="1" t="n"/>
      <c r="N69" s="1" t="n"/>
    </row>
    <row r="70">
      <c r="A70" s="1" t="n"/>
      <c r="B70" s="1" t="n"/>
      <c r="C70" s="1" t="n"/>
      <c r="D70" s="1" t="n"/>
      <c r="E70" s="1" t="n"/>
      <c r="F70" s="1" t="n"/>
      <c r="G70" s="1" t="n"/>
      <c r="H70" s="1" t="n"/>
      <c r="I70" s="1" t="n"/>
      <c r="J70" s="1" t="n"/>
      <c r="K70" s="1" t="n"/>
      <c r="L70" s="1" t="n"/>
      <c r="M70" s="1" t="n"/>
      <c r="N70" s="1" t="n"/>
    </row>
  </sheetData>
  <conditionalFormatting sqref="C36">
    <cfRule type="cellIs" priority="1" operator="greaterThan" dxfId="0">
      <formula>1</formula>
    </cfRule>
  </conditionalFormatting>
  <conditionalFormatting sqref="C37">
    <cfRule type="cellIs" priority="2" operator="greaterThan" dxfId="0">
      <formula>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0"/>
  <sheetViews>
    <sheetView showGridLines="0" workbookViewId="0">
      <selection activeCell="A1" sqref="A1"/>
    </sheetView>
  </sheetViews>
  <sheetFormatPr baseColWidth="8" defaultRowHeight="15"/>
  <cols>
    <col width="2.4" customWidth="1" min="1" max="1"/>
    <col width="40" customWidth="1" min="2" max="2"/>
    <col width="18" customWidth="1" min="3" max="3"/>
    <col width="18" customWidth="1" min="4" max="4"/>
    <col width="16" customWidth="1" min="5" max="5"/>
    <col width="2.4" customWidth="1" min="6" max="6"/>
  </cols>
  <sheetData>
    <row r="1" ht="8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</row>
    <row r="2" ht="26" customHeight="1">
      <c r="A2" s="1" t="n"/>
      <c r="B2" s="2" t="inlineStr">
        <is>
          <t>③ Cible vs construit</t>
        </is>
      </c>
      <c r="C2" s="1" t="n"/>
      <c r="D2" s="3" t="inlineStr">
        <is>
          <t>où en est le groupe une fois les campus passés</t>
        </is>
      </c>
      <c r="E2" s="1" t="n"/>
      <c r="F2" s="1" t="n"/>
      <c r="G2" s="1" t="n"/>
      <c r="H2" s="1" t="n"/>
      <c r="I2" s="1" t="n"/>
      <c r="J2" s="1" t="n"/>
    </row>
    <row r="3" ht="3" customHeight="1">
      <c r="A3" s="4" t="n"/>
      <c r="B3" s="4" t="n"/>
      <c r="C3" s="4" t="n"/>
      <c r="D3" s="4" t="n"/>
      <c r="E3" s="4" t="n"/>
      <c r="F3" s="4" t="n"/>
      <c r="G3" s="1" t="n"/>
      <c r="H3" s="1" t="n"/>
      <c r="I3" s="1" t="n"/>
      <c r="J3" s="1" t="n"/>
    </row>
    <row r="4">
      <c r="A4" s="1" t="n"/>
      <c r="B4" s="1" t="n"/>
      <c r="C4" s="1" t="n"/>
      <c r="D4" s="1" t="n"/>
      <c r="E4" s="1" t="n"/>
      <c r="F4" s="1" t="n"/>
      <c r="G4" s="1" t="n"/>
      <c r="H4" s="1" t="n"/>
      <c r="I4" s="1" t="n"/>
      <c r="J4" s="1" t="n"/>
    </row>
    <row r="5" ht="24" customHeight="1">
      <c r="A5" s="1" t="n"/>
      <c r="B5" s="10" t="inlineStr">
        <is>
          <t>LE PONT</t>
        </is>
      </c>
      <c r="C5" s="11" t="n"/>
      <c r="D5" s="11" t="n"/>
      <c r="E5" s="12" t="inlineStr">
        <is>
          <t>scénario Cadrage · version V01</t>
        </is>
      </c>
      <c r="F5" s="1" t="n"/>
      <c r="G5" s="1" t="n"/>
      <c r="H5" s="1" t="n"/>
      <c r="I5" s="1" t="n"/>
      <c r="J5" s="1" t="n"/>
    </row>
    <row r="6" ht="20" customHeight="1">
      <c r="A6" s="1" t="n"/>
      <c r="B6" s="13" t="inlineStr">
        <is>
          <t>Étape</t>
        </is>
      </c>
      <c r="C6" s="47" t="inlineStr">
        <is>
          <t>EBITDA</t>
        </is>
      </c>
      <c r="D6" s="14" t="inlineStr">
        <is>
          <t>Cumul</t>
        </is>
      </c>
      <c r="E6" s="14" t="inlineStr">
        <is>
          <t>Écart à la cible</t>
        </is>
      </c>
      <c r="F6" s="1" t="n"/>
      <c r="G6" s="1" t="n"/>
      <c r="H6" s="1" t="n"/>
      <c r="I6" s="1" t="n"/>
      <c r="J6" s="1" t="n"/>
    </row>
    <row r="7" ht="19" customHeight="1">
      <c r="A7" s="1" t="n"/>
      <c r="B7" s="66" t="inlineStr">
        <is>
          <t>Cible du CFO</t>
        </is>
      </c>
      <c r="C7" s="67" t="n">
        <v>4095766.36</v>
      </c>
      <c r="D7" s="67">
        <f>C7</f>
        <v/>
      </c>
      <c r="E7" s="68" t="n">
        <v>0</v>
      </c>
      <c r="F7" s="1" t="n"/>
      <c r="G7" s="1" t="n"/>
      <c r="H7" s="1" t="n"/>
      <c r="I7" s="1" t="n"/>
      <c r="J7" s="1" t="n"/>
    </row>
    <row r="8" ht="19" customHeight="1">
      <c r="A8" s="1" t="n"/>
      <c r="B8" s="69" t="inlineStr">
        <is>
          <t>Proposition du moteur, avant challenge</t>
        </is>
      </c>
      <c r="C8" s="70" t="n">
        <v>4111503.64</v>
      </c>
      <c r="D8" s="70">
        <f>C8</f>
        <v/>
      </c>
      <c r="E8" s="71">
        <f>D8-$C$7</f>
        <v/>
      </c>
      <c r="F8" s="1" t="n"/>
      <c r="G8" s="1" t="n"/>
      <c r="H8" s="1" t="n"/>
      <c r="I8" s="1" t="n"/>
      <c r="J8" s="1" t="n"/>
    </row>
    <row r="9" ht="19" customHeight="1">
      <c r="A9" s="1" t="n"/>
      <c r="B9" s="69" t="inlineStr">
        <is>
          <t>Effet Pigier Bordeaux</t>
        </is>
      </c>
      <c r="C9" s="72">
        <f>'Mon périmètre'!$D$29-'Mon périmètre'!$C$29</f>
        <v/>
      </c>
      <c r="D9" s="70">
        <f>D8+C9</f>
        <v/>
      </c>
      <c r="E9" s="71">
        <f>D9-$C$7</f>
        <v/>
      </c>
      <c r="F9" s="1" t="n"/>
      <c r="G9" s="1" t="n"/>
      <c r="H9" s="1" t="n"/>
      <c r="I9" s="1" t="n"/>
      <c r="J9" s="1" t="n"/>
    </row>
    <row r="10" ht="19" customHeight="1">
      <c r="A10" s="1" t="n"/>
      <c r="B10" s="73" t="inlineStr">
        <is>
          <t>Budget construit</t>
        </is>
      </c>
      <c r="C10" s="74">
        <f>D9</f>
        <v/>
      </c>
      <c r="D10" s="74">
        <f>C10</f>
        <v/>
      </c>
      <c r="E10" s="75">
        <f>D10-$C$7</f>
        <v/>
      </c>
      <c r="F10" s="1" t="n"/>
      <c r="G10" s="1" t="n"/>
      <c r="H10" s="1" t="n"/>
      <c r="I10" s="1" t="n"/>
      <c r="J10" s="1" t="n"/>
    </row>
    <row r="11">
      <c r="A11" s="1" t="n"/>
      <c r="B11" s="1" t="n"/>
      <c r="C11" s="1" t="n"/>
      <c r="D11" s="1" t="n"/>
      <c r="E11" s="1" t="n"/>
      <c r="F11" s="1" t="n"/>
      <c r="G11" s="1" t="n"/>
      <c r="H11" s="1" t="n"/>
      <c r="I11" s="1" t="n"/>
      <c r="J11" s="1" t="n"/>
    </row>
    <row r="12" ht="20" customHeight="1">
      <c r="A12" s="1" t="n"/>
      <c r="B12" s="76">
        <f>"Treize campus sur quatorze n'ont rien changé : ils héritent du cadrage groupe. Le seul écart vient de Bordeaux, pour "&amp;TEXT(ABS(C9),"#,##0 €")&amp;"."</f>
        <v/>
      </c>
      <c r="C12" s="77" t="n"/>
      <c r="D12" s="77" t="n"/>
      <c r="E12" s="77" t="n"/>
      <c r="F12" s="1" t="n"/>
      <c r="G12" s="1" t="n"/>
      <c r="H12" s="1" t="n"/>
      <c r="I12" s="1" t="n"/>
      <c r="J12" s="1" t="n"/>
    </row>
    <row r="13">
      <c r="A13" s="1" t="n"/>
      <c r="B13" s="1" t="n"/>
      <c r="C13" s="1" t="n"/>
      <c r="D13" s="1" t="n"/>
      <c r="E13" s="1" t="n"/>
      <c r="F13" s="1" t="n"/>
      <c r="G13" s="1" t="n"/>
      <c r="H13" s="1" t="n"/>
      <c r="I13" s="1" t="n"/>
      <c r="J13" s="1" t="n"/>
    </row>
    <row r="14" ht="24" customHeight="1">
      <c r="A14" s="1" t="n"/>
      <c r="B14" s="10" t="inlineStr">
        <is>
          <t>QUI A CHALLENGÉ</t>
        </is>
      </c>
      <c r="C14" s="11" t="n"/>
      <c r="D14" s="11" t="n"/>
      <c r="E14" s="12" t="inlineStr">
        <is>
          <t>lu dans le cube : ENTITY, USERUPD, DATEUPD</t>
        </is>
      </c>
      <c r="F14" s="1" t="n"/>
      <c r="G14" s="1" t="n"/>
      <c r="H14" s="1" t="n"/>
      <c r="I14" s="1" t="n"/>
      <c r="J14" s="1" t="n"/>
    </row>
    <row r="15" ht="20" customHeight="1">
      <c r="A15" s="1" t="n"/>
      <c r="B15" s="13" t="inlineStr">
        <is>
          <t>Campus</t>
        </is>
      </c>
      <c r="C15" s="33" t="inlineStr">
        <is>
          <t>Leviers repris</t>
        </is>
      </c>
      <c r="D15" s="13" t="inlineStr">
        <is>
          <t>Saisi par</t>
        </is>
      </c>
      <c r="E15" s="13" t="inlineStr">
        <is>
          <t>Le</t>
        </is>
      </c>
      <c r="F15" s="1" t="n"/>
      <c r="G15" s="1" t="n"/>
      <c r="H15" s="1" t="n"/>
      <c r="I15" s="1" t="n"/>
      <c r="J15" s="1" t="n"/>
    </row>
    <row r="16" ht="16" customHeight="1">
      <c r="A16" s="1" t="n"/>
      <c r="B16" s="15" t="inlineStr">
        <is>
          <t>Ipac Bachelor Factory Montpellier</t>
        </is>
      </c>
      <c r="C16" s="78" t="n">
        <v>0</v>
      </c>
      <c r="D16" s="16" t="inlineStr">
        <is>
          <t>—</t>
        </is>
      </c>
      <c r="E16" s="63" t="n"/>
      <c r="F16" s="1" t="n"/>
      <c r="G16" s="1" t="n"/>
      <c r="H16" s="1" t="n"/>
      <c r="I16" s="1" t="n"/>
      <c r="J16" s="1" t="n"/>
    </row>
    <row r="17" ht="16" customHeight="1">
      <c r="A17" s="1" t="n"/>
      <c r="B17" s="15" t="inlineStr">
        <is>
          <t>Ipac Bachelor Factory Nantes</t>
        </is>
      </c>
      <c r="C17" s="78" t="n">
        <v>0</v>
      </c>
      <c r="D17" s="16" t="inlineStr">
        <is>
          <t>—</t>
        </is>
      </c>
      <c r="E17" s="63" t="n"/>
      <c r="F17" s="1" t="n"/>
      <c r="G17" s="1" t="n"/>
      <c r="H17" s="1" t="n"/>
      <c r="I17" s="1" t="n"/>
      <c r="J17" s="1" t="n"/>
    </row>
    <row r="18" ht="16" customHeight="1">
      <c r="A18" s="1" t="n"/>
      <c r="B18" s="15" t="inlineStr">
        <is>
          <t>Ipac Bachelor Factory Rennes</t>
        </is>
      </c>
      <c r="C18" s="78" t="n">
        <v>0</v>
      </c>
      <c r="D18" s="16" t="inlineStr">
        <is>
          <t>—</t>
        </is>
      </c>
      <c r="E18" s="63" t="n"/>
      <c r="F18" s="1" t="n"/>
      <c r="G18" s="1" t="n"/>
      <c r="H18" s="1" t="n"/>
      <c r="I18" s="1" t="n"/>
      <c r="J18" s="1" t="n"/>
    </row>
    <row r="19" ht="16" customHeight="1">
      <c r="A19" s="1" t="n"/>
      <c r="B19" s="15" t="inlineStr">
        <is>
          <t>ISCOM Lille</t>
        </is>
      </c>
      <c r="C19" s="78" t="n">
        <v>0</v>
      </c>
      <c r="D19" s="16" t="inlineStr">
        <is>
          <t>—</t>
        </is>
      </c>
      <c r="E19" s="63" t="n"/>
      <c r="F19" s="1" t="n"/>
      <c r="G19" s="1" t="n"/>
      <c r="H19" s="1" t="n"/>
      <c r="I19" s="1" t="n"/>
      <c r="J19" s="1" t="n"/>
    </row>
    <row r="20" ht="16" customHeight="1">
      <c r="A20" s="1" t="n"/>
      <c r="B20" s="15" t="inlineStr">
        <is>
          <t>ISCOM Paris</t>
        </is>
      </c>
      <c r="C20" s="78" t="n">
        <v>0</v>
      </c>
      <c r="D20" s="16" t="inlineStr">
        <is>
          <t>—</t>
        </is>
      </c>
      <c r="E20" s="63" t="n"/>
      <c r="F20" s="1" t="n"/>
      <c r="G20" s="1" t="n"/>
      <c r="H20" s="1" t="n"/>
      <c r="I20" s="1" t="n"/>
      <c r="J20" s="1" t="n"/>
    </row>
    <row r="21" ht="16" customHeight="1">
      <c r="A21" s="1" t="n"/>
      <c r="B21" s="15" t="inlineStr">
        <is>
          <t>ISCOM Toulouse</t>
        </is>
      </c>
      <c r="C21" s="78" t="n">
        <v>0</v>
      </c>
      <c r="D21" s="16" t="inlineStr">
        <is>
          <t>—</t>
        </is>
      </c>
      <c r="E21" s="63" t="n"/>
      <c r="F21" s="1" t="n"/>
      <c r="G21" s="1" t="n"/>
      <c r="H21" s="1" t="n"/>
      <c r="I21" s="1" t="n"/>
      <c r="J21" s="1" t="n"/>
    </row>
    <row r="22" ht="16" customHeight="1">
      <c r="A22" s="1" t="n"/>
      <c r="B22" s="15" t="inlineStr">
        <is>
          <t>MBway Bordeaux</t>
        </is>
      </c>
      <c r="C22" s="78" t="n">
        <v>0</v>
      </c>
      <c r="D22" s="16" t="inlineStr">
        <is>
          <t>—</t>
        </is>
      </c>
      <c r="E22" s="63" t="n"/>
      <c r="F22" s="1" t="n"/>
      <c r="G22" s="1" t="n"/>
      <c r="H22" s="1" t="n"/>
      <c r="I22" s="1" t="n"/>
      <c r="J22" s="1" t="n"/>
    </row>
    <row r="23" ht="16" customHeight="1">
      <c r="A23" s="1" t="n"/>
      <c r="B23" s="15" t="inlineStr">
        <is>
          <t>MBway Lyon</t>
        </is>
      </c>
      <c r="C23" s="78" t="n">
        <v>0</v>
      </c>
      <c r="D23" s="16" t="inlineStr">
        <is>
          <t>—</t>
        </is>
      </c>
      <c r="E23" s="63" t="n"/>
      <c r="F23" s="1" t="n"/>
      <c r="G23" s="1" t="n"/>
      <c r="H23" s="1" t="n"/>
      <c r="I23" s="1" t="n"/>
      <c r="J23" s="1" t="n"/>
    </row>
    <row r="24" ht="16" customHeight="1">
      <c r="A24" s="1" t="n"/>
      <c r="B24" s="15" t="inlineStr">
        <is>
          <t>MBway Nantes</t>
        </is>
      </c>
      <c r="C24" s="78" t="n">
        <v>0</v>
      </c>
      <c r="D24" s="16" t="inlineStr">
        <is>
          <t>—</t>
        </is>
      </c>
      <c r="E24" s="63" t="n"/>
      <c r="F24" s="1" t="n"/>
      <c r="G24" s="1" t="n"/>
      <c r="H24" s="1" t="n"/>
      <c r="I24" s="1" t="n"/>
      <c r="J24" s="1" t="n"/>
    </row>
    <row r="25" ht="16" customHeight="1">
      <c r="A25" s="1" t="n"/>
      <c r="B25" s="15" t="inlineStr">
        <is>
          <t>MBway Paris</t>
        </is>
      </c>
      <c r="C25" s="78" t="n">
        <v>0</v>
      </c>
      <c r="D25" s="16" t="inlineStr">
        <is>
          <t>—</t>
        </is>
      </c>
      <c r="E25" s="63" t="n"/>
      <c r="F25" s="1" t="n"/>
      <c r="G25" s="1" t="n"/>
      <c r="H25" s="1" t="n"/>
      <c r="I25" s="1" t="n"/>
      <c r="J25" s="1" t="n"/>
    </row>
    <row r="26" ht="16" customHeight="1">
      <c r="A26" s="1" t="n"/>
      <c r="B26" s="20" t="inlineStr">
        <is>
          <t>Pigier Bordeaux</t>
        </is>
      </c>
      <c r="C26" s="79">
        <f>COUNTIF('Mon périmètre'!$E$7:$E$12,"&lt;&gt;0")</f>
        <v/>
      </c>
      <c r="D26" s="80" t="inlineStr">
        <is>
          <t>directeur de campus</t>
        </is>
      </c>
      <c r="E26" s="81" t="inlineStr">
        <is>
          <t>en séance</t>
        </is>
      </c>
      <c r="F26" s="1" t="n"/>
      <c r="G26" s="1" t="n"/>
      <c r="H26" s="1" t="n"/>
      <c r="I26" s="1" t="n"/>
      <c r="J26" s="1" t="n"/>
    </row>
    <row r="27" ht="16" customHeight="1">
      <c r="A27" s="1" t="n"/>
      <c r="B27" s="15" t="inlineStr">
        <is>
          <t>Pigier Lyon</t>
        </is>
      </c>
      <c r="C27" s="78" t="n">
        <v>0</v>
      </c>
      <c r="D27" s="16" t="inlineStr">
        <is>
          <t>—</t>
        </is>
      </c>
      <c r="E27" s="63" t="n"/>
      <c r="F27" s="1" t="n"/>
      <c r="G27" s="1" t="n"/>
      <c r="H27" s="1" t="n"/>
      <c r="I27" s="1" t="n"/>
      <c r="J27" s="1" t="n"/>
    </row>
    <row r="28" ht="16" customHeight="1">
      <c r="A28" s="1" t="n"/>
      <c r="B28" s="15" t="inlineStr">
        <is>
          <t>Tunon Lyon</t>
        </is>
      </c>
      <c r="C28" s="78" t="n">
        <v>0</v>
      </c>
      <c r="D28" s="16" t="inlineStr">
        <is>
          <t>—</t>
        </is>
      </c>
      <c r="E28" s="63" t="n"/>
      <c r="F28" s="1" t="n"/>
      <c r="G28" s="1" t="n"/>
      <c r="H28" s="1" t="n"/>
      <c r="I28" s="1" t="n"/>
      <c r="J28" s="1" t="n"/>
    </row>
    <row r="29" ht="16" customHeight="1">
      <c r="A29" s="1" t="n"/>
      <c r="B29" s="15" t="inlineStr">
        <is>
          <t>Tunon Paris</t>
        </is>
      </c>
      <c r="C29" s="78" t="n">
        <v>0</v>
      </c>
      <c r="D29" s="16" t="inlineStr">
        <is>
          <t>—</t>
        </is>
      </c>
      <c r="E29" s="63" t="n"/>
      <c r="F29" s="1" t="n"/>
      <c r="G29" s="1" t="n"/>
      <c r="H29" s="1" t="n"/>
      <c r="I29" s="1" t="n"/>
      <c r="J29" s="1" t="n"/>
    </row>
    <row r="30">
      <c r="A30" s="1" t="n"/>
      <c r="B30" s="1" t="n"/>
      <c r="C30" s="1" t="n"/>
      <c r="D30" s="1" t="n"/>
      <c r="E30" s="1" t="n"/>
      <c r="F30" s="1" t="n"/>
      <c r="G30" s="1" t="n"/>
      <c r="H30" s="1" t="n"/>
      <c r="I30" s="1" t="n"/>
      <c r="J30" s="1" t="n"/>
    </row>
    <row r="31">
      <c r="A31" s="1" t="n"/>
      <c r="B31" s="31" t="inlineStr">
        <is>
          <t>Aucune ligne n'est écrite ailleurs que dans AW_002_000001_000001. Un campus qui ne challenge pas n'a aucune ligne : il hérite du groupe par la cascade.</t>
        </is>
      </c>
      <c r="C31" s="1" t="n"/>
      <c r="D31" s="1" t="n"/>
      <c r="E31" s="1" t="n"/>
      <c r="F31" s="1" t="n"/>
      <c r="G31" s="1" t="n"/>
      <c r="H31" s="1" t="n"/>
      <c r="I31" s="1" t="n"/>
      <c r="J31" s="1" t="n"/>
    </row>
    <row r="32">
      <c r="A32" s="1" t="n"/>
      <c r="B32" s="1" t="n"/>
      <c r="C32" s="1" t="n"/>
      <c r="D32" s="1" t="n"/>
      <c r="E32" s="1" t="n"/>
      <c r="F32" s="1" t="n"/>
      <c r="G32" s="1" t="n"/>
      <c r="H32" s="1" t="n"/>
      <c r="I32" s="1" t="n"/>
      <c r="J32" s="1" t="n"/>
    </row>
    <row r="33">
      <c r="A33" s="1" t="n"/>
      <c r="B33" s="1" t="n"/>
      <c r="C33" s="1" t="n"/>
      <c r="D33" s="1" t="n"/>
      <c r="E33" s="1" t="n"/>
      <c r="F33" s="1" t="n"/>
      <c r="G33" s="1" t="n"/>
      <c r="H33" s="1" t="n"/>
      <c r="I33" s="1" t="n"/>
      <c r="J33" s="1" t="n"/>
    </row>
    <row r="34">
      <c r="A34" s="1" t="n"/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</row>
    <row r="35">
      <c r="A35" s="1" t="n"/>
      <c r="B35" s="1" t="n"/>
      <c r="C35" s="1" t="n"/>
      <c r="D35" s="1" t="n"/>
      <c r="E35" s="1" t="n"/>
      <c r="F35" s="1" t="n"/>
      <c r="G35" s="1" t="n"/>
      <c r="H35" s="1" t="n"/>
      <c r="I35" s="1" t="n"/>
      <c r="J35" s="1" t="n"/>
    </row>
    <row r="36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  <c r="J36" s="1" t="n"/>
    </row>
    <row r="37">
      <c r="A37" s="1" t="n"/>
      <c r="B37" s="1" t="n"/>
      <c r="C37" s="1" t="n"/>
      <c r="D37" s="1" t="n"/>
      <c r="E37" s="1" t="n"/>
      <c r="F37" s="1" t="n"/>
      <c r="G37" s="1" t="n"/>
      <c r="H37" s="1" t="n"/>
      <c r="I37" s="1" t="n"/>
      <c r="J37" s="1" t="n"/>
    </row>
    <row r="38">
      <c r="A38" s="1" t="n"/>
      <c r="B38" s="1" t="n"/>
      <c r="C38" s="1" t="n"/>
      <c r="D38" s="1" t="n"/>
      <c r="E38" s="1" t="n"/>
      <c r="F38" s="1" t="n"/>
      <c r="G38" s="1" t="n"/>
      <c r="H38" s="1" t="n"/>
      <c r="I38" s="1" t="n"/>
      <c r="J38" s="1" t="n"/>
    </row>
    <row r="39">
      <c r="A39" s="1" t="n"/>
      <c r="B39" s="1" t="n"/>
      <c r="C39" s="1" t="n"/>
      <c r="D39" s="1" t="n"/>
      <c r="E39" s="1" t="n"/>
      <c r="F39" s="1" t="n"/>
      <c r="G39" s="1" t="n"/>
      <c r="H39" s="1" t="n"/>
      <c r="I39" s="1" t="n"/>
      <c r="J39" s="1" t="n"/>
    </row>
    <row r="40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  <c r="J40" s="1" t="n"/>
    </row>
  </sheetData>
  <conditionalFormatting sqref="E7:E10">
    <cfRule type="cellIs" priority="1" operator="lessThan" dxfId="0">
      <formula>0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2026-09-09T08:05:05Z</dcterms:created>
  <dcterms:modified xsi:type="dcterms:W3CDTF">2026-09-09T08:05:05Z</dcterms:modified>
</cp:coreProperties>
</file>