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Documents/"/>
    </mc:Choice>
  </mc:AlternateContent>
  <xr:revisionPtr revIDLastSave="0" documentId="8_{542F1491-9AB8-45A4-B41A-2303AA0708E9}" xr6:coauthVersionLast="47" xr6:coauthVersionMax="47" xr10:uidLastSave="{00000000-0000-0000-0000-000000000000}"/>
  <bookViews>
    <workbookView xWindow="-120" yWindow="-120" windowWidth="29040" windowHeight="15720" xr2:uid="{BFD80C7C-8FCC-42DB-8334-50E9FAFEA52E}"/>
  </bookViews>
  <sheets>
    <sheet name="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4" i="4" l="1"/>
  <c r="E33" i="4" s="1"/>
  <c r="E38" i="4"/>
  <c r="F38" i="4" s="1"/>
  <c r="E42" i="4"/>
  <c r="F42" i="4" s="1"/>
  <c r="E47" i="4"/>
  <c r="E50" i="4"/>
  <c r="G34" i="4"/>
  <c r="J34" i="4" s="1"/>
  <c r="K34" i="4" s="1"/>
  <c r="G38" i="4"/>
  <c r="H38" i="4" s="1"/>
  <c r="G42" i="4"/>
  <c r="J42" i="4" s="1"/>
  <c r="G47" i="4"/>
  <c r="H47" i="4" s="1"/>
  <c r="G50" i="4"/>
  <c r="L34" i="4"/>
  <c r="L33" i="4" s="1"/>
  <c r="L38" i="4"/>
  <c r="Z38" i="4" s="1"/>
  <c r="L42" i="4"/>
  <c r="Z42" i="4" s="1"/>
  <c r="L47" i="4"/>
  <c r="L50" i="4"/>
  <c r="T34" i="4"/>
  <c r="T33" i="4" s="1"/>
  <c r="T38" i="4"/>
  <c r="AA38" i="4" s="1"/>
  <c r="T42" i="4"/>
  <c r="T47" i="4"/>
  <c r="AA47" i="4" s="1"/>
  <c r="T50" i="4"/>
  <c r="O34" i="4"/>
  <c r="O33" i="4" s="1"/>
  <c r="M33" i="4" s="1"/>
  <c r="M9" i="4" s="1"/>
  <c r="O38" i="4"/>
  <c r="O42" i="4"/>
  <c r="N42" i="4" s="1"/>
  <c r="O47" i="4"/>
  <c r="M47" i="4" s="1"/>
  <c r="O50" i="4"/>
  <c r="M50" i="4" s="1"/>
  <c r="P34" i="4"/>
  <c r="P38" i="4"/>
  <c r="P42" i="4"/>
  <c r="P47" i="4"/>
  <c r="P50" i="4"/>
  <c r="P33" i="4"/>
  <c r="S34" i="4"/>
  <c r="S38" i="4"/>
  <c r="S42" i="4"/>
  <c r="S47" i="4"/>
  <c r="F47" i="4" s="1"/>
  <c r="S50" i="4"/>
  <c r="S33" i="4"/>
  <c r="R34" i="4"/>
  <c r="R38" i="4"/>
  <c r="R42" i="4"/>
  <c r="V42" i="4" s="1"/>
  <c r="R47" i="4"/>
  <c r="R50" i="4"/>
  <c r="V50" i="4" s="1"/>
  <c r="K50" i="4" s="1"/>
  <c r="R33" i="4"/>
  <c r="V33" i="4" s="1"/>
  <c r="X34" i="4"/>
  <c r="X33" i="4" s="1"/>
  <c r="X38" i="4"/>
  <c r="X42" i="4"/>
  <c r="X47" i="4"/>
  <c r="Z47" i="4" s="1"/>
  <c r="X50" i="4"/>
  <c r="U34" i="4"/>
  <c r="U33" i="4" s="1"/>
  <c r="U38" i="4"/>
  <c r="U42" i="4"/>
  <c r="U47" i="4"/>
  <c r="U50" i="4"/>
  <c r="I34" i="4"/>
  <c r="I33" i="4" s="1"/>
  <c r="I38" i="4"/>
  <c r="I42" i="4"/>
  <c r="I47" i="4"/>
  <c r="I50" i="4"/>
  <c r="Q34" i="4"/>
  <c r="Q38" i="4"/>
  <c r="N38" i="4" s="1"/>
  <c r="Q42" i="4"/>
  <c r="Q47" i="4"/>
  <c r="N47" i="4" s="1"/>
  <c r="Q50" i="4"/>
  <c r="N50" i="4" s="1"/>
  <c r="Q33" i="4"/>
  <c r="W34" i="4"/>
  <c r="W38" i="4"/>
  <c r="W42" i="4"/>
  <c r="W47" i="4"/>
  <c r="W50" i="4"/>
  <c r="W33" i="4"/>
  <c r="Y34" i="4"/>
  <c r="Y33" i="4" s="1"/>
  <c r="Y38" i="4"/>
  <c r="Y42" i="4"/>
  <c r="Y47" i="4"/>
  <c r="Y50" i="4"/>
  <c r="F34" i="4"/>
  <c r="H34" i="4"/>
  <c r="V34" i="4"/>
  <c r="M34" i="4"/>
  <c r="N34" i="4"/>
  <c r="Z34" i="4"/>
  <c r="AA34" i="4"/>
  <c r="F35" i="4"/>
  <c r="H35" i="4"/>
  <c r="J35" i="4"/>
  <c r="V35" i="4"/>
  <c r="K35" i="4"/>
  <c r="M35" i="4"/>
  <c r="N35" i="4"/>
  <c r="Z35" i="4"/>
  <c r="AA35" i="4"/>
  <c r="F36" i="4"/>
  <c r="H36" i="4"/>
  <c r="J36" i="4"/>
  <c r="V36" i="4"/>
  <c r="K36" i="4"/>
  <c r="M36" i="4"/>
  <c r="N36" i="4"/>
  <c r="Z36" i="4"/>
  <c r="AA36" i="4"/>
  <c r="F37" i="4"/>
  <c r="H37" i="4"/>
  <c r="J37" i="4"/>
  <c r="V37" i="4"/>
  <c r="K37" i="4"/>
  <c r="M37" i="4"/>
  <c r="N37" i="4"/>
  <c r="Z37" i="4"/>
  <c r="AA37" i="4"/>
  <c r="V38" i="4"/>
  <c r="M38" i="4"/>
  <c r="F39" i="4"/>
  <c r="H39" i="4"/>
  <c r="J39" i="4"/>
  <c r="V39" i="4"/>
  <c r="K39" i="4"/>
  <c r="M39" i="4"/>
  <c r="N39" i="4"/>
  <c r="Z39" i="4"/>
  <c r="AA39" i="4"/>
  <c r="F40" i="4"/>
  <c r="H40" i="4"/>
  <c r="J40" i="4"/>
  <c r="K40" i="4" s="1"/>
  <c r="V40" i="4"/>
  <c r="M40" i="4"/>
  <c r="N40" i="4"/>
  <c r="Z40" i="4"/>
  <c r="AA40" i="4"/>
  <c r="F41" i="4"/>
  <c r="H41" i="4"/>
  <c r="J41" i="4"/>
  <c r="K41" i="4" s="1"/>
  <c r="V41" i="4"/>
  <c r="M41" i="4"/>
  <c r="N41" i="4"/>
  <c r="Z41" i="4"/>
  <c r="AA41" i="4"/>
  <c r="H42" i="4"/>
  <c r="AA42" i="4"/>
  <c r="F43" i="4"/>
  <c r="H43" i="4"/>
  <c r="J43" i="4"/>
  <c r="V43" i="4"/>
  <c r="K43" i="4"/>
  <c r="M43" i="4"/>
  <c r="N43" i="4"/>
  <c r="Z43" i="4"/>
  <c r="AA43" i="4"/>
  <c r="F44" i="4"/>
  <c r="H44" i="4"/>
  <c r="J44" i="4"/>
  <c r="V44" i="4"/>
  <c r="K44" i="4"/>
  <c r="M44" i="4"/>
  <c r="N44" i="4"/>
  <c r="Z44" i="4"/>
  <c r="AA44" i="4"/>
  <c r="F45" i="4"/>
  <c r="H45" i="4"/>
  <c r="J45" i="4"/>
  <c r="V45" i="4"/>
  <c r="K45" i="4"/>
  <c r="M45" i="4"/>
  <c r="N45" i="4"/>
  <c r="Z45" i="4"/>
  <c r="AA45" i="4"/>
  <c r="F46" i="4"/>
  <c r="H46" i="4"/>
  <c r="J46" i="4"/>
  <c r="V46" i="4"/>
  <c r="K46" i="4"/>
  <c r="M46" i="4"/>
  <c r="N46" i="4"/>
  <c r="Z46" i="4"/>
  <c r="AA46" i="4"/>
  <c r="V47" i="4"/>
  <c r="F48" i="4"/>
  <c r="H48" i="4"/>
  <c r="J48" i="4"/>
  <c r="K48" i="4" s="1"/>
  <c r="V48" i="4"/>
  <c r="M48" i="4"/>
  <c r="N48" i="4"/>
  <c r="Z48" i="4"/>
  <c r="AA48" i="4"/>
  <c r="F49" i="4"/>
  <c r="H49" i="4"/>
  <c r="J49" i="4"/>
  <c r="K49" i="4" s="1"/>
  <c r="V49" i="4"/>
  <c r="M49" i="4"/>
  <c r="N49" i="4"/>
  <c r="Z49" i="4"/>
  <c r="AA49" i="4"/>
  <c r="F50" i="4"/>
  <c r="H50" i="4"/>
  <c r="J50" i="4"/>
  <c r="Z50" i="4"/>
  <c r="AA50" i="4"/>
  <c r="F51" i="4"/>
  <c r="H51" i="4"/>
  <c r="J51" i="4"/>
  <c r="V51" i="4"/>
  <c r="K51" i="4"/>
  <c r="M51" i="4"/>
  <c r="N51" i="4"/>
  <c r="Z51" i="4"/>
  <c r="AA51" i="4"/>
  <c r="F52" i="4"/>
  <c r="H52" i="4"/>
  <c r="J52" i="4"/>
  <c r="V52" i="4"/>
  <c r="K52" i="4"/>
  <c r="M52" i="4"/>
  <c r="N52" i="4"/>
  <c r="Z52" i="4"/>
  <c r="AA52" i="4"/>
  <c r="N33" i="4" l="1"/>
  <c r="M10" i="4"/>
  <c r="Z33" i="4"/>
  <c r="I10" i="4" s="1"/>
  <c r="I9" i="4"/>
  <c r="F33" i="4"/>
  <c r="C10" i="4" s="1"/>
  <c r="C9" i="4"/>
  <c r="K9" i="4"/>
  <c r="K10" i="4" s="1"/>
  <c r="AA33" i="4"/>
  <c r="K42" i="4"/>
  <c r="J47" i="4"/>
  <c r="K47" i="4" s="1"/>
  <c r="J38" i="4"/>
  <c r="K38" i="4" s="1"/>
  <c r="M42" i="4"/>
  <c r="G33" i="4"/>
  <c r="J33" i="4" l="1"/>
  <c r="E9" i="4"/>
  <c r="H33" i="4"/>
  <c r="E10" i="4" s="1"/>
  <c r="K33" i="4" l="1"/>
  <c r="G10" i="4" s="1"/>
  <c r="G9" i="4"/>
</calcChain>
</file>

<file path=xl/sharedStrings.xml><?xml version="1.0" encoding="utf-8"?>
<sst xmlns="http://schemas.openxmlformats.org/spreadsheetml/2006/main" count="106" uniqueCount="94">
  <si>
    <t>EDUSERVICES</t>
  </si>
  <si>
    <t>EBITDA</t>
  </si>
  <si>
    <t>CA</t>
  </si>
  <si>
    <t>EBITDA_N1</t>
  </si>
  <si>
    <t>CA_N1</t>
  </si>
  <si>
    <t>PLACES</t>
  </si>
  <si>
    <t>EFFECTIFS</t>
  </si>
  <si>
    <t>EFFECTIFS_ALT</t>
  </si>
  <si>
    <t>Δ CA</t>
  </si>
  <si>
    <t>SPEND_ACQ</t>
  </si>
  <si>
    <t>SPEND_ACQ_N1</t>
  </si>
  <si>
    <t>Δ EBITDA</t>
  </si>
  <si>
    <t>Part EBITDA</t>
  </si>
  <si>
    <t>Marge EBITDA</t>
  </si>
  <si>
    <t>Δ Marge</t>
  </si>
  <si>
    <t>Inscrits</t>
  </si>
  <si>
    <t>Rempl.</t>
  </si>
  <si>
    <t>Mix alt.</t>
  </si>
  <si>
    <t>Marge EBTIDA N-1</t>
  </si>
  <si>
    <t xml:space="preserve">  CHIFFRE D'AFFAIRES</t>
  </si>
  <si>
    <t xml:space="preserve">  EBITDA</t>
  </si>
  <si>
    <t xml:space="preserve">  MARGE EBITDA</t>
  </si>
  <si>
    <t xml:space="preserve">  INSCRITS (NOUVEAUX)</t>
  </si>
  <si>
    <t xml:space="preserve">  COÛT D'ACQUISITION</t>
  </si>
  <si>
    <t xml:space="preserve">  REMPLISSAGE MOYEN</t>
  </si>
  <si>
    <t>PLACES_N1</t>
  </si>
  <si>
    <t>INSCRITS_N1</t>
  </si>
  <si>
    <t>EFFECTIFS_N1</t>
  </si>
  <si>
    <t>% nouveaux inscrits</t>
  </si>
  <si>
    <t xml:space="preserve">  Scénario</t>
  </si>
  <si>
    <t xml:space="preserve">  Marque</t>
  </si>
  <si>
    <t xml:space="preserve">  Campus</t>
  </si>
  <si>
    <t>Forecast</t>
  </si>
  <si>
    <t>Tous</t>
  </si>
  <si>
    <t>Version</t>
  </si>
  <si>
    <t>V_FINAL</t>
  </si>
  <si>
    <t>RANG</t>
  </si>
  <si>
    <t>ETAPE</t>
  </si>
  <si>
    <t>SOCLE</t>
  </si>
  <si>
    <t>ANCRE</t>
  </si>
  <si>
    <t>HAUSSE</t>
  </si>
  <si>
    <t>BAISSE</t>
  </si>
  <si>
    <t>EXERCICE</t>
  </si>
  <si>
    <t>CA_2024</t>
  </si>
  <si>
    <t>EBITDA_2024</t>
  </si>
  <si>
    <t>MARGE_2024</t>
  </si>
  <si>
    <t>CA_2025</t>
  </si>
  <si>
    <t>EBITDA_2025</t>
  </si>
  <si>
    <t>MARGE_2025</t>
  </si>
  <si>
    <t>CA_2026</t>
  </si>
  <si>
    <t>EBITDA_2026</t>
  </si>
  <si>
    <t>MARGE_2026</t>
  </si>
  <si>
    <t>ECART_PT</t>
  </si>
  <si>
    <t>DEPENSES</t>
  </si>
  <si>
    <t>INSCRITS</t>
  </si>
  <si>
    <t>IND_DEPENSES</t>
  </si>
  <si>
    <t>IND_INSCRITS</t>
  </si>
  <si>
    <t>CAC</t>
  </si>
  <si>
    <t>NIVEAU</t>
  </si>
  <si>
    <t>CODE</t>
  </si>
  <si>
    <t>LIBELLE</t>
  </si>
  <si>
    <t>Ipac Bachelor Factory Nantes</t>
  </si>
  <si>
    <t>Tunon</t>
  </si>
  <si>
    <t>ISCOM Toulouse</t>
  </si>
  <si>
    <t>Tunon Lyon</t>
  </si>
  <si>
    <t>MBway Lyon</t>
  </si>
  <si>
    <t>Ipac Bachelor Factory Rennes</t>
  </si>
  <si>
    <t>Tunon Paris</t>
  </si>
  <si>
    <t>MBway Bordeaux</t>
  </si>
  <si>
    <t>MBway Paris</t>
  </si>
  <si>
    <t>Pigier Lyon</t>
  </si>
  <si>
    <t>ISCOM Lille</t>
  </si>
  <si>
    <t>Pigier Bordeaux</t>
  </si>
  <si>
    <t>ISCOM</t>
  </si>
  <si>
    <t>Ipac Bachelor Factory</t>
  </si>
  <si>
    <t>Pigier</t>
  </si>
  <si>
    <t>ISCOM Paris</t>
  </si>
  <si>
    <t>Ipac Bachelor Factory Montpellier</t>
  </si>
  <si>
    <t>MBway Nantes</t>
  </si>
  <si>
    <t>MBway</t>
  </si>
  <si>
    <t>2024</t>
  </si>
  <si>
    <t>2025</t>
  </si>
  <si>
    <t>2026</t>
  </si>
  <si>
    <t>2027</t>
  </si>
  <si>
    <t>MARQUE</t>
  </si>
  <si>
    <t>IPAC</t>
  </si>
  <si>
    <t>MBWAY</t>
  </si>
  <si>
    <t>PIGIER</t>
  </si>
  <si>
    <t>TUNON</t>
  </si>
  <si>
    <t>EBITDA 2025</t>
  </si>
  <si>
    <t>Activit?</t>
  </si>
  <si>
    <t>Prix / mix</t>
  </si>
  <si>
    <t>Co?ts</t>
  </si>
  <si>
    <t>EBITDA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</si>
</sst>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#,##0.00,"/>
    <numFmt numFmtId="166" formatCode="#,##0,"/>
    <numFmt numFmtId="167" formatCode="mm/dd/yy;@"/>
    <numFmt numFmtId="168" formatCode="_(&quot;$&quot;* #,##0_);_(&quot;$&quot;* \(#,##0\);_(&quot;$&quot;* &quot;-&quot;_);_(@_)"/>
    <numFmt numFmtId="169" formatCode="&quot;$&quot;#,##0.00"/>
    <numFmt numFmtId="170" formatCode="&quot;▲ &quot;0.0%;&quot;▼ &quot;0.0%"/>
    <numFmt numFmtId="171" formatCode="0.0%;\-0.0%"/>
    <numFmt numFmtId="172" formatCode="&quot;↗ +&quot;0.0&quot; pt&quot;;&quot;↘ −&quot;0.0&quot; pt&quot;;&quot;→ &quot;0.0&quot; pt&quot;"/>
    <numFmt numFmtId="173" formatCode="#,##0.00,,&quot; M€&quot;"/>
    <numFmt numFmtId="174" formatCode="#,##0&quot; €&quot;"/>
    <numFmt numFmtId="175" formatCode="#,##0&quot; places libres&quot;"/>
    <numFmt numFmtId="176" formatCode="&quot;▲ &quot;0.00%;&quot;▼ &quot;0.00%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3"/>
      <name val="Tahoma"/>
      <family val="2"/>
    </font>
    <font>
      <sz val="11"/>
      <color theme="3"/>
      <name val="Aptos Narrow"/>
      <family val="2"/>
      <scheme val="minor"/>
    </font>
    <font>
      <sz val="8"/>
      <color theme="0"/>
      <name val="Tahoma"/>
      <family val="2"/>
    </font>
    <font>
      <b/>
      <sz val="8"/>
      <color theme="3"/>
      <name val="Tahoma"/>
      <family val="2"/>
    </font>
    <font>
      <b/>
      <i/>
      <sz val="8"/>
      <color theme="3"/>
      <name val="Tahoma"/>
      <family val="2"/>
    </font>
    <font>
      <u/>
      <sz val="8"/>
      <color theme="3"/>
      <name val="Tahoma"/>
      <family val="2"/>
    </font>
    <font>
      <sz val="8"/>
      <name val="Tahoma"/>
      <family val="2"/>
    </font>
    <font>
      <sz val="11"/>
      <color rgb="FF9C6500"/>
      <name val="Aptos Narrow"/>
      <family val="2"/>
      <scheme val="minor"/>
    </font>
    <font>
      <sz val="11"/>
      <color theme="3"/>
      <name val="Tahoma"/>
      <family val="2"/>
    </font>
    <font>
      <sz val="10"/>
      <color theme="3"/>
      <name val="Webdings"/>
      <family val="1"/>
      <charset val="2"/>
    </font>
    <font>
      <b/>
      <sz val="18"/>
      <color theme="3"/>
      <name val="Aptos Display"/>
      <family val="2"/>
      <scheme val="major"/>
    </font>
    <font>
      <sz val="8"/>
      <color rgb="FFFF0000"/>
      <name val="Webdings"/>
      <family val="1"/>
      <charset val="2"/>
    </font>
    <font>
      <sz val="14"/>
      <color rgb="FFFF0000"/>
      <name val="Webdings"/>
      <family val="1"/>
      <charset val="2"/>
    </font>
    <font>
      <sz val="8"/>
      <color theme="1"/>
      <name val="Webdings"/>
      <family val="1"/>
      <charset val="2"/>
    </font>
    <font>
      <sz val="14"/>
      <color rgb="FF00B050"/>
      <name val="Webdings"/>
      <family val="1"/>
      <charset val="2"/>
    </font>
    <font>
      <b/>
      <sz val="11"/>
      <color theme="1"/>
      <name val="Aptos Narrow"/>
      <family val="2"/>
      <scheme val="minor"/>
    </font>
    <font>
      <b/>
      <sz val="10"/>
      <color rgb="FF131922"/>
      <name val="Segoe UI"/>
      <family val="2"/>
    </font>
    <font>
      <b/>
      <sz val="9.5"/>
      <color rgb="FF131922"/>
      <name val="Consolas"/>
      <family val="3"/>
    </font>
    <font>
      <b/>
      <sz val="9.5"/>
      <color rgb="FF131922"/>
      <name val="Segoe UI"/>
      <family val="2"/>
    </font>
    <font>
      <sz val="9.5"/>
      <color rgb="FF4D5866"/>
      <name val="Segoe UI"/>
      <family val="2"/>
    </font>
    <font>
      <sz val="9.5"/>
      <color rgb="FF4D5866"/>
      <name val="Consolas"/>
      <family val="3"/>
    </font>
    <font>
      <b/>
      <sz val="8.5"/>
      <color rgb="FF7C8798"/>
      <name val="Segoe UI"/>
      <family val="2"/>
    </font>
    <font>
      <b/>
      <sz val="20"/>
      <color rgb="FF131922"/>
      <name val="Consolas"/>
      <family val="3"/>
    </font>
    <font>
      <b/>
      <sz val="9.5"/>
      <color rgb="FF7C8798"/>
      <name val="Segoe UI"/>
      <family val="2"/>
    </font>
    <font>
      <sz val="9"/>
      <color rgb="FF7C8798"/>
      <name val="Segoe UI"/>
      <family val="2"/>
    </font>
    <font>
      <b/>
      <sz val="9.5"/>
      <color rgb="FF2A78D6"/>
      <name val="Segoe UI"/>
      <family val="2"/>
    </font>
    <font>
      <b/>
      <i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8F8F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DCE9F9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1" tint="0.499984740745262"/>
      </bottom>
      <diagonal/>
    </border>
    <border>
      <left/>
      <right/>
      <top/>
      <bottom style="thin">
        <color theme="3" tint="0.79998168889431442"/>
      </bottom>
      <diagonal/>
    </border>
    <border>
      <left/>
      <right/>
      <top/>
      <bottom style="thick">
        <color theme="3" tint="0.39994506668294322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/>
      <right/>
      <top/>
      <bottom style="medium">
        <color theme="3"/>
      </bottom>
      <diagonal/>
    </border>
    <border>
      <left/>
      <right/>
      <top/>
      <bottom style="thin">
        <color rgb="FFEAEEF4"/>
      </bottom>
      <diagonal/>
    </border>
    <border>
      <left style="thin">
        <color rgb="FFDFE4EC"/>
      </left>
      <right/>
      <top style="thin">
        <color rgb="FFDFE4EC"/>
      </top>
      <bottom/>
      <diagonal/>
    </border>
    <border>
      <left/>
      <right style="thin">
        <color rgb="FFDFE4EC"/>
      </right>
      <top style="thin">
        <color rgb="FFDFE4EC"/>
      </top>
      <bottom/>
      <diagonal/>
    </border>
    <border>
      <left style="thin">
        <color rgb="FFFAB219"/>
      </left>
      <right/>
      <top style="thin">
        <color rgb="FFFAB219"/>
      </top>
      <bottom/>
      <diagonal/>
    </border>
    <border>
      <left/>
      <right style="thin">
        <color rgb="FFFAB219"/>
      </right>
      <top style="thin">
        <color rgb="FFFAB219"/>
      </top>
      <bottom/>
      <diagonal/>
    </border>
    <border>
      <left style="thin">
        <color rgb="FFDFE4EC"/>
      </left>
      <right/>
      <top/>
      <bottom/>
      <diagonal/>
    </border>
    <border>
      <left/>
      <right style="thin">
        <color rgb="FFDFE4EC"/>
      </right>
      <top/>
      <bottom/>
      <diagonal/>
    </border>
    <border>
      <left style="thin">
        <color rgb="FFFAB219"/>
      </left>
      <right/>
      <top/>
      <bottom/>
      <diagonal/>
    </border>
    <border>
      <left/>
      <right style="thin">
        <color rgb="FFFAB219"/>
      </right>
      <top/>
      <bottom/>
      <diagonal/>
    </border>
    <border>
      <left style="thin">
        <color rgb="FFDFE4EC"/>
      </left>
      <right/>
      <top/>
      <bottom style="thin">
        <color rgb="FFDFE4EC"/>
      </bottom>
      <diagonal/>
    </border>
    <border>
      <left/>
      <right style="thin">
        <color rgb="FFDFE4EC"/>
      </right>
      <top/>
      <bottom style="thin">
        <color rgb="FFDFE4EC"/>
      </bottom>
      <diagonal/>
    </border>
    <border>
      <left style="thin">
        <color rgb="FFFAB219"/>
      </left>
      <right/>
      <top/>
      <bottom style="thin">
        <color rgb="FFFAB219"/>
      </bottom>
      <diagonal/>
    </border>
    <border>
      <left/>
      <right style="thin">
        <color rgb="FFFAB219"/>
      </right>
      <top/>
      <bottom style="thin">
        <color rgb="FFFAB219"/>
      </bottom>
      <diagonal/>
    </border>
    <border>
      <left style="thin">
        <color rgb="FFDFE4EC"/>
      </left>
      <right/>
      <top style="thin">
        <color rgb="FFDFE4EC"/>
      </top>
      <bottom style="thin">
        <color rgb="FFDFE4EC"/>
      </bottom>
      <diagonal/>
    </border>
    <border>
      <left/>
      <right style="thin">
        <color rgb="FFDFE4EC"/>
      </right>
      <top style="thin">
        <color rgb="FFDFE4EC"/>
      </top>
      <bottom style="thin">
        <color rgb="FFDFE4EC"/>
      </bottom>
      <diagonal/>
    </border>
    <border>
      <left style="thin">
        <color rgb="FF2A78D6"/>
      </left>
      <right/>
      <top style="thin">
        <color rgb="FF2A78D6"/>
      </top>
      <bottom style="thin">
        <color rgb="FF2A78D6"/>
      </bottom>
      <diagonal/>
    </border>
    <border>
      <left/>
      <right style="thin">
        <color rgb="FF2A78D6"/>
      </right>
      <top style="thin">
        <color rgb="FF2A78D6"/>
      </top>
      <bottom style="thin">
        <color rgb="FF2A78D6"/>
      </bottom>
      <diagonal/>
    </border>
  </borders>
  <cellStyleXfs count="57">
    <xf numFmtId="0" fontId="0" fillId="0" borderId="0"/>
    <xf numFmtId="0" fontId="13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>
      <alignment horizontal="center"/>
    </xf>
    <xf numFmtId="10" fontId="1" fillId="0" borderId="0" applyFont="0" applyFill="0" applyBorder="0" applyAlignment="0"/>
    <xf numFmtId="165" fontId="3" fillId="9" borderId="1" applyNumberFormat="0" applyProtection="0">
      <alignment horizontal="center" vertical="center" wrapText="1"/>
    </xf>
    <xf numFmtId="9" fontId="1" fillId="0" borderId="0" applyNumberFormat="0" applyFont="0" applyFill="0" applyBorder="0" applyProtection="0">
      <alignment horizontal="center" vertical="center"/>
    </xf>
    <xf numFmtId="9" fontId="1" fillId="0" borderId="0" applyNumberFormat="0" applyFont="0" applyFill="0" applyBorder="0" applyProtection="0">
      <alignment horizontal="left" vertical="center"/>
    </xf>
    <xf numFmtId="9" fontId="1" fillId="0" borderId="0" applyNumberFormat="0" applyFont="0" applyFill="0" applyBorder="0" applyProtection="0">
      <alignment horizontal="center" vertical="center"/>
    </xf>
    <xf numFmtId="9" fontId="1" fillId="0" borderId="0" applyNumberFormat="0" applyFont="0" applyFill="0" applyBorder="0" applyProtection="0">
      <alignment horizontal="left" vertical="center" wrapText="1"/>
    </xf>
    <xf numFmtId="2" fontId="4" fillId="0" borderId="0" applyFont="0" applyFill="0" applyBorder="0" applyAlignment="0" applyProtection="0">
      <alignment horizontal="left"/>
    </xf>
    <xf numFmtId="9" fontId="1" fillId="0" borderId="2" applyNumberFormat="0" applyFont="0" applyFill="0" applyAlignment="0"/>
    <xf numFmtId="166" fontId="1" fillId="0" borderId="0" applyFont="0" applyFill="0" applyBorder="0" applyAlignment="0"/>
    <xf numFmtId="165" fontId="3" fillId="0" borderId="3" applyNumberFormat="0" applyFill="0" applyProtection="0">
      <alignment horizontal="center" vertical="center" wrapText="1"/>
    </xf>
    <xf numFmtId="9" fontId="5" fillId="0" borderId="0" applyNumberFormat="0" applyFill="0" applyAlignment="0"/>
    <xf numFmtId="9" fontId="6" fillId="0" borderId="0" applyNumberFormat="0" applyFill="0" applyBorder="0" applyAlignment="0" applyProtection="0"/>
    <xf numFmtId="9" fontId="7" fillId="0" borderId="0" applyNumberFormat="0" applyFill="0" applyBorder="0" applyAlignment="0" applyProtection="0"/>
    <xf numFmtId="165" fontId="1" fillId="10" borderId="4" applyNumberFormat="0" applyFont="0" applyAlignment="0"/>
    <xf numFmtId="0" fontId="3" fillId="9" borderId="5">
      <alignment horizontal="center" vertical="center" wrapText="1"/>
    </xf>
    <xf numFmtId="167" fontId="1" fillId="0" borderId="0" applyFont="0" applyFill="0" applyBorder="0" applyAlignment="0"/>
    <xf numFmtId="9" fontId="1" fillId="11" borderId="0" applyNumberFormat="0" applyFont="0" applyBorder="0" applyAlignment="0" applyProtection="0"/>
    <xf numFmtId="165" fontId="6" fillId="0" borderId="0" applyNumberFormat="0" applyFill="0" applyBorder="0" applyProtection="0">
      <alignment horizontal="right"/>
    </xf>
    <xf numFmtId="0" fontId="3" fillId="0" borderId="2" applyNumberFormat="0" applyFill="0">
      <alignment horizontal="left" vertical="center"/>
    </xf>
    <xf numFmtId="9" fontId="8" fillId="0" borderId="0" applyNumberFormat="0" applyFill="0" applyBorder="0" applyAlignment="0"/>
    <xf numFmtId="9" fontId="8" fillId="0" borderId="0" applyNumberFormat="0" applyFill="0" applyBorder="0" applyAlignment="0"/>
    <xf numFmtId="0" fontId="1" fillId="0" borderId="0" applyNumberFormat="0" applyFont="0" applyFill="0" applyBorder="0">
      <alignment horizontal="center" vertical="center" wrapText="1"/>
    </xf>
    <xf numFmtId="168" fontId="3" fillId="0" borderId="0"/>
    <xf numFmtId="169" fontId="9" fillId="0" borderId="0" applyBorder="0">
      <alignment horizontal="center"/>
    </xf>
    <xf numFmtId="0" fontId="3" fillId="0" borderId="4" applyNumberFormat="0" applyFill="0" applyAlignment="0"/>
    <xf numFmtId="9" fontId="6" fillId="0" borderId="6" applyNumberFormat="0" applyFill="0"/>
    <xf numFmtId="9" fontId="2" fillId="9" borderId="7" applyNumberFormat="0" applyAlignment="0"/>
    <xf numFmtId="3" fontId="3" fillId="0" borderId="0" applyFill="0" applyBorder="0" applyProtection="0">
      <alignment horizontal="right" vertical="center"/>
    </xf>
    <xf numFmtId="37" fontId="11" fillId="0" borderId="0" applyFill="0" applyBorder="0" applyProtection="0">
      <alignment horizontal="right" vertical="center"/>
    </xf>
    <xf numFmtId="165" fontId="3" fillId="0" borderId="0" applyNumberFormat="0" applyFill="0" applyBorder="0" applyProtection="0">
      <alignment horizontal="left"/>
    </xf>
    <xf numFmtId="0" fontId="3" fillId="0" borderId="0" applyNumberFormat="0" applyFill="0" applyBorder="0" applyProtection="0">
      <alignment horizontal="right" vertical="center" wrapText="1"/>
    </xf>
    <xf numFmtId="9" fontId="1" fillId="12" borderId="0" applyNumberFormat="0" applyFont="0" applyAlignment="0" applyProtection="0"/>
    <xf numFmtId="9" fontId="12" fillId="0" borderId="0" applyNumberFormat="0" applyFill="0" applyBorder="0" applyAlignment="0"/>
    <xf numFmtId="9" fontId="1" fillId="0" borderId="0"/>
    <xf numFmtId="9" fontId="6" fillId="13" borderId="0" applyNumberFormat="0" applyBorder="0" applyProtection="0">
      <alignment horizontal="right" vertical="center"/>
    </xf>
    <xf numFmtId="9" fontId="6" fillId="13" borderId="0" applyNumberFormat="0" applyBorder="0" applyProtection="0">
      <alignment horizontal="left" vertical="center" wrapText="1"/>
    </xf>
    <xf numFmtId="165" fontId="6" fillId="13" borderId="8" applyNumberFormat="0" applyFill="0" applyBorder="0" applyAlignment="0"/>
    <xf numFmtId="0" fontId="4" fillId="0" borderId="0" applyNumberFormat="0" applyFill="0" applyBorder="0" applyProtection="0">
      <alignment horizontal="right"/>
    </xf>
    <xf numFmtId="9" fontId="14" fillId="0" borderId="0" applyFill="0" applyBorder="0" applyProtection="0">
      <alignment horizontal="center" vertical="center"/>
    </xf>
    <xf numFmtId="0" fontId="15" fillId="0" borderId="0">
      <alignment horizontal="center" vertical="center"/>
    </xf>
    <xf numFmtId="1" fontId="16" fillId="0" borderId="0" applyFill="0" applyBorder="0" applyProtection="0">
      <alignment horizontal="center" vertical="center"/>
    </xf>
    <xf numFmtId="0" fontId="15" fillId="0" borderId="9" applyFill="0" applyProtection="0">
      <alignment horizontal="center" vertical="center"/>
    </xf>
    <xf numFmtId="0" fontId="17" fillId="0" borderId="9" applyFill="0" applyProtection="0">
      <alignment horizontal="center"/>
    </xf>
    <xf numFmtId="9" fontId="6" fillId="0" borderId="10" applyNumberFormat="0" applyFill="0">
      <alignment horizontal="left"/>
    </xf>
    <xf numFmtId="0" fontId="3" fillId="0" borderId="2">
      <alignment horizontal="left" vertical="top" wrapText="1"/>
      <protection locked="0"/>
    </xf>
    <xf numFmtId="0" fontId="1" fillId="0" borderId="0"/>
  </cellStyleXfs>
  <cellXfs count="51">
    <xf numFmtId="0" fontId="0" fillId="0" borderId="0" xfId="0"/>
    <xf numFmtId="0" fontId="0" fillId="0" borderId="0" xfId="0" quotePrefix="1"/>
    <xf numFmtId="0" fontId="3" fillId="9" borderId="5" xfId="25" quotePrefix="1">
      <alignment horizontal="center" vertical="center" wrapText="1"/>
    </xf>
    <xf numFmtId="3" fontId="3" fillId="0" borderId="2" xfId="38" applyBorder="1">
      <alignment horizontal="right" vertical="center"/>
    </xf>
    <xf numFmtId="0" fontId="21" fillId="15" borderId="11" xfId="56" applyFont="1" applyFill="1" applyBorder="1" applyAlignment="1">
      <alignment horizontal="left" vertical="center" indent="1"/>
    </xf>
    <xf numFmtId="0" fontId="22" fillId="15" borderId="11" xfId="56" applyFont="1" applyFill="1" applyBorder="1" applyAlignment="1">
      <alignment horizontal="left" vertical="center" indent="2"/>
    </xf>
    <xf numFmtId="0" fontId="19" fillId="14" borderId="11" xfId="56" quotePrefix="1" applyFont="1" applyFill="1" applyBorder="1" applyAlignment="1">
      <alignment horizontal="left" vertical="center"/>
    </xf>
    <xf numFmtId="0" fontId="24" fillId="15" borderId="12" xfId="56" applyFont="1" applyFill="1" applyBorder="1" applyAlignment="1">
      <alignment horizontal="left" vertical="center"/>
    </xf>
    <xf numFmtId="0" fontId="1" fillId="15" borderId="13" xfId="56" applyFill="1" applyBorder="1"/>
    <xf numFmtId="0" fontId="24" fillId="15" borderId="14" xfId="56" applyFont="1" applyFill="1" applyBorder="1" applyAlignment="1">
      <alignment horizontal="left" vertical="center"/>
    </xf>
    <xf numFmtId="0" fontId="1" fillId="15" borderId="15" xfId="56" applyFill="1" applyBorder="1"/>
    <xf numFmtId="170" fontId="21" fillId="15" borderId="20" xfId="56" applyNumberFormat="1" applyFont="1" applyFill="1" applyBorder="1" applyAlignment="1">
      <alignment horizontal="left" vertical="center" indent="1"/>
    </xf>
    <xf numFmtId="0" fontId="1" fillId="15" borderId="21" xfId="56" applyFill="1" applyBorder="1"/>
    <xf numFmtId="172" fontId="21" fillId="15" borderId="20" xfId="56" applyNumberFormat="1" applyFont="1" applyFill="1" applyBorder="1" applyAlignment="1">
      <alignment horizontal="left" vertical="center" indent="1"/>
    </xf>
    <xf numFmtId="170" fontId="21" fillId="15" borderId="22" xfId="56" applyNumberFormat="1" applyFont="1" applyFill="1" applyBorder="1" applyAlignment="1">
      <alignment horizontal="left" vertical="center" indent="1"/>
    </xf>
    <xf numFmtId="0" fontId="1" fillId="15" borderId="23" xfId="56" applyFill="1" applyBorder="1"/>
    <xf numFmtId="175" fontId="26" fillId="15" borderId="20" xfId="56" applyNumberFormat="1" applyFont="1" applyFill="1" applyBorder="1" applyAlignment="1">
      <alignment horizontal="left" vertical="center" indent="1"/>
    </xf>
    <xf numFmtId="173" fontId="25" fillId="15" borderId="16" xfId="56" applyNumberFormat="1" applyFont="1" applyFill="1" applyBorder="1" applyAlignment="1">
      <alignment horizontal="centerContinuous" vertical="center"/>
    </xf>
    <xf numFmtId="0" fontId="1" fillId="15" borderId="17" xfId="56" applyFill="1" applyBorder="1" applyAlignment="1">
      <alignment horizontal="centerContinuous"/>
    </xf>
    <xf numFmtId="164" fontId="25" fillId="15" borderId="16" xfId="56" applyNumberFormat="1" applyFont="1" applyFill="1" applyBorder="1" applyAlignment="1">
      <alignment horizontal="centerContinuous" vertical="center"/>
    </xf>
    <xf numFmtId="3" fontId="25" fillId="15" borderId="16" xfId="56" applyNumberFormat="1" applyFont="1" applyFill="1" applyBorder="1" applyAlignment="1">
      <alignment horizontal="centerContinuous" vertical="center"/>
    </xf>
    <xf numFmtId="174" fontId="25" fillId="15" borderId="18" xfId="56" applyNumberFormat="1" applyFont="1" applyFill="1" applyBorder="1" applyAlignment="1">
      <alignment horizontal="centerContinuous" vertical="center"/>
    </xf>
    <xf numFmtId="0" fontId="1" fillId="15" borderId="19" xfId="56" applyFill="1" applyBorder="1" applyAlignment="1">
      <alignment horizontal="centerContinuous"/>
    </xf>
    <xf numFmtId="9" fontId="25" fillId="15" borderId="16" xfId="56" applyNumberFormat="1" applyFont="1" applyFill="1" applyBorder="1" applyAlignment="1">
      <alignment horizontal="centerContinuous" vertical="center"/>
    </xf>
    <xf numFmtId="0" fontId="0" fillId="0" borderId="0" xfId="0" applyAlignment="1">
      <alignment horizontal="centerContinuous"/>
    </xf>
    <xf numFmtId="3" fontId="20" fillId="14" borderId="11" xfId="0" applyNumberFormat="1" applyFont="1" applyFill="1" applyBorder="1" applyAlignment="1">
      <alignment horizontal="right" vertical="center"/>
    </xf>
    <xf numFmtId="170" fontId="20" fillId="14" borderId="11" xfId="0" applyNumberFormat="1" applyFont="1" applyFill="1" applyBorder="1" applyAlignment="1">
      <alignment horizontal="right" vertical="center"/>
    </xf>
    <xf numFmtId="171" fontId="20" fillId="14" borderId="11" xfId="0" applyNumberFormat="1" applyFont="1" applyFill="1" applyBorder="1" applyAlignment="1">
      <alignment horizontal="right" vertical="center"/>
    </xf>
    <xf numFmtId="172" fontId="20" fillId="14" borderId="11" xfId="0" applyNumberFormat="1" applyFont="1" applyFill="1" applyBorder="1" applyAlignment="1">
      <alignment horizontal="right" vertical="center"/>
    </xf>
    <xf numFmtId="9" fontId="20" fillId="14" borderId="11" xfId="0" applyNumberFormat="1" applyFont="1" applyFill="1" applyBorder="1" applyAlignment="1">
      <alignment horizontal="right" vertical="center"/>
    </xf>
    <xf numFmtId="3" fontId="20" fillId="15" borderId="11" xfId="0" applyNumberFormat="1" applyFont="1" applyFill="1" applyBorder="1" applyAlignment="1">
      <alignment horizontal="right" vertical="center"/>
    </xf>
    <xf numFmtId="170" fontId="20" fillId="15" borderId="11" xfId="0" applyNumberFormat="1" applyFont="1" applyFill="1" applyBorder="1" applyAlignment="1">
      <alignment horizontal="right" vertical="center"/>
    </xf>
    <xf numFmtId="171" fontId="20" fillId="15" borderId="11" xfId="0" applyNumberFormat="1" applyFont="1" applyFill="1" applyBorder="1" applyAlignment="1">
      <alignment horizontal="right" vertical="center"/>
    </xf>
    <xf numFmtId="172" fontId="20" fillId="15" borderId="11" xfId="0" applyNumberFormat="1" applyFont="1" applyFill="1" applyBorder="1" applyAlignment="1">
      <alignment horizontal="right" vertical="center"/>
    </xf>
    <xf numFmtId="9" fontId="20" fillId="15" borderId="11" xfId="0" applyNumberFormat="1" applyFont="1" applyFill="1" applyBorder="1" applyAlignment="1">
      <alignment horizontal="right" vertical="center"/>
    </xf>
    <xf numFmtId="3" fontId="23" fillId="15" borderId="11" xfId="0" applyNumberFormat="1" applyFont="1" applyFill="1" applyBorder="1" applyAlignment="1">
      <alignment horizontal="right" vertical="center"/>
    </xf>
    <xf numFmtId="170" fontId="23" fillId="15" borderId="11" xfId="0" applyNumberFormat="1" applyFont="1" applyFill="1" applyBorder="1" applyAlignment="1">
      <alignment horizontal="right" vertical="center"/>
    </xf>
    <xf numFmtId="171" fontId="23" fillId="15" borderId="11" xfId="0" applyNumberFormat="1" applyFont="1" applyFill="1" applyBorder="1" applyAlignment="1">
      <alignment horizontal="right" vertical="center"/>
    </xf>
    <xf numFmtId="172" fontId="23" fillId="15" borderId="11" xfId="0" applyNumberFormat="1" applyFont="1" applyFill="1" applyBorder="1" applyAlignment="1">
      <alignment horizontal="right" vertical="center"/>
    </xf>
    <xf numFmtId="9" fontId="23" fillId="15" borderId="11" xfId="0" applyNumberFormat="1" applyFont="1" applyFill="1" applyBorder="1" applyAlignment="1">
      <alignment horizontal="right" vertical="center"/>
    </xf>
    <xf numFmtId="176" fontId="20" fillId="15" borderId="11" xfId="0" applyNumberFormat="1" applyFont="1" applyFill="1" applyBorder="1" applyAlignment="1">
      <alignment horizontal="right" vertical="center"/>
    </xf>
    <xf numFmtId="3" fontId="20" fillId="14" borderId="11" xfId="0" quotePrefix="1" applyNumberFormat="1" applyFont="1" applyFill="1" applyBorder="1" applyAlignment="1">
      <alignment horizontal="right" vertical="center"/>
    </xf>
    <xf numFmtId="0" fontId="27" fillId="15" borderId="24" xfId="0" applyFont="1" applyFill="1" applyBorder="1" applyAlignment="1">
      <alignment horizontal="left" vertical="center"/>
    </xf>
    <xf numFmtId="0" fontId="21" fillId="15" borderId="25" xfId="0" applyFont="1" applyFill="1" applyBorder="1" applyAlignment="1">
      <alignment horizontal="left" vertical="center"/>
    </xf>
    <xf numFmtId="0" fontId="27" fillId="16" borderId="26" xfId="0" applyFont="1" applyFill="1" applyBorder="1" applyAlignment="1">
      <alignment horizontal="left" vertical="center"/>
    </xf>
    <xf numFmtId="0" fontId="28" fillId="16" borderId="27" xfId="0" applyFont="1" applyFill="1" applyBorder="1" applyAlignment="1">
      <alignment horizontal="left" vertical="center"/>
    </xf>
    <xf numFmtId="0" fontId="21" fillId="15" borderId="25" xfId="0" quotePrefix="1" applyFont="1" applyFill="1" applyBorder="1" applyAlignment="1">
      <alignment horizontal="left" vertical="center"/>
    </xf>
    <xf numFmtId="0" fontId="18" fillId="0" borderId="0" xfId="0" quotePrefix="1" applyFont="1"/>
    <xf numFmtId="0" fontId="29" fillId="0" borderId="0" xfId="0" quotePrefix="1" applyFont="1"/>
    <xf numFmtId="3" fontId="23" fillId="15" borderId="11" xfId="0" quotePrefix="1" applyNumberFormat="1" applyFont="1" applyFill="1" applyBorder="1" applyAlignment="1">
      <alignment horizontal="right" vertical="center"/>
    </xf>
    <xf numFmtId="3" fontId="20" fillId="15" borderId="11" xfId="0" quotePrefix="1" applyNumberFormat="1" applyFont="1" applyFill="1" applyBorder="1" applyAlignment="1">
      <alignment horizontal="right" vertical="center"/>
    </xf>
  </cellXfs>
  <cellStyles count="57">
    <cellStyle name="%0." xfId="9" xr:uid="{0DAF4F15-CAF0-48EE-9554-4E789157264E}"/>
    <cellStyle name="%0.0" xfId="10" xr:uid="{567618BE-5A60-412A-B50D-1C48BEA1D00A}"/>
    <cellStyle name="%0.00" xfId="11" xr:uid="{0FA633ED-0AAF-4FB8-82AD-8DB81862C10B}"/>
    <cellStyle name="60 % - Accent1" xfId="3" builtinId="32" customBuiltin="1"/>
    <cellStyle name="60 % - Accent2" xfId="4" builtinId="36" customBuiltin="1"/>
    <cellStyle name="60 % - Accent3" xfId="5" builtinId="40" customBuiltin="1"/>
    <cellStyle name="60 % - Accent4" xfId="6" builtinId="44" customBuiltin="1"/>
    <cellStyle name="60 % - Accent5" xfId="7" builtinId="48" customBuiltin="1"/>
    <cellStyle name="60 % - Accent6" xfId="8" builtinId="52" customBuiltin="1"/>
    <cellStyle name="ACT" xfId="12" xr:uid="{929B25C5-DA52-44EB-80F0-6EA184B028EA}"/>
    <cellStyle name="Alighment Center" xfId="13" xr:uid="{A44B6316-3ECE-4513-9919-C351446E53B9}"/>
    <cellStyle name="Alighment Left" xfId="14" xr:uid="{11541B42-75B8-4C27-B044-82FDAD1241A0}"/>
    <cellStyle name="Alignment H&amp;V center" xfId="15" xr:uid="{69B8F8E8-8CBC-4D30-8F2F-4FAB8DCBF41C}"/>
    <cellStyle name="Amounts left nolocked" xfId="16" xr:uid="{28407FF5-F2B4-4873-8659-0922D641F793}"/>
    <cellStyle name="Amounts w/ 2 Decimals" xfId="17" xr:uid="{D7C5C079-15D8-4357-9328-390530FBE90C}"/>
    <cellStyle name="Amounts_Board" xfId="18" xr:uid="{54051937-040D-42F2-A365-91BFE0854521}"/>
    <cellStyle name="Amounts-1000" xfId="19" xr:uid="{F0C5AF86-7CB1-4BFF-9E17-6A6E3311646C}"/>
    <cellStyle name="BDG" xfId="20" xr:uid="{5E4C9425-32F2-4BBB-91F4-83693CD9D647}"/>
    <cellStyle name="Blank_Row" xfId="21" xr:uid="{3C35221B-EF3A-4FEE-9B9B-09B672D8BED7}"/>
    <cellStyle name="Bold" xfId="22" xr:uid="{8637E01A-9234-477F-B9AF-2B56A00F6645}"/>
    <cellStyle name="Bold+Italic" xfId="23" xr:uid="{827E84B8-BCB6-4AED-9293-1217CEB5BE24}"/>
    <cellStyle name="C_Amount_ACT" xfId="24" xr:uid="{4AABF9B3-7D01-4B04-A50E-BAB64660B6DF}"/>
    <cellStyle name="C_Head" xfId="25" xr:uid="{EA3128F7-F50B-4B13-BB8D-5FA820B00D9A}"/>
    <cellStyle name="Date" xfId="26" xr:uid="{A0736CF4-C723-4D68-8938-4B663A2477D0}"/>
    <cellStyle name="Fill light blue" xfId="27" xr:uid="{3F044181-E12A-4A79-9603-0DB135BDC80D}"/>
    <cellStyle name="Formula" xfId="28" xr:uid="{31469566-B57B-493C-84B0-6BF7342DF019}"/>
    <cellStyle name="Head_left" xfId="29" xr:uid="{9B7947C6-451C-4179-8556-C9F288CDA137}"/>
    <cellStyle name="Hyperlink for amounts" xfId="30" xr:uid="{0E69BFBE-EAA0-4F3F-9F50-8BE35850328A}"/>
    <cellStyle name="Hyperlnk row header underlined bold" xfId="31" xr:uid="{D5859D12-A632-4792-A5DF-43C7CEFF2E9E}"/>
    <cellStyle name="Middle Headers Centered" xfId="32" xr:uid="{0451219E-52F2-4193-A0A4-F5D087791A49}"/>
    <cellStyle name="NA Currency" xfId="33" xr:uid="{DDDF32B4-A667-42BA-84D6-31398D6F817C}"/>
    <cellStyle name="NA Currency 2 dec" xfId="34" xr:uid="{80B1EC4C-C47C-4B91-94FF-15FD41079E9E}"/>
    <cellStyle name="Neutre" xfId="2" builtinId="28" customBuiltin="1"/>
    <cellStyle name="Normal" xfId="0" builtinId="0"/>
    <cellStyle name="Normal 2" xfId="56" xr:uid="{6A6553C5-64D5-4BB0-BCD8-3D8D301A28D0}"/>
    <cellStyle name="Placeholder" xfId="35" xr:uid="{6EEDF83A-7011-426C-9064-8A6784CCE7FB}"/>
    <cellStyle name="Placeholder Header Underlined bold" xfId="36" xr:uid="{F174ACC8-AF21-4660-91FA-DE5B9ECAC60C}"/>
    <cellStyle name="Placeholder_column_blank" xfId="37" xr:uid="{DE73F4F1-A8C5-4C78-BD1E-1169E5883FDD}"/>
    <cellStyle name="R_Area_font" xfId="38" xr:uid="{75D5B786-5F6A-40B0-BF0B-85A4EABF0FE2}"/>
    <cellStyle name="R_AREA_FONT_UC" xfId="39" xr:uid="{9BC31809-2E3B-4691-A74C-472E7934EBAE}"/>
    <cellStyle name="R_formula" xfId="40" xr:uid="{33160225-5793-4F3C-A249-89D12A88F467}"/>
    <cellStyle name="R_head_font" xfId="41" xr:uid="{17243EFC-8132-4BE9-A50F-3E4821FB6561}"/>
    <cellStyle name="Row_Grey" xfId="42" xr:uid="{002132D2-8E24-450F-9DBE-9689D4581241}"/>
    <cellStyle name="Status Check" xfId="43" xr:uid="{B8A31753-417D-4AC1-A596-8CF713F29CEF}"/>
    <cellStyle name="Style0" xfId="44" xr:uid="{EB33866A-8C6D-4E8C-B7C4-2BD663704C10}"/>
    <cellStyle name="Subtotal Amounts row fill" xfId="45" xr:uid="{5450DC44-FCE2-438E-B041-DD5C1479303C}"/>
    <cellStyle name="Subtotal head row fill" xfId="46" xr:uid="{B537CA64-D400-4DE0-AD4A-5E8C0499C263}"/>
    <cellStyle name="Subtotal_amounts" xfId="47" xr:uid="{7FA7C401-EF17-41D9-A139-99C43B0A9717}"/>
    <cellStyle name="TGK_TOC_PAGE_COLUMN" xfId="48" xr:uid="{B30B40CB-4038-4B68-9674-01311B532102}"/>
    <cellStyle name="Titre" xfId="1" builtinId="15" customBuiltin="1"/>
    <cellStyle name="Visual Check" xfId="49" xr:uid="{5D5E7275-206D-4B4D-ACC5-849505CD9EB5}"/>
    <cellStyle name="Webdings" xfId="50" xr:uid="{A63BE114-D01F-4B79-98E1-C6834BCC4FBC}"/>
    <cellStyle name="Webdings1" xfId="51" xr:uid="{3F7B57CC-3956-4FDE-82DD-499227798559}"/>
    <cellStyle name="Webdings14" xfId="52" xr:uid="{A753DEA2-B3D0-45D5-8E12-0C285E855C98}"/>
    <cellStyle name="Webdings14Green" xfId="53" xr:uid="{AAAA521C-06E0-4FC0-8720-7CD8840F0ACF}"/>
    <cellStyle name="Work new book placeholder header underlined" xfId="54" xr:uid="{3AAB37B0-EDD0-4E9D-A04C-1C3887AFE695}"/>
    <cellStyle name="WrappedText" xfId="55" xr:uid="{5866BD7A-17D6-4DA3-A30E-3312C69A747C}"/>
  </cellStyles>
  <dxfs count="18">
    <dxf>
      <font>
        <b/>
        <sz val="9.5"/>
        <color rgb="FFFAB219"/>
        <name val="Consolas"/>
      </font>
    </dxf>
    <dxf>
      <font>
        <sz val="9.5"/>
        <color rgb="FFD03B3B"/>
        <name val="Consolas"/>
      </font>
    </dxf>
    <dxf>
      <font>
        <sz val="9.5"/>
        <color rgb="FF0CA30C"/>
        <name val="Consolas"/>
      </font>
    </dxf>
    <dxf>
      <font>
        <b/>
        <sz val="9.5"/>
        <color rgb="FFD03B3B"/>
        <name val="Segoe UI"/>
      </font>
    </dxf>
    <dxf>
      <font>
        <b/>
        <sz val="9.5"/>
        <color rgb="FFD03B3B"/>
        <name val="Segoe UI"/>
      </font>
    </dxf>
    <dxf>
      <font>
        <b/>
        <sz val="9.5"/>
        <color rgb="FF0CA30C"/>
        <name val="Segoe UI"/>
      </font>
    </dxf>
    <dxf>
      <font>
        <b/>
        <sz val="9.5"/>
        <color rgb="FFD03B3B"/>
        <name val="Segoe UI"/>
      </font>
    </dxf>
    <dxf>
      <font>
        <b/>
        <sz val="9.5"/>
        <color rgb="FF0CA30C"/>
        <name val="Segoe UI"/>
      </font>
    </dxf>
    <dxf>
      <font>
        <sz val="9.5"/>
        <color rgb="FFD03B3B"/>
        <name val="Consolas"/>
      </font>
    </dxf>
    <dxf>
      <font>
        <sz val="9.5"/>
        <color rgb="FF0CA30C"/>
        <name val="Consolas"/>
      </font>
    </dxf>
    <dxf>
      <font>
        <b/>
        <sz val="9.5"/>
        <color rgb="FFD03B3B"/>
        <name val="Segoe UI"/>
      </font>
    </dxf>
    <dxf>
      <font>
        <b/>
        <sz val="9.5"/>
        <color rgb="FF0CA30C"/>
        <name val="Segoe UI"/>
      </font>
    </dxf>
    <dxf>
      <font>
        <sz val="9.5"/>
        <color rgb="FFD03B3B"/>
        <name val="Consolas"/>
      </font>
    </dxf>
    <dxf>
      <font>
        <sz val="9.5"/>
        <color rgb="FF0CA30C"/>
        <name val="Consolas"/>
      </font>
    </dxf>
    <dxf>
      <font>
        <b/>
        <sz val="9.5"/>
        <color rgb="FFD03B3B"/>
        <name val="Segoe UI"/>
      </font>
    </dxf>
    <dxf>
      <font>
        <b/>
        <sz val="9.5"/>
        <color rgb="FF0CA30C"/>
        <name val="Segoe UI"/>
      </font>
    </dxf>
    <dxf>
      <font>
        <b/>
        <sz val="9.5"/>
        <color rgb="FFD03B3B"/>
        <name val="Segoe UI"/>
      </font>
    </dxf>
    <dxf>
      <font>
        <b/>
        <sz val="9.5"/>
        <color rgb="FF0CA30C"/>
        <name val="Segoe U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6153DD-182D-49E6-8517-8AEDFF76EFCB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6A94-C0EE-44BE-A92F-202501E2FEF1}">
  <sheetPr>
    <outlinePr summaryBelow="0"/>
  </sheetPr>
  <dimension ref="C5:BF52"/>
  <sheetViews>
    <sheetView tabSelected="1" workbookViewId="0">
      <selection activeCell="C9" sqref="C9"/>
    </sheetView>
  </sheetViews>
  <sheetFormatPr baseColWidth="10" defaultRowHeight="14.25" outlineLevelRow="2" x14ac:dyDescent="0.45"/>
  <cols>
    <col min="3" max="3" width="16.46484375" customWidth="1"/>
    <col min="4" max="4" width="32.19921875" bestFit="1" customWidth="1"/>
    <col min="5" max="5" width="8.73046875" bestFit="1" customWidth="1"/>
    <col min="6" max="6" width="6.86328125" bestFit="1" customWidth="1"/>
    <col min="7" max="7" width="12.6640625" bestFit="1" customWidth="1"/>
    <col min="8" max="8" width="7" bestFit="1" customWidth="1"/>
    <col min="9" max="9" width="18.19921875" bestFit="1" customWidth="1"/>
    <col min="10" max="10" width="28.46484375" bestFit="1" customWidth="1"/>
    <col min="11" max="11" width="17.3984375" bestFit="1" customWidth="1"/>
    <col min="12" max="12" width="11.3984375" bestFit="1" customWidth="1"/>
    <col min="13" max="13" width="17.6640625" bestFit="1" customWidth="1"/>
    <col min="14" max="14" width="7.796875" bestFit="1" customWidth="1"/>
    <col min="15" max="15" width="11.3984375" bestFit="1" customWidth="1"/>
    <col min="16" max="16" width="11.53125" bestFit="1" customWidth="1"/>
    <col min="17" max="17" width="11.1328125" bestFit="1" customWidth="1"/>
    <col min="18" max="18" width="11.3984375" bestFit="1" customWidth="1"/>
    <col min="19" max="19" width="11.53125" bestFit="1" customWidth="1"/>
    <col min="20" max="20" width="9.265625" bestFit="1" customWidth="1"/>
    <col min="21" max="21" width="12.59765625" customWidth="1"/>
    <col min="22" max="22" width="15.53125" bestFit="1" customWidth="1"/>
    <col min="23" max="23" width="9.9296875" bestFit="1" customWidth="1"/>
    <col min="24" max="24" width="11.265625" bestFit="1" customWidth="1"/>
    <col min="25" max="25" width="13.9296875" bestFit="1" customWidth="1"/>
    <col min="26" max="26" width="17.265625" bestFit="1" customWidth="1"/>
    <col min="27" max="27" width="4.59765625" bestFit="1" customWidth="1"/>
    <col min="28" max="28" width="9.265625" bestFit="1" customWidth="1"/>
    <col min="52" max="52" width="9.53125" bestFit="1" customWidth="1"/>
    <col min="53" max="53" width="9.9296875" bestFit="1" customWidth="1"/>
    <col min="54" max="54" width="8.86328125" bestFit="1" customWidth="1"/>
    <col min="55" max="55" width="13.9296875" bestFit="1" customWidth="1"/>
    <col min="56" max="56" width="12.86328125" bestFit="1" customWidth="1"/>
    <col min="57" max="57" width="4.59765625" bestFit="1" customWidth="1"/>
    <col min="58" max="58" width="9.265625" bestFit="1" customWidth="1"/>
  </cols>
  <sheetData>
    <row r="5" spans="3:58" ht="14.65" x14ac:dyDescent="0.45">
      <c r="C5" s="42" t="s">
        <v>29</v>
      </c>
      <c r="D5" s="46" t="s">
        <v>32</v>
      </c>
      <c r="E5" s="42"/>
      <c r="F5" s="44" t="s">
        <v>34</v>
      </c>
      <c r="G5" s="45" t="s">
        <v>35</v>
      </c>
      <c r="I5" s="42" t="s">
        <v>30</v>
      </c>
      <c r="J5" s="46" t="s">
        <v>0</v>
      </c>
      <c r="L5" s="42" t="s">
        <v>31</v>
      </c>
      <c r="M5" s="43" t="s">
        <v>33</v>
      </c>
    </row>
    <row r="6" spans="3:58" x14ac:dyDescent="0.45">
      <c r="AB6" s="48" t="s">
        <v>36</v>
      </c>
      <c r="AC6" s="47" t="s">
        <v>37</v>
      </c>
      <c r="AD6" s="47" t="s">
        <v>38</v>
      </c>
      <c r="AE6" s="47" t="s">
        <v>39</v>
      </c>
      <c r="AF6" s="47" t="s">
        <v>40</v>
      </c>
      <c r="AG6" s="47" t="s">
        <v>41</v>
      </c>
      <c r="AI6" s="48" t="s">
        <v>58</v>
      </c>
      <c r="AJ6" s="47" t="s">
        <v>59</v>
      </c>
      <c r="AK6" s="47" t="s">
        <v>60</v>
      </c>
      <c r="AL6" s="47" t="s">
        <v>43</v>
      </c>
      <c r="AM6" s="47" t="s">
        <v>44</v>
      </c>
      <c r="AN6" s="47" t="s">
        <v>45</v>
      </c>
      <c r="AO6" s="47" t="s">
        <v>46</v>
      </c>
      <c r="AP6" s="47" t="s">
        <v>47</v>
      </c>
      <c r="AQ6" s="47" t="s">
        <v>48</v>
      </c>
      <c r="AR6" s="47" t="s">
        <v>49</v>
      </c>
      <c r="AS6" s="47" t="s">
        <v>50</v>
      </c>
      <c r="AT6" s="47" t="s">
        <v>51</v>
      </c>
      <c r="AU6" s="47" t="s">
        <v>52</v>
      </c>
      <c r="AZ6" s="47" t="s">
        <v>42</v>
      </c>
      <c r="BA6" s="47" t="s">
        <v>53</v>
      </c>
      <c r="BB6" s="47" t="s">
        <v>54</v>
      </c>
      <c r="BC6" s="47" t="s">
        <v>55</v>
      </c>
      <c r="BD6" s="47" t="s">
        <v>56</v>
      </c>
      <c r="BE6" s="47" t="s">
        <v>57</v>
      </c>
      <c r="BF6" s="47" t="s">
        <v>52</v>
      </c>
    </row>
    <row r="7" spans="3:58" x14ac:dyDescent="0.45">
      <c r="AB7" s="47">
        <v>1</v>
      </c>
      <c r="AC7" s="47" t="s">
        <v>89</v>
      </c>
      <c r="AD7" s="47">
        <v>0</v>
      </c>
      <c r="AE7" s="47">
        <v>3467793.2886270001</v>
      </c>
      <c r="AF7" s="47">
        <v>0</v>
      </c>
      <c r="AG7" s="47">
        <v>0</v>
      </c>
      <c r="AI7" s="47" t="s">
        <v>84</v>
      </c>
      <c r="AJ7" s="47" t="s">
        <v>85</v>
      </c>
      <c r="AK7" s="47" t="s">
        <v>74</v>
      </c>
      <c r="AL7" s="47">
        <v>2309940</v>
      </c>
      <c r="AM7" s="47">
        <v>274748</v>
      </c>
      <c r="AN7" s="47">
        <v>0.11890000000000001</v>
      </c>
      <c r="AO7" s="47">
        <v>2439370</v>
      </c>
      <c r="AP7" s="47">
        <v>316641</v>
      </c>
      <c r="AQ7" s="47">
        <v>0.1298</v>
      </c>
      <c r="AR7" s="47">
        <v>2582800</v>
      </c>
      <c r="AS7" s="47">
        <v>365680</v>
      </c>
      <c r="AT7">
        <v>0.1416</v>
      </c>
      <c r="AU7" s="48">
        <v>2.2599999999999998</v>
      </c>
      <c r="AZ7" s="47" t="s">
        <v>80</v>
      </c>
      <c r="BA7" s="47">
        <v>358819</v>
      </c>
      <c r="BB7" s="47">
        <v>1092</v>
      </c>
      <c r="BC7" s="47">
        <v>100</v>
      </c>
      <c r="BD7" s="47">
        <v>100</v>
      </c>
      <c r="BE7" s="47">
        <v>329</v>
      </c>
      <c r="BF7" s="47">
        <v>0</v>
      </c>
    </row>
    <row r="8" spans="3:58" x14ac:dyDescent="0.45">
      <c r="C8" s="7" t="s">
        <v>19</v>
      </c>
      <c r="D8" s="8"/>
      <c r="E8" s="7" t="s">
        <v>20</v>
      </c>
      <c r="F8" s="8"/>
      <c r="G8" s="7" t="s">
        <v>21</v>
      </c>
      <c r="H8" s="8"/>
      <c r="I8" s="7" t="s">
        <v>22</v>
      </c>
      <c r="J8" s="8"/>
      <c r="K8" s="9" t="s">
        <v>23</v>
      </c>
      <c r="L8" s="10"/>
      <c r="M8" s="7" t="s">
        <v>24</v>
      </c>
      <c r="AB8">
        <v>2</v>
      </c>
      <c r="AC8" t="s">
        <v>90</v>
      </c>
      <c r="AD8">
        <v>3467793.2886270001</v>
      </c>
      <c r="AE8">
        <v>0</v>
      </c>
      <c r="AF8">
        <v>1157203.2541040001</v>
      </c>
      <c r="AG8">
        <v>0</v>
      </c>
      <c r="AI8" t="s">
        <v>84</v>
      </c>
      <c r="AJ8" t="s">
        <v>73</v>
      </c>
      <c r="AK8" t="s">
        <v>73</v>
      </c>
      <c r="AL8">
        <v>5593340</v>
      </c>
      <c r="AM8">
        <v>884366</v>
      </c>
      <c r="AN8">
        <v>0.15809999999999999</v>
      </c>
      <c r="AO8">
        <v>5914800</v>
      </c>
      <c r="AP8">
        <v>971877</v>
      </c>
      <c r="AQ8">
        <v>0.1643</v>
      </c>
      <c r="AR8">
        <v>6292550</v>
      </c>
      <c r="AS8">
        <v>1080136</v>
      </c>
      <c r="AT8">
        <v>0.17169999999999999</v>
      </c>
      <c r="AU8">
        <v>1.35</v>
      </c>
      <c r="AZ8" t="s">
        <v>81</v>
      </c>
      <c r="BA8">
        <v>394702</v>
      </c>
      <c r="BB8">
        <v>1159</v>
      </c>
      <c r="BC8">
        <v>110</v>
      </c>
      <c r="BD8">
        <v>106.1</v>
      </c>
      <c r="BE8">
        <v>341</v>
      </c>
      <c r="BF8">
        <v>3.9</v>
      </c>
    </row>
    <row r="9" spans="3:58" ht="25.15" x14ac:dyDescent="0.45">
      <c r="C9" s="17">
        <f>E33</f>
        <v>23098985</v>
      </c>
      <c r="D9" s="18"/>
      <c r="E9" s="17">
        <f>G33</f>
        <v>3845816.9077559994</v>
      </c>
      <c r="F9" s="18"/>
      <c r="G9" s="19">
        <f>J33</f>
        <v>0.16649289601928394</v>
      </c>
      <c r="H9" s="18"/>
      <c r="I9" s="20">
        <f>L33</f>
        <v>1229</v>
      </c>
      <c r="J9" s="18"/>
      <c r="K9" s="21">
        <f>T33/L33</f>
        <v>353.27420667209111</v>
      </c>
      <c r="L9" s="22"/>
      <c r="M9" s="23">
        <f>M33</f>
        <v>0.76174168297455969</v>
      </c>
      <c r="N9" s="24"/>
      <c r="AB9">
        <v>3</v>
      </c>
      <c r="AC9" t="s">
        <v>91</v>
      </c>
      <c r="AD9">
        <v>4624389.5535089998</v>
      </c>
      <c r="AE9">
        <v>0</v>
      </c>
      <c r="AF9">
        <v>0</v>
      </c>
      <c r="AG9">
        <v>606.98922200000004</v>
      </c>
      <c r="AI9" t="s">
        <v>84</v>
      </c>
      <c r="AJ9" t="s">
        <v>86</v>
      </c>
      <c r="AK9" t="s">
        <v>79</v>
      </c>
      <c r="AL9">
        <v>8517270</v>
      </c>
      <c r="AM9">
        <v>1406351</v>
      </c>
      <c r="AN9">
        <v>0.1651</v>
      </c>
      <c r="AO9">
        <v>9032400</v>
      </c>
      <c r="AP9">
        <v>1564342</v>
      </c>
      <c r="AQ9">
        <v>0.17319999999999999</v>
      </c>
      <c r="AR9">
        <v>9567455</v>
      </c>
      <c r="AS9">
        <v>1746010</v>
      </c>
      <c r="AT9">
        <v>0.1825</v>
      </c>
      <c r="AU9">
        <v>1.74</v>
      </c>
      <c r="AZ9" t="s">
        <v>82</v>
      </c>
      <c r="BA9">
        <v>434174</v>
      </c>
      <c r="BB9">
        <v>1229</v>
      </c>
      <c r="BC9">
        <v>121</v>
      </c>
      <c r="BD9">
        <v>112.5</v>
      </c>
      <c r="BE9">
        <v>353</v>
      </c>
      <c r="BF9">
        <v>8.5</v>
      </c>
    </row>
    <row r="10" spans="3:58" ht="14.65" x14ac:dyDescent="0.45">
      <c r="C10" s="11">
        <f>F33</f>
        <v>6.1594244527608866E-2</v>
      </c>
      <c r="D10" s="12"/>
      <c r="E10" s="11">
        <f>H33</f>
        <v>0.1090098479539619</v>
      </c>
      <c r="F10" s="12"/>
      <c r="G10" s="13">
        <f>K33</f>
        <v>0.71183868615052326</v>
      </c>
      <c r="H10" s="12"/>
      <c r="I10" s="11">
        <f>Z33</f>
        <v>6.0396893874029335E-2</v>
      </c>
      <c r="J10" s="12"/>
      <c r="K10" s="14">
        <f>IFERROR(K9/(U33/X33)-1,"")</f>
        <v>3.7351737596854173E-2</v>
      </c>
      <c r="L10" s="15"/>
      <c r="M10" s="16">
        <f>P33-O33</f>
        <v>974</v>
      </c>
      <c r="AB10">
        <v>4</v>
      </c>
      <c r="AC10" t="s">
        <v>92</v>
      </c>
      <c r="AD10">
        <v>3845816.9077559998</v>
      </c>
      <c r="AE10">
        <v>0</v>
      </c>
      <c r="AF10">
        <v>0</v>
      </c>
      <c r="AG10">
        <v>778572.64688999997</v>
      </c>
      <c r="AI10" t="s">
        <v>84</v>
      </c>
      <c r="AJ10" t="s">
        <v>87</v>
      </c>
      <c r="AK10" t="s">
        <v>75</v>
      </c>
      <c r="AL10">
        <v>2403570</v>
      </c>
      <c r="AM10">
        <v>475792</v>
      </c>
      <c r="AN10">
        <v>0.19800000000000001</v>
      </c>
      <c r="AO10">
        <v>2537610</v>
      </c>
      <c r="AP10">
        <v>517400</v>
      </c>
      <c r="AQ10">
        <v>0.2039</v>
      </c>
      <c r="AR10">
        <v>2706480</v>
      </c>
      <c r="AS10">
        <v>572263</v>
      </c>
      <c r="AT10">
        <v>0.2114</v>
      </c>
      <c r="AU10">
        <v>1.35</v>
      </c>
      <c r="AZ10" t="s">
        <v>83</v>
      </c>
      <c r="BA10">
        <v>0</v>
      </c>
      <c r="BB10">
        <v>4043</v>
      </c>
      <c r="BC10">
        <v>0</v>
      </c>
      <c r="BD10">
        <v>370.2</v>
      </c>
      <c r="BE10">
        <v>0</v>
      </c>
      <c r="BF10">
        <v>-370.2</v>
      </c>
    </row>
    <row r="11" spans="3:58" x14ac:dyDescent="0.45">
      <c r="AB11">
        <v>5</v>
      </c>
      <c r="AC11" t="s">
        <v>93</v>
      </c>
      <c r="AD11">
        <v>0</v>
      </c>
      <c r="AE11">
        <v>3845816.9077559998</v>
      </c>
      <c r="AF11">
        <v>0</v>
      </c>
      <c r="AG11">
        <v>0</v>
      </c>
      <c r="AI11" t="s">
        <v>84</v>
      </c>
      <c r="AJ11" t="s">
        <v>88</v>
      </c>
      <c r="AK11" t="s">
        <v>62</v>
      </c>
      <c r="AL11">
        <v>1743090</v>
      </c>
      <c r="AM11">
        <v>109801</v>
      </c>
      <c r="AN11">
        <v>6.3E-2</v>
      </c>
      <c r="AO11">
        <v>1834590</v>
      </c>
      <c r="AP11">
        <v>97533</v>
      </c>
      <c r="AQ11">
        <v>5.3199999999999997E-2</v>
      </c>
      <c r="AR11">
        <v>1949700</v>
      </c>
      <c r="AS11">
        <v>81728</v>
      </c>
      <c r="AT11">
        <v>4.19E-2</v>
      </c>
      <c r="AU11">
        <v>-2.11</v>
      </c>
    </row>
    <row r="15" spans="3:58" x14ac:dyDescent="0.45">
      <c r="I15" s="47"/>
    </row>
    <row r="32" spans="4:26" ht="14.65" thickBot="1" x14ac:dyDescent="0.5">
      <c r="D32" s="2"/>
      <c r="E32" s="2" t="s">
        <v>2</v>
      </c>
      <c r="F32" s="2" t="s">
        <v>8</v>
      </c>
      <c r="G32" s="2" t="s">
        <v>1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2" t="s">
        <v>17</v>
      </c>
      <c r="O32" s="2" t="s">
        <v>6</v>
      </c>
      <c r="P32" s="2" t="s">
        <v>5</v>
      </c>
      <c r="Q32" s="2" t="s">
        <v>7</v>
      </c>
      <c r="R32" s="2" t="s">
        <v>3</v>
      </c>
      <c r="S32" s="2" t="s">
        <v>4</v>
      </c>
      <c r="T32" s="2" t="s">
        <v>9</v>
      </c>
      <c r="U32" s="2" t="s">
        <v>10</v>
      </c>
      <c r="V32" s="1" t="s">
        <v>18</v>
      </c>
      <c r="W32" s="1" t="s">
        <v>25</v>
      </c>
      <c r="X32" s="1" t="s">
        <v>26</v>
      </c>
      <c r="Y32" s="1" t="s">
        <v>27</v>
      </c>
      <c r="Z32" s="1" t="s">
        <v>28</v>
      </c>
    </row>
    <row r="33" spans="3:27" ht="15.75" thickTop="1" x14ac:dyDescent="0.45">
      <c r="C33" s="6">
        <v>2</v>
      </c>
      <c r="D33" s="41" t="s">
        <v>0</v>
      </c>
      <c r="E33" s="25">
        <f>SUBTOTAL(9, E34:E52)</f>
        <v>23098985</v>
      </c>
      <c r="F33" s="26">
        <f t="shared" ref="F33:F52" si="0">IFERROR((E33-S33)/S33, "")</f>
        <v>6.1594244527608866E-2</v>
      </c>
      <c r="G33" s="25">
        <f>SUBTOTAL(9, G34:G52)</f>
        <v>3845816.9077559994</v>
      </c>
      <c r="H33" s="26">
        <f t="shared" ref="H33:H52" si="1">IFERROR((G33-R33)/R33, "")</f>
        <v>0.1090098479539619</v>
      </c>
      <c r="I33" s="27">
        <f>SUBTOTAL(9, I34:I52)</f>
        <v>0.99999500000000008</v>
      </c>
      <c r="J33" s="27">
        <f t="shared" ref="J33:J52" si="2">IFERROR(G33/E33, "")</f>
        <v>0.16649289601928394</v>
      </c>
      <c r="K33" s="28">
        <f t="shared" ref="K33:K52" si="3">IFERROR((J33-V33)*100, "")</f>
        <v>0.71183868615052326</v>
      </c>
      <c r="L33" s="25">
        <f>SUBTOTAL(9, L34:L52)</f>
        <v>1229</v>
      </c>
      <c r="M33" s="29">
        <f t="shared" ref="M33:M52" si="4">IFERROR(O33/P33, "")</f>
        <v>0.76174168297455969</v>
      </c>
      <c r="N33" s="29">
        <f t="shared" ref="N33:N52" si="5">IFERROR(Q33/O33, "")</f>
        <v>0.86384071933204876</v>
      </c>
      <c r="O33" s="3">
        <f t="shared" ref="O33:U33" si="6">SUBTOTAL(9, O34:O52)</f>
        <v>3114</v>
      </c>
      <c r="P33" s="3">
        <f t="shared" si="6"/>
        <v>4088</v>
      </c>
      <c r="Q33" s="3">
        <f t="shared" si="6"/>
        <v>2690</v>
      </c>
      <c r="R33" s="3">
        <f t="shared" si="6"/>
        <v>3467793.2886270005</v>
      </c>
      <c r="S33" s="3">
        <f t="shared" si="6"/>
        <v>21758770</v>
      </c>
      <c r="T33" s="3">
        <f t="shared" si="6"/>
        <v>434174</v>
      </c>
      <c r="U33" s="3">
        <f t="shared" si="6"/>
        <v>394702</v>
      </c>
      <c r="V33">
        <f t="shared" ref="V33:V52" si="7">IFERROR(R33/S33, "")</f>
        <v>0.1593745091577787</v>
      </c>
      <c r="W33">
        <f>SUBTOTAL(9, W34:W52)</f>
        <v>4088</v>
      </c>
      <c r="X33">
        <f>SUBTOTAL(9, X34:X52)</f>
        <v>1159</v>
      </c>
      <c r="Y33">
        <f>SUBTOTAL(9, Y34:Y52)</f>
        <v>2933</v>
      </c>
      <c r="Z33">
        <f t="shared" ref="Z33:Z52" si="8">IFERROR((L33-X33)/X33, "")</f>
        <v>6.0396893874029335E-2</v>
      </c>
      <c r="AA33">
        <f t="shared" ref="AA33:AA52" si="9">IFERROR((T33-S33)/S33, "")</f>
        <v>-0.9800460228220621</v>
      </c>
    </row>
    <row r="34" spans="3:27" ht="14.65" outlineLevel="1" x14ac:dyDescent="0.45">
      <c r="C34" s="4">
        <v>3</v>
      </c>
      <c r="D34" s="50" t="s">
        <v>74</v>
      </c>
      <c r="E34" s="30">
        <f>SUBTOTAL(9, E35:E37)</f>
        <v>2582800</v>
      </c>
      <c r="F34" s="31">
        <f t="shared" si="0"/>
        <v>5.8797968327887938E-2</v>
      </c>
      <c r="G34" s="30">
        <f>SUBTOTAL(9, G35:G37)</f>
        <v>365679.75182599999</v>
      </c>
      <c r="H34" s="31">
        <f t="shared" si="1"/>
        <v>0.15487155173153105</v>
      </c>
      <c r="I34" s="32">
        <f>SUBTOTAL(9, I35:I37)</f>
        <v>9.5084999999999989E-2</v>
      </c>
      <c r="J34" s="32">
        <f t="shared" si="2"/>
        <v>0.14158268229286045</v>
      </c>
      <c r="K34" s="33">
        <f t="shared" si="3"/>
        <v>1.1778241151910118</v>
      </c>
      <c r="L34" s="30">
        <f>SUBTOTAL(9, L35:L37)</f>
        <v>130</v>
      </c>
      <c r="M34" s="34">
        <f t="shared" si="4"/>
        <v>0.65798611111111116</v>
      </c>
      <c r="N34" s="34">
        <f t="shared" si="5"/>
        <v>1</v>
      </c>
      <c r="O34">
        <f t="shared" ref="O34:U34" si="10">SUBTOTAL(9, O35:O37)</f>
        <v>379</v>
      </c>
      <c r="P34">
        <f t="shared" si="10"/>
        <v>576</v>
      </c>
      <c r="Q34">
        <f t="shared" si="10"/>
        <v>379</v>
      </c>
      <c r="R34">
        <f t="shared" si="10"/>
        <v>316641.05958599999</v>
      </c>
      <c r="S34">
        <f t="shared" si="10"/>
        <v>2439370</v>
      </c>
      <c r="T34" s="3">
        <f t="shared" si="10"/>
        <v>51871</v>
      </c>
      <c r="U34" s="3">
        <f t="shared" si="10"/>
        <v>47155</v>
      </c>
      <c r="V34">
        <f t="shared" si="7"/>
        <v>0.12980444114095033</v>
      </c>
      <c r="W34">
        <f>SUBTOTAL(9, W35:W37)</f>
        <v>576</v>
      </c>
      <c r="X34">
        <f>SUBTOTAL(9, X35:X37)</f>
        <v>123</v>
      </c>
      <c r="Y34">
        <f>SUBTOTAL(9, Y35:Y37)</f>
        <v>358</v>
      </c>
      <c r="Z34">
        <f t="shared" si="8"/>
        <v>5.6910569105691054E-2</v>
      </c>
      <c r="AA34">
        <f t="shared" si="9"/>
        <v>-0.97873590312252756</v>
      </c>
    </row>
    <row r="35" spans="3:27" ht="14.65" outlineLevel="2" x14ac:dyDescent="0.45">
      <c r="C35" s="5">
        <v>4</v>
      </c>
      <c r="D35" s="49" t="s">
        <v>77</v>
      </c>
      <c r="E35" s="35">
        <v>781650</v>
      </c>
      <c r="F35" s="36">
        <f t="shared" si="0"/>
        <v>5.404749383065658E-2</v>
      </c>
      <c r="G35" s="35">
        <v>107890.617776</v>
      </c>
      <c r="H35" s="36">
        <f t="shared" si="1"/>
        <v>0.15230752462080818</v>
      </c>
      <c r="I35" s="37">
        <v>2.8053999999999999E-2</v>
      </c>
      <c r="J35" s="37">
        <f t="shared" si="2"/>
        <v>0.13802931974157231</v>
      </c>
      <c r="K35" s="38">
        <f t="shared" si="3"/>
        <v>1.1770091679487811</v>
      </c>
      <c r="L35" s="35">
        <v>40</v>
      </c>
      <c r="M35" s="39">
        <f t="shared" si="4"/>
        <v>0.609375</v>
      </c>
      <c r="N35" s="39">
        <f t="shared" si="5"/>
        <v>1</v>
      </c>
      <c r="O35">
        <v>117</v>
      </c>
      <c r="P35">
        <v>192</v>
      </c>
      <c r="Q35">
        <v>117</v>
      </c>
      <c r="R35">
        <v>93630.055754000001</v>
      </c>
      <c r="S35">
        <v>741570</v>
      </c>
      <c r="T35" s="3">
        <v>15178</v>
      </c>
      <c r="U35" s="3">
        <v>13798</v>
      </c>
      <c r="V35">
        <f t="shared" si="7"/>
        <v>0.12625922806208451</v>
      </c>
      <c r="W35">
        <v>192</v>
      </c>
      <c r="X35">
        <v>38</v>
      </c>
      <c r="Y35">
        <v>111</v>
      </c>
      <c r="Z35">
        <f t="shared" si="8"/>
        <v>5.2631578947368418E-2</v>
      </c>
      <c r="AA35">
        <f t="shared" si="9"/>
        <v>-0.97953261323947838</v>
      </c>
    </row>
    <row r="36" spans="3:27" ht="14.65" outlineLevel="2" x14ac:dyDescent="0.45">
      <c r="C36" s="5">
        <v>4</v>
      </c>
      <c r="D36" s="49" t="s">
        <v>61</v>
      </c>
      <c r="E36" s="35">
        <v>1019500</v>
      </c>
      <c r="F36" s="36">
        <f t="shared" si="0"/>
        <v>6.6166089748282322E-2</v>
      </c>
      <c r="G36" s="35">
        <v>149898.51602899999</v>
      </c>
      <c r="H36" s="36">
        <f t="shared" si="1"/>
        <v>0.15858242921255322</v>
      </c>
      <c r="I36" s="37">
        <v>3.8976999999999998E-2</v>
      </c>
      <c r="J36" s="37">
        <f t="shared" si="2"/>
        <v>0.14703140365767534</v>
      </c>
      <c r="K36" s="38">
        <f t="shared" si="3"/>
        <v>1.172821524798312</v>
      </c>
      <c r="L36" s="35">
        <v>50</v>
      </c>
      <c r="M36" s="39">
        <f t="shared" si="4"/>
        <v>0.75520833333333337</v>
      </c>
      <c r="N36" s="39">
        <f t="shared" si="5"/>
        <v>1</v>
      </c>
      <c r="O36">
        <v>145</v>
      </c>
      <c r="P36">
        <v>192</v>
      </c>
      <c r="Q36">
        <v>145</v>
      </c>
      <c r="R36">
        <v>129380.96785299999</v>
      </c>
      <c r="S36">
        <v>956230</v>
      </c>
      <c r="T36" s="3">
        <v>21760</v>
      </c>
      <c r="U36" s="3">
        <v>19782</v>
      </c>
      <c r="V36">
        <f t="shared" si="7"/>
        <v>0.13530318840969222</v>
      </c>
      <c r="W36">
        <v>192</v>
      </c>
      <c r="X36">
        <v>47</v>
      </c>
      <c r="Y36">
        <v>136</v>
      </c>
      <c r="Z36">
        <f t="shared" si="8"/>
        <v>6.3829787234042548E-2</v>
      </c>
      <c r="AA36">
        <f t="shared" si="9"/>
        <v>-0.97724396850130202</v>
      </c>
    </row>
    <row r="37" spans="3:27" ht="14.65" outlineLevel="2" x14ac:dyDescent="0.45">
      <c r="C37" s="5">
        <v>4</v>
      </c>
      <c r="D37" s="49" t="s">
        <v>66</v>
      </c>
      <c r="E37" s="35">
        <v>781650</v>
      </c>
      <c r="F37" s="36">
        <f t="shared" si="0"/>
        <v>5.404749383065658E-2</v>
      </c>
      <c r="G37" s="35">
        <v>107890.618021</v>
      </c>
      <c r="H37" s="36">
        <f t="shared" si="1"/>
        <v>0.15230777060897929</v>
      </c>
      <c r="I37" s="37">
        <v>2.8053999999999999E-2</v>
      </c>
      <c r="J37" s="37">
        <f t="shared" si="2"/>
        <v>0.13802932005501184</v>
      </c>
      <c r="K37" s="38">
        <f t="shared" si="3"/>
        <v>1.1770118659324313</v>
      </c>
      <c r="L37" s="35">
        <v>40</v>
      </c>
      <c r="M37" s="39">
        <f t="shared" si="4"/>
        <v>0.609375</v>
      </c>
      <c r="N37" s="39">
        <f t="shared" si="5"/>
        <v>1</v>
      </c>
      <c r="O37">
        <v>117</v>
      </c>
      <c r="P37">
        <v>192</v>
      </c>
      <c r="Q37">
        <v>117</v>
      </c>
      <c r="R37">
        <v>93630.035978999993</v>
      </c>
      <c r="S37">
        <v>741570</v>
      </c>
      <c r="T37" s="3">
        <v>14933</v>
      </c>
      <c r="U37" s="3">
        <v>13575</v>
      </c>
      <c r="V37">
        <f t="shared" si="7"/>
        <v>0.12625920139568753</v>
      </c>
      <c r="W37">
        <v>192</v>
      </c>
      <c r="X37">
        <v>38</v>
      </c>
      <c r="Y37">
        <v>111</v>
      </c>
      <c r="Z37">
        <f t="shared" si="8"/>
        <v>5.2631578947368418E-2</v>
      </c>
      <c r="AA37">
        <f t="shared" si="9"/>
        <v>-0.97986299337891236</v>
      </c>
    </row>
    <row r="38" spans="3:27" ht="14.65" outlineLevel="1" x14ac:dyDescent="0.45">
      <c r="C38" s="5">
        <v>3</v>
      </c>
      <c r="D38" s="49" t="s">
        <v>73</v>
      </c>
      <c r="E38" s="35">
        <f>SUBTOTAL(9, E39:E41)</f>
        <v>6292550</v>
      </c>
      <c r="F38" s="36">
        <f t="shared" si="0"/>
        <v>6.3865219449516467E-2</v>
      </c>
      <c r="G38" s="35">
        <f>SUBTOTAL(9, G39:G41)</f>
        <v>1080136.2555720001</v>
      </c>
      <c r="H38" s="36">
        <f t="shared" si="1"/>
        <v>0.1113919917589777</v>
      </c>
      <c r="I38" s="37">
        <f>SUBTOTAL(9, I39:I41)</f>
        <v>0.28085899999999997</v>
      </c>
      <c r="J38" s="37">
        <f t="shared" si="2"/>
        <v>0.17165318600122367</v>
      </c>
      <c r="K38" s="38">
        <f t="shared" si="3"/>
        <v>0.73404540861969347</v>
      </c>
      <c r="L38" s="35">
        <f>SUBTOTAL(9, L39:L41)</f>
        <v>338</v>
      </c>
      <c r="M38" s="39">
        <f t="shared" si="4"/>
        <v>0.8001930501930502</v>
      </c>
      <c r="N38" s="39">
        <f t="shared" si="5"/>
        <v>0.79613992762364294</v>
      </c>
      <c r="O38">
        <f t="shared" ref="O38:U38" si="11">SUBTOTAL(9, O39:O41)</f>
        <v>829</v>
      </c>
      <c r="P38">
        <f t="shared" si="11"/>
        <v>1036</v>
      </c>
      <c r="Q38">
        <f t="shared" si="11"/>
        <v>660</v>
      </c>
      <c r="R38">
        <f t="shared" si="11"/>
        <v>971876.94673100009</v>
      </c>
      <c r="S38">
        <f t="shared" si="11"/>
        <v>5914800</v>
      </c>
      <c r="T38" s="3">
        <f t="shared" si="11"/>
        <v>108103</v>
      </c>
      <c r="U38" s="3">
        <f t="shared" si="11"/>
        <v>98275</v>
      </c>
      <c r="V38">
        <f t="shared" si="7"/>
        <v>0.16431273191502674</v>
      </c>
      <c r="W38">
        <f>SUBTOTAL(9, W39:W41)</f>
        <v>1036</v>
      </c>
      <c r="X38">
        <f>SUBTOTAL(9, X39:X41)</f>
        <v>318</v>
      </c>
      <c r="Y38">
        <f>SUBTOTAL(9, Y39:Y41)</f>
        <v>779</v>
      </c>
      <c r="Z38">
        <f t="shared" si="8"/>
        <v>6.2893081761006289E-2</v>
      </c>
      <c r="AA38">
        <f t="shared" si="9"/>
        <v>-0.98172330425373644</v>
      </c>
    </row>
    <row r="39" spans="3:27" ht="14.65" outlineLevel="2" x14ac:dyDescent="0.45">
      <c r="C39" s="4">
        <v>4</v>
      </c>
      <c r="D39" s="50" t="s">
        <v>71</v>
      </c>
      <c r="E39" s="30">
        <v>1755850</v>
      </c>
      <c r="F39" s="31">
        <f t="shared" si="0"/>
        <v>6.5442961165048538E-2</v>
      </c>
      <c r="G39" s="30">
        <v>289771.28690200002</v>
      </c>
      <c r="H39" s="40">
        <f t="shared" si="1"/>
        <v>0.11541305256339748</v>
      </c>
      <c r="I39" s="32">
        <v>7.5346999999999997E-2</v>
      </c>
      <c r="J39" s="32">
        <f t="shared" si="2"/>
        <v>0.16503191440157189</v>
      </c>
      <c r="K39" s="33">
        <f t="shared" si="3"/>
        <v>0.73933686066689763</v>
      </c>
      <c r="L39" s="30">
        <v>100</v>
      </c>
      <c r="M39" s="34">
        <f t="shared" si="4"/>
        <v>0.82432432432432434</v>
      </c>
      <c r="N39" s="34">
        <f t="shared" si="5"/>
        <v>0.79508196721311475</v>
      </c>
      <c r="O39">
        <v>244</v>
      </c>
      <c r="P39">
        <v>296</v>
      </c>
      <c r="Q39">
        <v>194</v>
      </c>
      <c r="R39">
        <v>259788.32347</v>
      </c>
      <c r="S39">
        <v>1648000</v>
      </c>
      <c r="T39" s="3">
        <v>25220</v>
      </c>
      <c r="U39" s="3">
        <v>22927</v>
      </c>
      <c r="V39">
        <f t="shared" si="7"/>
        <v>0.15763854579490291</v>
      </c>
      <c r="W39">
        <v>296</v>
      </c>
      <c r="X39">
        <v>94</v>
      </c>
      <c r="Y39">
        <v>229</v>
      </c>
      <c r="Z39">
        <f t="shared" si="8"/>
        <v>6.3829787234042548E-2</v>
      </c>
      <c r="AA39">
        <f t="shared" si="9"/>
        <v>-0.98469660194174757</v>
      </c>
    </row>
    <row r="40" spans="3:27" ht="14.65" outlineLevel="2" x14ac:dyDescent="0.45">
      <c r="C40" s="5">
        <v>4</v>
      </c>
      <c r="D40" s="49" t="s">
        <v>76</v>
      </c>
      <c r="E40" s="35">
        <v>2908720</v>
      </c>
      <c r="F40" s="36">
        <f t="shared" si="0"/>
        <v>5.9843759109193727E-2</v>
      </c>
      <c r="G40" s="35">
        <v>526580.91309599997</v>
      </c>
      <c r="H40" s="36">
        <f t="shared" si="1"/>
        <v>0.10465008608898496</v>
      </c>
      <c r="I40" s="37">
        <v>0.13692299999999999</v>
      </c>
      <c r="J40" s="37">
        <f t="shared" si="2"/>
        <v>0.1810352708737864</v>
      </c>
      <c r="K40" s="38">
        <f t="shared" si="3"/>
        <v>0.73430723844550849</v>
      </c>
      <c r="L40" s="35">
        <v>144</v>
      </c>
      <c r="M40" s="39">
        <f t="shared" si="4"/>
        <v>0.79729729729729726</v>
      </c>
      <c r="N40" s="39">
        <f t="shared" si="5"/>
        <v>0.79661016949152541</v>
      </c>
      <c r="O40">
        <v>354</v>
      </c>
      <c r="P40">
        <v>444</v>
      </c>
      <c r="Q40">
        <v>282</v>
      </c>
      <c r="R40">
        <v>476694.76491000003</v>
      </c>
      <c r="S40">
        <v>2744480</v>
      </c>
      <c r="T40" s="3">
        <v>60800</v>
      </c>
      <c r="U40" s="3">
        <v>55272</v>
      </c>
      <c r="V40">
        <f t="shared" si="7"/>
        <v>0.17369219848933132</v>
      </c>
      <c r="W40">
        <v>444</v>
      </c>
      <c r="X40">
        <v>136</v>
      </c>
      <c r="Y40">
        <v>334</v>
      </c>
      <c r="Z40">
        <f t="shared" si="8"/>
        <v>5.8823529411764705E-2</v>
      </c>
      <c r="AA40">
        <f t="shared" si="9"/>
        <v>-0.97784644085582695</v>
      </c>
    </row>
    <row r="41" spans="3:27" ht="14.65" outlineLevel="2" x14ac:dyDescent="0.45">
      <c r="C41" s="5">
        <v>4</v>
      </c>
      <c r="D41" s="49" t="s">
        <v>63</v>
      </c>
      <c r="E41" s="35">
        <v>1627980</v>
      </c>
      <c r="F41" s="36">
        <f t="shared" si="0"/>
        <v>6.9407220558095534E-2</v>
      </c>
      <c r="G41" s="35">
        <v>263784.055574</v>
      </c>
      <c r="H41" s="36">
        <f t="shared" si="1"/>
        <v>0.12060721304235077</v>
      </c>
      <c r="I41" s="37">
        <v>6.8588999999999997E-2</v>
      </c>
      <c r="J41" s="37">
        <f t="shared" si="2"/>
        <v>0.16203150872492292</v>
      </c>
      <c r="K41" s="38">
        <f t="shared" si="3"/>
        <v>0.74031399516032437</v>
      </c>
      <c r="L41" s="35">
        <v>94</v>
      </c>
      <c r="M41" s="39">
        <f t="shared" si="4"/>
        <v>0.78040540540540537</v>
      </c>
      <c r="N41" s="39">
        <f t="shared" si="5"/>
        <v>0.79653679653679654</v>
      </c>
      <c r="O41">
        <v>231</v>
      </c>
      <c r="P41">
        <v>296</v>
      </c>
      <c r="Q41">
        <v>184</v>
      </c>
      <c r="R41">
        <v>235393.858351</v>
      </c>
      <c r="S41">
        <v>1522320</v>
      </c>
      <c r="T41" s="3">
        <v>22083</v>
      </c>
      <c r="U41" s="3">
        <v>20076</v>
      </c>
      <c r="V41">
        <f t="shared" si="7"/>
        <v>0.15462836877331967</v>
      </c>
      <c r="W41">
        <v>296</v>
      </c>
      <c r="X41">
        <v>88</v>
      </c>
      <c r="Y41">
        <v>216</v>
      </c>
      <c r="Z41">
        <f t="shared" si="8"/>
        <v>6.8181818181818177E-2</v>
      </c>
      <c r="AA41">
        <f t="shared" si="9"/>
        <v>-0.98549385148983126</v>
      </c>
    </row>
    <row r="42" spans="3:27" ht="14.65" outlineLevel="1" x14ac:dyDescent="0.45">
      <c r="C42" s="5">
        <v>3</v>
      </c>
      <c r="D42" s="49" t="s">
        <v>79</v>
      </c>
      <c r="E42" s="35">
        <f>SUBTOTAL(9, E43:E46)</f>
        <v>9567455</v>
      </c>
      <c r="F42" s="36">
        <f t="shared" si="0"/>
        <v>5.9237301270980029E-2</v>
      </c>
      <c r="G42" s="35">
        <f>SUBTOTAL(9, G43:G46)</f>
        <v>1746010.1279750001</v>
      </c>
      <c r="H42" s="36">
        <f t="shared" si="1"/>
        <v>0.11613046706748152</v>
      </c>
      <c r="I42" s="37">
        <f>SUBTOTAL(9, I43:I46)</f>
        <v>0.45400099999999999</v>
      </c>
      <c r="J42" s="37">
        <f t="shared" si="2"/>
        <v>0.1824947311458481</v>
      </c>
      <c r="K42" s="38">
        <f t="shared" si="3"/>
        <v>0.93024098010228151</v>
      </c>
      <c r="L42" s="35">
        <f>SUBTOTAL(9, L43:L46)</f>
        <v>510</v>
      </c>
      <c r="M42" s="39">
        <f t="shared" si="4"/>
        <v>0.85081743869209814</v>
      </c>
      <c r="N42" s="39">
        <f t="shared" si="5"/>
        <v>0.79583666933546837</v>
      </c>
      <c r="O42">
        <f t="shared" ref="O42:U42" si="12">SUBTOTAL(9, O43:O46)</f>
        <v>1249</v>
      </c>
      <c r="P42">
        <f t="shared" si="12"/>
        <v>1468</v>
      </c>
      <c r="Q42">
        <f t="shared" si="12"/>
        <v>994</v>
      </c>
      <c r="R42">
        <f t="shared" si="12"/>
        <v>1564342.3233149999</v>
      </c>
      <c r="S42">
        <f t="shared" si="12"/>
        <v>9032400</v>
      </c>
      <c r="T42" s="3">
        <f t="shared" si="12"/>
        <v>166530</v>
      </c>
      <c r="U42" s="3">
        <f t="shared" si="12"/>
        <v>151390</v>
      </c>
      <c r="V42">
        <f t="shared" si="7"/>
        <v>0.17319232134482529</v>
      </c>
      <c r="W42">
        <f>SUBTOTAL(9, W43:W46)</f>
        <v>1468</v>
      </c>
      <c r="X42">
        <f>SUBTOTAL(9, X43:X46)</f>
        <v>482</v>
      </c>
      <c r="Y42">
        <f>SUBTOTAL(9, Y43:Y46)</f>
        <v>1179</v>
      </c>
      <c r="Z42">
        <f t="shared" si="8"/>
        <v>5.8091286307053944E-2</v>
      </c>
      <c r="AA42">
        <f t="shared" si="9"/>
        <v>-0.98156303972366143</v>
      </c>
    </row>
    <row r="43" spans="3:27" ht="14.65" outlineLevel="2" x14ac:dyDescent="0.45">
      <c r="C43" s="4">
        <v>4</v>
      </c>
      <c r="D43" s="50" t="s">
        <v>68</v>
      </c>
      <c r="E43" s="30">
        <v>1773610</v>
      </c>
      <c r="F43" s="31">
        <f t="shared" si="0"/>
        <v>6.404576282880034E-2</v>
      </c>
      <c r="G43" s="30">
        <v>305136.21656199999</v>
      </c>
      <c r="H43" s="31">
        <f t="shared" si="1"/>
        <v>0.12517803700266905</v>
      </c>
      <c r="I43" s="32">
        <v>7.9341999999999996E-2</v>
      </c>
      <c r="J43" s="32">
        <f t="shared" si="2"/>
        <v>0.17204245384385519</v>
      </c>
      <c r="K43" s="33">
        <f t="shared" si="3"/>
        <v>0.93472731532732167</v>
      </c>
      <c r="L43" s="30">
        <v>102</v>
      </c>
      <c r="M43" s="34">
        <f t="shared" si="4"/>
        <v>0.84121621621621623</v>
      </c>
      <c r="N43" s="34">
        <f t="shared" si="5"/>
        <v>0.79518072289156627</v>
      </c>
      <c r="O43">
        <v>249</v>
      </c>
      <c r="P43">
        <v>296</v>
      </c>
      <c r="Q43">
        <v>198</v>
      </c>
      <c r="R43">
        <v>271189.27541</v>
      </c>
      <c r="S43">
        <v>1666855</v>
      </c>
      <c r="T43" s="3">
        <v>24923</v>
      </c>
      <c r="U43" s="3">
        <v>22657</v>
      </c>
      <c r="V43">
        <f t="shared" si="7"/>
        <v>0.16269518069058198</v>
      </c>
      <c r="W43">
        <v>296</v>
      </c>
      <c r="X43">
        <v>96</v>
      </c>
      <c r="Y43">
        <v>234</v>
      </c>
      <c r="Z43">
        <f t="shared" si="8"/>
        <v>6.25E-2</v>
      </c>
      <c r="AA43">
        <f t="shared" si="9"/>
        <v>-0.98504788958847656</v>
      </c>
    </row>
    <row r="44" spans="3:27" ht="14.65" outlineLevel="2" x14ac:dyDescent="0.45">
      <c r="C44" s="5">
        <v>4</v>
      </c>
      <c r="D44" s="49" t="s">
        <v>65</v>
      </c>
      <c r="E44" s="35">
        <v>2496705</v>
      </c>
      <c r="F44" s="36">
        <f t="shared" si="0"/>
        <v>6.5745074561880917E-2</v>
      </c>
      <c r="G44" s="35">
        <v>456976.67065300001</v>
      </c>
      <c r="H44" s="36">
        <f t="shared" si="1"/>
        <v>0.12288696361440038</v>
      </c>
      <c r="I44" s="37">
        <v>0.118824</v>
      </c>
      <c r="J44" s="37">
        <f t="shared" si="2"/>
        <v>0.18303190431108202</v>
      </c>
      <c r="K44" s="38">
        <f t="shared" si="3"/>
        <v>0.93141955585181735</v>
      </c>
      <c r="L44" s="35">
        <v>132</v>
      </c>
      <c r="M44" s="39">
        <f t="shared" si="4"/>
        <v>0.85263157894736841</v>
      </c>
      <c r="N44" s="39">
        <f t="shared" si="5"/>
        <v>0.79629629629629628</v>
      </c>
      <c r="O44">
        <v>324</v>
      </c>
      <c r="P44">
        <v>380</v>
      </c>
      <c r="Q44">
        <v>258</v>
      </c>
      <c r="R44">
        <v>406965.87052900001</v>
      </c>
      <c r="S44">
        <v>2342685</v>
      </c>
      <c r="T44" s="3">
        <v>41783</v>
      </c>
      <c r="U44" s="3">
        <v>37985</v>
      </c>
      <c r="V44">
        <f t="shared" si="7"/>
        <v>0.17371770875256384</v>
      </c>
      <c r="W44">
        <v>380</v>
      </c>
      <c r="X44">
        <v>124</v>
      </c>
      <c r="Y44">
        <v>304</v>
      </c>
      <c r="Z44">
        <f t="shared" si="8"/>
        <v>6.4516129032258063E-2</v>
      </c>
      <c r="AA44">
        <f t="shared" si="9"/>
        <v>-0.98216448220738173</v>
      </c>
    </row>
    <row r="45" spans="3:27" ht="14.65" outlineLevel="2" x14ac:dyDescent="0.45">
      <c r="C45" s="5">
        <v>4</v>
      </c>
      <c r="D45" s="49" t="s">
        <v>78</v>
      </c>
      <c r="E45" s="35">
        <v>2158300</v>
      </c>
      <c r="F45" s="36">
        <f t="shared" si="0"/>
        <v>5.372364836495367E-2</v>
      </c>
      <c r="G45" s="35">
        <v>384274.75400999998</v>
      </c>
      <c r="H45" s="36">
        <f t="shared" si="1"/>
        <v>0.1119844559392074</v>
      </c>
      <c r="I45" s="37">
        <v>9.9919999999999995E-2</v>
      </c>
      <c r="J45" s="37">
        <f t="shared" si="2"/>
        <v>0.17804510680164942</v>
      </c>
      <c r="K45" s="38">
        <f t="shared" si="3"/>
        <v>0.93284143060678171</v>
      </c>
      <c r="L45" s="35">
        <v>120</v>
      </c>
      <c r="M45" s="39">
        <f t="shared" si="4"/>
        <v>0.84482758620689657</v>
      </c>
      <c r="N45" s="39">
        <f t="shared" si="5"/>
        <v>0.79591836734693877</v>
      </c>
      <c r="O45">
        <v>294</v>
      </c>
      <c r="P45">
        <v>348</v>
      </c>
      <c r="Q45">
        <v>234</v>
      </c>
      <c r="R45">
        <v>345575.65257099998</v>
      </c>
      <c r="S45">
        <v>2048260</v>
      </c>
      <c r="T45" s="3">
        <v>31533</v>
      </c>
      <c r="U45" s="3">
        <v>28666</v>
      </c>
      <c r="V45">
        <f t="shared" si="7"/>
        <v>0.1687166924955816</v>
      </c>
      <c r="W45">
        <v>348</v>
      </c>
      <c r="X45">
        <v>114</v>
      </c>
      <c r="Y45">
        <v>279</v>
      </c>
      <c r="Z45">
        <f t="shared" si="8"/>
        <v>5.2631578947368418E-2</v>
      </c>
      <c r="AA45">
        <f t="shared" si="9"/>
        <v>-0.98460498178942124</v>
      </c>
    </row>
    <row r="46" spans="3:27" ht="14.65" outlineLevel="2" x14ac:dyDescent="0.45">
      <c r="C46" s="5">
        <v>4</v>
      </c>
      <c r="D46" s="49" t="s">
        <v>69</v>
      </c>
      <c r="E46" s="35">
        <v>3138840</v>
      </c>
      <c r="F46" s="36">
        <f t="shared" si="0"/>
        <v>5.5214146439857462E-2</v>
      </c>
      <c r="G46" s="35">
        <v>599622.48675000004</v>
      </c>
      <c r="H46" s="36">
        <f t="shared" si="1"/>
        <v>0.10915594514246693</v>
      </c>
      <c r="I46" s="37">
        <v>0.155915</v>
      </c>
      <c r="J46" s="37">
        <f t="shared" si="2"/>
        <v>0.19103314815345798</v>
      </c>
      <c r="K46" s="38">
        <f t="shared" si="3"/>
        <v>0.92905525759013063</v>
      </c>
      <c r="L46" s="35">
        <v>156</v>
      </c>
      <c r="M46" s="39">
        <f t="shared" si="4"/>
        <v>0.86036036036036034</v>
      </c>
      <c r="N46" s="39">
        <f t="shared" si="5"/>
        <v>0.79581151832460728</v>
      </c>
      <c r="O46">
        <v>382</v>
      </c>
      <c r="P46">
        <v>444</v>
      </c>
      <c r="Q46">
        <v>304</v>
      </c>
      <c r="R46">
        <v>540611.52480500005</v>
      </c>
      <c r="S46">
        <v>2974600</v>
      </c>
      <c r="T46" s="3">
        <v>68291</v>
      </c>
      <c r="U46" s="3">
        <v>62082</v>
      </c>
      <c r="V46">
        <f t="shared" si="7"/>
        <v>0.18174259557755668</v>
      </c>
      <c r="W46">
        <v>444</v>
      </c>
      <c r="X46">
        <v>148</v>
      </c>
      <c r="Y46">
        <v>362</v>
      </c>
      <c r="Z46">
        <f t="shared" si="8"/>
        <v>5.4054054054054057E-2</v>
      </c>
      <c r="AA46">
        <f t="shared" si="9"/>
        <v>-0.97704195522087001</v>
      </c>
    </row>
    <row r="47" spans="3:27" ht="14.65" outlineLevel="1" x14ac:dyDescent="0.45">
      <c r="C47" s="4">
        <v>3</v>
      </c>
      <c r="D47" s="50" t="s">
        <v>75</v>
      </c>
      <c r="E47" s="30">
        <f>SUBTOTAL(9, E48:E49)</f>
        <v>2706480</v>
      </c>
      <c r="F47" s="31">
        <f t="shared" si="0"/>
        <v>6.6546868904205136E-2</v>
      </c>
      <c r="G47" s="30">
        <f>SUBTOTAL(9, G48:G49)</f>
        <v>572262.78380899993</v>
      </c>
      <c r="H47" s="31">
        <f t="shared" si="1"/>
        <v>0.10603486660722296</v>
      </c>
      <c r="I47" s="32">
        <f>SUBTOTAL(9, I48:I49)</f>
        <v>0.14879999999999999</v>
      </c>
      <c r="J47" s="32">
        <f t="shared" si="2"/>
        <v>0.21144171906276785</v>
      </c>
      <c r="K47" s="33">
        <f t="shared" si="3"/>
        <v>0.75489574232724121</v>
      </c>
      <c r="L47" s="30">
        <f>SUBTOTAL(9, L48:L49)</f>
        <v>164</v>
      </c>
      <c r="M47" s="34">
        <f t="shared" si="4"/>
        <v>0.64423076923076927</v>
      </c>
      <c r="N47" s="34">
        <f t="shared" si="5"/>
        <v>1</v>
      </c>
      <c r="O47">
        <f t="shared" ref="O47:U47" si="13">SUBTOTAL(9, O48:O49)</f>
        <v>402</v>
      </c>
      <c r="P47">
        <f t="shared" si="13"/>
        <v>624</v>
      </c>
      <c r="Q47">
        <f t="shared" si="13"/>
        <v>402</v>
      </c>
      <c r="R47">
        <f t="shared" si="13"/>
        <v>517400.310864</v>
      </c>
      <c r="S47">
        <f t="shared" si="13"/>
        <v>2537610</v>
      </c>
      <c r="T47" s="3">
        <f t="shared" si="13"/>
        <v>58580</v>
      </c>
      <c r="U47" s="3">
        <f t="shared" si="13"/>
        <v>53255</v>
      </c>
      <c r="V47">
        <f t="shared" si="7"/>
        <v>0.20389276163949543</v>
      </c>
      <c r="W47">
        <f>SUBTOTAL(9, W48:W49)</f>
        <v>624</v>
      </c>
      <c r="X47">
        <f>SUBTOTAL(9, X48:X49)</f>
        <v>154</v>
      </c>
      <c r="Y47">
        <f>SUBTOTAL(9, Y48:Y49)</f>
        <v>377</v>
      </c>
      <c r="Z47">
        <f t="shared" si="8"/>
        <v>6.4935064935064929E-2</v>
      </c>
      <c r="AA47">
        <f t="shared" si="9"/>
        <v>-0.97691528643093306</v>
      </c>
    </row>
    <row r="48" spans="3:27" ht="14.65" outlineLevel="2" x14ac:dyDescent="0.45">
      <c r="C48" s="5">
        <v>4</v>
      </c>
      <c r="D48" s="49" t="s">
        <v>72</v>
      </c>
      <c r="E48" s="35">
        <v>1132650</v>
      </c>
      <c r="F48" s="36">
        <f t="shared" si="0"/>
        <v>6.0265663175040021E-2</v>
      </c>
      <c r="G48" s="35">
        <v>232243.36315300001</v>
      </c>
      <c r="H48" s="36">
        <f t="shared" si="1"/>
        <v>0.10082966673293736</v>
      </c>
      <c r="I48" s="37">
        <v>6.0387999999999997E-2</v>
      </c>
      <c r="J48" s="37">
        <f t="shared" si="2"/>
        <v>0.20504424416456982</v>
      </c>
      <c r="K48" s="38">
        <f t="shared" si="3"/>
        <v>0.75555880270764819</v>
      </c>
      <c r="L48" s="35">
        <v>72</v>
      </c>
      <c r="M48" s="39">
        <f t="shared" si="4"/>
        <v>0.5641025641025641</v>
      </c>
      <c r="N48" s="39">
        <f t="shared" si="5"/>
        <v>1</v>
      </c>
      <c r="O48">
        <v>176</v>
      </c>
      <c r="P48">
        <v>312</v>
      </c>
      <c r="Q48">
        <v>176</v>
      </c>
      <c r="R48">
        <v>210971.20669200001</v>
      </c>
      <c r="S48">
        <v>1068270</v>
      </c>
      <c r="T48" s="3">
        <v>21968</v>
      </c>
      <c r="U48" s="3">
        <v>19971</v>
      </c>
      <c r="V48">
        <f t="shared" si="7"/>
        <v>0.19748865613749333</v>
      </c>
      <c r="W48">
        <v>312</v>
      </c>
      <c r="X48">
        <v>68</v>
      </c>
      <c r="Y48">
        <v>166</v>
      </c>
      <c r="Z48">
        <f t="shared" si="8"/>
        <v>5.8823529411764705E-2</v>
      </c>
      <c r="AA48">
        <f t="shared" si="9"/>
        <v>-0.97943591039718425</v>
      </c>
    </row>
    <row r="49" spans="3:27" ht="14.65" outlineLevel="2" x14ac:dyDescent="0.45">
      <c r="C49" s="5">
        <v>4</v>
      </c>
      <c r="D49" s="49" t="s">
        <v>70</v>
      </c>
      <c r="E49" s="35">
        <v>1573830</v>
      </c>
      <c r="F49" s="36">
        <f t="shared" si="0"/>
        <v>7.1113561190738694E-2</v>
      </c>
      <c r="G49" s="35">
        <v>340019.42065599997</v>
      </c>
      <c r="H49" s="36">
        <f t="shared" si="1"/>
        <v>0.10961855785456187</v>
      </c>
      <c r="I49" s="37">
        <v>8.8412000000000004E-2</v>
      </c>
      <c r="J49" s="37">
        <f t="shared" si="2"/>
        <v>0.2160458376419308</v>
      </c>
      <c r="K49" s="38">
        <f t="shared" si="3"/>
        <v>0.74970305775345358</v>
      </c>
      <c r="L49" s="35">
        <v>92</v>
      </c>
      <c r="M49" s="39">
        <f t="shared" si="4"/>
        <v>0.72435897435897434</v>
      </c>
      <c r="N49" s="39">
        <f t="shared" si="5"/>
        <v>1</v>
      </c>
      <c r="O49">
        <v>226</v>
      </c>
      <c r="P49">
        <v>312</v>
      </c>
      <c r="Q49">
        <v>226</v>
      </c>
      <c r="R49">
        <v>306429.10417200002</v>
      </c>
      <c r="S49">
        <v>1469340</v>
      </c>
      <c r="T49" s="3">
        <v>36612</v>
      </c>
      <c r="U49" s="3">
        <v>33284</v>
      </c>
      <c r="V49">
        <f t="shared" si="7"/>
        <v>0.20854880706439627</v>
      </c>
      <c r="W49">
        <v>312</v>
      </c>
      <c r="X49">
        <v>86</v>
      </c>
      <c r="Y49">
        <v>211</v>
      </c>
      <c r="Z49">
        <f t="shared" si="8"/>
        <v>6.9767441860465115E-2</v>
      </c>
      <c r="AA49">
        <f t="shared" si="9"/>
        <v>-0.9750826901874311</v>
      </c>
    </row>
    <row r="50" spans="3:27" ht="14.65" outlineLevel="1" x14ac:dyDescent="0.45">
      <c r="C50" s="4">
        <v>3</v>
      </c>
      <c r="D50" s="50" t="s">
        <v>62</v>
      </c>
      <c r="E50" s="30">
        <f>SUBTOTAL(9, E51:E52)</f>
        <v>1949700</v>
      </c>
      <c r="F50" s="31">
        <f t="shared" si="0"/>
        <v>6.2744264386048104E-2</v>
      </c>
      <c r="G50" s="30">
        <f>SUBTOTAL(9, G51:G52)</f>
        <v>81727.988574000003</v>
      </c>
      <c r="H50" s="31">
        <f t="shared" si="1"/>
        <v>-0.16204481124896888</v>
      </c>
      <c r="I50" s="32">
        <f>SUBTOTAL(9, I51:I52)</f>
        <v>2.1249999999999998E-2</v>
      </c>
      <c r="J50" s="32">
        <f t="shared" si="2"/>
        <v>4.1918237971995696E-2</v>
      </c>
      <c r="K50" s="33">
        <f t="shared" si="3"/>
        <v>-1.1244947334258015</v>
      </c>
      <c r="L50" s="30">
        <f>SUBTOTAL(9, L51:L52)</f>
        <v>87</v>
      </c>
      <c r="M50" s="34">
        <f t="shared" si="4"/>
        <v>0.6640625</v>
      </c>
      <c r="N50" s="34">
        <f t="shared" si="5"/>
        <v>1</v>
      </c>
      <c r="O50">
        <f t="shared" ref="O50:U50" si="14">SUBTOTAL(9, O51:O52)</f>
        <v>255</v>
      </c>
      <c r="P50">
        <f t="shared" si="14"/>
        <v>384</v>
      </c>
      <c r="Q50">
        <f t="shared" si="14"/>
        <v>255</v>
      </c>
      <c r="R50">
        <f t="shared" si="14"/>
        <v>97532.648130999994</v>
      </c>
      <c r="S50">
        <f t="shared" si="14"/>
        <v>1834590</v>
      </c>
      <c r="T50">
        <f t="shared" si="14"/>
        <v>49090</v>
      </c>
      <c r="U50">
        <f t="shared" si="14"/>
        <v>44627</v>
      </c>
      <c r="V50">
        <f t="shared" si="7"/>
        <v>5.3163185306253712E-2</v>
      </c>
      <c r="W50">
        <f>SUBTOTAL(9, W51:W52)</f>
        <v>384</v>
      </c>
      <c r="X50">
        <f>SUBTOTAL(9, X51:X52)</f>
        <v>82</v>
      </c>
      <c r="Y50">
        <f>SUBTOTAL(9, Y51:Y52)</f>
        <v>240</v>
      </c>
      <c r="Z50">
        <f t="shared" si="8"/>
        <v>6.097560975609756E-2</v>
      </c>
      <c r="AA50">
        <f t="shared" si="9"/>
        <v>-0.97324197777160015</v>
      </c>
    </row>
    <row r="51" spans="3:27" ht="14.65" outlineLevel="2" x14ac:dyDescent="0.45">
      <c r="C51" s="5">
        <v>4</v>
      </c>
      <c r="D51" s="49" t="s">
        <v>64</v>
      </c>
      <c r="E51" s="35">
        <v>863550</v>
      </c>
      <c r="F51" s="36">
        <f t="shared" si="0"/>
        <v>5.4048116005712403E-2</v>
      </c>
      <c r="G51" s="35">
        <v>32830.609501999999</v>
      </c>
      <c r="H51" s="36">
        <f t="shared" si="1"/>
        <v>-0.18679540053536764</v>
      </c>
      <c r="I51" s="37">
        <v>8.5360000000000002E-3</v>
      </c>
      <c r="J51" s="37">
        <f t="shared" si="2"/>
        <v>3.8018191768861093E-2</v>
      </c>
      <c r="K51" s="38">
        <f t="shared" si="3"/>
        <v>-1.1259694059986538</v>
      </c>
      <c r="L51" s="35">
        <v>40</v>
      </c>
      <c r="M51" s="39">
        <f t="shared" si="4"/>
        <v>0.609375</v>
      </c>
      <c r="N51" s="39">
        <f t="shared" si="5"/>
        <v>1</v>
      </c>
      <c r="O51">
        <v>117</v>
      </c>
      <c r="P51">
        <v>192</v>
      </c>
      <c r="Q51">
        <v>117</v>
      </c>
      <c r="R51">
        <v>40371.893522999999</v>
      </c>
      <c r="S51">
        <v>819270</v>
      </c>
      <c r="T51">
        <v>18850</v>
      </c>
      <c r="U51">
        <v>17136</v>
      </c>
      <c r="V51">
        <f t="shared" si="7"/>
        <v>4.927788582884763E-2</v>
      </c>
      <c r="W51">
        <v>192</v>
      </c>
      <c r="X51">
        <v>38</v>
      </c>
      <c r="Y51">
        <v>111</v>
      </c>
      <c r="Z51">
        <f t="shared" si="8"/>
        <v>5.2631578947368418E-2</v>
      </c>
      <c r="AA51">
        <f t="shared" si="9"/>
        <v>-0.97699171213397296</v>
      </c>
    </row>
    <row r="52" spans="3:27" ht="14.65" outlineLevel="2" x14ac:dyDescent="0.45">
      <c r="C52" s="5">
        <v>4</v>
      </c>
      <c r="D52" s="49" t="s">
        <v>67</v>
      </c>
      <c r="E52" s="35">
        <v>1086150</v>
      </c>
      <c r="F52" s="36">
        <f t="shared" si="0"/>
        <v>6.9761257534570381E-2</v>
      </c>
      <c r="G52" s="35">
        <v>48897.379072000003</v>
      </c>
      <c r="H52" s="36">
        <f t="shared" si="1"/>
        <v>-0.14456379368447822</v>
      </c>
      <c r="I52" s="37">
        <v>1.2714E-2</v>
      </c>
      <c r="J52" s="37">
        <f t="shared" si="2"/>
        <v>4.5018992838926485E-2</v>
      </c>
      <c r="K52" s="38">
        <f t="shared" si="3"/>
        <v>-1.1279272346433797</v>
      </c>
      <c r="L52" s="35">
        <v>47</v>
      </c>
      <c r="M52" s="39">
        <f t="shared" si="4"/>
        <v>0.71875</v>
      </c>
      <c r="N52" s="39">
        <f t="shared" si="5"/>
        <v>1</v>
      </c>
      <c r="O52">
        <v>138</v>
      </c>
      <c r="P52">
        <v>192</v>
      </c>
      <c r="Q52">
        <v>138</v>
      </c>
      <c r="R52">
        <v>57160.754608000003</v>
      </c>
      <c r="S52">
        <v>1015320</v>
      </c>
      <c r="T52">
        <v>30240</v>
      </c>
      <c r="U52">
        <v>27491</v>
      </c>
      <c r="V52">
        <f t="shared" si="7"/>
        <v>5.6298265185360283E-2</v>
      </c>
      <c r="W52">
        <v>192</v>
      </c>
      <c r="X52">
        <v>44</v>
      </c>
      <c r="Y52">
        <v>129</v>
      </c>
      <c r="Z52">
        <f t="shared" si="8"/>
        <v>6.8181818181818177E-2</v>
      </c>
      <c r="AA52">
        <f t="shared" si="9"/>
        <v>-0.97021628649095848</v>
      </c>
    </row>
  </sheetData>
  <conditionalFormatting sqref="C10">
    <cfRule type="cellIs" dxfId="17" priority="17" operator="greaterThan">
      <formula>0</formula>
    </cfRule>
    <cfRule type="cellIs" dxfId="16" priority="18" operator="lessThan">
      <formula>0</formula>
    </cfRule>
  </conditionalFormatting>
  <conditionalFormatting sqref="E10">
    <cfRule type="cellIs" dxfId="15" priority="19" operator="greaterThan">
      <formula>0</formula>
    </cfRule>
    <cfRule type="cellIs" dxfId="14" priority="20" operator="lessThan">
      <formula>0</formula>
    </cfRule>
  </conditionalFormatting>
  <conditionalFormatting sqref="F33:F52">
    <cfRule type="cellIs" dxfId="13" priority="2" operator="greaterThan">
      <formula>0</formula>
    </cfRule>
    <cfRule type="cellIs" dxfId="12" priority="3" operator="lessThan">
      <formula>0</formula>
    </cfRule>
  </conditionalFormatting>
  <conditionalFormatting sqref="G10">
    <cfRule type="cellIs" dxfId="11" priority="21" operator="greaterThan">
      <formula>0</formula>
    </cfRule>
    <cfRule type="cellIs" dxfId="10" priority="22" operator="lessThan">
      <formula>0</formula>
    </cfRule>
  </conditionalFormatting>
  <conditionalFormatting sqref="H33:H52">
    <cfRule type="cellIs" dxfId="9" priority="4" operator="greaterThan">
      <formula>0</formula>
    </cfRule>
    <cfRule type="cellIs" dxfId="8" priority="5" operator="lessThan">
      <formula>0</formula>
    </cfRule>
  </conditionalFormatting>
  <conditionalFormatting sqref="I10">
    <cfRule type="cellIs" dxfId="7" priority="23" operator="greaterThan">
      <formula>0</formula>
    </cfRule>
    <cfRule type="cellIs" dxfId="6" priority="24" operator="lessThan">
      <formula>0</formula>
    </cfRule>
  </conditionalFormatting>
  <conditionalFormatting sqref="J33:J52">
    <cfRule type="dataBar" priority="1">
      <dataBar>
        <cfvo type="num" val="0"/>
        <cfvo type="num" val="0.24"/>
        <color rgb="FF2A78D6"/>
      </dataBar>
    </cfRule>
  </conditionalFormatting>
  <conditionalFormatting sqref="K10">
    <cfRule type="cellIs" dxfId="5" priority="25" operator="greaterThan">
      <formula>0</formula>
    </cfRule>
    <cfRule type="cellIs" dxfId="4" priority="26" operator="lessThan">
      <formula>0</formula>
    </cfRule>
    <cfRule type="cellIs" dxfId="3" priority="27" operator="greaterThan">
      <formula>0</formula>
    </cfRule>
  </conditionalFormatting>
  <conditionalFormatting sqref="K33:K52">
    <cfRule type="cellIs" dxfId="2" priority="6" operator="greaterThan">
      <formula>0</formula>
    </cfRule>
    <cfRule type="cellIs" dxfId="1" priority="7" operator="lessThan">
      <formula>0</formula>
    </cfRule>
  </conditionalFormatting>
  <conditionalFormatting sqref="M33:M52">
    <cfRule type="cellIs" dxfId="0" priority="8" operator="lessThan">
      <formula>0.7</formula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COCKPIT</s>
        <a key="desc" refId="2" ln="4" eid="SYS_STR">
          <s>COCKPIT</s>
          <s/>
          <s/>
          <s/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Template01</s>
          </key>
          <val>
            <be refId="8" clsId="ReportTemplateVO">
              <s key="code">Template01</s>
              <s key="desc">2</s>
              <m key="matrices" refId="9" keid="SYS_STR" veid="Reporting.com.tagetik.tables.IMatrixPositionBlockVO,Reporting"/>
              <m key="cellFields" refId="10" keid="SYS_STR" veid="CodeCellField"/>
              <m key="dictionary" refId="11" keid="SYS_STR" veid="CodeMultiDescVO"/>
              <m key="controlExpressions" refId="12" keid="SYS_STR" veid="CodedExpControlloProspetto"/>
              <m key="inlineParameters" refId="13" keid="SYS_STR" veid="CodedInlineParameter"/>
              <m key="queries" refId="14" keid="SYS_STR" veid="Reporting.com.tagetik.query.IUserDefinedQueryVO,Reporting"/>
              <be key="sheets" refId="15" clsId="FilterNode">
                <l key="dimensionOids" refId="16" ln="0" eid="DimensionOid"/>
                <l key="AdHocParamDimensionOids" refId="17" ln="0" eid="DimensionOid"/>
                <be key="data" refId="18" clsId="FilterNodeData">
                  <ref key="filterNode" refId="15"/>
                  <i key="segmentLevel">0</i>
                  <e key="segment" refId="19" id="SegmentEnum">CF</e>
                  <b key="placeHolder">N</b>
                  <e key="weight" refId="20" id="WeightEnum">S</e>
                  <be key="textMatchingCondition" refId="21" clsId="TextMatchingCondition">
                    <e key="op" refId="22" id="ComparisonOperatorEnum">=</e>
                    <s key="val"/>
                  </be>
                  <e key="change" refId="23" id="ChangeEnum">CHG_CF</e>
                  <e key="dataType" refId="24" id="DataType">TYPE_U</e>
                  <b key="prevailingDataType">N</b>
                  <e key="editability" refId="25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26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7" keid="SYS_STR" veid="ElaborationsLauncher"/>
              <m key="actionLists" refId="28" keid="SYS_STR" veid="Reporting.com.tagetik.actionlist.ISnapshotActionList,Reporting"/>
              <l key="areas" refId="29" ln="0" eid="SYS_STR"/>
              <l key="charts" refId="30" ln="0" eid="SYS_STR"/>
              <l key="pivots" refId="31" ln="0" eid="SYS_STR"/>
            </be>
          </val>
        </m>
        <m key="templateLayouts" refId="32" keid="SYS_STR" veid="Reporting.com.tagetik.report.IReportTemplateLayoutVO,Reporting">
          <key>
            <s>Template01</s>
          </key>
          <val>
            <be refId="33" clsId="ReportTemplateLayoutVO">
              <i key="index">0</i>
              <s key="code">Template01</s>
              <m key="cellFieldAddresses" refId="34" keid="SYS_STR" veid="Reporting.com.tagetik.spreadsheet.gridwrappers.IGridReaderVO,Reporting"/>
              <m key="controlExpressionsAddresses" refId="35" keid="SYS_STR" veid="Reporting.com.tagetik.spreadsheet.gridwrappers.IGridReaderVO,Reporting"/>
              <m key="inlineParameterAddresses" refId="36" keid="SYS_STR" veid="Reporting.com.tagetik.spreadsheet.gridwrappers.IGridReaderVO,Reporting"/>
              <m key="dictionaryAddresses" refId="37" keid="SYS_STR" veid="Reporting.com.tagetik.spreadsheet.gridwrappers.IGridReaderVO,Reporting"/>
              <m key="hyperlinkAddresses" refId="38" keid="SYS_STR" veid="Reporting.com.tagetik.spreadsheet.gridwrappers.IGridReaderVO,Reporting"/>
              <m key="matrixGridReaders" refId="39" keid="SYS_STR" veid="Reporting.com.tagetik.spreadsheet.gridwrappers.IGridReaderVO,Reporting"/>
              <m key="queryGridReaders" refId="40" keid="SYS_STR" veid="Reporting.com.tagetik.spreadsheet.gridwrappers.IGridReaderVO,Reporting"/>
            </be>
          </val>
        </m>
        <m key="adHocParameters" refId="41" keid="SYS_STR" veid="ProspParametro"/>
        <l key="parametersToBeRequested" refId="42" ln="0" eid="ParameterInfo"/>
      </be>
      <be key="launchResult" refId="43" clsId="MultiRepLaunchResult">
        <be key="elabResult" refId="44" clsId="ElabResult"/>
        <m key="valori" refId="45" keid="SYS_STR" veid="ProspElaborationTaskResult"/>
        <m key="exportedType" refId="46" keid="SYS_STR" veid="SYS_STR"/>
        <m key="exportedResult" refId="47" keid="SYS_STR" veid="System.Byte[]"/>
        <b key="flagValidation">N</b>
      </be>
      <be key="parameters" refId="48" clsId="LaunchParameters">
        <i key="descLanguage">0</i>
        <b key="dataEntry">N</b>
        <b key="checkEdit">S</b>
        <b key="createMatrixAreas">N</b>
      </be>
      <be key="launchInfo" refId="49" clsId="LaunchInfo">
        <d key="launchTime">1788657541109</d>
        <s key="handlerId">9cc0ea31-6a6b-4dd3-8424-8091775b6f42</s>
      </be>
    </be>
  </data>
</easyPacket>
</file>

<file path=customXml/itemProps1.xml><?xml version="1.0" encoding="utf-8"?>
<ds:datastoreItem xmlns:ds="http://schemas.openxmlformats.org/officeDocument/2006/customXml" ds:itemID="{C4283C68-29AC-4757-93DD-30311A73B8CA}">
  <ds:schemaRefs/>
</ds:datastoreItem>
</file>

<file path=customXml/itemProps2.xml><?xml version="1.0" encoding="utf-8"?>
<ds:datastoreItem xmlns:ds="http://schemas.openxmlformats.org/officeDocument/2006/customXml" ds:itemID="{B1ECEC22-00A3-451D-A7CF-4F8FF10F94DF}">
  <ds:schemaRefs/>
</ds:datastoreItem>
</file>

<file path=customXml/itemProps3.xml><?xml version="1.0" encoding="utf-8"?>
<ds:datastoreItem xmlns:ds="http://schemas.openxmlformats.org/officeDocument/2006/customXml" ds:itemID="{E9ED43DB-4ED7-4903-8E66-93A4DAE95B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2026-09-04T14:45:38Z</dcterms:created>
  <dcterms:modified xsi:type="dcterms:W3CDTF">2026-09-06T01:19:39Z</dcterms:modified>
</cp:coreProperties>
</file>