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dge CAC (waterfall)" sheetId="1" state="visible" r:id="rId1"/>
    <sheet name="YoY Marge (point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€&quot;"/>
    <numFmt numFmtId="165" formatCode="&quot;▲ &quot;0.0%;&quot;▼ &quot;0.0%"/>
    <numFmt numFmtId="166" formatCode="0.0%"/>
    <numFmt numFmtId="167" formatCode="&quot;+ &quot;0.0&quot; pt&quot;;&quot;− &quot;0.0&quot; pt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.5"/>
    </font>
    <font>
      <name val="Arial"/>
      <b val="1"/>
      <color rgb="00152230"/>
      <sz val="9.5"/>
    </font>
    <font>
      <name val="Arial"/>
      <color rgb="00152230"/>
      <sz val="9.5"/>
    </font>
    <font>
      <name val="Arial"/>
      <color rgb="001E7A55"/>
      <sz val="9.5"/>
    </font>
    <font>
      <name val="Arial"/>
      <color rgb="00C0392B"/>
      <sz val="9.5"/>
    </font>
    <font>
      <name val="Arial"/>
      <color rgb="007D8B98"/>
      <sz val="8"/>
    </font>
    <font>
      <name val="Arial"/>
      <b val="1"/>
      <color rgb="007D8B98"/>
      <sz val="8"/>
    </font>
    <font>
      <name val="Arial"/>
      <color rgb="007D8B98"/>
      <sz val="8.5"/>
    </font>
    <font>
      <name val="Arial"/>
      <b val="1"/>
      <color rgb="00FFFFFF"/>
      <sz val="9"/>
    </font>
    <font>
      <name val="Arial"/>
      <b val="1"/>
      <color rgb="00152230"/>
      <sz val="10"/>
    </font>
    <font>
      <name val="Arial"/>
      <b val="1"/>
      <color rgb="001E7A55"/>
      <sz val="10"/>
    </font>
    <font>
      <name val="Arial"/>
      <b val="1"/>
      <color rgb="00B3641C"/>
      <sz val="8.5"/>
    </font>
    <font>
      <name val="Arial"/>
      <color rgb="0051606D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D7A62"/>
      </patternFill>
    </fill>
    <fill>
      <patternFill patternType="solid">
        <fgColor rgb="00FFF6DA"/>
      </patternFill>
    </fill>
  </fills>
  <borders count="2">
    <border>
      <left/>
      <right/>
      <top/>
      <bottom/>
      <diagonal/>
    </border>
    <border>
      <left style="thin">
        <color rgb="00C8D2DA"/>
      </left>
      <right style="thin">
        <color rgb="00C8D2DA"/>
      </right>
      <top style="thin">
        <color rgb="00C8D2DA"/>
      </top>
      <bottom style="thin">
        <color rgb="00C8D2D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0" borderId="0" pivotButton="0" quotePrefix="0" xfId="0"/>
    <xf numFmtId="0" fontId="9" fillId="0" borderId="0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11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7" fontId="12" fillId="4" borderId="1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CAC 2025 → 2026 (€/inscrit)</a:t>
            </a:r>
          </a:p>
        </rich>
      </tx>
    </title>
    <plotArea>
      <barChart>
        <barDir val="col"/>
        <grouping val="stacked"/>
        <ser>
          <idx val="0"/>
          <order val="0"/>
          <spPr>
            <a:noFill/>
            <a:ln>
              <a:noFill/>
              <a:prstDash val="solid"/>
            </a:ln>
          </spPr>
          <cat>
            <numRef>
              <f>'Bridge CAC (waterfall)'!$A$10:$A$13</f>
            </numRef>
          </cat>
          <val>
            <numRef>
              <f>'Bridge CAC (waterfall)'!$B$10:$B$13</f>
            </numRef>
          </val>
        </ser>
        <ser>
          <idx val="1"/>
          <order val="1"/>
          <spPr>
            <a:solidFill>
              <a:srgbClr val="0A5A48"/>
            </a:solidFill>
            <a:ln>
              <a:solidFill>
                <a:srgbClr val="0A5A48"/>
              </a:solidFill>
              <a:prstDash val="solid"/>
            </a:ln>
          </spPr>
          <dLbls>
            <numFmt formatCode="#,##0&quot; €&quot;"/>
            <dLblPos val="ctr"/>
            <showLegendKey val="0"/>
            <showVal val="1"/>
            <showCatName val="0"/>
            <showSerName val="0"/>
          </dLbls>
          <cat>
            <numRef>
              <f>'Bridge CAC (waterfall)'!$A$10:$A$13</f>
            </numRef>
          </cat>
          <val>
            <numRef>
              <f>'Bridge CAC (waterfall)'!$C$10:$C$13</f>
            </numRef>
          </val>
        </ser>
        <ser>
          <idx val="2"/>
          <order val="2"/>
          <spPr>
            <a:solidFill>
              <a:srgbClr val="1E7A55"/>
            </a:solidFill>
            <a:ln>
              <a:solidFill>
                <a:srgbClr val="1E7A55"/>
              </a:solidFill>
              <a:prstDash val="solid"/>
            </a:ln>
          </spPr>
          <dLbls>
            <numFmt formatCode="&quot;+ &quot;#,##0&quot; €&quot;"/>
            <dLblPos val="ctr"/>
            <showLegendKey val="0"/>
            <showVal val="1"/>
            <showCatName val="0"/>
            <showSerName val="0"/>
          </dLbls>
          <cat>
            <numRef>
              <f>'Bridge CAC (waterfall)'!$A$10:$A$13</f>
            </numRef>
          </cat>
          <val>
            <numRef>
              <f>'Bridge CAC (waterfall)'!$D$10:$D$13</f>
            </numRef>
          </val>
        </ser>
        <ser>
          <idx val="3"/>
          <order val="3"/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dLbls>
            <numFmt formatCode="&quot;− &quot;#,##0&quot; €&quot;"/>
            <dLblPos val="ctr"/>
            <showLegendKey val="0"/>
            <showVal val="1"/>
            <showCatName val="0"/>
            <showSerName val="0"/>
          </dLbls>
          <cat>
            <numRef>
              <f>'Bridge CAC (waterfall)'!$A$10:$A$13</f>
            </numRef>
          </cat>
          <val>
            <numRef>
              <f>'Bridge CAC (waterfall)'!$E$10:$E$13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 &quot;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3" customWidth="1" min="6" max="6"/>
  </cols>
  <sheetData>
    <row r="1" ht="24" customHeight="1">
      <c r="A1" s="1" t="inlineStr">
        <is>
          <t xml:space="preserve">  BRIDGE DU CAC — d'où vient la hausse 2025 → 2026  (waterfall propre)</t>
        </is>
      </c>
    </row>
    <row r="3">
      <c r="A3" s="2" t="inlineStr">
        <is>
          <t>Étape</t>
        </is>
      </c>
      <c r="B3" s="2" t="inlineStr">
        <is>
          <t>CAC (€)</t>
        </is>
      </c>
    </row>
    <row r="4">
      <c r="A4" s="3" t="inlineStr">
        <is>
          <t>CAC 2025</t>
        </is>
      </c>
      <c r="B4" s="4" t="n">
        <v>341</v>
      </c>
    </row>
    <row r="5">
      <c r="A5" s="5" t="inlineStr">
        <is>
          <t>+ Effet dépenses</t>
        </is>
      </c>
      <c r="B5" s="6" t="n">
        <v>34</v>
      </c>
    </row>
    <row r="6">
      <c r="A6" s="5" t="inlineStr">
        <is>
          <t>− Effet volume</t>
        </is>
      </c>
      <c r="B6" s="7" t="n">
        <v>-21</v>
      </c>
    </row>
    <row r="7">
      <c r="A7" s="3" t="inlineStr">
        <is>
          <t>CAC 2026</t>
        </is>
      </c>
      <c r="B7" s="4" t="n">
        <v>353</v>
      </c>
    </row>
    <row r="9">
      <c r="A9" s="8" t="inlineStr">
        <is>
          <t>Étape</t>
        </is>
      </c>
      <c r="B9" s="8" t="inlineStr">
        <is>
          <t>Socle</t>
        </is>
      </c>
      <c r="C9" s="8" t="inlineStr">
        <is>
          <t>Ancre</t>
        </is>
      </c>
      <c r="D9" s="8" t="inlineStr">
        <is>
          <t>Hausse</t>
        </is>
      </c>
      <c r="E9" s="8" t="inlineStr">
        <is>
          <t>Baisse</t>
        </is>
      </c>
    </row>
    <row r="10">
      <c r="A10" s="9" t="inlineStr">
        <is>
          <t>CAC 2025</t>
        </is>
      </c>
      <c r="B10" t="n">
        <v>0</v>
      </c>
      <c r="C10" t="n">
        <v>340.55</v>
      </c>
      <c r="D10" t="n">
        <v>0</v>
      </c>
      <c r="E10" t="n">
        <v>0</v>
      </c>
    </row>
    <row r="11">
      <c r="A11" s="9" t="inlineStr">
        <is>
          <t>Effet dépenses</t>
        </is>
      </c>
      <c r="B11" t="n">
        <v>340.55</v>
      </c>
      <c r="C11" t="n">
        <v>0</v>
      </c>
      <c r="D11" t="n">
        <v>34.06</v>
      </c>
      <c r="E11" t="n">
        <v>0</v>
      </c>
    </row>
    <row r="12">
      <c r="A12" s="9" t="inlineStr">
        <is>
          <t>Effet volume</t>
        </is>
      </c>
      <c r="B12" t="n">
        <v>353.27</v>
      </c>
      <c r="C12" t="n">
        <v>0</v>
      </c>
      <c r="D12" t="n">
        <v>0</v>
      </c>
      <c r="E12" t="n">
        <v>21.34</v>
      </c>
    </row>
    <row r="13">
      <c r="A13" s="9" t="inlineStr">
        <is>
          <t>CAC 2026</t>
        </is>
      </c>
      <c r="B13" t="n">
        <v>0</v>
      </c>
      <c r="C13" t="n">
        <v>353.27</v>
      </c>
      <c r="D13" t="n">
        <v>0</v>
      </c>
      <c r="E13" t="n">
        <v>0</v>
      </c>
    </row>
    <row r="15">
      <c r="A15" s="10" t="inlineStr">
        <is>
          <t>Technique : une série « Socle » INVISIBLE (noFill) porte chaque barre à la bonne hauteur, puis 3 séries visibles empilées dessus — Ancre (bleu, CAC 2025 &amp; 2026), Hausse (vert), Baisse (rouge). Labels formatés en € avec le signe ("+ "/"− "), nom de série masqué. Rien d'autre à afficher.</t>
        </is>
      </c>
    </row>
    <row r="16"/>
    <row r="17"/>
    <row r="18"/>
  </sheetData>
  <mergeCells count="2">
    <mergeCell ref="A1:E1"/>
    <mergeCell ref="A15:B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4" customWidth="1" min="5" max="5"/>
    <col width="32" customWidth="1" min="6" max="6"/>
  </cols>
  <sheetData>
    <row r="1" ht="24" customHeight="1">
      <c r="A1" s="1" t="inlineStr">
        <is>
          <t xml:space="preserve">  YoY d'une MARGE : en POINTS, pas en % relatif</t>
        </is>
      </c>
    </row>
    <row r="3">
      <c r="A3" s="11" t="inlineStr">
        <is>
          <t>KPI</t>
        </is>
      </c>
      <c r="B3" s="12" t="inlineStr">
        <is>
          <t>2024</t>
        </is>
      </c>
      <c r="C3" s="12" t="inlineStr">
        <is>
          <t>2025</t>
        </is>
      </c>
      <c r="D3" s="12" t="inlineStr">
        <is>
          <t>2026</t>
        </is>
      </c>
      <c r="E3" s="12" t="inlineStr">
        <is>
          <t>YoY 25→26</t>
        </is>
      </c>
      <c r="F3" s="12" t="inlineStr">
        <is>
          <t>← formule exacte</t>
        </is>
      </c>
    </row>
    <row r="4">
      <c r="A4" s="13" t="inlineStr">
        <is>
          <t>Chiffre d'affaires</t>
        </is>
      </c>
      <c r="B4" s="14" t="n">
        <v>20552827</v>
      </c>
      <c r="C4" s="14" t="n">
        <v>21775820</v>
      </c>
      <c r="D4" s="14" t="n">
        <v>23098985</v>
      </c>
      <c r="E4" s="15">
        <f>D4/C4-1</f>
        <v/>
      </c>
      <c r="F4" s="16">
        <f>D4/C4-1   (variation en %)</f>
        <v/>
      </c>
    </row>
    <row r="5">
      <c r="A5" s="13" t="inlineStr">
        <is>
          <t>EBITDA</t>
        </is>
      </c>
      <c r="B5" s="14" t="n">
        <v>3136652</v>
      </c>
      <c r="C5" s="14" t="n">
        <v>3484818</v>
      </c>
      <c r="D5" s="14" t="n">
        <v>3845790</v>
      </c>
      <c r="E5" s="15">
        <f>D5/C5-1</f>
        <v/>
      </c>
      <c r="F5" s="16">
        <f>D5/C5-1   (variation en %)</f>
        <v/>
      </c>
    </row>
    <row r="6">
      <c r="A6" s="17" t="inlineStr">
        <is>
          <t>Marge EBITDA %</t>
        </is>
      </c>
      <c r="B6" s="18">
        <f>B5/B4</f>
        <v/>
      </c>
      <c r="C6" s="18">
        <f>C5/C4</f>
        <v/>
      </c>
      <c r="D6" s="18">
        <f>D5/D4</f>
        <v/>
      </c>
      <c r="E6" s="19">
        <f>D6-C6</f>
        <v/>
      </c>
      <c r="F6" s="20">
        <f>D6-C6   ← EN POINTS (16,6% − 16,0% = +0,6 pt)</f>
        <v/>
      </c>
    </row>
    <row r="8">
      <c r="A8" s="21" t="inlineStr">
        <is>
          <t>Pourquoi : une marge est déjà un %. Sa variation « en % » (16,6/16,0−1 = +4,0 %) est trompeuse — on croit +4 points. La bonne lecture = la DIFFÉRENCE de points : 16,6 % − 16,0 % = +0,6 pt. Formule : =D6-C6, format personnalisé "+ "0.0" pt".</t>
        </is>
      </c>
    </row>
    <row r="9"/>
    <row r="10"/>
  </sheetData>
  <mergeCells count="2">
    <mergeCell ref="A1:F1"/>
    <mergeCell ref="A8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2026-09-02T11:26:08Z</dcterms:created>
  <dcterms:modified xsi:type="dcterms:W3CDTF">2026-09-02T11:26:08Z</dcterms:modified>
</cp:coreProperties>
</file>