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_TGK_HIDDEN" sheetId="1" state="veryHidden" r:id="rId1"/>
    <sheet name="2" sheetId="2" state="visible" r:id="rId2"/>
  </sheets>
  <definedNames>
    <definedName name="Z_PONT">'2'!$AB$7:$AG$11</definedName>
    <definedName name="Z_MARGE">'2'!$AI$7:$AU$10</definedName>
    <definedName name="Z_TENSION">'2'!$AZ$7:$BF$9</definedName>
    <definedName name="S_PONT_3">INDEX(Z_PONT,0,3)</definedName>
    <definedName name="S_PONT_2">INDEX(Z_PONT,0,2)</definedName>
    <definedName name="S_PONT_4">INDEX(Z_PONT,0,4)</definedName>
    <definedName name="S_PONT_5">INDEX(Z_PONT,0,5)</definedName>
    <definedName name="S_PONT_6">INDEX(Z_PONT,0,6)</definedName>
    <definedName name="S_MARGE_2">INDEX(Z_MARGE,0,2)</definedName>
    <definedName name="S_MARGE_1">INDEX(Z_MARGE,0,1)</definedName>
    <definedName name="S_MARGE_3">INDEX(Z_MARGE,0,3)</definedName>
    <definedName name="S_MARGE_4">INDEX(Z_MARGE,0,4)</definedName>
    <definedName name="S_TENSION_2">INDEX(Z_TENSION,0,2)</definedName>
    <definedName name="S_TENSION_1">INDEX(Z_TENSION,0,1)</definedName>
    <definedName name="S_TENSION_3">INDEX(Z_TENSION,0,3)</definedName>
  </definedNames>
  <calcPr calcId="191029" fullCalcOnLoad="1"/>
</workbook>
</file>

<file path=xl/styles.xml><?xml version="1.0" encoding="utf-8"?>
<styleSheet xmlns="http://schemas.openxmlformats.org/spreadsheetml/2006/main">
  <numFmts count="19">
    <numFmt numFmtId="164" formatCode="0.0,,&quot; M€&quot;"/>
    <numFmt numFmtId="165" formatCode="0.0%"/>
    <numFmt numFmtId="166" formatCode="#,##0&quot; €&quot;"/>
    <numFmt numFmtId="167" formatCode="&quot;+&quot;0.0%;&quot;-&quot;0.0%;&quot;—&quot;"/>
    <numFmt numFmtId="168" formatCode="&quot;+&quot;0.00&quot; pt&quot;;&quot;-&quot;0.00&quot; pt&quot;;&quot;—&quot;"/>
    <numFmt numFmtId="169" formatCode="#,##0&quot; places libres&quot;"/>
    <numFmt numFmtId="170" formatCode="#,##0.00,,&quot; M€&quot;"/>
    <numFmt numFmtId="171" formatCode="&quot;▲ &quot;0.0%;&quot;▼ &quot;0.0%"/>
    <numFmt numFmtId="172" formatCode="&quot;+&quot;0.0%;&quot;-&quot;0.0%;&quot;&quot;"/>
    <numFmt numFmtId="173" formatCode="&quot;+&quot;0.00;&quot;-&quot;0.00;&quot;&quot;"/>
    <numFmt numFmtId="174" formatCode="&quot;▲ &quot;0.0%;&quot;▼ &quot;0.0%;&quot;—&quot;"/>
    <numFmt numFmtId="175" formatCode="&quot;▲ &quot;0.00&quot; pt&quot;;&quot;▼ &quot;0.00&quot; pt&quot;;&quot;—&quot;"/>
    <numFmt numFmtId="176" formatCode="#,##0&quot; places libres&quot;;-#,##0&quot; places libres&quot;;&quot;—&quot;"/>
    <numFmt numFmtId="177" formatCode="&quot;▲ &quot;0.0%;&quot;▼ &quot;0.0%;&quot;&quot;"/>
    <numFmt numFmtId="178" formatCode="&quot;▲ &quot;0.00;&quot;▼ &quot;0.00;&quot;&quot;"/>
    <numFmt numFmtId="179" formatCode="#,##0.00,"/>
    <numFmt numFmtId="180" formatCode="#,##0,"/>
    <numFmt numFmtId="181" formatCode="mm/dd/yy;@"/>
    <numFmt numFmtId="182" formatCode="&quot;$&quot;#,##0.00"/>
  </numFmts>
  <fonts count="47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Tahoma"/>
      <family val="2"/>
      <color theme="3"/>
      <sz val="8"/>
    </font>
    <font>
      <name val="Aptos Narrow"/>
      <family val="2"/>
      <color theme="3"/>
      <sz val="11"/>
      <scheme val="minor"/>
    </font>
    <font>
      <name val="Tahoma"/>
      <family val="2"/>
      <color theme="0"/>
      <sz val="8"/>
    </font>
    <font>
      <name val="Tahoma"/>
      <family val="2"/>
      <b val="1"/>
      <color theme="3"/>
      <sz val="8"/>
    </font>
    <font>
      <name val="Tahoma"/>
      <family val="2"/>
      <b val="1"/>
      <i val="1"/>
      <color theme="3"/>
      <sz val="8"/>
    </font>
    <font>
      <name val="Tahoma"/>
      <family val="2"/>
      <color theme="3"/>
      <sz val="8"/>
      <u val="single"/>
    </font>
    <font>
      <name val="Tahoma"/>
      <family val="2"/>
      <sz val="8"/>
    </font>
    <font>
      <name val="Aptos Narrow"/>
      <family val="2"/>
      <color rgb="FF9C6500"/>
      <sz val="11"/>
      <scheme val="minor"/>
    </font>
    <font>
      <name val="Tahoma"/>
      <family val="2"/>
      <color theme="3"/>
      <sz val="11"/>
    </font>
    <font>
      <name val="Webdings"/>
      <charset val="2"/>
      <family val="1"/>
      <color theme="3"/>
      <sz val="10"/>
    </font>
    <font>
      <name val="Aptos Display"/>
      <family val="2"/>
      <b val="1"/>
      <color theme="3"/>
      <sz val="18"/>
      <scheme val="major"/>
    </font>
    <font>
      <name val="Webdings"/>
      <charset val="2"/>
      <family val="1"/>
      <color rgb="FFFF0000"/>
      <sz val="8"/>
    </font>
    <font>
      <name val="Webdings"/>
      <charset val="2"/>
      <family val="1"/>
      <color rgb="FFFF0000"/>
      <sz val="14"/>
    </font>
    <font>
      <name val="Webdings"/>
      <charset val="2"/>
      <family val="1"/>
      <color theme="1"/>
      <sz val="8"/>
    </font>
    <font>
      <name val="Webdings"/>
      <charset val="2"/>
      <family val="1"/>
      <color rgb="FF00B050"/>
      <sz val="14"/>
    </font>
    <font>
      <name val="Aptos Narrow"/>
      <family val="2"/>
      <b val="1"/>
      <color theme="1"/>
      <sz val="11"/>
      <scheme val="minor"/>
    </font>
    <font>
      <name val="Segoe UI"/>
      <family val="2"/>
      <b val="1"/>
      <color rgb="FF131922"/>
      <sz val="9.5"/>
    </font>
    <font>
      <name val="Segoe UI"/>
      <family val="2"/>
      <b val="1"/>
      <color rgb="FF7C8798"/>
      <sz val="8.5"/>
    </font>
    <font>
      <name val="Consolas"/>
      <family val="3"/>
      <b val="1"/>
      <color rgb="FF131922"/>
      <sz val="20"/>
    </font>
    <font>
      <name val="Segoe UI"/>
      <family val="2"/>
      <color rgb="FF7C8798"/>
      <sz val="9"/>
    </font>
    <font>
      <name val="Aptos Narrow"/>
      <family val="2"/>
      <b val="1"/>
      <i val="1"/>
      <color theme="1"/>
      <sz val="11"/>
      <scheme val="minor"/>
    </font>
    <font>
      <name val="Fira Sans Medium"/>
      <b val="1"/>
      <color rgb="FFFFFFFF"/>
      <sz val="15"/>
    </font>
    <font>
      <name val="Arial"/>
      <family val="2"/>
      <b val="1"/>
      <color rgb="FFB8C6DA"/>
      <sz val="8"/>
    </font>
    <font>
      <name val="Arial"/>
      <family val="2"/>
      <b val="1"/>
      <color rgb="FF526071"/>
      <sz val="7.5"/>
    </font>
    <font>
      <name val="Arial"/>
      <family val="2"/>
      <b val="1"/>
      <color rgb="FF202733"/>
      <sz val="9"/>
    </font>
    <font>
      <name val="Fira Sans Medium"/>
      <b val="1"/>
      <color rgb="FF202733"/>
      <sz val="18"/>
    </font>
    <font>
      <name val="Arial"/>
      <family val="2"/>
      <b val="1"/>
      <color rgb="FF69778B"/>
      <sz val="8.5"/>
    </font>
    <font>
      <name val="Fira Sans Medium"/>
      <b val="1"/>
      <color rgb="FF202733"/>
      <sz val="9"/>
    </font>
    <font>
      <name val="Arial"/>
      <family val="2"/>
      <i val="1"/>
      <color rgb="FF69778B"/>
      <sz val="7.5"/>
    </font>
    <font>
      <name val="Fira Sans Medium"/>
      <b val="1"/>
      <color rgb="FFFFFFFF"/>
      <sz val="8"/>
    </font>
    <font>
      <name val="Arial"/>
      <family val="2"/>
      <color rgb="FF69778B"/>
      <sz val="7.5"/>
    </font>
    <font>
      <name val="Arial"/>
      <family val="2"/>
      <color rgb="FF202733"/>
      <sz val="8.5"/>
    </font>
    <font>
      <name val="Fira Sans Medium"/>
      <b val="1"/>
      <color rgb="00FFFFFF"/>
      <sz val="15"/>
    </font>
    <font>
      <name val="Arial"/>
      <color rgb="00B8C6DA"/>
      <sz val="8"/>
    </font>
    <font>
      <name val="Arial"/>
      <b val="1"/>
      <color rgb="00526071"/>
      <sz val="7.5"/>
    </font>
    <font>
      <name val="Arial"/>
      <b val="1"/>
      <color rgb="00202733"/>
      <sz val="9"/>
    </font>
    <font>
      <name val="Fira Sans Medium"/>
      <b val="1"/>
      <color rgb="00202733"/>
      <sz val="18"/>
    </font>
    <font>
      <name val="Arial"/>
      <b val="1"/>
      <color rgb="0069778B"/>
      <sz val="9"/>
    </font>
    <font>
      <name val="Fira Sans Medium"/>
      <b val="1"/>
      <color rgb="00202733"/>
      <sz val="10"/>
    </font>
    <font>
      <name val="Arial"/>
      <i val="1"/>
      <color rgb="0069778B"/>
      <sz val="7.5"/>
    </font>
    <font>
      <name val="Fira Sans Medium"/>
      <b val="1"/>
      <color rgb="00FFFFFF"/>
      <sz val="8"/>
    </font>
    <font>
      <name val="Arial"/>
      <color rgb="0069778B"/>
      <sz val="7.5"/>
    </font>
    <font>
      <name val="Arial"/>
      <color rgb="00202733"/>
      <sz val="8.5"/>
    </font>
    <font>
      <name val="Fira Sans Medium"/>
      <b val="1"/>
      <color rgb="00202733"/>
      <sz val="9"/>
    </font>
  </fonts>
  <fills count="24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</patternFill>
    </fill>
    <fill>
      <patternFill patternType="solid">
        <fgColor rgb="FF172033"/>
      </patternFill>
    </fill>
    <fill>
      <patternFill patternType="solid">
        <fgColor rgb="FFF3F6FA"/>
      </patternFill>
    </fill>
    <fill>
      <patternFill patternType="solid">
        <fgColor rgb="FFEAF2FC"/>
      </patternFill>
    </fill>
    <fill>
      <patternFill patternType="solid">
        <fgColor rgb="FF526071"/>
      </patternFill>
    </fill>
    <fill>
      <patternFill patternType="solid">
        <fgColor rgb="00F3F6FA"/>
      </patternFill>
    </fill>
    <fill>
      <patternFill patternType="solid">
        <fgColor rgb="00172033"/>
      </patternFill>
    </fill>
    <fill>
      <patternFill patternType="solid">
        <fgColor rgb="00EAF2FC"/>
      </patternFill>
    </fill>
    <fill>
      <patternFill patternType="solid">
        <fgColor rgb="00FFFFFF"/>
      </patternFill>
    </fill>
    <fill>
      <patternFill patternType="solid">
        <fgColor rgb="00526071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"/>
      </bottom>
      <diagonal/>
    </border>
    <border>
      <left/>
      <right/>
      <top/>
      <bottom style="thick">
        <color theme="3" tint="0.399945066682943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3" tint="0.7999816888943144"/>
      </top>
      <bottom style="thin">
        <color theme="3" tint="0.7999816888943144"/>
      </bottom>
      <diagonal/>
    </border>
    <border>
      <left/>
      <right/>
      <top/>
      <bottom style="medium">
        <color theme="3"/>
      </bottom>
      <diagonal/>
    </border>
    <border>
      <left style="thin">
        <color rgb="FFDFE4EC"/>
      </left>
      <right/>
      <top style="thin">
        <color rgb="FFDFE4EC"/>
      </top>
      <bottom/>
      <diagonal/>
    </border>
    <border>
      <left/>
      <right style="thin">
        <color rgb="FFDFE4EC"/>
      </right>
      <top style="thin">
        <color rgb="FFDFE4EC"/>
      </top>
      <bottom/>
      <diagonal/>
    </border>
    <border>
      <left style="thin">
        <color rgb="FFDFE4EC"/>
      </left>
      <right/>
      <top/>
      <bottom/>
      <diagonal/>
    </border>
    <border>
      <left/>
      <right style="thin">
        <color rgb="FFDFE4EC"/>
      </right>
      <top/>
      <bottom/>
      <diagonal/>
    </border>
    <border>
      <left style="thin">
        <color rgb="FFDFE4EC"/>
      </left>
      <right/>
      <top/>
      <bottom style="thin">
        <color rgb="FFDFE4EC"/>
      </bottom>
      <diagonal/>
    </border>
    <border>
      <left/>
      <right style="thin">
        <color rgb="FFDFE4EC"/>
      </right>
      <top/>
      <bottom style="thin">
        <color rgb="FFDFE4EC"/>
      </bottom>
      <diagonal/>
    </border>
    <border>
      <left/>
      <right/>
      <top style="thin">
        <color rgb="FFB8CFEC"/>
      </top>
      <bottom style="thin">
        <color rgb="FFB8CFEC"/>
      </bottom>
      <diagonal/>
    </border>
    <border>
      <left style="thin">
        <color rgb="FFE9EDF3"/>
      </left>
      <right/>
      <top style="thin">
        <color rgb="FFE9EDF3"/>
      </top>
      <bottom/>
      <diagonal/>
    </border>
    <border>
      <left/>
      <right style="thin">
        <color rgb="FFE9EDF3"/>
      </right>
      <top style="thin">
        <color rgb="FFE9EDF3"/>
      </top>
      <bottom/>
      <diagonal/>
    </border>
    <border>
      <left style="thin">
        <color rgb="FFE9EDF3"/>
      </left>
      <right/>
      <top/>
      <bottom/>
      <diagonal/>
    </border>
    <border>
      <left/>
      <right style="thin">
        <color rgb="FFE9EDF3"/>
      </right>
      <top/>
      <bottom/>
      <diagonal/>
    </border>
    <border>
      <left style="thin">
        <color rgb="FFE9EDF3"/>
      </left>
      <right/>
      <top/>
      <bottom style="thin">
        <color rgb="FFE9EDF3"/>
      </bottom>
      <diagonal/>
    </border>
    <border>
      <left/>
      <right style="thin">
        <color rgb="FFE9EDF3"/>
      </right>
      <top/>
      <bottom style="thin">
        <color rgb="FFE9EDF3"/>
      </bottom>
      <diagonal/>
    </border>
    <border>
      <left/>
      <right/>
      <top style="thin">
        <color rgb="FFE9EDF3"/>
      </top>
      <bottom/>
      <diagonal/>
    </border>
    <border>
      <left/>
      <right/>
      <top/>
      <bottom style="thin">
        <color rgb="FFE9EDF3"/>
      </bottom>
      <diagonal/>
    </border>
    <border>
      <left style="thin">
        <color rgb="FF526071"/>
      </left>
      <right style="thin">
        <color rgb="FF526071"/>
      </right>
      <top style="thin">
        <color rgb="FF526071"/>
      </top>
      <bottom style="thin">
        <color rgb="FF526071"/>
      </bottom>
      <diagonal/>
    </border>
    <border>
      <top style="thin">
        <color rgb="00B8CFEC"/>
      </top>
      <bottom style="thin">
        <color rgb="00B8CFEC"/>
      </bottom>
    </border>
    <border>
      <left style="thin">
        <color rgb="00E9EDF3"/>
      </left>
      <top style="thin">
        <color rgb="00E9EDF3"/>
      </top>
    </border>
    <border>
      <left style="thin">
        <color rgb="00E9EDF3"/>
      </left>
    </border>
    <border>
      <left style="thin">
        <color rgb="00E9EDF3"/>
      </left>
      <bottom style="thin">
        <color rgb="00E9EDF3"/>
      </bottom>
    </border>
    <border>
      <right style="thin">
        <color rgb="00E9EDF3"/>
      </right>
      <top style="thin">
        <color rgb="00E9EDF3"/>
      </top>
    </border>
    <border>
      <right style="thin">
        <color rgb="00E9EDF3"/>
      </right>
    </border>
    <border>
      <right style="thin">
        <color rgb="00E9EDF3"/>
      </right>
      <bottom style="thin">
        <color rgb="00E9EDF3"/>
      </bottom>
    </border>
    <border>
      <left style="thin">
        <color rgb="00526071"/>
      </left>
      <right style="thin">
        <color rgb="00526071"/>
      </right>
      <top style="thin">
        <color rgb="00526071"/>
      </top>
      <bottom style="thin">
        <color rgb="00526071"/>
      </bottom>
    </border>
    <border/>
    <border>
      <top style="thin">
        <color rgb="00E9EDF3"/>
      </top>
    </border>
    <border>
      <bottom style="thin">
        <color rgb="00E9EDF3"/>
      </bottom>
    </border>
  </borders>
  <cellStyleXfs count="57">
    <xf numFmtId="0" fontId="1" fillId="0" borderId="0"/>
    <xf numFmtId="0" fontId="13" fillId="0" borderId="0"/>
    <xf numFmtId="0" fontId="10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9" fontId="1" fillId="0" borderId="0"/>
    <xf numFmtId="165" fontId="1" fillId="0" borderId="0" applyAlignment="1">
      <alignment horizontal="center"/>
    </xf>
    <xf numFmtId="10" fontId="1" fillId="0" borderId="0"/>
    <xf numFmtId="179" fontId="3" fillId="9" borderId="1" applyAlignment="1">
      <alignment horizontal="center" vertical="center" wrapText="1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 wrapText="1"/>
    </xf>
    <xf numFmtId="2" fontId="4" fillId="0" borderId="0" applyAlignment="1">
      <alignment horizontal="left"/>
    </xf>
    <xf numFmtId="9" fontId="1" fillId="0" borderId="2"/>
    <xf numFmtId="180" fontId="1" fillId="0" borderId="0"/>
    <xf numFmtId="179" fontId="3" fillId="0" borderId="3" applyAlignment="1">
      <alignment horizontal="center" vertical="center" wrapText="1"/>
    </xf>
    <xf numFmtId="9" fontId="5" fillId="0" borderId="0"/>
    <xf numFmtId="9" fontId="6" fillId="0" borderId="0"/>
    <xf numFmtId="9" fontId="7" fillId="0" borderId="0"/>
    <xf numFmtId="179" fontId="1" fillId="10" borderId="4"/>
    <xf numFmtId="0" fontId="3" fillId="9" borderId="5" applyAlignment="1">
      <alignment horizontal="center" vertical="center" wrapText="1"/>
    </xf>
    <xf numFmtId="181" fontId="1" fillId="0" borderId="0"/>
    <xf numFmtId="9" fontId="1" fillId="11" borderId="0"/>
    <xf numFmtId="179" fontId="6" fillId="0" borderId="0" applyAlignment="1">
      <alignment horizontal="right"/>
    </xf>
    <xf numFmtId="0" fontId="3" fillId="0" borderId="2" applyAlignment="1">
      <alignment horizontal="left" vertical="center"/>
    </xf>
    <xf numFmtId="9" fontId="8" fillId="0" borderId="0"/>
    <xf numFmtId="9" fontId="8" fillId="0" borderId="0"/>
    <xf numFmtId="0" fontId="1" fillId="0" borderId="0" applyAlignment="1">
      <alignment horizontal="center" vertical="center" wrapText="1"/>
    </xf>
    <xf numFmtId="42" fontId="3" fillId="0" borderId="0"/>
    <xf numFmtId="182" fontId="9" fillId="0" borderId="0" applyAlignment="1">
      <alignment horizontal="center"/>
    </xf>
    <xf numFmtId="0" fontId="3" fillId="0" borderId="4"/>
    <xf numFmtId="9" fontId="6" fillId="0" borderId="6"/>
    <xf numFmtId="9" fontId="2" fillId="9" borderId="7"/>
    <xf numFmtId="3" fontId="3" fillId="0" borderId="0" applyAlignment="1">
      <alignment horizontal="right" vertical="center"/>
    </xf>
    <xf numFmtId="37" fontId="11" fillId="0" borderId="0" applyAlignment="1">
      <alignment horizontal="right" vertical="center"/>
    </xf>
    <xf numFmtId="179" fontId="3" fillId="0" borderId="0" applyAlignment="1">
      <alignment horizontal="left"/>
    </xf>
    <xf numFmtId="0" fontId="3" fillId="0" borderId="0" applyAlignment="1">
      <alignment horizontal="right" vertical="center" wrapText="1"/>
    </xf>
    <xf numFmtId="9" fontId="1" fillId="12" borderId="0"/>
    <xf numFmtId="9" fontId="12" fillId="0" borderId="0"/>
    <xf numFmtId="9" fontId="1" fillId="0" borderId="0"/>
    <xf numFmtId="9" fontId="6" fillId="13" borderId="0" applyAlignment="1">
      <alignment horizontal="right" vertical="center"/>
    </xf>
    <xf numFmtId="9" fontId="6" fillId="13" borderId="0" applyAlignment="1">
      <alignment horizontal="left" vertical="center" wrapText="1"/>
    </xf>
    <xf numFmtId="179" fontId="6" fillId="13" borderId="8"/>
    <xf numFmtId="0" fontId="4" fillId="0" borderId="0" applyAlignment="1">
      <alignment horizontal="right"/>
    </xf>
    <xf numFmtId="9" fontId="14" fillId="0" borderId="0" applyAlignment="1">
      <alignment horizontal="center" vertical="center"/>
    </xf>
    <xf numFmtId="0" fontId="15" fillId="0" borderId="0" applyAlignment="1">
      <alignment horizontal="center" vertical="center"/>
    </xf>
    <xf numFmtId="1" fontId="16" fillId="0" borderId="0" applyAlignment="1">
      <alignment horizontal="center" vertical="center"/>
    </xf>
    <xf numFmtId="0" fontId="15" fillId="0" borderId="9" applyAlignment="1">
      <alignment horizontal="center" vertical="center"/>
    </xf>
    <xf numFmtId="0" fontId="17" fillId="0" borderId="9" applyAlignment="1">
      <alignment horizontal="center"/>
    </xf>
    <xf numFmtId="9" fontId="6" fillId="0" borderId="10" applyAlignment="1">
      <alignment horizontal="left"/>
    </xf>
    <xf numFmtId="0" fontId="3" fillId="0" borderId="2" applyAlignment="1" applyProtection="1">
      <alignment horizontal="left" vertical="top" wrapText="1"/>
      <protection locked="0" hidden="0"/>
    </xf>
    <xf numFmtId="0" fontId="1" fillId="0" borderId="0"/>
  </cellStyleXfs>
  <cellXfs count="125">
    <xf numFmtId="0" fontId="0" fillId="0" borderId="0" pivotButton="0" quotePrefix="0" xfId="0"/>
    <xf numFmtId="0" fontId="18" fillId="0" borderId="0" pivotButton="0" quotePrefix="1" xfId="0"/>
    <xf numFmtId="0" fontId="23" fillId="0" borderId="0" pivotButton="0" quotePrefix="1" xfId="0"/>
    <xf numFmtId="0" fontId="0" fillId="15" borderId="0" pivotButton="0" quotePrefix="0" xfId="0"/>
    <xf numFmtId="0" fontId="24" fillId="15" borderId="0" applyAlignment="1" pivotButton="0" quotePrefix="0" xfId="0">
      <alignment horizontal="left" vertical="center"/>
    </xf>
    <xf numFmtId="0" fontId="25" fillId="15" borderId="0" applyAlignment="1" pivotButton="0" quotePrefix="0" xfId="0">
      <alignment horizontal="left" vertical="center"/>
    </xf>
    <xf numFmtId="0" fontId="0" fillId="16" borderId="0" pivotButton="0" quotePrefix="0" xfId="0"/>
    <xf numFmtId="0" fontId="27" fillId="17" borderId="17" applyAlignment="1" pivotButton="0" quotePrefix="1" xfId="0">
      <alignment horizontal="left" vertical="center"/>
    </xf>
    <xf numFmtId="0" fontId="22" fillId="17" borderId="17" applyAlignment="1" pivotButton="0" quotePrefix="0" xfId="0">
      <alignment horizontal="left" vertical="center"/>
    </xf>
    <xf numFmtId="0" fontId="27" fillId="17" borderId="17" applyAlignment="1" pivotButton="0" quotePrefix="0" xfId="0">
      <alignment horizontal="left" vertical="center"/>
    </xf>
    <xf numFmtId="0" fontId="0" fillId="17" borderId="17" pivotButton="0" quotePrefix="0" xfId="0"/>
    <xf numFmtId="0" fontId="26" fillId="14" borderId="18" applyAlignment="1" pivotButton="0" quotePrefix="0" xfId="56">
      <alignment horizontal="left" vertical="center" indent="1"/>
    </xf>
    <xf numFmtId="0" fontId="1" fillId="14" borderId="19" pivotButton="0" quotePrefix="0" xfId="56"/>
    <xf numFmtId="0" fontId="0" fillId="14" borderId="19" pivotButton="0" quotePrefix="0" xfId="0"/>
    <xf numFmtId="0" fontId="26" fillId="14" borderId="18" applyAlignment="1" pivotButton="0" quotePrefix="0" xfId="0">
      <alignment horizontal="left" vertical="center" indent="1"/>
    </xf>
    <xf numFmtId="164" fontId="28" fillId="14" borderId="20" applyAlignment="1" pivotButton="0" quotePrefix="0" xfId="56">
      <alignment horizontal="left" vertical="center" indent="1"/>
    </xf>
    <xf numFmtId="0" fontId="1" fillId="14" borderId="21" applyAlignment="1" pivotButton="0" quotePrefix="0" xfId="56">
      <alignment horizontal="centerContinuous"/>
    </xf>
    <xf numFmtId="165" fontId="28" fillId="14" borderId="20" applyAlignment="1" pivotButton="0" quotePrefix="0" xfId="56">
      <alignment horizontal="left" vertical="center" indent="1"/>
    </xf>
    <xf numFmtId="3" fontId="28" fillId="14" borderId="20" applyAlignment="1" pivotButton="0" quotePrefix="0" xfId="56">
      <alignment horizontal="left" vertical="center" indent="1"/>
    </xf>
    <xf numFmtId="166" fontId="28" fillId="14" borderId="20" applyAlignment="1" pivotButton="0" quotePrefix="0" xfId="56">
      <alignment horizontal="left" vertical="center" indent="1"/>
    </xf>
    <xf numFmtId="0" fontId="0" fillId="14" borderId="21" applyAlignment="1" pivotButton="0" quotePrefix="0" xfId="0">
      <alignment horizontal="centerContinuous"/>
    </xf>
    <xf numFmtId="165" fontId="28" fillId="14" borderId="20" applyAlignment="1" pivotButton="0" quotePrefix="0" xfId="0">
      <alignment horizontal="left" vertical="center" indent="1"/>
    </xf>
    <xf numFmtId="0" fontId="0" fillId="14" borderId="21" pivotButton="0" quotePrefix="0" xfId="0"/>
    <xf numFmtId="167" fontId="29" fillId="14" borderId="22" applyAlignment="1" pivotButton="0" quotePrefix="0" xfId="56">
      <alignment horizontal="left" vertical="center" indent="1"/>
    </xf>
    <xf numFmtId="0" fontId="1" fillId="14" borderId="23" pivotButton="0" quotePrefix="0" xfId="56"/>
    <xf numFmtId="168" fontId="29" fillId="14" borderId="22" applyAlignment="1" pivotButton="0" quotePrefix="0" xfId="56">
      <alignment horizontal="left" vertical="center" indent="1"/>
    </xf>
    <xf numFmtId="0" fontId="0" fillId="14" borderId="23" pivotButton="0" quotePrefix="0" xfId="0"/>
    <xf numFmtId="169" fontId="29" fillId="14" borderId="22" applyAlignment="1" pivotButton="0" quotePrefix="0" xfId="0">
      <alignment horizontal="left" vertical="center" indent="1"/>
    </xf>
    <xf numFmtId="0" fontId="26" fillId="17" borderId="17" applyAlignment="1" pivotButton="0" quotePrefix="0" xfId="0">
      <alignment horizontal="left" vertical="center"/>
    </xf>
    <xf numFmtId="0" fontId="26" fillId="17" borderId="17" applyAlignment="1" pivotButton="0" quotePrefix="0" xfId="0">
      <alignment horizontal="center" vertical="center"/>
    </xf>
    <xf numFmtId="0" fontId="27" fillId="17" borderId="17" applyAlignment="1" pivotButton="0" quotePrefix="0" xfId="0">
      <alignment horizontal="left" vertical="center" indent="1"/>
    </xf>
    <xf numFmtId="0" fontId="0" fillId="14" borderId="24" pivotButton="0" quotePrefix="0" xfId="0"/>
    <xf numFmtId="0" fontId="31" fillId="14" borderId="24" applyAlignment="1" pivotButton="0" quotePrefix="0" xfId="0">
      <alignment horizontal="right" vertical="center"/>
    </xf>
    <xf numFmtId="0" fontId="0" fillId="14" borderId="20" pivotButton="0" quotePrefix="0" xfId="0"/>
    <xf numFmtId="0" fontId="0" fillId="14" borderId="0" pivotButton="0" quotePrefix="0" xfId="0"/>
    <xf numFmtId="0" fontId="0" fillId="14" borderId="22" pivotButton="0" quotePrefix="0" xfId="0"/>
    <xf numFmtId="0" fontId="0" fillId="14" borderId="25" pivotButton="0" quotePrefix="0" xfId="0"/>
    <xf numFmtId="0" fontId="20" fillId="9" borderId="11" applyAlignment="1" pivotButton="0" quotePrefix="0" xfId="56">
      <alignment horizontal="left" vertical="center"/>
    </xf>
    <xf numFmtId="0" fontId="1" fillId="9" borderId="12" pivotButton="0" quotePrefix="0" xfId="56"/>
    <xf numFmtId="170" fontId="21" fillId="9" borderId="13" applyAlignment="1" pivotButton="0" quotePrefix="0" xfId="56">
      <alignment horizontal="centerContinuous" vertical="center"/>
    </xf>
    <xf numFmtId="0" fontId="1" fillId="9" borderId="14" applyAlignment="1" pivotButton="0" quotePrefix="0" xfId="56">
      <alignment horizontal="centerContinuous"/>
    </xf>
    <xf numFmtId="171" fontId="19" fillId="9" borderId="15" applyAlignment="1" pivotButton="0" quotePrefix="0" xfId="56">
      <alignment horizontal="left" vertical="center" indent="1"/>
    </xf>
    <xf numFmtId="0" fontId="1" fillId="9" borderId="16" pivotButton="0" quotePrefix="0" xfId="56"/>
    <xf numFmtId="0" fontId="30" fillId="14" borderId="18" applyAlignment="1" pivotButton="0" quotePrefix="0" xfId="0">
      <alignment horizontal="left" vertical="center" indent="2"/>
    </xf>
    <xf numFmtId="0" fontId="32" fillId="18" borderId="26" applyAlignment="1" pivotButton="0" quotePrefix="0" xfId="0">
      <alignment horizontal="center" vertical="center"/>
    </xf>
    <xf numFmtId="0" fontId="32" fillId="18" borderId="26" applyAlignment="1" pivotButton="0" quotePrefix="1" xfId="25">
      <alignment horizontal="left" vertical="center" indent="1"/>
    </xf>
    <xf numFmtId="0" fontId="32" fillId="18" borderId="26" applyAlignment="1" pivotButton="0" quotePrefix="1" xfId="25">
      <alignment horizontal="center" vertical="center"/>
    </xf>
    <xf numFmtId="0" fontId="33" fillId="14" borderId="25" applyAlignment="1" pivotButton="0" quotePrefix="1" xfId="56">
      <alignment horizontal="center" vertical="center"/>
    </xf>
    <xf numFmtId="3" fontId="34" fillId="14" borderId="25" applyAlignment="1" pivotButton="0" quotePrefix="1" xfId="0">
      <alignment horizontal="left" vertical="center"/>
    </xf>
    <xf numFmtId="3" fontId="34" fillId="14" borderId="25" applyAlignment="1" pivotButton="0" quotePrefix="0" xfId="0">
      <alignment horizontal="right" vertical="center"/>
    </xf>
    <xf numFmtId="172" fontId="34" fillId="14" borderId="25" applyAlignment="1" pivotButton="0" quotePrefix="0" xfId="0">
      <alignment horizontal="right" vertical="center"/>
    </xf>
    <xf numFmtId="165" fontId="34" fillId="14" borderId="25" applyAlignment="1" pivotButton="0" quotePrefix="0" xfId="0">
      <alignment horizontal="right" vertical="center"/>
    </xf>
    <xf numFmtId="173" fontId="34" fillId="14" borderId="25" applyAlignment="1" pivotButton="0" quotePrefix="0" xfId="0">
      <alignment horizontal="right" vertical="center"/>
    </xf>
    <xf numFmtId="3" fontId="34" fillId="14" borderId="25" applyAlignment="1" pivotButton="0" quotePrefix="0" xfId="38">
      <alignment horizontal="right" vertical="center"/>
    </xf>
    <xf numFmtId="0" fontId="33" fillId="14" borderId="25" applyAlignment="1" pivotButton="0" quotePrefix="0" xfId="56">
      <alignment horizontal="center" vertical="center"/>
    </xf>
    <xf numFmtId="0" fontId="0" fillId="20" borderId="0" pivotButton="0" quotePrefix="0" xfId="0"/>
    <xf numFmtId="0" fontId="35" fillId="20" borderId="0" applyAlignment="1" pivotButton="0" quotePrefix="0" xfId="0">
      <alignment horizontal="left" vertical="center"/>
    </xf>
    <xf numFmtId="0" fontId="36" fillId="20" borderId="0" applyAlignment="1" pivotButton="0" quotePrefix="0" xfId="0">
      <alignment horizontal="left" vertical="center"/>
    </xf>
    <xf numFmtId="0" fontId="0" fillId="19" borderId="0" pivotButton="0" quotePrefix="0" xfId="0"/>
    <xf numFmtId="0" fontId="37" fillId="21" borderId="27" applyAlignment="1" pivotButton="0" quotePrefix="0" xfId="0">
      <alignment horizontal="left" vertical="center" indent="1"/>
    </xf>
    <xf numFmtId="0" fontId="38" fillId="21" borderId="27" applyAlignment="1" pivotButton="0" quotePrefix="1" xfId="0">
      <alignment horizontal="left" vertical="center"/>
    </xf>
    <xf numFmtId="0" fontId="22" fillId="21" borderId="27" applyAlignment="1" pivotButton="0" quotePrefix="0" xfId="0">
      <alignment horizontal="left" vertical="center"/>
    </xf>
    <xf numFmtId="0" fontId="26" fillId="21" borderId="27" applyAlignment="1" pivotButton="0" quotePrefix="0" xfId="0">
      <alignment horizontal="left" vertical="center"/>
    </xf>
    <xf numFmtId="0" fontId="27" fillId="21" borderId="27" applyAlignment="1" pivotButton="0" quotePrefix="0" xfId="0">
      <alignment horizontal="left" vertical="center" indent="1"/>
    </xf>
    <xf numFmtId="0" fontId="38" fillId="21" borderId="27" applyAlignment="1" pivotButton="0" quotePrefix="0" xfId="0">
      <alignment horizontal="left" vertical="center"/>
    </xf>
    <xf numFmtId="0" fontId="0" fillId="21" borderId="27" pivotButton="0" quotePrefix="0" xfId="0"/>
    <xf numFmtId="0" fontId="27" fillId="21" borderId="27" applyAlignment="1" pivotButton="0" quotePrefix="0" xfId="0">
      <alignment horizontal="left" vertical="center"/>
    </xf>
    <xf numFmtId="0" fontId="20" fillId="19" borderId="11" applyAlignment="1" pivotButton="0" quotePrefix="0" xfId="56">
      <alignment horizontal="left" vertical="center"/>
    </xf>
    <xf numFmtId="0" fontId="37" fillId="22" borderId="28" applyAlignment="1" pivotButton="0" quotePrefix="0" xfId="56">
      <alignment horizontal="left" vertical="center" indent="1"/>
    </xf>
    <xf numFmtId="0" fontId="26" fillId="22" borderId="31" applyAlignment="1" pivotButton="0" quotePrefix="0" xfId="56">
      <alignment horizontal="left" vertical="center" indent="1"/>
    </xf>
    <xf numFmtId="0" fontId="37" fillId="22" borderId="28" applyAlignment="1" pivotButton="0" quotePrefix="0" xfId="0">
      <alignment horizontal="left" vertical="center" indent="1"/>
    </xf>
    <xf numFmtId="0" fontId="26" fillId="22" borderId="31" applyAlignment="1" pivotButton="0" quotePrefix="0" xfId="0">
      <alignment horizontal="left" vertical="center" indent="1"/>
    </xf>
    <xf numFmtId="170" fontId="21" fillId="19" borderId="13" applyAlignment="1" pivotButton="0" quotePrefix="0" xfId="56">
      <alignment horizontal="centerContinuous" vertical="center"/>
    </xf>
    <xf numFmtId="164" fontId="39" fillId="22" borderId="29" applyAlignment="1" pivotButton="0" quotePrefix="0" xfId="56">
      <alignment horizontal="left" vertical="center" indent="1"/>
    </xf>
    <xf numFmtId="164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56">
      <alignment horizontal="left" vertical="center" indent="1"/>
    </xf>
    <xf numFmtId="165" fontId="28" fillId="22" borderId="32" applyAlignment="1" pivotButton="0" quotePrefix="0" xfId="56">
      <alignment horizontal="left" vertical="center" indent="1"/>
    </xf>
    <xf numFmtId="3" fontId="39" fillId="22" borderId="29" applyAlignment="1" pivotButton="0" quotePrefix="0" xfId="56">
      <alignment horizontal="left" vertical="center" indent="1"/>
    </xf>
    <xf numFmtId="3" fontId="28" fillId="22" borderId="32" applyAlignment="1" pivotButton="0" quotePrefix="0" xfId="56">
      <alignment horizontal="left" vertical="center" indent="1"/>
    </xf>
    <xf numFmtId="166" fontId="39" fillId="22" borderId="29" applyAlignment="1" pivotButton="0" quotePrefix="0" xfId="56">
      <alignment horizontal="left" vertical="center" indent="1"/>
    </xf>
    <xf numFmtId="166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0">
      <alignment horizontal="left" vertical="center" indent="1"/>
    </xf>
    <xf numFmtId="165" fontId="28" fillId="22" borderId="32" applyAlignment="1" pivotButton="0" quotePrefix="0" xfId="0">
      <alignment horizontal="left" vertical="center" indent="1"/>
    </xf>
    <xf numFmtId="171" fontId="19" fillId="19" borderId="15" applyAlignment="1" pivotButton="0" quotePrefix="0" xfId="56">
      <alignment horizontal="left" vertical="center" indent="1"/>
    </xf>
    <xf numFmtId="174" fontId="40" fillId="22" borderId="30" applyAlignment="1" pivotButton="0" quotePrefix="0" xfId="56">
      <alignment horizontal="left" vertical="center" indent="1"/>
    </xf>
    <xf numFmtId="167" fontId="29" fillId="22" borderId="33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68" fontId="29" fillId="22" borderId="33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69" fontId="29" fillId="22" borderId="33" applyAlignment="1" pivotButton="0" quotePrefix="0" xfId="0">
      <alignment horizontal="left" vertical="center" indent="1"/>
    </xf>
    <xf numFmtId="0" fontId="30" fillId="19" borderId="18" applyAlignment="1" pivotButton="0" quotePrefix="0" xfId="0">
      <alignment horizontal="left" vertical="center" indent="2"/>
    </xf>
    <xf numFmtId="0" fontId="46" fillId="22" borderId="28" applyAlignment="1" pivotButton="0" quotePrefix="0" xfId="0">
      <alignment horizontal="left" vertical="center"/>
    </xf>
    <xf numFmtId="0" fontId="31" fillId="22" borderId="36" applyAlignment="1" pivotButton="0" quotePrefix="0" xfId="0">
      <alignment horizontal="right" vertical="center"/>
    </xf>
    <xf numFmtId="0" fontId="31" fillId="22" borderId="31" applyAlignment="1" pivotButton="0" quotePrefix="0" xfId="0">
      <alignment horizontal="right" vertical="center"/>
    </xf>
    <xf numFmtId="0" fontId="30" fillId="22" borderId="36" applyAlignment="1" pivotButton="0" quotePrefix="0" xfId="0">
      <alignment horizontal="left" vertical="center" indent="2"/>
    </xf>
    <xf numFmtId="0" fontId="42" fillId="22" borderId="31" applyAlignment="1" pivotButton="0" quotePrefix="0" xfId="0">
      <alignment horizontal="right" vertical="center"/>
    </xf>
    <xf numFmtId="0" fontId="0" fillId="19" borderId="20" pivotButton="0" quotePrefix="0" xfId="0"/>
    <xf numFmtId="0" fontId="0" fillId="22" borderId="29" pivotButton="0" quotePrefix="0" xfId="0"/>
    <xf numFmtId="0" fontId="0" fillId="22" borderId="35" pivotButton="0" quotePrefix="0" xfId="0"/>
    <xf numFmtId="0" fontId="0" fillId="22" borderId="32" pivotButton="0" quotePrefix="0" xfId="0"/>
    <xf numFmtId="0" fontId="0" fillId="19" borderId="22" pivotButton="0" quotePrefix="0" xfId="0"/>
    <xf numFmtId="0" fontId="0" fillId="22" borderId="30" pivotButton="0" quotePrefix="0" xfId="0"/>
    <xf numFmtId="0" fontId="0" fillId="22" borderId="37" pivotButton="0" quotePrefix="0" xfId="0"/>
    <xf numFmtId="0" fontId="0" fillId="22" borderId="33" pivotButton="0" quotePrefix="0" xfId="0"/>
    <xf numFmtId="0" fontId="41" fillId="19" borderId="0" applyAlignment="1" pivotButton="0" quotePrefix="0" xfId="0">
      <alignment horizontal="left" vertical="center"/>
    </xf>
    <xf numFmtId="0" fontId="42" fillId="19" borderId="0" applyAlignment="1" pivotButton="0" quotePrefix="0" xfId="0">
      <alignment horizontal="left" vertical="center"/>
    </xf>
    <xf numFmtId="0" fontId="43" fillId="23" borderId="34" applyAlignment="1" pivotButton="0" quotePrefix="0" xfId="0">
      <alignment horizontal="center" vertical="center"/>
    </xf>
    <xf numFmtId="0" fontId="43" fillId="23" borderId="34" applyAlignment="1" pivotButton="0" quotePrefix="1" xfId="25">
      <alignment horizontal="left" vertical="center" indent="1"/>
    </xf>
    <xf numFmtId="0" fontId="43" fillId="23" borderId="34" applyAlignment="1" pivotButton="0" quotePrefix="1" xfId="25">
      <alignment horizontal="center" vertical="center"/>
    </xf>
    <xf numFmtId="0" fontId="44" fillId="19" borderId="35" applyAlignment="1" pivotButton="0" quotePrefix="1" xfId="56">
      <alignment horizontal="center" vertical="center"/>
    </xf>
    <xf numFmtId="3" fontId="45" fillId="19" borderId="35" applyAlignment="1" pivotButton="0" quotePrefix="1" xfId="0">
      <alignment horizontal="left" vertical="center"/>
    </xf>
    <xf numFmtId="3" fontId="45" fillId="19" borderId="35" applyAlignment="1" pivotButton="0" quotePrefix="0" xfId="0">
      <alignment horizontal="right" vertical="center"/>
    </xf>
    <xf numFmtId="177" fontId="45" fillId="19" borderId="35" applyAlignment="1" pivotButton="0" quotePrefix="0" xfId="0">
      <alignment horizontal="right" vertical="center"/>
    </xf>
    <xf numFmtId="165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  <xf numFmtId="3" fontId="45" fillId="19" borderId="35" applyAlignment="1" pivotButton="0" quotePrefix="0" xfId="38">
      <alignment horizontal="right" vertical="center"/>
    </xf>
    <xf numFmtId="0" fontId="44" fillId="19" borderId="35" applyAlignment="1" pivotButton="0" quotePrefix="0" xfId="56">
      <alignment horizontal="center" vertical="center"/>
    </xf>
    <xf numFmtId="0" fontId="44" fillId="19" borderId="35" applyAlignment="1" pivotButton="0" quotePrefix="0" xfId="0">
      <alignment horizontal="center" vertical="center"/>
    </xf>
    <xf numFmtId="0" fontId="45" fillId="19" borderId="35" applyAlignment="1" pivotButton="0" quotePrefix="0" xfId="0">
      <alignment horizontal="left" vertical="center"/>
    </xf>
    <xf numFmtId="0" fontId="42" fillId="19" borderId="35" applyAlignment="1" pivotButton="0" quotePrefix="0" xfId="0">
      <alignment horizontal="left" vertical="center"/>
    </xf>
    <xf numFmtId="174" fontId="40" fillId="22" borderId="30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77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</cellXfs>
  <cellStyles count="57">
    <cellStyle name="Normal" xfId="0" builtinId="0"/>
    <cellStyle name="Titre" xfId="1" builtinId="15"/>
    <cellStyle name="Neutre" xfId="2" builtinId="28"/>
    <cellStyle name="60 % - Accent1" xfId="3" builtinId="32"/>
    <cellStyle name="60 % - Accent2" xfId="4" builtinId="36"/>
    <cellStyle name="60 % - Accent3" xfId="5" builtinId="40"/>
    <cellStyle name="60 % - Accent4" xfId="6" builtinId="44"/>
    <cellStyle name="60 % - Accent5" xfId="7" builtinId="48"/>
    <cellStyle name="60 % - Accent6" xfId="8" builtinId="52"/>
    <cellStyle name="%0." xfId="9"/>
    <cellStyle name="%0.0" xfId="10"/>
    <cellStyle name="%0.00" xfId="11"/>
    <cellStyle name="ACT" xfId="12"/>
    <cellStyle name="Alighment Center" xfId="13"/>
    <cellStyle name="Alighment Left" xfId="14"/>
    <cellStyle name="Alignment H&amp;V center" xfId="15"/>
    <cellStyle name="Amounts left nolocked" xfId="16"/>
    <cellStyle name="Amounts w/ 2 Decimals" xfId="17"/>
    <cellStyle name="Amounts_Board" xfId="18"/>
    <cellStyle name="Amounts-1000" xfId="19"/>
    <cellStyle name="BDG" xfId="20"/>
    <cellStyle name="Blank_Row" xfId="21"/>
    <cellStyle name="Bold" xfId="22"/>
    <cellStyle name="Bold+Italic" xfId="23"/>
    <cellStyle name="C_Amount_ACT" xfId="24"/>
    <cellStyle name="C_Head" xfId="25"/>
    <cellStyle name="Date" xfId="26"/>
    <cellStyle name="Fill light blue" xfId="27"/>
    <cellStyle name="Formula" xfId="28"/>
    <cellStyle name="Head_left" xfId="29"/>
    <cellStyle name="Hyperlink for amounts" xfId="30"/>
    <cellStyle name="Hyperlnk row header underlined bold" xfId="31"/>
    <cellStyle name="Middle Headers Centered" xfId="32"/>
    <cellStyle name="NA Currency" xfId="33"/>
    <cellStyle name="NA Currency 2 dec" xfId="34"/>
    <cellStyle name="Placeholder" xfId="35"/>
    <cellStyle name="Placeholder Header Underlined bold" xfId="36"/>
    <cellStyle name="Placeholder_column_blank" xfId="37"/>
    <cellStyle name="R_Area_font" xfId="38"/>
    <cellStyle name="R_AREA_FONT_UC" xfId="39"/>
    <cellStyle name="R_formula" xfId="40"/>
    <cellStyle name="R_head_font" xfId="41"/>
    <cellStyle name="Row_Grey" xfId="42"/>
    <cellStyle name="Status Check" xfId="43"/>
    <cellStyle name="Style0" xfId="44"/>
    <cellStyle name="Subtotal Amounts row fill" xfId="45"/>
    <cellStyle name="Subtotal head row fill" xfId="46"/>
    <cellStyle name="Subtotal_amounts" xfId="47"/>
    <cellStyle name="TGK_TOC_PAGE_COLUMN" xfId="48"/>
    <cellStyle name="Visual Check" xfId="49"/>
    <cellStyle name="Webdings" xfId="50"/>
    <cellStyle name="Webdings1" xfId="51"/>
    <cellStyle name="Webdings14" xfId="52"/>
    <cellStyle name="Webdings14Green" xfId="53"/>
    <cellStyle name="Work new book placeholder header underlined" xfId="54"/>
    <cellStyle name="WrappedText" xfId="55"/>
    <cellStyle name="Normal 2" xfId="56"/>
  </cellStyles>
  <dxfs count="28">
    <dxf>
      <numFmt numFmtId="179" formatCode="&quot;      &quot;@"/>
    </dxf>
    <dxf>
      <numFmt numFmtId="180" formatCode="&quot;  &quot;@"/>
    </dxf>
    <dxf>
      <border>
        <top style="medium">
          <color rgb="FF526071"/>
        </top>
      </border>
    </dxf>
    <dxf>
      <font>
        <color rgb="FF202733"/>
      </font>
      <fill>
        <patternFill>
          <bgColor rgb="FFFFFFFF"/>
        </patternFill>
      </fill>
    </dxf>
    <dxf>
      <font>
        <b val="1"/>
        <color rgb="FF202733"/>
      </font>
      <fill>
        <patternFill>
          <bgColor rgb="FFEAF2FC"/>
        </patternFill>
      </fill>
    </dxf>
    <dxf>
      <font>
        <b val="1"/>
        <color rgb="FF202733"/>
      </font>
      <fill>
        <patternFill>
          <bgColor rgb="FFD9E2EF"/>
        </patternFill>
      </fill>
    </dxf>
    <dxf>
      <font>
        <name val="Arial"/>
        <b val="1"/>
        <color rgb="FFB97800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FFD64545"/>
        <sz val="8.5"/>
      </font>
    </dxf>
    <dxf>
      <font>
        <name val="Arial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001E9E89"/>
        <sz val="8.5"/>
      </font>
    </dxf>
    <dxf>
      <font>
        <name val="Arial"/>
        <color rgb="00D64545"/>
        <sz val="8.5"/>
      </font>
    </dxf>
    <dxf>
      <font>
        <b val="1"/>
        <color rgb="00202733"/>
      </font>
      <fill>
        <patternFill>
          <bgColor rgb="00D9E2EF"/>
        </patternFill>
      </fill>
      <border>
        <top style="medium">
          <color rgb="00526071"/>
        </top>
        <bottom style="thin">
          <color rgb="00E9EDF3"/>
        </bottom>
      </border>
    </dxf>
    <dxf>
      <font>
        <b val="1"/>
        <color rgb="00202733"/>
      </font>
      <fill>
        <patternFill>
          <bgColor rgb="00EAF2FC"/>
        </patternFill>
      </fill>
      <border>
        <bottom style="thin">
          <color rgb="00E9EDF3"/>
        </bottom>
      </border>
    </dxf>
    <dxf>
      <font>
        <color rgb="00202733"/>
      </font>
      <fill>
        <patternFill>
          <bgColor rgb="00FFFFFF"/>
        </patternFill>
      </fill>
      <border>
        <bottom style="thin">
          <color rgb="00E9EDF3"/>
        </bottom>
      </border>
    </dxf>
    <dxf>
      <numFmt numFmtId="184" formatCode="#,##0&quot; €&quot;"/>
    </dxf>
    <dxf>
      <numFmt numFmtId="186" formatCode="#,##0&quot; €&quot;"/>
    </dxf>
    <dxf>
      <font>
        <name val="Arial"/>
        <b val="1"/>
        <color rgb="001E9E89"/>
        <sz val="9"/>
      </font>
    </dxf>
    <dxf>
      <font>
        <name val="Arial"/>
        <b val="1"/>
        <color rgb="00D64545"/>
        <sz val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plotArea>
      <barChart>
        <barDir val="col"/>
        <grouping val="stacked"/>
        <ser>
          <idx val="0"/>
          <order val="0"/>
          <spPr>
            <a:noFill/>
            <a:ln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'COCKPIT_ZONES.xlsm'!S_PONT_3</f>
            </numRef>
          </val>
        </ser>
        <ser>
          <idx val="1"/>
          <order val="1"/>
          <spPr>
            <a:solidFill>
              <a:srgbClr val="526071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'COCKPIT_ZONES.xlsm'!S_PONT_4</f>
            </numRef>
          </val>
        </ser>
        <ser>
          <idx val="2"/>
          <order val="2"/>
          <spPr>
            <a:solidFill>
              <a:srgbClr val="1E9E89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'COCKPIT_ZONES.xlsm'!S_PONT_5</f>
            </numRef>
          </val>
        </ser>
        <ser>
          <idx val="3"/>
          <order val="3"/>
          <spPr>
            <a:solidFill>
              <a:srgbClr val="D64545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'COCKPIT_ZONES.xlsm'!S_PONT_6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.0,,&quot; M€&quot;" sourceLinked="0"/>
        <majorTickMark val="none"/>
        <minorTickMark val="none"/>
        <crossAx val="10"/>
      </valAx>
    </plotArea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barChart>
        <barDir val="col"/>
        <grouping val="clustered"/>
        <ser>
          <idx val="0"/>
          <order val="0"/>
          <tx>
            <v>2024</v>
          </tx>
          <spPr>
            <a:solidFill>
              <a:srgbClr val="B8CFEC"/>
            </a:solidFill>
            <a:ln>
              <a:noFill/>
              <a:prstDash val="solid"/>
            </a:ln>
          </spPr>
          <cat>
            <strRef>
              <f>'COCKPIT_ZONES.xlsm'!S_MARGE_1</f>
            </strRef>
          </cat>
          <val>
            <numRef>
              <f>'COCKPIT_ZONES.xlsm'!S_MARGE_2</f>
            </numRef>
          </val>
        </ser>
        <ser>
          <idx val="1"/>
          <order val="1"/>
          <tx>
            <v>2025</v>
          </tx>
          <spPr>
            <a:solidFill>
              <a:srgbClr val="6FA5DC"/>
            </a:solidFill>
            <a:ln>
              <a:noFill/>
              <a:prstDash val="solid"/>
            </a:ln>
          </spPr>
          <cat>
            <strRef>
              <f>'COCKPIT_ZONES.xlsm'!S_MARGE_1</f>
            </strRef>
          </cat>
          <val>
            <numRef>
              <f>'COCKPIT_ZONES.xlsm'!S_MARGE_3</f>
            </numRef>
          </val>
        </ser>
        <ser>
          <idx val="2"/>
          <order val="2"/>
          <tx>
            <v>2026</v>
          </tx>
          <spPr>
            <a:solidFill>
              <a:srgbClr val="2A78D6"/>
            </a:solidFill>
            <a:ln>
              <a:noFill/>
              <a:prstDash val="solid"/>
            </a:ln>
          </spPr>
          <cat>
            <strRef>
              <f>'COCKPIT_ZONES.xlsm'!S_MARGE_1</f>
            </strRef>
          </cat>
          <val>
            <numRef>
              <f>'COCKPIT_ZONES.xlsm'!S_MARGE_4</f>
            </numRef>
          </val>
        </ser>
        <gapWidth val="6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%" sourceLinked="0"/>
        <majorTickMark val="none"/>
        <minorTickMark val="none"/>
        <crossAx val="10"/>
      </valAx>
    </plotArea>
    <legend>
      <legendPos val="b"/>
    </legend>
    <plotVisOnly val="0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ineChart>
        <grouping val="standard"/>
        <ser>
          <idx val="0"/>
          <order val="0"/>
          <tx>
            <v>Dépenses</v>
          </tx>
          <spPr>
            <a:ln w="25000">
              <a:solidFill>
                <a:srgbClr val="F07B32"/>
              </a:solidFill>
              <a:prstDash val="solid"/>
            </a:ln>
          </spPr>
          <marker>
            <symbol val="circle"/>
            <size val="6"/>
            <spPr>
              <a:solidFill>
                <a:srgbClr val="F07B32"/>
              </a:solidFill>
              <a:ln>
                <a:solidFill>
                  <a:srgbClr val="F07B32"/>
                </a:solidFill>
                <a:prstDash val="solid"/>
              </a:ln>
            </spPr>
          </marker>
          <cat>
            <strRef>
              <f>'COCKPIT_ZONES.xlsm'!S_TENSION_1</f>
            </strRef>
          </cat>
          <val>
            <numRef>
              <f>'COCKPIT_ZONES.xlsm'!S_TENSION_2</f>
            </numRef>
          </val>
          <smooth val="0"/>
        </ser>
        <ser>
          <idx val="1"/>
          <order val="1"/>
          <tx>
            <v>Inscrits</v>
          </tx>
          <spPr>
            <a:ln w="250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>
                <a:srgbClr val="2A78D6"/>
              </a:solidFill>
              <a:ln>
                <a:solidFill>
                  <a:srgbClr val="2A78D6"/>
                </a:solidFill>
                <a:prstDash val="solid"/>
              </a:ln>
            </spPr>
          </marker>
          <cat>
            <strRef>
              <f>'COCKPIT_ZONES.xlsm'!S_TENSION_1</f>
            </strRef>
          </cat>
          <val>
            <numRef>
              <f>'COCKPIT_ZONES.xlsm'!S_TENSION_3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  <max val="125"/>
          <min val="95"/>
        </scaling>
        <delete val="0"/>
        <axPos val="l"/>
        <majorGridlines/>
        <numFmt formatCode="0" sourceLinked="0"/>
        <majorTickMark val="none"/>
        <minorTickMark val="none"/>
        <crossAx val="10"/>
        <majorUnit val="10"/>
      </valAx>
    </plotArea>
    <legend>
      <legendPos val="b"/>
    </legend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3</col>
      <colOff>0</colOff>
      <row>12</row>
      <rowOff>0</rowOff>
    </from>
    <ext cx="2916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7</col>
      <colOff>0</colOff>
      <row>12</row>
      <rowOff>0</rowOff>
    </from>
    <ext cx="2916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12</row>
      <rowOff>0</rowOff>
    </from>
    <ext cx="2916000" cy="32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B2"/>
  <sheetViews>
    <sheetView workbookViewId="0">
      <selection activeCell="A1" sqref="A1"/>
    </sheetView>
  </sheetViews>
  <sheetFormatPr baseColWidth="10" defaultRowHeight="14.25"/>
  <sheetData>
    <row r="2">
      <c r="A2" t="inlineStr">
        <is>
          <t>Template01</t>
        </is>
      </c>
      <c r="B2">
        <f>'2'!A65557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F205"/>
  <sheetViews>
    <sheetView showGridLines="0" tabSelected="1" workbookViewId="0">
      <selection activeCell="C5" sqref="C5"/>
    </sheetView>
  </sheetViews>
  <sheetFormatPr baseColWidth="10" defaultRowHeight="14.25"/>
  <cols>
    <col width="2.5" customWidth="1" min="1" max="2"/>
    <col width="4.5" customWidth="1" min="2" max="2"/>
    <col width="33" customWidth="1" min="3" max="8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6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hidden="1" width="13" customWidth="1" min="16" max="16"/>
    <col hidden="1" width="11.1328125" bestFit="1" customWidth="1" min="17" max="17"/>
    <col hidden="1" width="11.3984375" bestFit="1" customWidth="1" min="18" max="18"/>
    <col hidden="1" width="11.53125" bestFit="1" customWidth="1" min="19" max="19"/>
    <col hidden="1" width="9.265625" bestFit="1" customWidth="1" min="20" max="20"/>
    <col hidden="1" width="12.59765625" customWidth="1" min="21" max="21"/>
    <col hidden="1" width="15.53125" bestFit="1" customWidth="1" min="22" max="22"/>
    <col hidden="1" width="9.9296875" bestFit="1" customWidth="1" min="23" max="23"/>
    <col hidden="1" width="11.265625" bestFit="1" customWidth="1" min="24" max="24"/>
    <col hidden="1" width="13.9296875" bestFit="1" customWidth="1" min="25" max="25"/>
    <col hidden="1" width="17.265625" bestFit="1" customWidth="1" min="26" max="26"/>
    <col hidden="1" width="4.59765625" bestFit="1" customWidth="1" min="27" max="27"/>
    <col hidden="1" width="9.265625" bestFit="1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13" customWidth="1" min="77" max="77"/>
    <col hidden="1" width="13" customWidth="1" min="78" max="78"/>
    <col hidden="1" width="13" customWidth="1" min="79" max="79"/>
    <col hidden="1" width="13" customWidth="1" min="80" max="80"/>
  </cols>
  <sheetData>
    <row r="1" ht="8" customHeight="1">
      <c r="A1" s="55" t="n"/>
      <c r="B1" s="55" t="n"/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5" t="n"/>
      <c r="M1" s="55" t="n"/>
      <c r="N1" s="55" t="n"/>
      <c r="O1" s="55" t="n"/>
      <c r="P1" s="3" t="n"/>
    </row>
    <row r="2" ht="26" customHeight="1">
      <c r="A2" s="55" t="n"/>
      <c r="B2" s="55" t="n"/>
      <c r="C2" s="56" t="inlineStr">
        <is>
          <t>COCKPIT EDUSERVICES — PILOTAGE DE LA MARGE</t>
        </is>
      </c>
      <c r="D2" s="55" t="n"/>
      <c r="E2" s="55" t="n"/>
      <c r="F2" s="55" t="n"/>
      <c r="G2" s="55" t="n"/>
      <c r="H2" s="55" t="n"/>
      <c r="I2" s="55" t="n"/>
      <c r="J2" s="55" t="n"/>
      <c r="K2" s="55" t="n"/>
      <c r="L2" s="55" t="n"/>
      <c r="M2" s="55" t="n"/>
      <c r="N2" s="55" t="n"/>
      <c r="O2" s="55" t="n"/>
      <c r="P2" s="3" t="n"/>
    </row>
    <row r="3" ht="15" customHeight="1">
      <c r="A3" s="55" t="n"/>
      <c r="B3" s="55" t="n"/>
      <c r="C3" s="57" t="inlineStr">
        <is>
          <t>Exercice 2026 · variation contre 2025 · V_ALLOCATION et socle CRM</t>
        </is>
      </c>
      <c r="D3" s="55" t="n"/>
      <c r="E3" s="55" t="n"/>
      <c r="F3" s="55" t="n"/>
      <c r="G3" s="55" t="n"/>
      <c r="H3" s="55" t="n"/>
      <c r="I3" s="55" t="n"/>
      <c r="J3" s="55" t="n"/>
      <c r="K3" s="55" t="n"/>
      <c r="L3" s="55" t="n"/>
      <c r="M3" s="55" t="n"/>
      <c r="N3" s="55" t="n"/>
      <c r="O3" s="55" t="n"/>
      <c r="P3" s="3" t="n"/>
    </row>
    <row r="4" ht="6" customHeight="1">
      <c r="A4" s="58" t="n"/>
      <c r="B4" s="58" t="n"/>
      <c r="C4" s="58" t="n"/>
      <c r="D4" s="58" t="n"/>
      <c r="E4" s="58" t="n"/>
      <c r="F4" s="58" t="n"/>
      <c r="G4" s="58" t="n"/>
      <c r="H4" s="58" t="n"/>
      <c r="I4" s="58" t="n"/>
      <c r="J4" s="58" t="n"/>
      <c r="K4" s="58" t="n"/>
      <c r="L4" s="58" t="n"/>
      <c r="M4" s="58" t="n"/>
      <c r="N4" s="58" t="n"/>
      <c r="O4" s="58" t="n"/>
      <c r="P4" s="6" t="n"/>
    </row>
    <row r="5" ht="20" customHeight="1">
      <c r="A5" s="58" t="n"/>
      <c r="B5" s="58" t="n"/>
      <c r="C5" s="59" t="inlineStr">
        <is>
          <t>SCÉNARIO</t>
        </is>
      </c>
      <c r="D5" s="60" t="inlineStr">
        <is>
          <t>Forecast 2026</t>
        </is>
      </c>
      <c r="E5" s="61" t="n"/>
      <c r="F5" s="62" t="n"/>
      <c r="G5" s="63" t="n"/>
      <c r="H5" s="59" t="inlineStr">
        <is>
          <t>VERSION</t>
        </is>
      </c>
      <c r="I5" s="64" t="inlineStr">
        <is>
          <t>V_FINAL</t>
        </is>
      </c>
      <c r="J5" s="65" t="n"/>
      <c r="K5" s="59" t="inlineStr">
        <is>
          <t>ENTITÉ</t>
        </is>
      </c>
      <c r="L5" s="60" t="inlineStr">
        <is>
          <t>MBWAY</t>
        </is>
      </c>
      <c r="M5" s="66" t="n"/>
      <c r="N5" s="65" t="n"/>
      <c r="O5" s="65" t="n"/>
      <c r="P5" s="10" t="n"/>
    </row>
    <row r="6" ht="6" customHeight="1">
      <c r="A6" s="58" t="n"/>
      <c r="B6" s="58" t="n"/>
      <c r="C6" s="58" t="n"/>
      <c r="D6" s="58" t="n"/>
      <c r="E6" s="58" t="n"/>
      <c r="F6" s="58" t="n"/>
      <c r="G6" s="58" t="n"/>
      <c r="H6" s="58" t="n"/>
      <c r="I6" s="58" t="n"/>
      <c r="J6" s="58" t="n"/>
      <c r="K6" s="58" t="n"/>
      <c r="L6" s="58" t="n"/>
      <c r="M6" s="58" t="n"/>
      <c r="N6" s="58" t="n"/>
      <c r="O6" s="58" t="n"/>
      <c r="P6" s="6" t="n"/>
      <c r="AB6" s="2" t="inlineStr">
        <is>
          <t>RANG</t>
        </is>
      </c>
      <c r="AC6" s="1" t="inlineStr">
        <is>
          <t>ETAPE</t>
        </is>
      </c>
      <c r="AD6" s="1" t="inlineStr">
        <is>
          <t>SOCLE</t>
        </is>
      </c>
      <c r="AE6" s="1" t="inlineStr">
        <is>
          <t>ANCRE</t>
        </is>
      </c>
      <c r="AF6" s="1" t="inlineStr">
        <is>
          <t>HAUSSE</t>
        </is>
      </c>
      <c r="AG6" s="1" t="inlineStr">
        <is>
          <t>BAISSE</t>
        </is>
      </c>
      <c r="AI6" s="2" t="inlineStr">
        <is>
          <t>NIVEAU</t>
        </is>
      </c>
      <c r="AJ6" s="1" t="inlineStr">
        <is>
          <t>CODE</t>
        </is>
      </c>
      <c r="AK6" s="1" t="inlineStr">
        <is>
          <t>LIBELLE</t>
        </is>
      </c>
      <c r="AL6" s="1" t="inlineStr">
        <is>
          <t>CA_2024</t>
        </is>
      </c>
      <c r="AM6" s="1" t="inlineStr">
        <is>
          <t>EBITDA_2024</t>
        </is>
      </c>
      <c r="AN6" s="1" t="inlineStr">
        <is>
          <t>MARGE_2024</t>
        </is>
      </c>
      <c r="AO6" s="1" t="inlineStr">
        <is>
          <t>CA_2025</t>
        </is>
      </c>
      <c r="AP6" s="1" t="inlineStr">
        <is>
          <t>EBITDA_2025</t>
        </is>
      </c>
      <c r="AQ6" s="1" t="inlineStr">
        <is>
          <t>MARGE_2025</t>
        </is>
      </c>
      <c r="AR6" s="1" t="inlineStr">
        <is>
          <t>CA_2026</t>
        </is>
      </c>
      <c r="AS6" s="1" t="inlineStr">
        <is>
          <t>EBITDA_2026</t>
        </is>
      </c>
      <c r="AT6" s="1" t="inlineStr">
        <is>
          <t>MARGE_2026</t>
        </is>
      </c>
      <c r="AU6" s="1" t="inlineStr">
        <is>
          <t>ECART_PT</t>
        </is>
      </c>
      <c r="AZ6" s="1" t="inlineStr">
        <is>
          <t>EXERCICE</t>
        </is>
      </c>
      <c r="BA6" s="1" t="inlineStr">
        <is>
          <t>DEPENSES</t>
        </is>
      </c>
      <c r="BB6" s="1" t="inlineStr">
        <is>
          <t>INSCRITS</t>
        </is>
      </c>
      <c r="BC6" s="1" t="inlineStr">
        <is>
          <t>IND_DEPENSES</t>
        </is>
      </c>
      <c r="BD6" s="1" t="inlineStr">
        <is>
          <t>IND_INSCRITS</t>
        </is>
      </c>
      <c r="BE6" s="1" t="inlineStr">
        <is>
          <t>CAC</t>
        </is>
      </c>
      <c r="BF6" s="1" t="inlineStr">
        <is>
          <t>ECART_PT</t>
        </is>
      </c>
    </row>
    <row r="7" ht="10" customHeight="1">
      <c r="A7" s="58" t="n"/>
      <c r="B7" s="58" t="n"/>
      <c r="C7" s="58" t="n"/>
      <c r="D7" s="58" t="n"/>
      <c r="E7" s="58" t="n"/>
      <c r="F7" s="58" t="n"/>
      <c r="G7" s="58" t="n"/>
      <c r="H7" s="58" t="n"/>
      <c r="I7" s="58" t="n"/>
      <c r="J7" s="58" t="n"/>
      <c r="K7" s="58" t="n"/>
      <c r="L7" s="58" t="n"/>
      <c r="M7" s="58" t="n"/>
      <c r="N7" s="58" t="n"/>
      <c r="O7" s="58" t="n"/>
      <c r="P7" s="6" t="n"/>
      <c r="AB7" s="1" t="n">
        <v>1</v>
      </c>
      <c r="AC7" s="1" t="inlineStr">
        <is>
          <t>EBITDA 2025</t>
        </is>
      </c>
      <c r="AD7" s="1" t="n">
        <v>0</v>
      </c>
      <c r="AE7" s="1" t="n">
        <v>1563650</v>
      </c>
      <c r="AF7" s="1" t="n">
        <v>0</v>
      </c>
      <c r="AG7" s="1" t="n">
        <v>0</v>
      </c>
      <c r="AI7" s="1" t="inlineStr">
        <is>
          <t>MBway Bordeaux</t>
        </is>
      </c>
      <c r="AJ7" s="1" t="n">
        <v>0.1544</v>
      </c>
      <c r="AK7" s="1" t="n">
        <v>0.1626</v>
      </c>
      <c r="AL7" s="1" t="n">
        <v>0.172</v>
      </c>
      <c r="AM7" s="1" t="n">
        <v>1.77</v>
      </c>
      <c r="AN7" s="1" t="inlineStr">
        <is>
          <t>CAMPUS</t>
        </is>
      </c>
      <c r="AO7" s="1" t="inlineStr">
        <is>
          <t>MBWAY_BOR</t>
        </is>
      </c>
      <c r="AP7" s="1" t="n">
        <v>1573680</v>
      </c>
      <c r="AQ7" s="1" t="n">
        <v>242904</v>
      </c>
      <c r="AR7" s="1" t="n">
        <v>1666855</v>
      </c>
      <c r="AS7" s="1" t="n">
        <v>271053</v>
      </c>
      <c r="AT7" t="n">
        <v>1773610</v>
      </c>
      <c r="AU7" s="2" t="n">
        <v>305135</v>
      </c>
      <c r="AZ7" s="1" t="inlineStr">
        <is>
          <t>2024</t>
        </is>
      </c>
      <c r="BA7" s="1" t="n">
        <v>100</v>
      </c>
      <c r="BB7" s="1" t="n">
        <v>100</v>
      </c>
      <c r="BC7" s="1" t="n">
        <v>304</v>
      </c>
      <c r="BD7" s="1" t="n">
        <v>0</v>
      </c>
      <c r="BE7" s="1" t="n">
        <v>137627</v>
      </c>
      <c r="BF7" s="1" t="n">
        <v>452</v>
      </c>
    </row>
    <row r="8" ht="13" customHeight="1">
      <c r="A8" s="58" t="n"/>
      <c r="B8" s="58" t="n"/>
      <c r="C8" s="67" t="n"/>
      <c r="D8" s="68" t="inlineStr">
        <is>
          <t>CHIFFRE D'AFFAIRES</t>
        </is>
      </c>
      <c r="E8" s="69" t="n"/>
      <c r="F8" s="68" t="inlineStr">
        <is>
          <t>EBITDA</t>
        </is>
      </c>
      <c r="G8" s="69" t="n"/>
      <c r="H8" s="68" t="inlineStr">
        <is>
          <t>MARGE EBITDA</t>
        </is>
      </c>
      <c r="I8" s="69" t="n"/>
      <c r="J8" s="68" t="inlineStr">
        <is>
          <t>INSCRITS (NOUVEAUX)</t>
        </is>
      </c>
      <c r="K8" s="69" t="n"/>
      <c r="L8" s="68" t="inlineStr">
        <is>
          <t>COÛT D'ACQUISITION</t>
        </is>
      </c>
      <c r="M8" s="69" t="n"/>
      <c r="N8" s="70" t="inlineStr">
        <is>
          <t>REMPLISSAGE MOYEN</t>
        </is>
      </c>
      <c r="O8" s="71" t="n"/>
      <c r="P8" s="13" t="n"/>
      <c r="AB8" t="n">
        <v>2</v>
      </c>
      <c r="AC8" t="inlineStr">
        <is>
          <t>Activité</t>
        </is>
      </c>
      <c r="AD8" t="n">
        <v>1563650</v>
      </c>
      <c r="AE8" t="n">
        <v>0</v>
      </c>
      <c r="AF8" t="n">
        <v>465942</v>
      </c>
      <c r="AG8" t="n">
        <v>0</v>
      </c>
      <c r="AI8" t="inlineStr">
        <is>
          <t>MBway Lyon</t>
        </is>
      </c>
      <c r="AJ8" t="n">
        <v>0.1655</v>
      </c>
      <c r="AK8" t="n">
        <v>0.1736</v>
      </c>
      <c r="AL8" t="n">
        <v>0.183</v>
      </c>
      <c r="AM8" t="n">
        <v>1.75</v>
      </c>
      <c r="AN8" t="inlineStr">
        <is>
          <t>CAMPUS</t>
        </is>
      </c>
      <c r="AO8" t="inlineStr">
        <is>
          <t>MBWAY_LYO</t>
        </is>
      </c>
      <c r="AP8" t="n">
        <v>2227170</v>
      </c>
      <c r="AQ8" t="n">
        <v>368621</v>
      </c>
      <c r="AR8" t="n">
        <v>2342685</v>
      </c>
      <c r="AS8" t="n">
        <v>406787</v>
      </c>
      <c r="AT8" t="n">
        <v>2496705</v>
      </c>
      <c r="AU8" t="n">
        <v>456973</v>
      </c>
      <c r="AZ8" t="inlineStr">
        <is>
          <t>2025</t>
        </is>
      </c>
      <c r="BA8" t="n">
        <v>110</v>
      </c>
      <c r="BB8" t="n">
        <v>106.6</v>
      </c>
      <c r="BC8" t="n">
        <v>314</v>
      </c>
      <c r="BD8" t="n">
        <v>3.4</v>
      </c>
      <c r="BE8" t="n">
        <v>151390</v>
      </c>
      <c r="BF8" t="n">
        <v>482</v>
      </c>
    </row>
    <row r="9" ht="26" customHeight="1">
      <c r="A9" s="58" t="n"/>
      <c r="B9" s="58" t="n"/>
      <c r="C9" s="72" t="n"/>
      <c r="D9" s="73">
        <f>D38</f>
        <v/>
      </c>
      <c r="E9" s="74" t="n"/>
      <c r="F9" s="73">
        <f>F38</f>
        <v/>
      </c>
      <c r="G9" s="74" t="n"/>
      <c r="H9" s="75">
        <f>I38</f>
        <v/>
      </c>
      <c r="I9" s="76" t="n"/>
      <c r="J9" s="77">
        <f>K38</f>
        <v/>
      </c>
      <c r="K9" s="78" t="n"/>
      <c r="L9" s="79">
        <f>S38/K38</f>
        <v/>
      </c>
      <c r="M9" s="80" t="n"/>
      <c r="N9" s="81">
        <f>L38</f>
        <v/>
      </c>
      <c r="O9" s="82" t="n"/>
      <c r="P9" s="22" t="n"/>
      <c r="AB9" t="n">
        <v>3</v>
      </c>
      <c r="AC9" t="inlineStr">
        <is>
          <t>Prix / mix</t>
        </is>
      </c>
      <c r="AD9" t="n">
        <v>2029209</v>
      </c>
      <c r="AE9" t="n">
        <v>0</v>
      </c>
      <c r="AF9" t="n">
        <v>0</v>
      </c>
      <c r="AG9" t="n">
        <v>383</v>
      </c>
      <c r="AI9" t="inlineStr">
        <is>
          <t>MBway Nantes</t>
        </is>
      </c>
      <c r="AJ9" t="n">
        <v>0.1604</v>
      </c>
      <c r="AK9" t="n">
        <v>0.1686</v>
      </c>
      <c r="AL9" t="n">
        <v>0.178</v>
      </c>
      <c r="AM9" t="n">
        <v>1.76</v>
      </c>
      <c r="AN9" t="inlineStr">
        <is>
          <t>CAMPUS</t>
        </is>
      </c>
      <c r="AO9" t="inlineStr">
        <is>
          <t>MBWAY_NAN</t>
        </is>
      </c>
      <c r="AP9" t="n">
        <v>1923040</v>
      </c>
      <c r="AQ9" t="n">
        <v>308546</v>
      </c>
      <c r="AR9" t="n">
        <v>2048260</v>
      </c>
      <c r="AS9" t="n">
        <v>345410</v>
      </c>
      <c r="AT9" t="n">
        <v>2158300</v>
      </c>
      <c r="AU9" t="n">
        <v>384270</v>
      </c>
      <c r="AZ9" t="inlineStr">
        <is>
          <t>2026</t>
        </is>
      </c>
      <c r="BA9" t="n">
        <v>121</v>
      </c>
      <c r="BB9" t="n">
        <v>112.8</v>
      </c>
      <c r="BC9" t="n">
        <v>327</v>
      </c>
      <c r="BD9" t="n">
        <v>8.199999999999999</v>
      </c>
      <c r="BE9" t="n">
        <v>166530</v>
      </c>
      <c r="BF9" t="n">
        <v>510</v>
      </c>
    </row>
    <row r="10" ht="14" customHeight="1">
      <c r="A10" s="58" t="n"/>
      <c r="B10" s="58" t="n"/>
      <c r="C10" s="83" t="n"/>
      <c r="D10" s="120">
        <f>E38</f>
        <v/>
      </c>
      <c r="E10" s="85" t="n"/>
      <c r="F10" s="120">
        <f>G38</f>
        <v/>
      </c>
      <c r="G10" s="85" t="n"/>
      <c r="H10" s="121">
        <f>J38</f>
        <v/>
      </c>
      <c r="I10" s="87" t="n"/>
      <c r="J10" s="120">
        <f>Y38</f>
        <v/>
      </c>
      <c r="K10" s="85" t="n"/>
      <c r="L10" s="120">
        <f>IFERROR(L9/(T38/W38)-1,"")</f>
        <v/>
      </c>
      <c r="M10" s="85" t="n"/>
      <c r="N10" s="122">
        <f>O38-N38</f>
        <v/>
      </c>
      <c r="O10" s="89" t="n"/>
      <c r="P10" s="26" t="n"/>
      <c r="AB10" t="n">
        <v>4</v>
      </c>
      <c r="AC10" t="inlineStr">
        <is>
          <t>Coûts</t>
        </is>
      </c>
      <c r="AD10" t="n">
        <v>1745998</v>
      </c>
      <c r="AE10" t="n">
        <v>0</v>
      </c>
      <c r="AF10" t="n">
        <v>0</v>
      </c>
      <c r="AG10" t="n">
        <v>283211</v>
      </c>
      <c r="AI10" t="inlineStr">
        <is>
          <t>MBway Paris</t>
        </is>
      </c>
      <c r="AJ10" t="n">
        <v>0.1736</v>
      </c>
      <c r="AK10" t="n">
        <v>0.1817</v>
      </c>
      <c r="AL10" t="n">
        <v>0.191</v>
      </c>
      <c r="AM10" t="n">
        <v>1.74</v>
      </c>
      <c r="AN10" t="inlineStr">
        <is>
          <t>CAMPUS</t>
        </is>
      </c>
      <c r="AO10" t="inlineStr">
        <is>
          <t>MBWAY_PAR</t>
        </is>
      </c>
      <c r="AP10" t="n">
        <v>2793380</v>
      </c>
      <c r="AQ10" t="n">
        <v>485027</v>
      </c>
      <c r="AR10" t="n">
        <v>2974600</v>
      </c>
      <c r="AS10" t="n">
        <v>540400</v>
      </c>
      <c r="AT10" t="n">
        <v>3138840</v>
      </c>
      <c r="AU10" t="n">
        <v>599620</v>
      </c>
    </row>
    <row r="11" ht="10" customHeight="1">
      <c r="A11" s="58" t="n"/>
      <c r="B11" s="58" t="n"/>
      <c r="C11" s="58" t="n"/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6" t="n"/>
      <c r="Q11" s="6" t="n"/>
      <c r="R11" s="6" t="n"/>
      <c r="S11" s="6" t="n"/>
      <c r="T11" s="6" t="n"/>
      <c r="U11" s="6" t="n"/>
      <c r="V11" s="6" t="n"/>
      <c r="W11" s="6" t="n"/>
      <c r="X11" s="6" t="n"/>
      <c r="Y11" s="6" t="n"/>
      <c r="Z11" s="6" t="n"/>
      <c r="AA11" s="6" t="n"/>
      <c r="AB11" s="6" t="n">
        <v>5</v>
      </c>
      <c r="AC11" s="6" t="inlineStr">
        <is>
          <t>EBITDA 2026</t>
        </is>
      </c>
      <c r="AD11" s="6" t="n">
        <v>0</v>
      </c>
      <c r="AE11" s="6" t="n">
        <v>1745998</v>
      </c>
      <c r="AF11" s="6" t="n">
        <v>0</v>
      </c>
      <c r="AG11" s="6" t="n">
        <v>0</v>
      </c>
      <c r="AH11" s="6" t="n"/>
      <c r="AI11" s="6" t="n"/>
      <c r="AJ11" s="6" t="n"/>
    </row>
    <row r="12" ht="15.5" customHeight="1">
      <c r="A12" s="58" t="n"/>
      <c r="B12" s="58" t="n"/>
      <c r="C12" s="90" t="inlineStr">
        <is>
          <t xml:space="preserve">  Pont d'EBITDA 2025 → 2026</t>
        </is>
      </c>
      <c r="D12" s="91" t="inlineStr">
        <is>
          <t xml:space="preserve">  Pont d'EBITDA 2025 → 2026</t>
        </is>
      </c>
      <c r="E12" s="92" t="n"/>
      <c r="F12" s="92" t="n"/>
      <c r="G12" s="93" t="n"/>
      <c r="H12" s="91" t="inlineStr">
        <is>
          <t xml:space="preserve">  Marge EBITDA — 3 exercices</t>
        </is>
      </c>
      <c r="I12" s="94" t="inlineStr">
        <is>
          <t xml:space="preserve">  Marge EBITDA par marque</t>
        </is>
      </c>
      <c r="J12" s="92" t="n"/>
      <c r="K12" s="93" t="n"/>
      <c r="L12" s="91" t="inlineStr">
        <is>
          <t xml:space="preserve">  Acquisition — dépenses vs inscrits</t>
        </is>
      </c>
      <c r="M12" s="92" t="n"/>
      <c r="N12" s="92" t="n"/>
      <c r="O12" s="95" t="inlineStr">
        <is>
          <t xml:space="preserve">base 100  </t>
        </is>
      </c>
      <c r="P12" s="32" t="n"/>
      <c r="Q12" s="6" t="n"/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</row>
    <row r="13" ht="15.5" customHeight="1">
      <c r="A13" s="58" t="n"/>
      <c r="B13" s="58" t="n"/>
      <c r="C13" s="96" t="n"/>
      <c r="D13" s="97" t="n"/>
      <c r="E13" s="98" t="n"/>
      <c r="F13" s="98" t="n"/>
      <c r="G13" s="99" t="n"/>
      <c r="H13" s="97" t="n"/>
      <c r="I13" s="98" t="n"/>
      <c r="J13" s="98" t="n"/>
      <c r="K13" s="99" t="n"/>
      <c r="L13" s="97" t="n"/>
      <c r="M13" s="98" t="n"/>
      <c r="N13" s="98" t="n"/>
      <c r="O13" s="99" t="n"/>
      <c r="P13" s="34" t="n"/>
      <c r="Q13" s="6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</row>
    <row r="14" ht="15.5" customHeight="1">
      <c r="A14" s="58" t="n"/>
      <c r="B14" s="58" t="n"/>
      <c r="C14" s="96" t="n"/>
      <c r="D14" s="97" t="n"/>
      <c r="E14" s="98" t="n"/>
      <c r="F14" s="98" t="n"/>
      <c r="G14" s="99" t="n"/>
      <c r="H14" s="97" t="n"/>
      <c r="I14" s="98" t="n"/>
      <c r="J14" s="98" t="n"/>
      <c r="K14" s="99" t="n"/>
      <c r="L14" s="97" t="n"/>
      <c r="M14" s="98" t="n"/>
      <c r="N14" s="98" t="n"/>
      <c r="O14" s="99" t="n"/>
      <c r="P14" s="34" t="n"/>
      <c r="Q14" s="6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</row>
    <row r="15" ht="15.5" customHeight="1">
      <c r="A15" s="58" t="n"/>
      <c r="B15" s="58" t="n"/>
      <c r="C15" s="96" t="n"/>
      <c r="D15" s="97" t="n"/>
      <c r="E15" s="98" t="n"/>
      <c r="F15" s="98" t="n"/>
      <c r="G15" s="99" t="n"/>
      <c r="H15" s="97" t="n"/>
      <c r="I15" s="98" t="n"/>
      <c r="J15" s="98" t="n"/>
      <c r="K15" s="99" t="n"/>
      <c r="L15" s="97" t="n"/>
      <c r="M15" s="98" t="n"/>
      <c r="N15" s="98" t="n"/>
      <c r="O15" s="99" t="n"/>
      <c r="P15" s="34" t="n"/>
      <c r="Q15" s="6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</row>
    <row r="16" ht="15.5" customHeight="1">
      <c r="A16" s="58" t="n"/>
      <c r="B16" s="58" t="n"/>
      <c r="C16" s="96" t="n"/>
      <c r="D16" s="97" t="n"/>
      <c r="E16" s="98" t="n"/>
      <c r="F16" s="98" t="n"/>
      <c r="G16" s="99" t="n"/>
      <c r="H16" s="97" t="n"/>
      <c r="I16" s="98" t="n"/>
      <c r="J16" s="98" t="n"/>
      <c r="K16" s="99" t="n"/>
      <c r="L16" s="97" t="n"/>
      <c r="M16" s="98" t="n"/>
      <c r="N16" s="98" t="n"/>
      <c r="O16" s="99" t="n"/>
      <c r="P16" s="34" t="n"/>
      <c r="Q16" s="6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</row>
    <row r="17" ht="15.5" customHeight="1">
      <c r="A17" s="58" t="n"/>
      <c r="B17" s="58" t="n"/>
      <c r="C17" s="96" t="n"/>
      <c r="D17" s="97" t="n"/>
      <c r="E17" s="98" t="n"/>
      <c r="F17" s="98" t="n"/>
      <c r="G17" s="99" t="n"/>
      <c r="H17" s="97" t="n"/>
      <c r="I17" s="98" t="n"/>
      <c r="J17" s="98" t="n"/>
      <c r="K17" s="99" t="n"/>
      <c r="L17" s="97" t="n"/>
      <c r="M17" s="98" t="n"/>
      <c r="N17" s="98" t="n"/>
      <c r="O17" s="99" t="n"/>
      <c r="P17" s="34" t="n"/>
      <c r="Q17" s="6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</row>
    <row r="18" ht="15.5" customHeight="1">
      <c r="A18" s="58" t="n"/>
      <c r="B18" s="58" t="n"/>
      <c r="C18" s="96" t="n"/>
      <c r="D18" s="97" t="n"/>
      <c r="E18" s="98" t="n"/>
      <c r="F18" s="98" t="n"/>
      <c r="G18" s="99" t="n"/>
      <c r="H18" s="97" t="n"/>
      <c r="I18" s="98" t="n"/>
      <c r="J18" s="98" t="n"/>
      <c r="K18" s="99" t="n"/>
      <c r="L18" s="97" t="n"/>
      <c r="M18" s="98" t="n"/>
      <c r="N18" s="98" t="n"/>
      <c r="O18" s="99" t="n"/>
      <c r="P18" s="34" t="n"/>
      <c r="Q18" s="6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</row>
    <row r="19" ht="15.5" customHeight="1">
      <c r="A19" s="58" t="n"/>
      <c r="B19" s="58" t="n"/>
      <c r="C19" s="96" t="n"/>
      <c r="D19" s="97" t="n"/>
      <c r="E19" s="98" t="n"/>
      <c r="F19" s="98" t="n"/>
      <c r="G19" s="99" t="n"/>
      <c r="H19" s="97" t="n"/>
      <c r="I19" s="98" t="n"/>
      <c r="J19" s="98" t="n"/>
      <c r="K19" s="99" t="n"/>
      <c r="L19" s="97" t="n"/>
      <c r="M19" s="98" t="n"/>
      <c r="N19" s="98" t="n"/>
      <c r="O19" s="99" t="n"/>
      <c r="P19" s="34" t="n"/>
      <c r="Q19" s="6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</row>
    <row r="20" ht="15.5" customHeight="1">
      <c r="A20" s="58" t="n"/>
      <c r="B20" s="58" t="n"/>
      <c r="C20" s="96" t="n"/>
      <c r="D20" s="97" t="n"/>
      <c r="E20" s="98" t="n"/>
      <c r="F20" s="98" t="n"/>
      <c r="G20" s="99" t="n"/>
      <c r="H20" s="97" t="n"/>
      <c r="I20" s="98" t="n"/>
      <c r="J20" s="98" t="n"/>
      <c r="K20" s="99" t="n"/>
      <c r="L20" s="97" t="n"/>
      <c r="M20" s="98" t="n"/>
      <c r="N20" s="98" t="n"/>
      <c r="O20" s="99" t="n"/>
      <c r="P20" s="34" t="n"/>
      <c r="Q20" s="6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</row>
    <row r="21" ht="15.5" customHeight="1">
      <c r="A21" s="58" t="n"/>
      <c r="B21" s="58" t="n"/>
      <c r="C21" s="96" t="n"/>
      <c r="D21" s="97" t="n"/>
      <c r="E21" s="98" t="n"/>
      <c r="F21" s="98" t="n"/>
      <c r="G21" s="99" t="n"/>
      <c r="H21" s="97" t="n"/>
      <c r="I21" s="98" t="n"/>
      <c r="J21" s="98" t="n"/>
      <c r="K21" s="99" t="n"/>
      <c r="L21" s="97" t="n"/>
      <c r="M21" s="98" t="n"/>
      <c r="N21" s="98" t="n"/>
      <c r="O21" s="99" t="n"/>
      <c r="P21" s="34" t="n"/>
      <c r="Q21" s="6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</row>
    <row r="22" ht="15.5" customHeight="1">
      <c r="A22" s="58" t="n"/>
      <c r="B22" s="58" t="n"/>
      <c r="C22" s="96" t="n"/>
      <c r="D22" s="97" t="n"/>
      <c r="E22" s="98" t="n"/>
      <c r="F22" s="98" t="n"/>
      <c r="G22" s="99" t="n"/>
      <c r="H22" s="97" t="n"/>
      <c r="I22" s="98" t="n"/>
      <c r="J22" s="98" t="n"/>
      <c r="K22" s="99" t="n"/>
      <c r="L22" s="97" t="n"/>
      <c r="M22" s="98" t="n"/>
      <c r="N22" s="98" t="n"/>
      <c r="O22" s="99" t="n"/>
      <c r="P22" s="34" t="n"/>
      <c r="Q22" s="6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</row>
    <row r="23" ht="15.5" customHeight="1">
      <c r="A23" s="58" t="n"/>
      <c r="B23" s="58" t="n"/>
      <c r="C23" s="96" t="n"/>
      <c r="D23" s="97" t="n"/>
      <c r="E23" s="98" t="n"/>
      <c r="F23" s="98" t="n"/>
      <c r="G23" s="99" t="n"/>
      <c r="H23" s="97" t="n"/>
      <c r="I23" s="98" t="n"/>
      <c r="J23" s="98" t="n"/>
      <c r="K23" s="99" t="n"/>
      <c r="L23" s="97" t="n"/>
      <c r="M23" s="98" t="n"/>
      <c r="N23" s="98" t="n"/>
      <c r="O23" s="99" t="n"/>
      <c r="P23" s="34" t="n"/>
      <c r="Q23" s="6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</row>
    <row r="24" ht="15.5" customHeight="1">
      <c r="A24" s="58" t="n"/>
      <c r="B24" s="58" t="n"/>
      <c r="C24" s="96" t="n"/>
      <c r="D24" s="97" t="n"/>
      <c r="E24" s="98" t="n"/>
      <c r="F24" s="98" t="n"/>
      <c r="G24" s="99" t="n"/>
      <c r="H24" s="97" t="n"/>
      <c r="I24" s="98" t="n"/>
      <c r="J24" s="98" t="n"/>
      <c r="K24" s="99" t="n"/>
      <c r="L24" s="97" t="n"/>
      <c r="M24" s="98" t="n"/>
      <c r="N24" s="98" t="n"/>
      <c r="O24" s="99" t="n"/>
      <c r="P24" s="34" t="n"/>
      <c r="Q24" s="6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</row>
    <row r="25" ht="15.5" customHeight="1">
      <c r="A25" s="58" t="n"/>
      <c r="B25" s="58" t="n"/>
      <c r="C25" s="96" t="n"/>
      <c r="D25" s="97" t="n"/>
      <c r="E25" s="98" t="n"/>
      <c r="F25" s="98" t="n"/>
      <c r="G25" s="99" t="n"/>
      <c r="H25" s="97" t="n"/>
      <c r="I25" s="98" t="n"/>
      <c r="J25" s="98" t="n"/>
      <c r="K25" s="99" t="n"/>
      <c r="L25" s="97" t="n"/>
      <c r="M25" s="98" t="n"/>
      <c r="N25" s="98" t="n"/>
      <c r="O25" s="99" t="n"/>
      <c r="P25" s="34" t="n"/>
      <c r="Q25" s="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</row>
    <row r="26" ht="15.5" customHeight="1">
      <c r="A26" s="58" t="n"/>
      <c r="B26" s="58" t="n"/>
      <c r="C26" s="96" t="n"/>
      <c r="D26" s="97" t="n"/>
      <c r="E26" s="98" t="n"/>
      <c r="F26" s="98" t="n"/>
      <c r="G26" s="99" t="n"/>
      <c r="H26" s="97" t="n"/>
      <c r="I26" s="98" t="n"/>
      <c r="J26" s="98" t="n"/>
      <c r="K26" s="99" t="n"/>
      <c r="L26" s="97" t="n"/>
      <c r="M26" s="98" t="n"/>
      <c r="N26" s="98" t="n"/>
      <c r="O26" s="99" t="n"/>
      <c r="P26" s="34" t="n"/>
      <c r="Q26" s="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</row>
    <row r="27" ht="15.5" customHeight="1">
      <c r="A27" s="58" t="n"/>
      <c r="B27" s="58" t="n"/>
      <c r="C27" s="96" t="n"/>
      <c r="D27" s="97" t="n"/>
      <c r="E27" s="98" t="n"/>
      <c r="F27" s="98" t="n"/>
      <c r="G27" s="99" t="n"/>
      <c r="H27" s="97" t="n"/>
      <c r="I27" s="98" t="n"/>
      <c r="J27" s="98" t="n"/>
      <c r="K27" s="99" t="n"/>
      <c r="L27" s="97" t="n"/>
      <c r="M27" s="98" t="n"/>
      <c r="N27" s="98" t="n"/>
      <c r="O27" s="99" t="n"/>
      <c r="P27" s="34" t="n"/>
      <c r="Q27" s="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</row>
    <row r="28" ht="15.5" customHeight="1">
      <c r="A28" s="58" t="n"/>
      <c r="B28" s="58" t="n"/>
      <c r="C28" s="96" t="n"/>
      <c r="D28" s="97" t="n"/>
      <c r="E28" s="98" t="n"/>
      <c r="F28" s="98" t="n"/>
      <c r="G28" s="99" t="n"/>
      <c r="H28" s="97" t="n"/>
      <c r="I28" s="98" t="n"/>
      <c r="J28" s="98" t="n"/>
      <c r="K28" s="99" t="n"/>
      <c r="L28" s="97" t="n"/>
      <c r="M28" s="98" t="n"/>
      <c r="N28" s="98" t="n"/>
      <c r="O28" s="99" t="n"/>
      <c r="P28" s="34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</row>
    <row r="29" ht="15.5" customHeight="1">
      <c r="A29" s="58" t="n"/>
      <c r="B29" s="58" t="n"/>
      <c r="C29" s="96" t="n"/>
      <c r="D29" s="97" t="n"/>
      <c r="E29" s="98" t="n"/>
      <c r="F29" s="98" t="n"/>
      <c r="G29" s="99" t="n"/>
      <c r="H29" s="97" t="n"/>
      <c r="I29" s="98" t="n"/>
      <c r="J29" s="98" t="n"/>
      <c r="K29" s="99" t="n"/>
      <c r="L29" s="97" t="n"/>
      <c r="M29" s="98" t="n"/>
      <c r="N29" s="98" t="n"/>
      <c r="O29" s="99" t="n"/>
      <c r="P29" s="34" t="n"/>
      <c r="Q29" s="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</row>
    <row r="30" ht="15.5" customHeight="1">
      <c r="A30" s="58" t="n"/>
      <c r="B30" s="58" t="n"/>
      <c r="C30" s="96" t="n"/>
      <c r="D30" s="97" t="n"/>
      <c r="E30" s="98" t="n"/>
      <c r="F30" s="98" t="n"/>
      <c r="G30" s="99" t="n"/>
      <c r="H30" s="97" t="n"/>
      <c r="I30" s="98" t="n"/>
      <c r="J30" s="98" t="n"/>
      <c r="K30" s="99" t="n"/>
      <c r="L30" s="97" t="n"/>
      <c r="M30" s="98" t="n"/>
      <c r="N30" s="98" t="n"/>
      <c r="O30" s="99" t="n"/>
      <c r="P30" s="34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</row>
    <row r="31" ht="15.5" customHeight="1">
      <c r="A31" s="58" t="n"/>
      <c r="B31" s="58" t="n"/>
      <c r="C31" s="96" t="n"/>
      <c r="D31" s="97" t="n"/>
      <c r="E31" s="98" t="n"/>
      <c r="F31" s="98" t="n"/>
      <c r="G31" s="99" t="n"/>
      <c r="H31" s="97" t="n"/>
      <c r="I31" s="98" t="n"/>
      <c r="J31" s="98" t="n"/>
      <c r="K31" s="99" t="n"/>
      <c r="L31" s="97" t="n"/>
      <c r="M31" s="98" t="n"/>
      <c r="N31" s="98" t="n"/>
      <c r="O31" s="99" t="n"/>
      <c r="P31" s="34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</row>
    <row r="32" ht="15.5" customHeight="1">
      <c r="A32" s="58" t="n"/>
      <c r="B32" s="58" t="n"/>
      <c r="C32" s="100" t="n"/>
      <c r="D32" s="97" t="n"/>
      <c r="E32" s="98" t="n"/>
      <c r="F32" s="98" t="n"/>
      <c r="G32" s="99" t="n"/>
      <c r="H32" s="97" t="n"/>
      <c r="I32" s="98" t="n"/>
      <c r="J32" s="98" t="n"/>
      <c r="K32" s="99" t="n"/>
      <c r="L32" s="97" t="n"/>
      <c r="M32" s="98" t="n"/>
      <c r="N32" s="98" t="n"/>
      <c r="O32" s="99" t="n"/>
      <c r="P32" s="36" t="n"/>
      <c r="Q32" s="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</row>
    <row r="33" ht="15.5" customHeight="1">
      <c r="A33" s="58" t="n"/>
      <c r="B33" s="58" t="n"/>
      <c r="C33" s="58" t="n"/>
      <c r="D33" s="97" t="n"/>
      <c r="E33" s="98" t="n"/>
      <c r="F33" s="98" t="n"/>
      <c r="G33" s="99" t="n"/>
      <c r="H33" s="97" t="n"/>
      <c r="I33" s="98" t="n"/>
      <c r="J33" s="98" t="n"/>
      <c r="K33" s="99" t="n"/>
      <c r="L33" s="97" t="n"/>
      <c r="M33" s="98" t="n"/>
      <c r="N33" s="98" t="n"/>
      <c r="O33" s="99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</row>
    <row r="34" ht="15.5" customHeight="1">
      <c r="A34" s="58" t="n"/>
      <c r="B34" s="58" t="n"/>
      <c r="C34" s="58" t="n"/>
      <c r="D34" s="97" t="n"/>
      <c r="E34" s="98" t="n"/>
      <c r="F34" s="98" t="n"/>
      <c r="G34" s="99" t="n"/>
      <c r="H34" s="97" t="n"/>
      <c r="I34" s="98" t="n"/>
      <c r="J34" s="98" t="n"/>
      <c r="K34" s="99" t="n"/>
      <c r="L34" s="97" t="n"/>
      <c r="M34" s="98" t="n"/>
      <c r="N34" s="98" t="n"/>
      <c r="O34" s="99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</row>
    <row r="35" ht="15.5" customHeight="1">
      <c r="A35" s="58" t="n"/>
      <c r="B35" s="58" t="n"/>
      <c r="C35" s="58" t="n"/>
      <c r="D35" s="101" t="n"/>
      <c r="E35" s="102" t="n"/>
      <c r="F35" s="102" t="n"/>
      <c r="G35" s="103" t="n"/>
      <c r="H35" s="101" t="n"/>
      <c r="I35" s="102" t="n"/>
      <c r="J35" s="102" t="n"/>
      <c r="K35" s="103" t="n"/>
      <c r="L35" s="101" t="n"/>
      <c r="M35" s="102" t="n"/>
      <c r="N35" s="102" t="n"/>
      <c r="O35" s="103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</row>
    <row r="36" ht="20" customHeight="1">
      <c r="A36" s="58" t="n"/>
      <c r="B36" s="58" t="n"/>
      <c r="C36" s="104" t="inlineStr">
        <is>
          <t>PORTEFEUILLE — MARQUE ET CAMPUS</t>
        </is>
      </c>
      <c r="D36" s="58" t="n"/>
      <c r="E36" s="58" t="n"/>
      <c r="F36" s="105" t="inlineStr">
        <is>
          <t>graisse et fond donnent le niveau · échelle de couleur = performance relative</t>
        </is>
      </c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</row>
    <row r="37" ht="17" customHeight="1">
      <c r="A37" s="58" t="n"/>
      <c r="B37" s="106" t="inlineStr">
        <is>
          <t>Niv.</t>
        </is>
      </c>
      <c r="C37" s="107" t="inlineStr">
        <is>
          <t>Entité</t>
        </is>
      </c>
      <c r="D37" s="108" t="inlineStr">
        <is>
          <t>CA</t>
        </is>
      </c>
      <c r="E37" s="108" t="inlineStr">
        <is>
          <t>Δ CA</t>
        </is>
      </c>
      <c r="F37" s="108" t="inlineStr">
        <is>
          <t>EBITDA</t>
        </is>
      </c>
      <c r="G37" s="108" t="inlineStr">
        <is>
          <t>Δ EBITDA</t>
        </is>
      </c>
      <c r="H37" s="108" t="inlineStr">
        <is>
          <t>Part EBITDA</t>
        </is>
      </c>
      <c r="I37" s="108" t="inlineStr">
        <is>
          <t>Marge EBITDA</t>
        </is>
      </c>
      <c r="J37" s="108" t="inlineStr">
        <is>
          <t>Δ Marge (pt)</t>
        </is>
      </c>
      <c r="K37" s="108" t="inlineStr">
        <is>
          <t>Inscrits</t>
        </is>
      </c>
      <c r="L37" s="108" t="inlineStr">
        <is>
          <t>Remplissage</t>
        </is>
      </c>
      <c r="M37" s="108" t="inlineStr">
        <is>
          <t>Mix alternance</t>
        </is>
      </c>
      <c r="N37" s="108" t="inlineStr">
        <is>
          <t>Effectifs</t>
        </is>
      </c>
      <c r="O37" s="108" t="inlineStr">
        <is>
          <t>Places</t>
        </is>
      </c>
      <c r="P37" s="6" t="inlineStr">
        <is>
          <t>EFFECTIFS_ALT</t>
        </is>
      </c>
      <c r="Q37" s="6" t="inlineStr">
        <is>
          <t>EBITDA_N1</t>
        </is>
      </c>
      <c r="R37" s="6" t="inlineStr">
        <is>
          <t>CA_N1</t>
        </is>
      </c>
      <c r="S37" s="6" t="inlineStr">
        <is>
          <t>SPEND_ACQ</t>
        </is>
      </c>
      <c r="T37" s="6" t="inlineStr">
        <is>
          <t>SPEND_ACQ_N1</t>
        </is>
      </c>
      <c r="U37" s="6" t="inlineStr">
        <is>
          <t>Marge EBTIDA N-1</t>
        </is>
      </c>
      <c r="V37" s="6" t="inlineStr">
        <is>
          <t>PLACES_N1</t>
        </is>
      </c>
      <c r="W37" s="6" t="inlineStr">
        <is>
          <t>INSCRITS_N1</t>
        </is>
      </c>
      <c r="X37" s="6" t="inlineStr">
        <is>
          <t>EFFECTIFS_N1</t>
        </is>
      </c>
      <c r="Y37" s="6" t="inlineStr">
        <is>
          <t>% nouveaux inscrits</t>
        </is>
      </c>
      <c r="Z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</row>
    <row r="38" ht="15.5" customHeight="1">
      <c r="A38" s="58" t="n"/>
      <c r="B38" s="109" t="n">
        <v>2</v>
      </c>
      <c r="C38" s="110" t="inlineStr">
        <is>
          <t>EDUSERVICES</t>
        </is>
      </c>
      <c r="D38" s="111">
        <f>SUBTOTAL(9,D39:D43)</f>
        <v/>
      </c>
      <c r="E38" s="123">
        <f>IFERROR((D38-R38)/R38,"")</f>
        <v/>
      </c>
      <c r="F38" s="111">
        <f>SUBTOTAL(9,F39:F43)</f>
        <v/>
      </c>
      <c r="G38" s="123">
        <f>IFERROR((F38-Q38)/Q38,"")</f>
        <v/>
      </c>
      <c r="H38" s="113">
        <f>SUBTOTAL(9,H39:H43)</f>
        <v/>
      </c>
      <c r="I38" s="113">
        <f>IFERROR(F38/D38,"")</f>
        <v/>
      </c>
      <c r="J38" s="124">
        <f>IFERROR((I38-U38)*100,"")</f>
        <v/>
      </c>
      <c r="K38" s="111">
        <f>SUBTOTAL(9,K39:K43)</f>
        <v/>
      </c>
      <c r="L38" s="113">
        <f>IFERROR(N38/O38,"")</f>
        <v/>
      </c>
      <c r="M38" s="113">
        <f>IFERROR(P38/N38,"")</f>
        <v/>
      </c>
      <c r="N38" s="115">
        <f>SUBTOTAL(9,N39:N43)</f>
        <v/>
      </c>
      <c r="O38" s="115">
        <f>SUBTOTAL(9,O39:O43)</f>
        <v/>
      </c>
      <c r="P38" s="6">
        <f>SUBTOTAL(9,P39:P43)</f>
        <v/>
      </c>
      <c r="Q38" s="6">
        <f>SUBTOTAL(9,Q39:Q43)</f>
        <v/>
      </c>
      <c r="R38" s="6">
        <f>SUBTOTAL(9,R39:R43)</f>
        <v/>
      </c>
      <c r="S38" s="6">
        <f>SUBTOTAL(9,S39:S43)</f>
        <v/>
      </c>
      <c r="T38" s="6">
        <f>SUBTOTAL(9,T39:T43)</f>
        <v/>
      </c>
      <c r="U38" s="6">
        <f>IFERROR(Q38/R38,"")</f>
        <v/>
      </c>
      <c r="V38" s="6">
        <f>SUBTOTAL(9,V39:V43)</f>
        <v/>
      </c>
      <c r="W38" s="6">
        <f>SUBTOTAL(9,W39:W43)</f>
        <v/>
      </c>
      <c r="X38" s="6">
        <f>SUBTOTAL(9,X39:X43)</f>
        <v/>
      </c>
      <c r="Y38" s="6">
        <f>IFERROR((K38-W38)/W38,"")</f>
        <v/>
      </c>
      <c r="Z38" s="6">
        <f>IFERROR((S38-R38)/R38,"")</f>
        <v/>
      </c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</row>
    <row r="39" ht="15.5" customHeight="1">
      <c r="A39" s="58" t="n"/>
      <c r="B39" s="116" t="n">
        <v>3</v>
      </c>
      <c r="C39" s="110" t="inlineStr">
        <is>
          <t>MBway</t>
        </is>
      </c>
      <c r="D39" s="111">
        <f>SUBTOTAL(9,D40:D43)</f>
        <v/>
      </c>
      <c r="E39" s="123">
        <f>IFERROR((D39-R39)/R39,"")</f>
        <v/>
      </c>
      <c r="F39" s="111">
        <f>SUBTOTAL(9,F40:F43)</f>
        <v/>
      </c>
      <c r="G39" s="123">
        <f>IFERROR((F39-Q39)/Q39,"")</f>
        <v/>
      </c>
      <c r="H39" s="113">
        <f>SUBTOTAL(9,H40:H43)</f>
        <v/>
      </c>
      <c r="I39" s="113">
        <f>IFERROR(F39/D39,"")</f>
        <v/>
      </c>
      <c r="J39" s="124">
        <f>IFERROR((I39-U39)*100,"")</f>
        <v/>
      </c>
      <c r="K39" s="111">
        <f>SUBTOTAL(9,K40:K43)</f>
        <v/>
      </c>
      <c r="L39" s="113">
        <f>IFERROR(N39/O39,"")</f>
        <v/>
      </c>
      <c r="M39" s="113">
        <f>IFERROR(P39/N39,"")</f>
        <v/>
      </c>
      <c r="N39" s="111">
        <f>SUBTOTAL(9,N40:N43)</f>
        <v/>
      </c>
      <c r="O39" s="111">
        <f>SUBTOTAL(9,O40:O43)</f>
        <v/>
      </c>
      <c r="P39">
        <f>SUBTOTAL(9,P40:P43)</f>
        <v/>
      </c>
      <c r="Q39" s="6">
        <f>SUBTOTAL(9,Q40:Q43)</f>
        <v/>
      </c>
      <c r="R39" s="6">
        <f>SUBTOTAL(9,R40:R43)</f>
        <v/>
      </c>
      <c r="S39" s="6">
        <f>SUBTOTAL(9,S40:S43)</f>
        <v/>
      </c>
      <c r="T39" s="6">
        <f>SUBTOTAL(9,T40:T43)</f>
        <v/>
      </c>
      <c r="U39" s="6">
        <f>IFERROR(Q39/R39,"")</f>
        <v/>
      </c>
      <c r="V39" s="6">
        <f>SUBTOTAL(9,V40:V43)</f>
        <v/>
      </c>
      <c r="W39" s="6">
        <f>SUBTOTAL(9,W40:W43)</f>
        <v/>
      </c>
      <c r="X39" s="6">
        <f>SUBTOTAL(9,X40:X43)</f>
        <v/>
      </c>
      <c r="Y39" s="6">
        <f>IFERROR((K39-W39)/W39,"")</f>
        <v/>
      </c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</row>
    <row r="40" ht="15.5" customHeight="1">
      <c r="A40" s="58" t="n"/>
      <c r="B40" s="116" t="n">
        <v>4</v>
      </c>
      <c r="C40" s="110" t="inlineStr">
        <is>
          <t>MBway Bordeaux</t>
        </is>
      </c>
      <c r="D40" s="111" t="n">
        <v>1773610</v>
      </c>
      <c r="E40" s="123">
        <f>IFERROR((D40-R40)/R40,"")</f>
        <v/>
      </c>
      <c r="F40" s="111" t="n">
        <v>305134.8680963339</v>
      </c>
      <c r="G40" s="123">
        <f>IFERROR((F40-Q40)/Q40,"")</f>
        <v/>
      </c>
      <c r="H40" s="113" t="n">
        <v>0.0793425713060017</v>
      </c>
      <c r="I40" s="113">
        <f>IFERROR(F40/D40,"")</f>
        <v/>
      </c>
      <c r="J40" s="124">
        <f>IFERROR((I40-U40)*100,"")</f>
        <v/>
      </c>
      <c r="K40" s="111" t="n">
        <v>102</v>
      </c>
      <c r="L40" s="113">
        <f>IFERROR(N40/O40,"")</f>
        <v/>
      </c>
      <c r="M40" s="113">
        <f>IFERROR(P40/N40,"")</f>
        <v/>
      </c>
      <c r="N40" s="111" t="n">
        <v>249</v>
      </c>
      <c r="O40" s="111" t="n">
        <v>296</v>
      </c>
      <c r="P40" t="n">
        <v>198</v>
      </c>
      <c r="Q40" s="6" t="n">
        <v>271052.9921819164</v>
      </c>
      <c r="R40" s="6" t="n">
        <v>1666855</v>
      </c>
      <c r="S40" s="6" t="n">
        <v>24923</v>
      </c>
      <c r="T40" s="6" t="n">
        <v>22657</v>
      </c>
      <c r="U40" s="6">
        <f>IFERROR(Q40/R40,"")</f>
        <v/>
      </c>
      <c r="V40" s="6" t="n">
        <v>296</v>
      </c>
      <c r="W40" s="6" t="n">
        <v>96</v>
      </c>
      <c r="X40" s="6" t="n">
        <v>234</v>
      </c>
      <c r="Y40" s="6">
        <f>IFERROR((K40-W40)/W40,"")</f>
        <v/>
      </c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</row>
    <row r="41" ht="15.5" customHeight="1">
      <c r="A41" s="58" t="n"/>
      <c r="B41" s="116" t="n">
        <v>4</v>
      </c>
      <c r="C41" s="110" t="inlineStr">
        <is>
          <t>MBway Lyon</t>
        </is>
      </c>
      <c r="D41" s="111" t="n">
        <v>2496705</v>
      </c>
      <c r="E41" s="123">
        <f>IFERROR((D41-R41)/R41,"")</f>
        <v/>
      </c>
      <c r="F41" s="111" t="n">
        <v>456973.1810179077</v>
      </c>
      <c r="G41" s="123">
        <f>IFERROR((F41-Q41)/Q41,"")</f>
        <v/>
      </c>
      <c r="H41" s="113" t="n">
        <v>0.1188242675314214</v>
      </c>
      <c r="I41" s="113">
        <f>IFERROR(F41/D41,"")</f>
        <v/>
      </c>
      <c r="J41" s="124">
        <f>IFERROR((I41-U41)*100,"")</f>
        <v/>
      </c>
      <c r="K41" s="111" t="n">
        <v>132</v>
      </c>
      <c r="L41" s="113">
        <f>IFERROR(N41/O41,"")</f>
        <v/>
      </c>
      <c r="M41" s="113">
        <f>IFERROR(P41/N41,"")</f>
        <v/>
      </c>
      <c r="N41" s="111" t="n">
        <v>324</v>
      </c>
      <c r="O41" s="111" t="n">
        <v>380</v>
      </c>
      <c r="P41" t="n">
        <v>258</v>
      </c>
      <c r="Q41" s="6" t="n">
        <v>406786.7749326563</v>
      </c>
      <c r="R41" s="6" t="n">
        <v>2342685</v>
      </c>
      <c r="S41" s="6" t="n">
        <v>41783</v>
      </c>
      <c r="T41" s="6" t="n">
        <v>37985</v>
      </c>
      <c r="U41" s="6">
        <f>IFERROR(Q41/R41,"")</f>
        <v/>
      </c>
      <c r="V41" s="6" t="n">
        <v>380</v>
      </c>
      <c r="W41" s="6" t="n">
        <v>124</v>
      </c>
      <c r="X41" s="6" t="n">
        <v>304</v>
      </c>
      <c r="Y41" s="6">
        <f>IFERROR((K41-W41)/W41,"")</f>
        <v/>
      </c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</row>
    <row r="42" ht="15.5" customHeight="1">
      <c r="A42" s="58" t="n"/>
      <c r="B42" s="116" t="n">
        <v>4</v>
      </c>
      <c r="C42" s="110" t="inlineStr">
        <is>
          <t>MBway Nantes</t>
        </is>
      </c>
      <c r="D42" s="111" t="n">
        <v>2158300</v>
      </c>
      <c r="E42" s="123">
        <f>IFERROR((D42-R42)/R42,"")</f>
        <v/>
      </c>
      <c r="F42" s="111" t="n">
        <v>384269.8718500021</v>
      </c>
      <c r="G42" s="123">
        <f>IFERROR((F42-Q42)/Q42,"")</f>
        <v/>
      </c>
      <c r="H42" s="113" t="n">
        <v>0.09991961881714967</v>
      </c>
      <c r="I42" s="113">
        <f>IFERROR(F42/D42,"")</f>
        <v/>
      </c>
      <c r="J42" s="124">
        <f>IFERROR((I42-U42)*100,"")</f>
        <v/>
      </c>
      <c r="K42" s="111" t="n">
        <v>120</v>
      </c>
      <c r="L42" s="113">
        <f>IFERROR(N42/O42,"")</f>
        <v/>
      </c>
      <c r="M42" s="113">
        <f>IFERROR(P42/N42,"")</f>
        <v/>
      </c>
      <c r="N42" s="111" t="n">
        <v>294</v>
      </c>
      <c r="O42" s="111" t="n">
        <v>348</v>
      </c>
      <c r="P42" t="n">
        <v>234</v>
      </c>
      <c r="Q42" s="6" t="n">
        <v>345409.9935984532</v>
      </c>
      <c r="R42" s="6" t="n">
        <v>2048260</v>
      </c>
      <c r="S42" s="6" t="n">
        <v>31533</v>
      </c>
      <c r="T42" s="6" t="n">
        <v>28666</v>
      </c>
      <c r="U42" s="6">
        <f>IFERROR(Q42/R42,"")</f>
        <v/>
      </c>
      <c r="V42" s="6" t="n">
        <v>348</v>
      </c>
      <c r="W42" s="6" t="n">
        <v>114</v>
      </c>
      <c r="X42" s="6" t="n">
        <v>279</v>
      </c>
      <c r="Y42" s="6">
        <f>IFERROR((K42-W42)/W42,"")</f>
        <v/>
      </c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</row>
    <row r="43" ht="15.5" customHeight="1">
      <c r="A43" s="58" t="n"/>
      <c r="B43" s="116" t="n">
        <v>4</v>
      </c>
      <c r="C43" s="110" t="inlineStr">
        <is>
          <t>MBway Paris</t>
        </is>
      </c>
      <c r="D43" s="111" t="n">
        <v>3138840</v>
      </c>
      <c r="E43" s="123">
        <f>IFERROR((D43-R43)/R43,"")</f>
        <v/>
      </c>
      <c r="F43" s="111" t="n">
        <v>599620.1394084045</v>
      </c>
      <c r="G43" s="123">
        <f>IFERROR((F43-Q43)/Q43,"")</f>
        <v/>
      </c>
      <c r="H43" s="113" t="n">
        <v>0.1559159854930313</v>
      </c>
      <c r="I43" s="113">
        <f>IFERROR(F43/D43,"")</f>
        <v/>
      </c>
      <c r="J43" s="124">
        <f>IFERROR((I43-U43)*100,"")</f>
        <v/>
      </c>
      <c r="K43" s="111" t="n">
        <v>156</v>
      </c>
      <c r="L43" s="113">
        <f>IFERROR(N43/O43,"")</f>
        <v/>
      </c>
      <c r="M43" s="113">
        <f>IFERROR(P43/N43,"")</f>
        <v/>
      </c>
      <c r="N43" s="111" t="n">
        <v>382</v>
      </c>
      <c r="O43" s="111" t="n">
        <v>444</v>
      </c>
      <c r="P43" t="n">
        <v>304</v>
      </c>
      <c r="Q43" s="6" t="n">
        <v>540400.0259642038</v>
      </c>
      <c r="R43" s="6" t="n">
        <v>2974600</v>
      </c>
      <c r="S43" s="6" t="n">
        <v>68291</v>
      </c>
      <c r="T43" s="6" t="n">
        <v>62082</v>
      </c>
      <c r="U43" s="6">
        <f>IFERROR(Q43/R43,"")</f>
        <v/>
      </c>
      <c r="V43" s="6" t="n">
        <v>444</v>
      </c>
      <c r="W43" s="6" t="n">
        <v>148</v>
      </c>
      <c r="X43" s="6" t="n">
        <v>362</v>
      </c>
      <c r="Y43" s="6">
        <f>IFERROR((K43-W43)/W43,"")</f>
        <v/>
      </c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</row>
    <row r="44" ht="15.5" customHeight="1">
      <c r="A44" s="58" t="n"/>
      <c r="B44" s="116" t="n"/>
      <c r="C44" s="110" t="n"/>
      <c r="D44" s="111" t="n"/>
      <c r="E44" s="123" t="n"/>
      <c r="F44" s="111" t="n"/>
      <c r="G44" s="123" t="n"/>
      <c r="H44" s="113" t="n"/>
      <c r="I44" s="113" t="n"/>
      <c r="J44" s="124" t="n"/>
      <c r="K44" s="111" t="n"/>
      <c r="L44" s="113" t="n"/>
      <c r="M44" s="113" t="n"/>
      <c r="N44" s="111" t="n"/>
      <c r="O44" s="111" t="n"/>
      <c r="Q44" s="6" t="n"/>
      <c r="R44" s="6" t="n"/>
      <c r="S44" s="6" t="n"/>
      <c r="T44" s="6" t="n"/>
      <c r="U44" s="6" t="n"/>
      <c r="V44" s="6" t="n"/>
      <c r="W44" s="6" t="n"/>
      <c r="X44" s="6" t="n"/>
      <c r="Y44" s="6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</row>
    <row r="45" ht="15.5" customHeight="1">
      <c r="A45" s="58" t="n"/>
      <c r="B45" s="116" t="n"/>
      <c r="C45" s="110" t="n"/>
      <c r="D45" s="111" t="n"/>
      <c r="E45" s="123" t="n"/>
      <c r="F45" s="111" t="n"/>
      <c r="G45" s="123" t="n"/>
      <c r="H45" s="113" t="n"/>
      <c r="I45" s="113" t="n"/>
      <c r="J45" s="124" t="n"/>
      <c r="K45" s="111" t="n"/>
      <c r="L45" s="113" t="n"/>
      <c r="M45" s="113" t="n"/>
      <c r="N45" s="111" t="n"/>
      <c r="O45" s="111" t="n"/>
      <c r="Q45" s="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</row>
    <row r="46" ht="15.5" customHeight="1">
      <c r="A46" s="58" t="n"/>
      <c r="B46" s="116" t="n"/>
      <c r="C46" s="110" t="n"/>
      <c r="D46" s="111" t="n"/>
      <c r="E46" s="123" t="n"/>
      <c r="F46" s="111" t="n"/>
      <c r="G46" s="123" t="n"/>
      <c r="H46" s="113" t="n"/>
      <c r="I46" s="113" t="n"/>
      <c r="J46" s="124" t="n"/>
      <c r="K46" s="111" t="n"/>
      <c r="L46" s="113" t="n"/>
      <c r="M46" s="113" t="n"/>
      <c r="N46" s="111" t="n"/>
      <c r="O46" s="111" t="n"/>
      <c r="Q46" s="6" t="n"/>
      <c r="R46" s="6" t="n"/>
      <c r="S46" s="6" t="n"/>
      <c r="T46" s="6" t="n"/>
      <c r="U46" s="6" t="n"/>
      <c r="V46" s="6" t="n"/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</row>
    <row r="47" ht="15.5" customHeight="1">
      <c r="A47" s="58" t="n"/>
      <c r="B47" s="116" t="n"/>
      <c r="C47" s="110" t="n"/>
      <c r="D47" s="111" t="n"/>
      <c r="E47" s="123" t="n"/>
      <c r="F47" s="111" t="n"/>
      <c r="G47" s="123" t="n"/>
      <c r="H47" s="113" t="n"/>
      <c r="I47" s="113" t="n"/>
      <c r="J47" s="124" t="n"/>
      <c r="K47" s="111" t="n"/>
      <c r="L47" s="113" t="n"/>
      <c r="M47" s="113" t="n"/>
      <c r="N47" s="111" t="n"/>
      <c r="O47" s="111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</row>
    <row r="48" ht="15.5" customHeight="1">
      <c r="A48" s="58" t="n"/>
      <c r="B48" s="116" t="n"/>
      <c r="C48" s="110" t="n"/>
      <c r="D48" s="111" t="n"/>
      <c r="E48" s="123" t="n"/>
      <c r="F48" s="111" t="n"/>
      <c r="G48" s="123" t="n"/>
      <c r="H48" s="113" t="n"/>
      <c r="I48" s="113" t="n"/>
      <c r="J48" s="124" t="n"/>
      <c r="K48" s="111" t="n"/>
      <c r="L48" s="113" t="n"/>
      <c r="M48" s="113" t="n"/>
      <c r="N48" s="111" t="n"/>
      <c r="O48" s="111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</row>
    <row r="49" ht="15.5" customHeight="1">
      <c r="A49" s="58" t="n"/>
      <c r="B49" s="116" t="n"/>
      <c r="C49" s="110" t="n"/>
      <c r="D49" s="111" t="n"/>
      <c r="E49" s="123" t="n"/>
      <c r="F49" s="111" t="n"/>
      <c r="G49" s="123" t="n"/>
      <c r="H49" s="113" t="n"/>
      <c r="I49" s="113" t="n"/>
      <c r="J49" s="124" t="n"/>
      <c r="K49" s="111" t="n"/>
      <c r="L49" s="113" t="n"/>
      <c r="M49" s="113" t="n"/>
      <c r="N49" s="111" t="n"/>
      <c r="O49" s="111" t="n"/>
      <c r="Q49" s="6" t="n"/>
      <c r="R49" s="6" t="n"/>
      <c r="S49" s="6" t="n"/>
      <c r="T49" s="6" t="n"/>
      <c r="U49" s="6" t="n"/>
      <c r="V49" s="6" t="n"/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</row>
    <row r="50" ht="15.5" customHeight="1">
      <c r="A50" s="58" t="n"/>
      <c r="B50" s="116" t="n"/>
      <c r="C50" s="110" t="n"/>
      <c r="D50" s="111" t="n"/>
      <c r="E50" s="123" t="n"/>
      <c r="F50" s="111" t="n"/>
      <c r="G50" s="123" t="n"/>
      <c r="H50" s="113" t="n"/>
      <c r="I50" s="113" t="n"/>
      <c r="J50" s="124" t="n"/>
      <c r="K50" s="111" t="n"/>
      <c r="L50" s="113" t="n"/>
      <c r="M50" s="113" t="n"/>
      <c r="N50" s="111" t="n"/>
      <c r="O50" s="111" t="n"/>
      <c r="Q50" s="6" t="n"/>
      <c r="R50" s="6" t="n"/>
      <c r="S50" s="6" t="n"/>
      <c r="T50" s="6" t="n"/>
      <c r="U50" s="6" t="n"/>
      <c r="V50" s="6" t="n"/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</row>
    <row r="51" ht="15.5" customHeight="1">
      <c r="A51" s="58" t="n"/>
      <c r="B51" s="116" t="n"/>
      <c r="C51" s="110" t="n"/>
      <c r="D51" s="111" t="n"/>
      <c r="E51" s="123" t="n"/>
      <c r="F51" s="111" t="n"/>
      <c r="G51" s="123" t="n"/>
      <c r="H51" s="113" t="n"/>
      <c r="I51" s="113" t="n"/>
      <c r="J51" s="124" t="n"/>
      <c r="K51" s="111" t="n"/>
      <c r="L51" s="113" t="n"/>
      <c r="M51" s="113" t="n"/>
      <c r="N51" s="111" t="n"/>
      <c r="O51" s="111" t="n"/>
      <c r="Q51" s="6" t="n"/>
      <c r="R51" s="6" t="n"/>
      <c r="S51" s="6" t="n"/>
      <c r="T51" s="6" t="n"/>
      <c r="U51" s="6" t="n"/>
      <c r="V51" s="6" t="n"/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</row>
    <row r="52" ht="15.5" customHeight="1">
      <c r="A52" s="58" t="n"/>
      <c r="B52" s="116" t="n"/>
      <c r="C52" s="110" t="n"/>
      <c r="D52" s="111" t="n"/>
      <c r="E52" s="123" t="n"/>
      <c r="F52" s="111" t="n"/>
      <c r="G52" s="123" t="n"/>
      <c r="H52" s="113" t="n"/>
      <c r="I52" s="113" t="n"/>
      <c r="J52" s="124" t="n"/>
      <c r="K52" s="111" t="n"/>
      <c r="L52" s="113" t="n"/>
      <c r="M52" s="113" t="n"/>
      <c r="N52" s="111" t="n"/>
      <c r="O52" s="111" t="n"/>
      <c r="Q52" s="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</row>
    <row r="53" ht="15.5" customHeight="1">
      <c r="A53" s="58" t="n"/>
      <c r="B53" s="116" t="n"/>
      <c r="C53" s="110" t="n"/>
      <c r="D53" s="111" t="n"/>
      <c r="E53" s="123" t="n"/>
      <c r="F53" s="111" t="n"/>
      <c r="G53" s="123" t="n"/>
      <c r="H53" s="113" t="n"/>
      <c r="I53" s="113" t="n"/>
      <c r="J53" s="124" t="n"/>
      <c r="K53" s="111" t="n"/>
      <c r="L53" s="113" t="n"/>
      <c r="M53" s="113" t="n"/>
      <c r="N53" s="111" t="n"/>
      <c r="O53" s="111" t="n"/>
      <c r="Q53" s="6" t="n"/>
      <c r="R53" s="6" t="n"/>
      <c r="S53" s="6" t="n"/>
      <c r="T53" s="6" t="n"/>
      <c r="U53" s="6" t="n"/>
      <c r="V53" s="6" t="n"/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</row>
    <row r="54" ht="15.5" customHeight="1">
      <c r="A54" s="58" t="n"/>
      <c r="B54" s="116" t="n"/>
      <c r="C54" s="110" t="n"/>
      <c r="D54" s="111" t="n"/>
      <c r="E54" s="123" t="n"/>
      <c r="F54" s="111" t="n"/>
      <c r="G54" s="123" t="n"/>
      <c r="H54" s="113" t="n"/>
      <c r="I54" s="113" t="n"/>
      <c r="J54" s="124" t="n"/>
      <c r="K54" s="111" t="n"/>
      <c r="L54" s="113" t="n"/>
      <c r="M54" s="113" t="n"/>
      <c r="N54" s="111" t="n"/>
      <c r="O54" s="111" t="n"/>
      <c r="Q54" s="6" t="n"/>
      <c r="R54" s="6" t="n"/>
      <c r="S54" s="6" t="n"/>
      <c r="T54" s="6" t="n"/>
      <c r="U54" s="6" t="n"/>
      <c r="V54" s="6" t="n"/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</row>
    <row r="55" ht="15.5" customHeight="1">
      <c r="A55" s="58" t="n"/>
      <c r="B55" s="116" t="n"/>
      <c r="C55" s="110" t="n"/>
      <c r="D55" s="111" t="n"/>
      <c r="E55" s="123" t="n"/>
      <c r="F55" s="111" t="n"/>
      <c r="G55" s="123" t="n"/>
      <c r="H55" s="113" t="n"/>
      <c r="I55" s="113" t="n"/>
      <c r="J55" s="124" t="n"/>
      <c r="K55" s="111" t="n"/>
      <c r="L55" s="113" t="n"/>
      <c r="M55" s="113" t="n"/>
      <c r="N55" s="111" t="n"/>
      <c r="O55" s="111" t="n"/>
      <c r="Q55" s="6" t="n"/>
      <c r="R55" s="6" t="n"/>
      <c r="S55" s="6" t="n"/>
      <c r="T55" s="6" t="n"/>
      <c r="U55" s="6" t="n"/>
      <c r="V55" s="6" t="n"/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</row>
    <row r="56" ht="15.5" customHeight="1">
      <c r="A56" s="58" t="n"/>
      <c r="B56" s="116" t="n"/>
      <c r="C56" s="110" t="n"/>
      <c r="D56" s="111" t="n"/>
      <c r="E56" s="123" t="n"/>
      <c r="F56" s="111" t="n"/>
      <c r="G56" s="123" t="n"/>
      <c r="H56" s="113" t="n"/>
      <c r="I56" s="113" t="n"/>
      <c r="J56" s="124" t="n"/>
      <c r="K56" s="111" t="n"/>
      <c r="L56" s="113" t="n"/>
      <c r="M56" s="113" t="n"/>
      <c r="N56" s="111" t="n"/>
      <c r="O56" s="111" t="n"/>
      <c r="Q56" s="6" t="n"/>
      <c r="R56" s="6" t="n"/>
      <c r="S56" s="6" t="n"/>
      <c r="T56" s="6" t="n"/>
      <c r="U56" s="6" t="n"/>
      <c r="V56" s="6" t="n"/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</row>
    <row r="57" ht="15.5" customHeight="1">
      <c r="A57" s="58" t="n"/>
      <c r="B57" s="116" t="n"/>
      <c r="C57" s="110" t="n"/>
      <c r="D57" s="111" t="n"/>
      <c r="E57" s="123" t="n"/>
      <c r="F57" s="111" t="n"/>
      <c r="G57" s="123" t="n"/>
      <c r="H57" s="113" t="n"/>
      <c r="I57" s="113" t="n"/>
      <c r="J57" s="124" t="n"/>
      <c r="K57" s="111" t="n"/>
      <c r="L57" s="113" t="n"/>
      <c r="M57" s="113" t="n"/>
      <c r="N57" s="111" t="n"/>
      <c r="O57" s="111" t="n"/>
      <c r="Q57" s="6" t="n"/>
      <c r="R57" s="6" t="n"/>
      <c r="S57" s="6" t="n"/>
      <c r="T57" s="6" t="n"/>
      <c r="U57" s="6" t="n"/>
      <c r="V57" s="6" t="n"/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</row>
    <row r="58">
      <c r="A58" s="58" t="n"/>
      <c r="B58" s="117" t="n"/>
      <c r="C58" s="118" t="n"/>
      <c r="D58" s="111" t="n"/>
      <c r="E58" s="123" t="n"/>
      <c r="F58" s="111" t="n"/>
      <c r="G58" s="123" t="n"/>
      <c r="H58" s="113" t="n"/>
      <c r="I58" s="113" t="n"/>
      <c r="J58" s="124" t="n"/>
      <c r="K58" s="111" t="n"/>
      <c r="L58" s="113" t="n"/>
      <c r="M58" s="113" t="n"/>
      <c r="N58" s="111" t="n"/>
      <c r="O58" s="111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</row>
    <row r="59">
      <c r="A59" s="58" t="n"/>
      <c r="B59" s="117" t="n"/>
      <c r="C59" s="119" t="inlineStr">
        <is>
          <t>Source : V_ALLOCATION et AW_002_000002_000001. Marges et indices divisés après somme, jamais moyennés.</t>
        </is>
      </c>
      <c r="D59" s="111" t="n"/>
      <c r="E59" s="123" t="n"/>
      <c r="F59" s="111" t="n"/>
      <c r="G59" s="123" t="n"/>
      <c r="H59" s="113" t="n"/>
      <c r="I59" s="113" t="n"/>
      <c r="J59" s="124" t="n"/>
      <c r="K59" s="111" t="n"/>
      <c r="L59" s="113" t="n"/>
      <c r="M59" s="113" t="n"/>
      <c r="N59" s="111" t="n"/>
      <c r="O59" s="111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</row>
    <row r="60">
      <c r="A60" s="58" t="n"/>
      <c r="B60" s="117" t="n"/>
      <c r="C60" s="118" t="n"/>
      <c r="D60" s="111" t="n"/>
      <c r="E60" s="123" t="n"/>
      <c r="F60" s="111" t="n"/>
      <c r="G60" s="123" t="n"/>
      <c r="H60" s="113" t="n"/>
      <c r="I60" s="113" t="n"/>
      <c r="J60" s="124" t="n"/>
      <c r="K60" s="111" t="n"/>
      <c r="L60" s="113" t="n"/>
      <c r="M60" s="113" t="n"/>
      <c r="N60" s="111" t="n"/>
      <c r="O60" s="111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</row>
    <row r="61">
      <c r="A61" s="58" t="n"/>
      <c r="B61" s="117" t="n"/>
      <c r="C61" s="118" t="n"/>
      <c r="D61" s="111" t="n"/>
      <c r="E61" s="123" t="n"/>
      <c r="F61" s="111" t="n"/>
      <c r="G61" s="123" t="n"/>
      <c r="H61" s="113" t="n"/>
      <c r="I61" s="113" t="n"/>
      <c r="J61" s="124" t="n"/>
      <c r="K61" s="111" t="n"/>
      <c r="L61" s="113" t="n"/>
      <c r="M61" s="113" t="n"/>
      <c r="N61" s="111" t="n"/>
      <c r="O61" s="111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</row>
    <row r="62">
      <c r="A62" s="58" t="n"/>
      <c r="B62" s="117" t="n"/>
      <c r="C62" s="118" t="n"/>
      <c r="D62" s="111" t="n"/>
      <c r="E62" s="123" t="n"/>
      <c r="F62" s="111" t="n"/>
      <c r="G62" s="123" t="n"/>
      <c r="H62" s="113" t="n"/>
      <c r="I62" s="113" t="n"/>
      <c r="J62" s="124" t="n"/>
      <c r="K62" s="111" t="n"/>
      <c r="L62" s="113" t="n"/>
      <c r="M62" s="113" t="n"/>
      <c r="N62" s="111" t="n"/>
      <c r="O62" s="111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</row>
    <row r="63">
      <c r="A63" s="58" t="n"/>
      <c r="B63" s="117" t="n"/>
      <c r="C63" s="118" t="n"/>
      <c r="D63" s="111" t="n"/>
      <c r="E63" s="123" t="n"/>
      <c r="F63" s="111" t="n"/>
      <c r="G63" s="123" t="n"/>
      <c r="H63" s="113" t="n"/>
      <c r="I63" s="113" t="n"/>
      <c r="J63" s="124" t="n"/>
      <c r="K63" s="111" t="n"/>
      <c r="L63" s="113" t="n"/>
      <c r="M63" s="113" t="n"/>
      <c r="N63" s="111" t="n"/>
      <c r="O63" s="111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</row>
    <row r="64">
      <c r="A64" s="58" t="n"/>
      <c r="B64" s="117" t="n"/>
      <c r="C64" s="118" t="n"/>
      <c r="D64" s="111" t="n"/>
      <c r="E64" s="123" t="n"/>
      <c r="F64" s="111" t="n"/>
      <c r="G64" s="123" t="n"/>
      <c r="H64" s="113" t="n"/>
      <c r="I64" s="113" t="n"/>
      <c r="J64" s="124" t="n"/>
      <c r="K64" s="111" t="n"/>
      <c r="L64" s="113" t="n"/>
      <c r="M64" s="113" t="n"/>
      <c r="N64" s="111" t="n"/>
      <c r="O64" s="111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</row>
    <row r="65">
      <c r="A65" s="58" t="n"/>
      <c r="B65" s="117" t="n"/>
      <c r="C65" s="118" t="n"/>
      <c r="D65" s="111" t="n"/>
      <c r="E65" s="123" t="n"/>
      <c r="F65" s="111" t="n"/>
      <c r="G65" s="123" t="n"/>
      <c r="H65" s="113" t="n"/>
      <c r="I65" s="113" t="n"/>
      <c r="J65" s="124" t="n"/>
      <c r="K65" s="111" t="n"/>
      <c r="L65" s="113" t="n"/>
      <c r="M65" s="113" t="n"/>
      <c r="N65" s="111" t="n"/>
      <c r="O65" s="111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</row>
    <row r="66">
      <c r="A66" s="58" t="n"/>
      <c r="B66" s="117" t="n"/>
      <c r="C66" s="118" t="n"/>
      <c r="D66" s="111" t="n"/>
      <c r="E66" s="123" t="n"/>
      <c r="F66" s="111" t="n"/>
      <c r="G66" s="123" t="n"/>
      <c r="H66" s="113" t="n"/>
      <c r="I66" s="113" t="n"/>
      <c r="J66" s="124" t="n"/>
      <c r="K66" s="111" t="n"/>
      <c r="L66" s="113" t="n"/>
      <c r="M66" s="113" t="n"/>
      <c r="N66" s="111" t="n"/>
      <c r="O66" s="111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</row>
    <row r="67">
      <c r="A67" s="58" t="n"/>
      <c r="B67" s="117" t="n"/>
      <c r="C67" s="118" t="n"/>
      <c r="D67" s="111" t="n"/>
      <c r="E67" s="123" t="n"/>
      <c r="F67" s="111" t="n"/>
      <c r="G67" s="123" t="n"/>
      <c r="H67" s="113" t="n"/>
      <c r="I67" s="113" t="n"/>
      <c r="J67" s="124" t="n"/>
      <c r="K67" s="111" t="n"/>
      <c r="L67" s="113" t="n"/>
      <c r="M67" s="113" t="n"/>
      <c r="N67" s="111" t="n"/>
      <c r="O67" s="111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</row>
    <row r="68">
      <c r="A68" s="58" t="n"/>
      <c r="B68" s="117" t="n"/>
      <c r="C68" s="118" t="n"/>
      <c r="D68" s="111" t="n"/>
      <c r="E68" s="123" t="n"/>
      <c r="F68" s="111" t="n"/>
      <c r="G68" s="123" t="n"/>
      <c r="H68" s="113" t="n"/>
      <c r="I68" s="113" t="n"/>
      <c r="J68" s="124" t="n"/>
      <c r="K68" s="111" t="n"/>
      <c r="L68" s="113" t="n"/>
      <c r="M68" s="113" t="n"/>
      <c r="N68" s="111" t="n"/>
      <c r="O68" s="111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</row>
    <row r="69">
      <c r="A69" s="58" t="n"/>
      <c r="B69" s="117" t="n"/>
      <c r="C69" s="118" t="n"/>
      <c r="D69" s="111" t="n"/>
      <c r="E69" s="123" t="n"/>
      <c r="F69" s="111" t="n"/>
      <c r="G69" s="123" t="n"/>
      <c r="H69" s="113" t="n"/>
      <c r="I69" s="113" t="n"/>
      <c r="J69" s="124" t="n"/>
      <c r="K69" s="111" t="n"/>
      <c r="L69" s="113" t="n"/>
      <c r="M69" s="113" t="n"/>
      <c r="N69" s="111" t="n"/>
      <c r="O69" s="111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</row>
    <row r="70">
      <c r="A70" s="58" t="n"/>
      <c r="B70" s="117" t="n"/>
      <c r="C70" s="118" t="n"/>
      <c r="D70" s="111" t="n"/>
      <c r="E70" s="123" t="n"/>
      <c r="F70" s="111" t="n"/>
      <c r="G70" s="123" t="n"/>
      <c r="H70" s="113" t="n"/>
      <c r="I70" s="113" t="n"/>
      <c r="J70" s="124" t="n"/>
      <c r="K70" s="111" t="n"/>
      <c r="L70" s="113" t="n"/>
      <c r="M70" s="113" t="n"/>
      <c r="N70" s="111" t="n"/>
      <c r="O70" s="111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</row>
    <row r="71">
      <c r="A71" s="58" t="n"/>
      <c r="B71" s="117" t="n"/>
      <c r="C71" s="118" t="n"/>
      <c r="D71" s="111" t="n"/>
      <c r="E71" s="123" t="n"/>
      <c r="F71" s="111" t="n"/>
      <c r="G71" s="123" t="n"/>
      <c r="H71" s="113" t="n"/>
      <c r="I71" s="113" t="n"/>
      <c r="J71" s="124" t="n"/>
      <c r="K71" s="111" t="n"/>
      <c r="L71" s="113" t="n"/>
      <c r="M71" s="113" t="n"/>
      <c r="N71" s="111" t="n"/>
      <c r="O71" s="111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</row>
    <row r="72">
      <c r="A72" s="58" t="n"/>
      <c r="B72" s="117" t="n"/>
      <c r="C72" s="118" t="n"/>
      <c r="D72" s="111" t="n"/>
      <c r="E72" s="123" t="n"/>
      <c r="F72" s="111" t="n"/>
      <c r="G72" s="123" t="n"/>
      <c r="H72" s="113" t="n"/>
      <c r="I72" s="113" t="n"/>
      <c r="J72" s="124" t="n"/>
      <c r="K72" s="111" t="n"/>
      <c r="L72" s="113" t="n"/>
      <c r="M72" s="113" t="n"/>
      <c r="N72" s="111" t="n"/>
      <c r="O72" s="111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</row>
    <row r="73">
      <c r="A73" s="58" t="n"/>
      <c r="B73" s="117" t="n"/>
      <c r="C73" s="118" t="n"/>
      <c r="D73" s="111" t="n"/>
      <c r="E73" s="123" t="n"/>
      <c r="F73" s="111" t="n"/>
      <c r="G73" s="123" t="n"/>
      <c r="H73" s="113" t="n"/>
      <c r="I73" s="113" t="n"/>
      <c r="J73" s="124" t="n"/>
      <c r="K73" s="111" t="n"/>
      <c r="L73" s="113" t="n"/>
      <c r="M73" s="113" t="n"/>
      <c r="N73" s="111" t="n"/>
      <c r="O73" s="111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</row>
    <row r="74">
      <c r="A74" s="58" t="n"/>
      <c r="B74" s="117" t="n"/>
      <c r="C74" s="118" t="n"/>
      <c r="D74" s="111" t="n"/>
      <c r="E74" s="123" t="n"/>
      <c r="F74" s="111" t="n"/>
      <c r="G74" s="123" t="n"/>
      <c r="H74" s="113" t="n"/>
      <c r="I74" s="113" t="n"/>
      <c r="J74" s="124" t="n"/>
      <c r="K74" s="111" t="n"/>
      <c r="L74" s="113" t="n"/>
      <c r="M74" s="113" t="n"/>
      <c r="N74" s="111" t="n"/>
      <c r="O74" s="111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</row>
    <row r="75">
      <c r="A75" s="58" t="n"/>
      <c r="B75" s="117" t="n"/>
      <c r="C75" s="118" t="n"/>
      <c r="D75" s="111" t="n"/>
      <c r="E75" s="123" t="n"/>
      <c r="F75" s="111" t="n"/>
      <c r="G75" s="123" t="n"/>
      <c r="H75" s="113" t="n"/>
      <c r="I75" s="113" t="n"/>
      <c r="J75" s="124" t="n"/>
      <c r="K75" s="111" t="n"/>
      <c r="L75" s="113" t="n"/>
      <c r="M75" s="113" t="n"/>
      <c r="N75" s="111" t="n"/>
      <c r="O75" s="111" t="n"/>
      <c r="P75" s="6" t="n"/>
      <c r="Q75" s="6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</row>
    <row r="76">
      <c r="A76" s="58" t="n"/>
      <c r="B76" s="117" t="n"/>
      <c r="C76" s="118" t="n"/>
      <c r="D76" s="111" t="n"/>
      <c r="E76" s="123" t="n"/>
      <c r="F76" s="111" t="n"/>
      <c r="G76" s="123" t="n"/>
      <c r="H76" s="113" t="n"/>
      <c r="I76" s="113" t="n"/>
      <c r="J76" s="124" t="n"/>
      <c r="K76" s="111" t="n"/>
      <c r="L76" s="113" t="n"/>
      <c r="M76" s="113" t="n"/>
      <c r="N76" s="111" t="n"/>
      <c r="O76" s="111" t="n"/>
      <c r="P76" s="6" t="n"/>
      <c r="Q76" s="6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</row>
    <row r="77">
      <c r="A77" s="58" t="n"/>
      <c r="B77" s="117" t="n"/>
      <c r="C77" s="118" t="n"/>
      <c r="D77" s="111" t="n"/>
      <c r="E77" s="123" t="n"/>
      <c r="F77" s="111" t="n"/>
      <c r="G77" s="123" t="n"/>
      <c r="H77" s="113" t="n"/>
      <c r="I77" s="113" t="n"/>
      <c r="J77" s="124" t="n"/>
      <c r="K77" s="111" t="n"/>
      <c r="L77" s="113" t="n"/>
      <c r="M77" s="113" t="n"/>
      <c r="N77" s="111" t="n"/>
      <c r="O77" s="111" t="n"/>
      <c r="P77" s="6" t="n"/>
      <c r="Q77" s="6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</row>
    <row r="78">
      <c r="A78" s="58" t="n"/>
      <c r="B78" s="117" t="n"/>
      <c r="C78" s="118" t="n"/>
      <c r="D78" s="111" t="n"/>
      <c r="E78" s="123" t="n"/>
      <c r="F78" s="111" t="n"/>
      <c r="G78" s="123" t="n"/>
      <c r="H78" s="113" t="n"/>
      <c r="I78" s="113" t="n"/>
      <c r="J78" s="124" t="n"/>
      <c r="K78" s="111" t="n"/>
      <c r="L78" s="113" t="n"/>
      <c r="M78" s="113" t="n"/>
      <c r="N78" s="111" t="n"/>
      <c r="O78" s="111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</row>
    <row r="79">
      <c r="A79" s="58" t="n"/>
      <c r="B79" s="117" t="n"/>
      <c r="C79" s="118" t="n"/>
      <c r="D79" s="111" t="n"/>
      <c r="E79" s="123" t="n"/>
      <c r="F79" s="111" t="n"/>
      <c r="G79" s="123" t="n"/>
      <c r="H79" s="113" t="n"/>
      <c r="I79" s="113" t="n"/>
      <c r="J79" s="124" t="n"/>
      <c r="K79" s="111" t="n"/>
      <c r="L79" s="113" t="n"/>
      <c r="M79" s="113" t="n"/>
      <c r="N79" s="111" t="n"/>
      <c r="O79" s="111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</row>
    <row r="80">
      <c r="A80" s="58" t="n"/>
      <c r="B80" s="117" t="n"/>
      <c r="C80" s="118" t="n"/>
      <c r="D80" s="111" t="n"/>
      <c r="E80" s="123" t="n"/>
      <c r="F80" s="111" t="n"/>
      <c r="G80" s="123" t="n"/>
      <c r="H80" s="113" t="n"/>
      <c r="I80" s="113" t="n"/>
      <c r="J80" s="124" t="n"/>
      <c r="K80" s="111" t="n"/>
      <c r="L80" s="113" t="n"/>
      <c r="M80" s="113" t="n"/>
      <c r="N80" s="111" t="n"/>
      <c r="O80" s="111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</row>
    <row r="81">
      <c r="A81" s="58" t="n"/>
      <c r="B81" s="117" t="n"/>
      <c r="C81" s="118" t="n"/>
      <c r="D81" s="111" t="n"/>
      <c r="E81" s="123" t="n"/>
      <c r="F81" s="111" t="n"/>
      <c r="G81" s="123" t="n"/>
      <c r="H81" s="113" t="n"/>
      <c r="I81" s="113" t="n"/>
      <c r="J81" s="124" t="n"/>
      <c r="K81" s="111" t="n"/>
      <c r="L81" s="113" t="n"/>
      <c r="M81" s="113" t="n"/>
      <c r="N81" s="111" t="n"/>
      <c r="O81" s="111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</row>
    <row r="82">
      <c r="A82" s="58" t="n"/>
      <c r="B82" s="117" t="n"/>
      <c r="C82" s="118" t="n"/>
      <c r="D82" s="111" t="n"/>
      <c r="E82" s="123" t="n"/>
      <c r="F82" s="111" t="n"/>
      <c r="G82" s="123" t="n"/>
      <c r="H82" s="113" t="n"/>
      <c r="I82" s="113" t="n"/>
      <c r="J82" s="124" t="n"/>
      <c r="K82" s="111" t="n"/>
      <c r="L82" s="113" t="n"/>
      <c r="M82" s="113" t="n"/>
      <c r="N82" s="111" t="n"/>
      <c r="O82" s="111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</row>
    <row r="83">
      <c r="A83" s="58" t="n"/>
      <c r="B83" s="117" t="n"/>
      <c r="C83" s="118" t="n"/>
      <c r="D83" s="111" t="n"/>
      <c r="E83" s="123" t="n"/>
      <c r="F83" s="111" t="n"/>
      <c r="G83" s="123" t="n"/>
      <c r="H83" s="113" t="n"/>
      <c r="I83" s="113" t="n"/>
      <c r="J83" s="124" t="n"/>
      <c r="K83" s="111" t="n"/>
      <c r="L83" s="113" t="n"/>
      <c r="M83" s="113" t="n"/>
      <c r="N83" s="111" t="n"/>
      <c r="O83" s="111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</row>
    <row r="84">
      <c r="A84" s="58" t="n"/>
      <c r="B84" s="117" t="n"/>
      <c r="C84" s="118" t="n"/>
      <c r="D84" s="111" t="n"/>
      <c r="E84" s="123" t="n"/>
      <c r="F84" s="111" t="n"/>
      <c r="G84" s="123" t="n"/>
      <c r="H84" s="113" t="n"/>
      <c r="I84" s="113" t="n"/>
      <c r="J84" s="124" t="n"/>
      <c r="K84" s="111" t="n"/>
      <c r="L84" s="113" t="n"/>
      <c r="M84" s="113" t="n"/>
      <c r="N84" s="111" t="n"/>
      <c r="O84" s="111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</row>
    <row r="85">
      <c r="A85" s="58" t="n"/>
      <c r="B85" s="117" t="n"/>
      <c r="C85" s="118" t="n"/>
      <c r="D85" s="111" t="n"/>
      <c r="E85" s="123" t="n"/>
      <c r="F85" s="111" t="n"/>
      <c r="G85" s="123" t="n"/>
      <c r="H85" s="113" t="n"/>
      <c r="I85" s="113" t="n"/>
      <c r="J85" s="124" t="n"/>
      <c r="K85" s="111" t="n"/>
      <c r="L85" s="113" t="n"/>
      <c r="M85" s="113" t="n"/>
      <c r="N85" s="111" t="n"/>
      <c r="O85" s="111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</row>
    <row r="86">
      <c r="A86" s="58" t="n"/>
      <c r="B86" s="117" t="n"/>
      <c r="C86" s="118" t="n"/>
      <c r="D86" s="111" t="n"/>
      <c r="E86" s="123" t="n"/>
      <c r="F86" s="111" t="n"/>
      <c r="G86" s="123" t="n"/>
      <c r="H86" s="113" t="n"/>
      <c r="I86" s="113" t="n"/>
      <c r="J86" s="124" t="n"/>
      <c r="K86" s="111" t="n"/>
      <c r="L86" s="113" t="n"/>
      <c r="M86" s="113" t="n"/>
      <c r="N86" s="111" t="n"/>
      <c r="O86" s="111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</row>
    <row r="87">
      <c r="A87" s="58" t="n"/>
      <c r="B87" s="117" t="n"/>
      <c r="C87" s="118" t="n"/>
      <c r="D87" s="111" t="n"/>
      <c r="E87" s="123" t="n"/>
      <c r="F87" s="111" t="n"/>
      <c r="G87" s="123" t="n"/>
      <c r="H87" s="113" t="n"/>
      <c r="I87" s="113" t="n"/>
      <c r="J87" s="124" t="n"/>
      <c r="K87" s="111" t="n"/>
      <c r="L87" s="113" t="n"/>
      <c r="M87" s="113" t="n"/>
      <c r="N87" s="111" t="n"/>
      <c r="O87" s="111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</row>
    <row r="88">
      <c r="A88" s="58" t="n"/>
      <c r="B88" s="117" t="n"/>
      <c r="C88" s="118" t="n"/>
      <c r="D88" s="111" t="n"/>
      <c r="E88" s="123" t="n"/>
      <c r="F88" s="111" t="n"/>
      <c r="G88" s="123" t="n"/>
      <c r="H88" s="113" t="n"/>
      <c r="I88" s="113" t="n"/>
      <c r="J88" s="124" t="n"/>
      <c r="K88" s="111" t="n"/>
      <c r="L88" s="113" t="n"/>
      <c r="M88" s="113" t="n"/>
      <c r="N88" s="111" t="n"/>
      <c r="O88" s="111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</row>
    <row r="89">
      <c r="A89" s="58" t="n"/>
      <c r="B89" s="117" t="n"/>
      <c r="C89" s="118" t="n"/>
      <c r="D89" s="111" t="n"/>
      <c r="E89" s="123" t="n"/>
      <c r="F89" s="111" t="n"/>
      <c r="G89" s="123" t="n"/>
      <c r="H89" s="113" t="n"/>
      <c r="I89" s="113" t="n"/>
      <c r="J89" s="124" t="n"/>
      <c r="K89" s="111" t="n"/>
      <c r="L89" s="113" t="n"/>
      <c r="M89" s="113" t="n"/>
      <c r="N89" s="111" t="n"/>
      <c r="O89" s="111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</row>
    <row r="90">
      <c r="A90" s="58" t="n"/>
      <c r="B90" s="117" t="n"/>
      <c r="C90" s="118" t="n"/>
      <c r="D90" s="111" t="n"/>
      <c r="E90" s="123" t="n"/>
      <c r="F90" s="111" t="n"/>
      <c r="G90" s="123" t="n"/>
      <c r="H90" s="113" t="n"/>
      <c r="I90" s="113" t="n"/>
      <c r="J90" s="124" t="n"/>
      <c r="K90" s="111" t="n"/>
      <c r="L90" s="113" t="n"/>
      <c r="M90" s="113" t="n"/>
      <c r="N90" s="111" t="n"/>
      <c r="O90" s="111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</row>
    <row r="91">
      <c r="A91" s="58" t="n"/>
      <c r="B91" s="117" t="n"/>
      <c r="C91" s="118" t="n"/>
      <c r="D91" s="111" t="n"/>
      <c r="E91" s="123" t="n"/>
      <c r="F91" s="111" t="n"/>
      <c r="G91" s="123" t="n"/>
      <c r="H91" s="113" t="n"/>
      <c r="I91" s="113" t="n"/>
      <c r="J91" s="124" t="n"/>
      <c r="K91" s="111" t="n"/>
      <c r="L91" s="113" t="n"/>
      <c r="M91" s="113" t="n"/>
      <c r="N91" s="111" t="n"/>
      <c r="O91" s="111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</row>
    <row r="92">
      <c r="A92" s="58" t="n"/>
      <c r="B92" s="117" t="n"/>
      <c r="C92" s="118" t="n"/>
      <c r="D92" s="111" t="n"/>
      <c r="E92" s="123" t="n"/>
      <c r="F92" s="111" t="n"/>
      <c r="G92" s="123" t="n"/>
      <c r="H92" s="113" t="n"/>
      <c r="I92" s="113" t="n"/>
      <c r="J92" s="124" t="n"/>
      <c r="K92" s="111" t="n"/>
      <c r="L92" s="113" t="n"/>
      <c r="M92" s="113" t="n"/>
      <c r="N92" s="111" t="n"/>
      <c r="O92" s="111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</row>
    <row r="93">
      <c r="A93" s="58" t="n"/>
      <c r="B93" s="117" t="n"/>
      <c r="C93" s="118" t="n"/>
      <c r="D93" s="111" t="n"/>
      <c r="E93" s="123" t="n"/>
      <c r="F93" s="111" t="n"/>
      <c r="G93" s="123" t="n"/>
      <c r="H93" s="113" t="n"/>
      <c r="I93" s="113" t="n"/>
      <c r="J93" s="124" t="n"/>
      <c r="K93" s="111" t="n"/>
      <c r="L93" s="113" t="n"/>
      <c r="M93" s="113" t="n"/>
      <c r="N93" s="111" t="n"/>
      <c r="O93" s="111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</row>
    <row r="94">
      <c r="A94" s="58" t="n"/>
      <c r="B94" s="117" t="n"/>
      <c r="C94" s="118" t="n"/>
      <c r="D94" s="111" t="n"/>
      <c r="E94" s="123" t="n"/>
      <c r="F94" s="111" t="n"/>
      <c r="G94" s="123" t="n"/>
      <c r="H94" s="113" t="n"/>
      <c r="I94" s="113" t="n"/>
      <c r="J94" s="124" t="n"/>
      <c r="K94" s="111" t="n"/>
      <c r="L94" s="113" t="n"/>
      <c r="M94" s="113" t="n"/>
      <c r="N94" s="111" t="n"/>
      <c r="O94" s="111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</row>
    <row r="95">
      <c r="A95" s="58" t="n"/>
      <c r="B95" s="117" t="n"/>
      <c r="C95" s="118" t="n"/>
      <c r="D95" s="111" t="n"/>
      <c r="E95" s="123" t="n"/>
      <c r="F95" s="111" t="n"/>
      <c r="G95" s="123" t="n"/>
      <c r="H95" s="113" t="n"/>
      <c r="I95" s="113" t="n"/>
      <c r="J95" s="124" t="n"/>
      <c r="K95" s="111" t="n"/>
      <c r="L95" s="113" t="n"/>
      <c r="M95" s="113" t="n"/>
      <c r="N95" s="111" t="n"/>
      <c r="O95" s="111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</row>
    <row r="96">
      <c r="A96" s="58" t="n"/>
      <c r="B96" s="117" t="n"/>
      <c r="C96" s="118" t="n"/>
      <c r="D96" s="111" t="n"/>
      <c r="E96" s="123" t="n"/>
      <c r="F96" s="111" t="n"/>
      <c r="G96" s="123" t="n"/>
      <c r="H96" s="113" t="n"/>
      <c r="I96" s="113" t="n"/>
      <c r="J96" s="124" t="n"/>
      <c r="K96" s="111" t="n"/>
      <c r="L96" s="113" t="n"/>
      <c r="M96" s="113" t="n"/>
      <c r="N96" s="111" t="n"/>
      <c r="O96" s="111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</row>
    <row r="97">
      <c r="A97" s="58" t="n"/>
      <c r="B97" s="117" t="n"/>
      <c r="C97" s="118" t="n"/>
      <c r="D97" s="111" t="n"/>
      <c r="E97" s="123" t="n"/>
      <c r="F97" s="111" t="n"/>
      <c r="G97" s="123" t="n"/>
      <c r="H97" s="113" t="n"/>
      <c r="I97" s="113" t="n"/>
      <c r="J97" s="124" t="n"/>
      <c r="K97" s="111" t="n"/>
      <c r="L97" s="113" t="n"/>
      <c r="M97" s="113" t="n"/>
      <c r="N97" s="111" t="n"/>
      <c r="O97" s="111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</row>
    <row r="98">
      <c r="A98" s="58" t="n"/>
      <c r="B98" s="117" t="n"/>
      <c r="C98" s="118" t="n"/>
      <c r="D98" s="111" t="n"/>
      <c r="E98" s="123" t="n"/>
      <c r="F98" s="111" t="n"/>
      <c r="G98" s="123" t="n"/>
      <c r="H98" s="113" t="n"/>
      <c r="I98" s="113" t="n"/>
      <c r="J98" s="124" t="n"/>
      <c r="K98" s="111" t="n"/>
      <c r="L98" s="113" t="n"/>
      <c r="M98" s="113" t="n"/>
      <c r="N98" s="111" t="n"/>
      <c r="O98" s="111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</row>
    <row r="99">
      <c r="A99" s="58" t="n"/>
      <c r="B99" s="117" t="n"/>
      <c r="C99" s="118" t="n"/>
      <c r="D99" s="111" t="n"/>
      <c r="E99" s="123" t="n"/>
      <c r="F99" s="111" t="n"/>
      <c r="G99" s="123" t="n"/>
      <c r="H99" s="113" t="n"/>
      <c r="I99" s="113" t="n"/>
      <c r="J99" s="124" t="n"/>
      <c r="K99" s="111" t="n"/>
      <c r="L99" s="113" t="n"/>
      <c r="M99" s="113" t="n"/>
      <c r="N99" s="111" t="n"/>
      <c r="O99" s="111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</row>
    <row r="100">
      <c r="A100" s="58" t="n"/>
      <c r="B100" s="117" t="n"/>
      <c r="C100" s="118" t="n"/>
      <c r="D100" s="111" t="n"/>
      <c r="E100" s="123" t="n"/>
      <c r="F100" s="111" t="n"/>
      <c r="G100" s="123" t="n"/>
      <c r="H100" s="113" t="n"/>
      <c r="I100" s="113" t="n"/>
      <c r="J100" s="124" t="n"/>
      <c r="K100" s="111" t="n"/>
      <c r="L100" s="113" t="n"/>
      <c r="M100" s="113" t="n"/>
      <c r="N100" s="111" t="n"/>
      <c r="O100" s="111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</row>
    <row r="101">
      <c r="A101" s="58" t="n"/>
      <c r="B101" s="117" t="n"/>
      <c r="C101" s="118" t="n"/>
      <c r="D101" s="111" t="n"/>
      <c r="E101" s="123" t="n"/>
      <c r="F101" s="111" t="n"/>
      <c r="G101" s="123" t="n"/>
      <c r="H101" s="113" t="n"/>
      <c r="I101" s="113" t="n"/>
      <c r="J101" s="124" t="n"/>
      <c r="K101" s="111" t="n"/>
      <c r="L101" s="113" t="n"/>
      <c r="M101" s="113" t="n"/>
      <c r="N101" s="111" t="n"/>
      <c r="O101" s="111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</row>
    <row r="102">
      <c r="A102" s="58" t="n"/>
      <c r="B102" s="117" t="n"/>
      <c r="C102" s="118" t="n"/>
      <c r="D102" s="111" t="n"/>
      <c r="E102" s="123" t="n"/>
      <c r="F102" s="111" t="n"/>
      <c r="G102" s="123" t="n"/>
      <c r="H102" s="113" t="n"/>
      <c r="I102" s="113" t="n"/>
      <c r="J102" s="124" t="n"/>
      <c r="K102" s="111" t="n"/>
      <c r="L102" s="113" t="n"/>
      <c r="M102" s="113" t="n"/>
      <c r="N102" s="111" t="n"/>
      <c r="O102" s="111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</row>
    <row r="103">
      <c r="A103" s="58" t="n"/>
      <c r="B103" s="117" t="n"/>
      <c r="C103" s="118" t="n"/>
      <c r="D103" s="111" t="n"/>
      <c r="E103" s="123" t="n"/>
      <c r="F103" s="111" t="n"/>
      <c r="G103" s="123" t="n"/>
      <c r="H103" s="113" t="n"/>
      <c r="I103" s="113" t="n"/>
      <c r="J103" s="124" t="n"/>
      <c r="K103" s="111" t="n"/>
      <c r="L103" s="113" t="n"/>
      <c r="M103" s="113" t="n"/>
      <c r="N103" s="111" t="n"/>
      <c r="O103" s="111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</row>
    <row r="104">
      <c r="A104" s="58" t="n"/>
      <c r="B104" s="117" t="n"/>
      <c r="C104" s="118" t="n"/>
      <c r="D104" s="111" t="n"/>
      <c r="E104" s="123" t="n"/>
      <c r="F104" s="111" t="n"/>
      <c r="G104" s="123" t="n"/>
      <c r="H104" s="113" t="n"/>
      <c r="I104" s="113" t="n"/>
      <c r="J104" s="124" t="n"/>
      <c r="K104" s="111" t="n"/>
      <c r="L104" s="113" t="n"/>
      <c r="M104" s="113" t="n"/>
      <c r="N104" s="111" t="n"/>
      <c r="O104" s="111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</row>
    <row r="105">
      <c r="A105" s="58" t="n"/>
      <c r="B105" s="117" t="n"/>
      <c r="C105" s="118" t="n"/>
      <c r="D105" s="111" t="n"/>
      <c r="E105" s="123" t="n"/>
      <c r="F105" s="111" t="n"/>
      <c r="G105" s="123" t="n"/>
      <c r="H105" s="113" t="n"/>
      <c r="I105" s="113" t="n"/>
      <c r="J105" s="124" t="n"/>
      <c r="K105" s="111" t="n"/>
      <c r="L105" s="113" t="n"/>
      <c r="M105" s="113" t="n"/>
      <c r="N105" s="111" t="n"/>
      <c r="O105" s="111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</row>
    <row r="106">
      <c r="A106" s="58" t="n"/>
      <c r="B106" s="117" t="n"/>
      <c r="C106" s="118" t="n"/>
      <c r="D106" s="111" t="n"/>
      <c r="E106" s="123" t="n"/>
      <c r="F106" s="111" t="n"/>
      <c r="G106" s="123" t="n"/>
      <c r="H106" s="113" t="n"/>
      <c r="I106" s="113" t="n"/>
      <c r="J106" s="124" t="n"/>
      <c r="K106" s="111" t="n"/>
      <c r="L106" s="113" t="n"/>
      <c r="M106" s="113" t="n"/>
      <c r="N106" s="111" t="n"/>
      <c r="O106" s="111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</row>
    <row r="107">
      <c r="A107" s="58" t="n"/>
      <c r="B107" s="117" t="n"/>
      <c r="C107" s="118" t="n"/>
      <c r="D107" s="111" t="n"/>
      <c r="E107" s="123" t="n"/>
      <c r="F107" s="111" t="n"/>
      <c r="G107" s="123" t="n"/>
      <c r="H107" s="113" t="n"/>
      <c r="I107" s="113" t="n"/>
      <c r="J107" s="124" t="n"/>
      <c r="K107" s="111" t="n"/>
      <c r="L107" s="113" t="n"/>
      <c r="M107" s="113" t="n"/>
      <c r="N107" s="111" t="n"/>
      <c r="O107" s="111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</row>
    <row r="108">
      <c r="A108" s="58" t="n"/>
      <c r="B108" s="117" t="n"/>
      <c r="C108" s="118" t="n"/>
      <c r="D108" s="111" t="n"/>
      <c r="E108" s="123" t="n"/>
      <c r="F108" s="111" t="n"/>
      <c r="G108" s="123" t="n"/>
      <c r="H108" s="113" t="n"/>
      <c r="I108" s="113" t="n"/>
      <c r="J108" s="124" t="n"/>
      <c r="K108" s="111" t="n"/>
      <c r="L108" s="113" t="n"/>
      <c r="M108" s="113" t="n"/>
      <c r="N108" s="111" t="n"/>
      <c r="O108" s="111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</row>
    <row r="109">
      <c r="A109" s="58" t="n"/>
      <c r="B109" s="117" t="n"/>
      <c r="C109" s="118" t="n"/>
      <c r="D109" s="111" t="n"/>
      <c r="E109" s="123" t="n"/>
      <c r="F109" s="111" t="n"/>
      <c r="G109" s="123" t="n"/>
      <c r="H109" s="113" t="n"/>
      <c r="I109" s="113" t="n"/>
      <c r="J109" s="124" t="n"/>
      <c r="K109" s="111" t="n"/>
      <c r="L109" s="113" t="n"/>
      <c r="M109" s="113" t="n"/>
      <c r="N109" s="111" t="n"/>
      <c r="O109" s="111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</row>
    <row r="110">
      <c r="A110" s="58" t="n"/>
      <c r="B110" s="117" t="n"/>
      <c r="C110" s="118" t="n"/>
      <c r="D110" s="111" t="n"/>
      <c r="E110" s="123" t="n"/>
      <c r="F110" s="111" t="n"/>
      <c r="G110" s="123" t="n"/>
      <c r="H110" s="113" t="n"/>
      <c r="I110" s="113" t="n"/>
      <c r="J110" s="124" t="n"/>
      <c r="K110" s="111" t="n"/>
      <c r="L110" s="113" t="n"/>
      <c r="M110" s="113" t="n"/>
      <c r="N110" s="111" t="n"/>
      <c r="O110" s="111" t="n"/>
      <c r="P110" s="6" t="n"/>
      <c r="Q110" s="6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</row>
    <row r="111">
      <c r="A111" s="58" t="n"/>
      <c r="B111" s="117" t="n"/>
      <c r="C111" s="118" t="n"/>
      <c r="D111" s="111" t="n"/>
      <c r="E111" s="123" t="n"/>
      <c r="F111" s="111" t="n"/>
      <c r="G111" s="123" t="n"/>
      <c r="H111" s="113" t="n"/>
      <c r="I111" s="113" t="n"/>
      <c r="J111" s="124" t="n"/>
      <c r="K111" s="111" t="n"/>
      <c r="L111" s="113" t="n"/>
      <c r="M111" s="113" t="n"/>
      <c r="N111" s="111" t="n"/>
      <c r="O111" s="111" t="n"/>
      <c r="P111" s="6" t="n"/>
      <c r="Q111" s="6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</row>
    <row r="112">
      <c r="A112" s="58" t="n"/>
      <c r="B112" s="117" t="n"/>
      <c r="C112" s="118" t="n"/>
      <c r="D112" s="111" t="n"/>
      <c r="E112" s="123" t="n"/>
      <c r="F112" s="111" t="n"/>
      <c r="G112" s="123" t="n"/>
      <c r="H112" s="113" t="n"/>
      <c r="I112" s="113" t="n"/>
      <c r="J112" s="124" t="n"/>
      <c r="K112" s="111" t="n"/>
      <c r="L112" s="113" t="n"/>
      <c r="M112" s="113" t="n"/>
      <c r="N112" s="111" t="n"/>
      <c r="O112" s="111" t="n"/>
      <c r="P112" s="6" t="n"/>
      <c r="Q112" s="6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</row>
    <row r="113">
      <c r="A113" s="58" t="n"/>
      <c r="B113" s="117" t="n"/>
      <c r="C113" s="118" t="n"/>
      <c r="D113" s="111" t="n"/>
      <c r="E113" s="123" t="n"/>
      <c r="F113" s="111" t="n"/>
      <c r="G113" s="123" t="n"/>
      <c r="H113" s="113" t="n"/>
      <c r="I113" s="113" t="n"/>
      <c r="J113" s="124" t="n"/>
      <c r="K113" s="111" t="n"/>
      <c r="L113" s="113" t="n"/>
      <c r="M113" s="113" t="n"/>
      <c r="N113" s="111" t="n"/>
      <c r="O113" s="111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</row>
    <row r="114">
      <c r="A114" s="58" t="n"/>
      <c r="B114" s="117" t="n"/>
      <c r="C114" s="118" t="n"/>
      <c r="D114" s="111" t="n"/>
      <c r="E114" s="123" t="n"/>
      <c r="F114" s="111" t="n"/>
      <c r="G114" s="123" t="n"/>
      <c r="H114" s="113" t="n"/>
      <c r="I114" s="113" t="n"/>
      <c r="J114" s="124" t="n"/>
      <c r="K114" s="111" t="n"/>
      <c r="L114" s="113" t="n"/>
      <c r="M114" s="113" t="n"/>
      <c r="N114" s="111" t="n"/>
      <c r="O114" s="111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</row>
    <row r="115">
      <c r="A115" s="58" t="n"/>
      <c r="B115" s="117" t="n"/>
      <c r="C115" s="118" t="n"/>
      <c r="D115" s="111" t="n"/>
      <c r="E115" s="123" t="n"/>
      <c r="F115" s="111" t="n"/>
      <c r="G115" s="123" t="n"/>
      <c r="H115" s="113" t="n"/>
      <c r="I115" s="113" t="n"/>
      <c r="J115" s="124" t="n"/>
      <c r="K115" s="111" t="n"/>
      <c r="L115" s="113" t="n"/>
      <c r="M115" s="113" t="n"/>
      <c r="N115" s="111" t="n"/>
      <c r="O115" s="111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</row>
    <row r="116">
      <c r="A116" s="58" t="n"/>
      <c r="B116" s="117" t="n"/>
      <c r="C116" s="118" t="n"/>
      <c r="D116" s="111" t="n"/>
      <c r="E116" s="123" t="n"/>
      <c r="F116" s="111" t="n"/>
      <c r="G116" s="123" t="n"/>
      <c r="H116" s="113" t="n"/>
      <c r="I116" s="113" t="n"/>
      <c r="J116" s="124" t="n"/>
      <c r="K116" s="111" t="n"/>
      <c r="L116" s="113" t="n"/>
      <c r="M116" s="113" t="n"/>
      <c r="N116" s="111" t="n"/>
      <c r="O116" s="111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</row>
    <row r="117">
      <c r="A117" s="58" t="n"/>
      <c r="B117" s="117" t="n"/>
      <c r="C117" s="118" t="n"/>
      <c r="D117" s="111" t="n"/>
      <c r="E117" s="123" t="n"/>
      <c r="F117" s="111" t="n"/>
      <c r="G117" s="123" t="n"/>
      <c r="H117" s="113" t="n"/>
      <c r="I117" s="113" t="n"/>
      <c r="J117" s="124" t="n"/>
      <c r="K117" s="111" t="n"/>
      <c r="L117" s="113" t="n"/>
      <c r="M117" s="113" t="n"/>
      <c r="N117" s="111" t="n"/>
      <c r="O117" s="111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</row>
    <row r="118">
      <c r="A118" s="58" t="n"/>
      <c r="B118" s="117" t="n"/>
      <c r="C118" s="118" t="n"/>
      <c r="D118" s="111" t="n"/>
      <c r="E118" s="123" t="n"/>
      <c r="F118" s="111" t="n"/>
      <c r="G118" s="123" t="n"/>
      <c r="H118" s="113" t="n"/>
      <c r="I118" s="113" t="n"/>
      <c r="J118" s="124" t="n"/>
      <c r="K118" s="111" t="n"/>
      <c r="L118" s="113" t="n"/>
      <c r="M118" s="113" t="n"/>
      <c r="N118" s="111" t="n"/>
      <c r="O118" s="111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</row>
    <row r="119">
      <c r="A119" s="58" t="n"/>
      <c r="B119" s="117" t="n"/>
      <c r="C119" s="118" t="n"/>
      <c r="D119" s="111" t="n"/>
      <c r="E119" s="123" t="n"/>
      <c r="F119" s="111" t="n"/>
      <c r="G119" s="123" t="n"/>
      <c r="H119" s="113" t="n"/>
      <c r="I119" s="113" t="n"/>
      <c r="J119" s="124" t="n"/>
      <c r="K119" s="111" t="n"/>
      <c r="L119" s="113" t="n"/>
      <c r="M119" s="113" t="n"/>
      <c r="N119" s="111" t="n"/>
      <c r="O119" s="111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</row>
    <row r="120">
      <c r="A120" s="58" t="n"/>
      <c r="B120" s="117" t="n"/>
      <c r="C120" s="118" t="n"/>
      <c r="D120" s="111" t="n"/>
      <c r="E120" s="123" t="n"/>
      <c r="F120" s="111" t="n"/>
      <c r="G120" s="123" t="n"/>
      <c r="H120" s="113" t="n"/>
      <c r="I120" s="113" t="n"/>
      <c r="J120" s="124" t="n"/>
      <c r="K120" s="111" t="n"/>
      <c r="L120" s="113" t="n"/>
      <c r="M120" s="113" t="n"/>
      <c r="N120" s="111" t="n"/>
      <c r="O120" s="111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</row>
    <row r="121">
      <c r="A121" s="58" t="n"/>
      <c r="B121" s="58" t="n"/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8" t="n"/>
      <c r="N121" s="58" t="n"/>
      <c r="O121" s="58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</row>
    <row r="122">
      <c r="A122" s="58" t="n"/>
      <c r="B122" s="58" t="n"/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8" t="n"/>
      <c r="N122" s="58" t="n"/>
      <c r="O122" s="58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</row>
    <row r="123">
      <c r="A123" s="58" t="n"/>
      <c r="B123" s="58" t="n"/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8" t="n"/>
      <c r="N123" s="58" t="n"/>
      <c r="O123" s="58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</row>
    <row r="124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</row>
    <row r="125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</row>
    <row r="126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</row>
    <row r="12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</row>
    <row r="128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</row>
    <row r="129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</row>
    <row r="130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</row>
    <row r="131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</row>
    <row r="132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</row>
    <row r="133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</row>
    <row r="134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</row>
    <row r="135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</row>
    <row r="136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</row>
    <row r="1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</row>
    <row r="138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</row>
    <row r="139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</row>
    <row r="140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</row>
    <row r="141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</row>
    <row r="142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</row>
    <row r="143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</row>
    <row r="144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</row>
    <row r="145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</row>
    <row r="146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</row>
    <row r="14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</row>
    <row r="148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</row>
    <row r="149">
      <c r="A149" s="6" t="n"/>
      <c r="B149" s="6" t="n"/>
    </row>
    <row r="150">
      <c r="A150" s="6" t="n"/>
      <c r="B150" s="6" t="n"/>
    </row>
    <row r="151">
      <c r="A151" s="6" t="n"/>
      <c r="B151" s="6" t="n"/>
    </row>
    <row r="152">
      <c r="A152" s="6" t="n"/>
      <c r="B152" s="6" t="n"/>
    </row>
    <row r="153">
      <c r="A153" s="6" t="n"/>
      <c r="B153" s="6" t="n"/>
    </row>
    <row r="154">
      <c r="A154" s="6" t="n"/>
      <c r="B154" s="6" t="n"/>
    </row>
    <row r="155">
      <c r="A155" s="6" t="n"/>
      <c r="B155" s="6" t="n"/>
    </row>
    <row r="156">
      <c r="A156" s="6" t="n"/>
      <c r="B156" s="6" t="n"/>
    </row>
    <row r="157">
      <c r="A157" s="6" t="n"/>
      <c r="B157" s="6" t="n"/>
    </row>
    <row r="158">
      <c r="A158" s="6" t="n"/>
      <c r="B158" s="6" t="n"/>
    </row>
    <row r="159">
      <c r="A159" s="6" t="n"/>
      <c r="B159" s="6" t="n"/>
    </row>
    <row r="160">
      <c r="A160" s="6" t="n"/>
      <c r="B160" s="6" t="n"/>
    </row>
    <row r="161">
      <c r="A161" s="6" t="n"/>
      <c r="B161" s="6" t="n"/>
    </row>
    <row r="162">
      <c r="A162" s="6" t="n"/>
      <c r="B162" s="6" t="n"/>
    </row>
    <row r="163">
      <c r="A163" s="6" t="n"/>
      <c r="B163" s="6" t="n"/>
    </row>
    <row r="164">
      <c r="A164" s="6" t="n"/>
      <c r="B164" s="6" t="n"/>
    </row>
    <row r="165">
      <c r="A165" s="6" t="n"/>
      <c r="B165" s="6" t="n"/>
    </row>
    <row r="166">
      <c r="A166" s="6" t="n"/>
      <c r="B166" s="6" t="n"/>
    </row>
    <row r="167">
      <c r="A167" s="6" t="n"/>
      <c r="B167" s="6" t="n"/>
    </row>
    <row r="168">
      <c r="A168" s="6" t="n"/>
      <c r="B168" s="6" t="n"/>
    </row>
    <row r="169">
      <c r="A169" s="6" t="n"/>
      <c r="B169" s="6" t="n"/>
    </row>
    <row r="170">
      <c r="A170" s="6" t="n"/>
      <c r="B170" s="6" t="n"/>
    </row>
    <row r="171">
      <c r="A171" s="6" t="n"/>
      <c r="B171" s="6" t="n"/>
    </row>
    <row r="172">
      <c r="A172" s="6" t="n"/>
      <c r="B172" s="6" t="n"/>
    </row>
    <row r="173">
      <c r="A173" s="6" t="n"/>
      <c r="B173" s="6" t="n"/>
    </row>
    <row r="174">
      <c r="A174" s="6" t="n"/>
      <c r="B174" s="6" t="n"/>
    </row>
    <row r="175">
      <c r="A175" s="6" t="n"/>
      <c r="B175" s="6" t="n"/>
    </row>
    <row r="176">
      <c r="A176" s="6" t="n"/>
      <c r="B176" s="6" t="n"/>
    </row>
    <row r="177">
      <c r="A177" s="6" t="n"/>
      <c r="B177" s="6" t="n"/>
    </row>
    <row r="178">
      <c r="A178" s="6" t="n"/>
      <c r="B178" s="6" t="n"/>
    </row>
    <row r="179">
      <c r="A179" s="6" t="n"/>
      <c r="B179" s="6" t="n"/>
    </row>
    <row r="180">
      <c r="A180" s="6" t="n"/>
      <c r="B180" s="6" t="n"/>
    </row>
    <row r="181">
      <c r="A181" s="6" t="n"/>
      <c r="B181" s="6" t="n"/>
    </row>
    <row r="182">
      <c r="A182" s="6" t="n"/>
      <c r="B182" s="6" t="n"/>
    </row>
    <row r="183">
      <c r="A183" s="6" t="n"/>
      <c r="B183" s="6" t="n"/>
    </row>
    <row r="184">
      <c r="A184" s="6" t="n"/>
      <c r="B184" s="6" t="n"/>
    </row>
    <row r="185">
      <c r="A185" s="6" t="n"/>
      <c r="B185" s="6" t="n"/>
    </row>
    <row r="186">
      <c r="A186" s="6" t="n"/>
      <c r="B186" s="6" t="n"/>
    </row>
    <row r="187">
      <c r="A187" s="6" t="n"/>
      <c r="B187" s="6" t="n"/>
    </row>
    <row r="188">
      <c r="A188" s="6" t="n"/>
      <c r="B188" s="6" t="n"/>
    </row>
    <row r="189">
      <c r="A189" s="6" t="n"/>
      <c r="B189" s="6" t="n"/>
    </row>
    <row r="190">
      <c r="A190" s="6" t="n"/>
      <c r="B190" s="6" t="n"/>
    </row>
    <row r="191">
      <c r="A191" s="6" t="n"/>
      <c r="B191" s="6" t="n"/>
    </row>
    <row r="192">
      <c r="A192" s="6" t="n"/>
      <c r="B192" s="6" t="n"/>
    </row>
    <row r="193">
      <c r="A193" s="6" t="n"/>
      <c r="B193" s="6" t="n"/>
    </row>
    <row r="194">
      <c r="A194" s="6" t="n"/>
      <c r="B194" s="6" t="n"/>
    </row>
    <row r="195">
      <c r="A195" s="6" t="n"/>
      <c r="B195" s="6" t="n"/>
    </row>
    <row r="196">
      <c r="A196" s="6" t="n"/>
      <c r="B196" s="6" t="n"/>
    </row>
    <row r="197">
      <c r="A197" s="6" t="n"/>
      <c r="B197" s="6" t="n"/>
    </row>
    <row r="198">
      <c r="A198" s="6" t="n"/>
      <c r="B198" s="6" t="n"/>
    </row>
    <row r="199">
      <c r="A199" s="6" t="n"/>
      <c r="B199" s="6" t="n"/>
    </row>
    <row r="200">
      <c r="A200" s="6" t="n"/>
      <c r="B200" s="6" t="n"/>
    </row>
    <row r="201">
      <c r="A201" s="6" t="n"/>
      <c r="B201" s="6" t="n"/>
    </row>
    <row r="202">
      <c r="A202" s="6" t="n"/>
      <c r="B202" s="6" t="n"/>
    </row>
    <row r="203">
      <c r="A203" s="6" t="n"/>
      <c r="B203" s="6" t="n"/>
    </row>
    <row r="204">
      <c r="A204" s="6" t="n"/>
      <c r="B204" s="6" t="n"/>
    </row>
    <row r="205">
      <c r="A205" s="6" t="n"/>
      <c r="B205" s="6" t="n"/>
    </row>
  </sheetData>
  <conditionalFormatting sqref="I38:I120">
    <cfRule type="colorScale" priority="1">
      <colorScale>
        <cfvo type="num" val="0.02"/>
        <cfvo type="num" val="0.12"/>
        <cfvo type="num" val="0.22"/>
        <color rgb="FFF7CFCF"/>
        <color rgb="FFFDF0CE"/>
        <color rgb="FFCDE9DF"/>
      </colorScale>
    </cfRule>
  </conditionalFormatting>
  <conditionalFormatting sqref="L38:L120">
    <cfRule type="colorScale" priority="2">
      <colorScale>
        <cfvo type="num" val="0.55"/>
        <cfvo type="num" val="0.75"/>
        <cfvo type="num" val="0.95"/>
        <color rgb="FFF7CFCF"/>
        <color rgb="FFFDF0CE"/>
        <color rgb="FFCDE9DF"/>
      </colorScale>
    </cfRule>
  </conditionalFormatting>
  <conditionalFormatting sqref="H38:H120">
    <cfRule type="dataBar" priority="3">
      <dataBar showValue="1">
        <cfvo type="num" val="0"/>
        <cfvo type="num" val="1"/>
        <color rgb="FFB8CFEC"/>
      </dataBar>
    </cfRule>
  </conditionalFormatting>
  <conditionalFormatting sqref="E38:E120">
    <cfRule type="cellIs" priority="4" operator="greaterThan" dxfId="19">
      <formula>0</formula>
    </cfRule>
    <cfRule type="cellIs" priority="5" operator="lessThan" dxfId="20">
      <formula>0</formula>
    </cfRule>
  </conditionalFormatting>
  <conditionalFormatting sqref="G38:G120">
    <cfRule type="cellIs" priority="6" operator="greaterThan" dxfId="19">
      <formula>0</formula>
    </cfRule>
    <cfRule type="cellIs" priority="7" operator="lessThan" dxfId="20">
      <formula>0</formula>
    </cfRule>
  </conditionalFormatting>
  <conditionalFormatting sqref="J38:J120">
    <cfRule type="cellIs" priority="8" operator="greaterThan" dxfId="19">
      <formula>0</formula>
    </cfRule>
    <cfRule type="cellIs" priority="9" operator="lessThan" dxfId="20">
      <formula>0</formula>
    </cfRule>
  </conditionalFormatting>
  <conditionalFormatting sqref="B38:O120">
    <cfRule type="expression" priority="10" dxfId="21">
      <formula>$B38=2</formula>
    </cfRule>
    <cfRule type="expression" priority="11" dxfId="22">
      <formula>$B38=3</formula>
    </cfRule>
    <cfRule type="expression" priority="12" dxfId="23">
      <formula>$B38=4</formula>
    </cfRule>
  </conditionalFormatting>
  <conditionalFormatting sqref="D9">
    <cfRule type="cellIs" priority="13" operator="lessThan" dxfId="24">
      <formula>1000000</formula>
    </cfRule>
  </conditionalFormatting>
  <conditionalFormatting sqref="F9">
    <cfRule type="cellIs" priority="14" operator="lessThan" dxfId="25">
      <formula>1000000</formula>
    </cfRule>
  </conditionalFormatting>
  <conditionalFormatting sqref="D10">
    <cfRule type="cellIs" priority="15" operator="greaterThan" dxfId="26">
      <formula>0</formula>
    </cfRule>
    <cfRule type="cellIs" priority="16" operator="lessThan" dxfId="27">
      <formula>0</formula>
    </cfRule>
  </conditionalFormatting>
  <conditionalFormatting sqref="F10">
    <cfRule type="cellIs" priority="17" operator="greaterThan" dxfId="26">
      <formula>0</formula>
    </cfRule>
    <cfRule type="cellIs" priority="18" operator="lessThan" dxfId="27">
      <formula>0</formula>
    </cfRule>
  </conditionalFormatting>
  <conditionalFormatting sqref="H10">
    <cfRule type="cellIs" priority="19" operator="greaterThan" dxfId="26">
      <formula>0</formula>
    </cfRule>
    <cfRule type="cellIs" priority="20" operator="lessThan" dxfId="27">
      <formula>0</formula>
    </cfRule>
  </conditionalFormatting>
  <conditionalFormatting sqref="J10">
    <cfRule type="cellIs" priority="21" operator="greaterThan" dxfId="26">
      <formula>0</formula>
    </cfRule>
    <cfRule type="cellIs" priority="22" operator="lessThan" dxfId="27">
      <formula>0</formula>
    </cfRule>
  </conditionalFormatting>
  <conditionalFormatting sqref="L10">
    <cfRule type="cellIs" priority="23" operator="greaterThan" dxfId="27">
      <formula>0</formula>
    </cfRule>
    <cfRule type="cellIs" priority="24" operator="lessThan" dxfId="26">
      <formula>0</formula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Saad El meziati</dc:creator>
  <dcterms:created xsi:type="dcterms:W3CDTF">2026-09-04T14:45:38Z</dcterms:created>
  <dcterms:modified xsi:type="dcterms:W3CDTF">2026-09-06T19:09:37Z</dcterms:modified>
  <cp:lastModifiedBy>Saad El meziati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GK_DBID" fmtid="{D5CDD505-2E9C-101B-9397-08002B2CF9AE}" pid="2">
    <vt:lpwstr>TGK_MSSQL_07</vt:lpwstr>
  </property>
  <property name="TGK_VERSION" fmtid="{D5CDD505-2E9C-101B-9397-08002B2CF9AE}" pid="3">
    <vt:lpwstr>35.0.0.6.tgk.20260209140819</vt:lpwstr>
  </property>
  <property name="TGK_DOCID" fmtid="{D5CDD505-2E9C-101B-9397-08002B2CF9AE}" pid="4">
    <vt:lpwstr>b47b1245-aaf6-447a-845f-a97c344d95df</vt:lpwstr>
  </property>
  <property name="TGK_CUSTOM_XML" fmtid="{D5CDD505-2E9C-101B-9397-08002B2CF9AE}" pid="5">
    <vt:lpwstr>{F76DA344-3860-4C84-A140-6F896B300A2C}</vt:lpwstr>
  </property>
</Properties>
</file>