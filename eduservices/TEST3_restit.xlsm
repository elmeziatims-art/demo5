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B092D23B-90E9-481B-A106-444E817828C2}" xr6:coauthVersionLast="47" xr6:coauthVersionMax="47" xr10:uidLastSave="{00000000-0000-0000-0000-000000000000}"/>
  <bookViews>
    <workbookView xWindow="-120" yWindow="-120" windowWidth="29040" windowHeight="15720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R2" i="17"/>
  <c r="AC2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AN2" i="17"/>
  <c r="AA2" i="12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AB2" i="12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</calcChain>
</file>

<file path=xl/sharedStrings.xml><?xml version="1.0" encoding="utf-8"?>
<sst xmlns="http://schemas.openxmlformats.org/spreadsheetml/2006/main" count="12665" uniqueCount="298">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</sst>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  <numFmt numFmtId="178" formatCode="#,##0&quot; €&quot;;-#,##0&quot; €&quot;;&quot;–&quot;"/>
    <numFmt numFmtId="179" formatCode="0.0%;-0.0%;&quot;–&quot;"/>
  </numFmts>
  <fonts count="5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  <font>
      <b/>
      <sz val="11"/>
      <color rgb="FF1F3864"/>
      <name val="Arial"/>
      <family val="2"/>
    </font>
    <font>
      <b/>
      <sz val="9"/>
      <color rgb="FF15406E"/>
      <name val="Arial"/>
      <family val="2"/>
    </font>
    <font>
      <sz val="11"/>
      <color rgb="FF1F3864"/>
      <name val="Arial"/>
      <family val="2"/>
    </font>
    <font>
      <sz val="11"/>
      <color rgb="FF3B3B3B"/>
      <name val="Arial"/>
      <family val="2"/>
    </font>
    <font>
      <i/>
      <sz val="10"/>
      <color rgb="FF3B3B3B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  <fill>
      <patternFill patternType="solid">
        <fgColor rgb="FFE8F0FB"/>
        <bgColor indexed="64"/>
      </patternFill>
    </fill>
  </fills>
  <borders count="1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2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  <xf numFmtId="0" fontId="46" fillId="28" borderId="0" xfId="0" applyFont="1" applyFill="1" applyBorder="1" applyAlignment="1">
      <alignment horizontal="centerContinuous" vertical="center"/>
    </xf>
    <xf numFmtId="0" fontId="0" fillId="28" borderId="0" xfId="0" applyFont="1" applyFill="1" applyBorder="1" applyAlignment="1">
      <alignment horizontal="centerContinuous"/>
    </xf>
    <xf numFmtId="0" fontId="47" fillId="28" borderId="0" xfId="0" applyFont="1" applyFill="1" applyBorder="1" applyAlignment="1">
      <alignment horizontal="center" vertical="center" wrapText="1"/>
    </xf>
    <xf numFmtId="0" fontId="47" fillId="28" borderId="0" xfId="0" applyFont="1" applyFill="1" applyBorder="1" applyAlignment="1">
      <alignment horizontal="centerContinuous" vertical="center" wrapText="1"/>
    </xf>
    <xf numFmtId="0" fontId="46" fillId="0" borderId="0" xfId="0" applyFont="1" applyFill="1" applyBorder="1" applyAlignment="1">
      <alignment horizontal="left" vertical="center"/>
    </xf>
    <xf numFmtId="178" fontId="48" fillId="0" borderId="0" xfId="0" applyFont="1" applyFill="1" applyBorder="1" applyNumberFormat="1" applyAlignment="1">
      <alignment horizontal="right" vertical="center"/>
    </xf>
    <xf numFmtId="179" fontId="49" fillId="0" borderId="0" xfId="0" applyFont="1" applyFill="1" applyBorder="1" applyNumberFormat="1" applyAlignment="1">
      <alignment horizontal="right" vertical="center"/>
    </xf>
    <xf numFmtId="0" fontId="50" fillId="0" borderId="0" xfId="0" applyFont="1" applyFill="1" applyBorder="1" applyAlignment="1">
      <alignment horizontal="left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6" sqref="C6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VOL_EFF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  <c r="E5" s="134" t="inlineStr">
        <is>
          <t xml:space="preserve">Charges indirectes allouées au coût complet</t>
        </is>
      </c>
      <c r="F5" s="135"/>
      <c r="G5" s="135"/>
      <c r="H5" s="135"/>
      <c r="I5" s="135"/>
      <c r="J5" s="135"/>
      <c r="K5" s="135"/>
      <c r="L5" s="135"/>
      <c r="M5" s="135"/>
    </row>
    <row r="6" ht="30" customHeight="1">
      <c r="B6" s="128" t="s">
        <v>292</v>
      </c>
      <c r="C6" s="129" t="s">
        <v>21</v>
      </c>
      <c r="E6" s="136" t="inlineStr">
        <is>
          <t xml:space="preserve">Charge</t>
        </is>
      </c>
      <c r="F6" s="136" t="inlineStr">
        <is>
          <t xml:space="preserve">Montant groupe</t>
        </is>
      </c>
      <c r="G6" s="136" t="inlineStr">
        <is>
          <t xml:space="preserve">% coût complet</t>
        </is>
      </c>
      <c r="H6" s="137" t="inlineStr">
        <is>
          <t xml:space="preserve">Comment elle est allouée</t>
        </is>
      </c>
      <c r="I6" s="137"/>
      <c r="J6" s="137"/>
      <c r="K6" s="137"/>
      <c r="L6" s="137"/>
      <c r="M6" s="137"/>
    </row>
    <row r="7" spans="2:14" ht="14.65" thickBot="1" x14ac:dyDescent="0.5">
      <c r="B7" s="128" t="s">
        <v>293</v>
      </c>
      <c r="C7" s="129" t="s">
        <v>23</v>
      </c>
      <c r="E7" s="138" t="inlineStr">
        <is>
          <t xml:space="preserve">ODIR</t>
        </is>
      </c>
      <c r="F7" s="139">
        <f>G95</f>
      </c>
      <c r="G7" s="140">
        <f>IFERROR(G95/$K$95,0)</f>
      </c>
      <c r="H7" s="141" t="inlineStr">
        <is>
          <t xml:space="preserve">Coûts directs hors enseignement (pédagogie, vie étudiante, frais spécifiques).</t>
        </is>
      </c>
    </row>
    <row r="8" spans="2:14" ht="14.65" thickBot="1" x14ac:dyDescent="0.5">
      <c r="B8" s="128" t="s">
        <v>294</v>
      </c>
      <c r="C8" s="129" t="s">
        <v>23</v>
      </c>
      <c r="E8" s="138" t="inlineStr">
        <is>
          <t xml:space="preserve">STRUCT</t>
        </is>
      </c>
      <c r="F8" s="139">
        <f>H95</f>
      </c>
      <c r="G8" s="140">
        <f>IFERROR(H95/$K$95,0)</f>
      </c>
      <c r="H8" s="141" t="inlineStr">
        <is>
          <t xml:space="preserve">Structure du campus (loyers, IT, admin locale), répartie sur ses classes.</t>
        </is>
      </c>
    </row>
    <row r="9" spans="2:14" ht="14.65" thickBot="1" x14ac:dyDescent="0.5">
      <c r="B9" s="128" t="s">
        <v>295</v>
      </c>
      <c r="C9" s="129" t="s">
        <v>296</v>
      </c>
      <c r="E9" s="138" t="inlineStr">
        <is>
          <t xml:space="preserve">Frais marque</t>
        </is>
      </c>
      <c r="F9" s="139">
        <f>I95</f>
      </c>
      <c r="G9" s="140">
        <f>IFERROR(I95/$K$95,0)</f>
      </c>
      <c r="H9" s="141" t="inlineStr">
        <is>
          <t xml:space="preserve">Publicité de la marque, répartie sur les campus au prorata de l'effectif.</t>
        </is>
      </c>
    </row>
    <row r="10">
      <c r="E10" s="138" t="inlineStr">
        <is>
          <t xml:space="preserve">Holding</t>
        </is>
      </c>
      <c r="F10" s="139">
        <f>J95</f>
      </c>
      <c r="G10" s="140">
        <f>IFERROR(J95/$K$95,0)</f>
      </c>
      <c r="H10" s="141" t="inlineStr">
        <is>
          <t xml:space="preserve">Siège &amp; fonctions centrales, allouées aux marques au prorata du CA.</t>
        </is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SUMIFS(Allocation!$I$1:$I$175,Allocation!$C$1:$C$175,"2026",Allocation!$E$1:$E$175,"MBWAY")</f>
        <v>0</v>
      </c>
      <c r="D18" s="123">
        <f>SUMIFS(Allocation!$K$1:$K$175,Allocation!$C$1:$C$175,"2026",Allocation!$E$1:$E$175,"MBWAY")</f>
        <v>0</v>
      </c>
      <c r="E18" s="123">
        <f>SUMIFS(Allocation!$V$1:$V$175,Allocation!$C$1:$C$175,"2026",Allocation!$E$1:$E$175,"MBWAY")</f>
        <v>0</v>
      </c>
      <c r="F18" s="123">
        <f>SUMIFS(Allocation!$W$1:$W$175,Allocation!$C$1:$C$175,"2026",Allocation!$E$1:$E$175,"MBWAY")</f>
        <v>0</v>
      </c>
      <c r="G18" s="123">
        <f>SUMIFS(Allocation!$X$1:$X$175,Allocation!$C$1:$C$175,"2026",Allocation!$E$1:$E$175,"MBWAY")</f>
        <v>0</v>
      </c>
      <c r="H18" s="123">
        <f>SUMIFS(Allocation!$Y$1:$Y$175,Allocation!$C$1:$C$175,"2026",Allocation!$E$1:$E$175,"MBWAY")</f>
        <v>0</v>
      </c>
      <c r="I18" s="123">
        <f>SUMIFS(Allocation!$AC$1:$AC$175,Allocation!$C$1:$C$175,"2026",Allocation!$E$1:$E$175,"MBWAY")</f>
        <v>0</v>
      </c>
      <c r="J18" s="123">
        <f>SUMIFS(Allocation!$Z$1:$Z$175,Allocation!$C$1:$C$175,"2026",Allocation!$E$1:$E$175,"MBWAY")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SUMIFS(Allocation!$AA$1:$AA$175,Allocation!$C$1:$C$175,"2026",Allocation!$E$1:$E$175,"MBWAY")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SUMIFS(Allocation!$I$1:$I$175,Allocation!$C$1:$C$175,"2026",Allocation!$D$1:$D$175,"MBWAY_PAR")</f>
        <v>0</v>
      </c>
      <c r="D19" s="123">
        <f>SUMIFS(Allocation!$K$1:$K$175,Allocation!$C$1:$C$175,"2026",Allocation!$D$1:$D$175,"MBWAY_PAR")</f>
        <v>0</v>
      </c>
      <c r="E19" s="123">
        <f>SUMIFS(Allocation!$V$1:$V$175,Allocation!$C$1:$C$175,"2026",Allocation!$D$1:$D$175,"MBWAY_PAR")</f>
        <v>0</v>
      </c>
      <c r="F19" s="123">
        <f>SUMIFS(Allocation!$W$1:$W$175,Allocation!$C$1:$C$175,"2026",Allocation!$D$1:$D$175,"MBWAY_PAR")</f>
        <v>0</v>
      </c>
      <c r="G19" s="123">
        <f>SUMIFS(Allocation!$X$1:$X$175,Allocation!$C$1:$C$175,"2026",Allocation!$D$1:$D$175,"MBWAY_PAR")</f>
        <v>0</v>
      </c>
      <c r="H19" s="123">
        <f>SUMIFS(Allocation!$Y$1:$Y$175,Allocation!$C$1:$C$175,"2026",Allocation!$D$1:$D$175,"MBWAY_PAR")</f>
        <v>0</v>
      </c>
      <c r="I19" s="123">
        <f>SUMIFS(Allocation!$AC$1:$AC$175,Allocation!$C$1:$C$175,"2026",Allocation!$D$1:$D$175,"MBWAY_PAR")</f>
        <v>0</v>
      </c>
      <c r="J19" s="123">
        <f>SUMIFS(Allocation!$Z$1:$Z$175,Allocation!$C$1:$C$175,"2026",Allocation!$D$1:$D$175,"MBWAY_PAR")</f>
        <v>0</v>
      </c>
      <c r="K19" s="123">
        <f t="shared" si="0"/>
        <v>0</v>
      </c>
      <c r="L19" s="130">
        <f>SUMIFS(Allocation!$AA$1:$AA$175,Allocation!$C$1:$C$175,"2026",Allocation!$D$1:$D$175,"MBWAY_PAR")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SUMIFS(Allocation!$I$1:$I$175,Allocation!$C$1:$C$175,"2026",Allocation!$D$1:$D$175,"MBWAY_PAR",Allocation!$F$1:$F$175,"BAC_MGT",Allocation!$G$1:$G$175,"B1",Allocation!$H$1:$H$175,"INIT")</f>
        <v>0</v>
      </c>
      <c r="D20" s="84">
        <f>SUMIFS(Allocation!$K$1:$K$175,Allocation!$C$1:$C$175,"2026",Allocation!$D$1:$D$175,"MBWAY_PAR",Allocation!$F$1:$F$175,"BAC_MGT",Allocation!$G$1:$G$175,"B1",Allocation!$H$1:$H$175,"INIT")</f>
        <v>0</v>
      </c>
      <c r="E20" s="84">
        <f>SUMIFS(Allocation!$V$1:$V$175,Allocation!$C$1:$C$175,"2026",Allocation!$D$1:$D$175,"MBWAY_PAR",Allocation!$F$1:$F$175,"BAC_MGT",Allocation!$G$1:$G$175,"B1",Allocation!$H$1:$H$175,"INIT")</f>
        <v>0</v>
      </c>
      <c r="F20" s="84">
        <f>SUMIFS(Allocation!$W$1:$W$175,Allocation!$C$1:$C$175,"2026",Allocation!$D$1:$D$175,"MBWAY_PAR",Allocation!$F$1:$F$175,"BAC_MGT",Allocation!$G$1:$G$175,"B1",Allocation!$H$1:$H$175,"INIT")</f>
        <v>0</v>
      </c>
      <c r="G20" s="84">
        <f>SUMIFS(Allocation!$X$1:$X$175,Allocation!$C$1:$C$175,"2026",Allocation!$D$1:$D$175,"MBWAY_PAR",Allocation!$F$1:$F$175,"BAC_MGT",Allocation!$G$1:$G$175,"B1",Allocation!$H$1:$H$175,"INIT")</f>
        <v>0</v>
      </c>
      <c r="H20" s="84">
        <f>SUMIFS(Allocation!$Y$1:$Y$175,Allocation!$C$1:$C$175,"2026",Allocation!$D$1:$D$175,"MBWAY_PAR",Allocation!$F$1:$F$175,"BAC_MGT",Allocation!$G$1:$G$175,"B1",Allocation!$H$1:$H$175,"INIT")</f>
        <v>0</v>
      </c>
      <c r="I20" s="84">
        <f>SUMIFS(Allocation!$AC$1:$AC$175,Allocation!$C$1:$C$175,"2026",Allocation!$D$1:$D$175,"MBWAY_PAR",Allocation!$F$1:$F$175,"BAC_MGT",Allocation!$G$1:$G$175,"B1",Allocation!$H$1:$H$175,"INIT")</f>
        <v>0</v>
      </c>
      <c r="J20" s="84">
        <f>SUMIFS(Allocation!$Z$1:$Z$175,Allocation!$C$1:$C$175,"2026",Allocation!$D$1:$D$175,"MBWAY_PAR",Allocation!$F$1:$F$175,"BAC_MGT",Allocation!$G$1:$G$175,"B1",Allocation!$H$1:$H$175,"INIT")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SUMIFS(Allocation!$AA$1:$AA$175,Allocation!$C$1:$C$175,"2026",Allocation!$D$1:$D$175,"MBWAY_PAR",Allocation!$F$1:$F$175,"BAC_MGT",Allocation!$G$1:$G$175,"B1",Allocation!$H$1:$H$175,"INIT")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SUMIFS(Allocation!$I$1:$I$175,Allocation!$C$1:$C$175,"2026",Allocation!$D$1:$D$175,"MBWAY_PAR",Allocation!$F$1:$F$175,"BAC_MGT",Allocation!$G$1:$G$175,"B2",Allocation!$H$1:$H$175,"ALT")</f>
        <v>0</v>
      </c>
      <c r="D21" s="84">
        <f>SUMIFS(Allocation!$K$1:$K$175,Allocation!$C$1:$C$175,"2026",Allocation!$D$1:$D$175,"MBWAY_PAR",Allocation!$F$1:$F$175,"BAC_MGT",Allocation!$G$1:$G$175,"B2",Allocation!$H$1:$H$175,"ALT")</f>
        <v>0</v>
      </c>
      <c r="E21" s="84">
        <f>SUMIFS(Allocation!$V$1:$V$175,Allocation!$C$1:$C$175,"2026",Allocation!$D$1:$D$175,"MBWAY_PAR",Allocation!$F$1:$F$175,"BAC_MGT",Allocation!$G$1:$G$175,"B2",Allocation!$H$1:$H$175,"ALT")</f>
        <v>0</v>
      </c>
      <c r="F21" s="84">
        <f>SUMIFS(Allocation!$W$1:$W$175,Allocation!$C$1:$C$175,"2026",Allocation!$D$1:$D$175,"MBWAY_PAR",Allocation!$F$1:$F$175,"BAC_MGT",Allocation!$G$1:$G$175,"B2",Allocation!$H$1:$H$175,"ALT")</f>
        <v>0</v>
      </c>
      <c r="G21" s="84">
        <f>SUMIFS(Allocation!$X$1:$X$175,Allocation!$C$1:$C$175,"2026",Allocation!$D$1:$D$175,"MBWAY_PAR",Allocation!$F$1:$F$175,"BAC_MGT",Allocation!$G$1:$G$175,"B2",Allocation!$H$1:$H$175,"ALT")</f>
        <v>0</v>
      </c>
      <c r="H21" s="84">
        <f>SUMIFS(Allocation!$Y$1:$Y$175,Allocation!$C$1:$C$175,"2026",Allocation!$D$1:$D$175,"MBWAY_PAR",Allocation!$F$1:$F$175,"BAC_MGT",Allocation!$G$1:$G$175,"B2",Allocation!$H$1:$H$175,"ALT")</f>
        <v>0</v>
      </c>
      <c r="I21" s="84">
        <f>SUMIFS(Allocation!$AC$1:$AC$175,Allocation!$C$1:$C$175,"2026",Allocation!$D$1:$D$175,"MBWAY_PAR",Allocation!$F$1:$F$175,"BAC_MGT",Allocation!$G$1:$G$175,"B2",Allocation!$H$1:$H$175,"ALT")</f>
        <v>0</v>
      </c>
      <c r="J21" s="84">
        <f>SUMIFS(Allocation!$Z$1:$Z$175,Allocation!$C$1:$C$175,"2026",Allocation!$D$1:$D$175,"MBWAY_PAR",Allocation!$F$1:$F$175,"BAC_MGT",Allocation!$G$1:$G$175,"B2",Allocation!$H$1:$H$175,"ALT")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SUMIFS(Allocation!$AA$1:$AA$175,Allocation!$C$1:$C$175,"2026",Allocation!$D$1:$D$175,"MBWAY_PAR",Allocation!$F$1:$F$175,"BAC_MGT",Allocation!$G$1:$G$175,"B2",Allocation!$H$1:$H$175,"ALT")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SUMIFS(Allocation!$I$1:$I$175,Allocation!$C$1:$C$175,"2026",Allocation!$D$1:$D$175,"MBWAY_PAR",Allocation!$F$1:$F$175,"BAC_MGT",Allocation!$G$1:$G$175,"B3",Allocation!$H$1:$H$175,"ALT")</f>
        <v>0</v>
      </c>
      <c r="D22" s="84">
        <f>SUMIFS(Allocation!$K$1:$K$175,Allocation!$C$1:$C$175,"2026",Allocation!$D$1:$D$175,"MBWAY_PAR",Allocation!$F$1:$F$175,"BAC_MGT",Allocation!$G$1:$G$175,"B3",Allocation!$H$1:$H$175,"ALT")</f>
        <v>0</v>
      </c>
      <c r="E22" s="84">
        <f>SUMIFS(Allocation!$V$1:$V$175,Allocation!$C$1:$C$175,"2026",Allocation!$D$1:$D$175,"MBWAY_PAR",Allocation!$F$1:$F$175,"BAC_MGT",Allocation!$G$1:$G$175,"B3",Allocation!$H$1:$H$175,"ALT")</f>
        <v>0</v>
      </c>
      <c r="F22" s="84">
        <f>SUMIFS(Allocation!$W$1:$W$175,Allocation!$C$1:$C$175,"2026",Allocation!$D$1:$D$175,"MBWAY_PAR",Allocation!$F$1:$F$175,"BAC_MGT",Allocation!$G$1:$G$175,"B3",Allocation!$H$1:$H$175,"ALT")</f>
        <v>0</v>
      </c>
      <c r="G22" s="84">
        <f>SUMIFS(Allocation!$X$1:$X$175,Allocation!$C$1:$C$175,"2026",Allocation!$D$1:$D$175,"MBWAY_PAR",Allocation!$F$1:$F$175,"BAC_MGT",Allocation!$G$1:$G$175,"B3",Allocation!$H$1:$H$175,"ALT")</f>
        <v>0</v>
      </c>
      <c r="H22" s="84">
        <f>SUMIFS(Allocation!$Y$1:$Y$175,Allocation!$C$1:$C$175,"2026",Allocation!$D$1:$D$175,"MBWAY_PAR",Allocation!$F$1:$F$175,"BAC_MGT",Allocation!$G$1:$G$175,"B3",Allocation!$H$1:$H$175,"ALT")</f>
        <v>0</v>
      </c>
      <c r="I22" s="84">
        <f>SUMIFS(Allocation!$AC$1:$AC$175,Allocation!$C$1:$C$175,"2026",Allocation!$D$1:$D$175,"MBWAY_PAR",Allocation!$F$1:$F$175,"BAC_MGT",Allocation!$G$1:$G$175,"B3",Allocation!$H$1:$H$175,"ALT")</f>
        <v>0</v>
      </c>
      <c r="J22" s="84">
        <f>SUMIFS(Allocation!$Z$1:$Z$175,Allocation!$C$1:$C$175,"2026",Allocation!$D$1:$D$175,"MBWAY_PAR",Allocation!$F$1:$F$175,"BAC_MGT",Allocation!$G$1:$G$175,"B3",Allocation!$H$1:$H$175,"ALT")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SUMIFS(Allocation!$AA$1:$AA$175,Allocation!$C$1:$C$175,"2026",Allocation!$D$1:$D$175,"MBWAY_PAR",Allocation!$F$1:$F$175,"BAC_MGT",Allocation!$G$1:$G$175,"B3",Allocation!$H$1:$H$175,"ALT")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SUMIFS(Allocation!$I$1:$I$175,Allocation!$C$1:$C$175,"2026",Allocation!$D$1:$D$175,"MBWAY_PAR",Allocation!$F$1:$F$175,"MAS_MGT",Allocation!$G$1:$G$175,"M1",Allocation!$H$1:$H$175,"ALT")</f>
        <v>0</v>
      </c>
      <c r="D23" s="84">
        <f>SUMIFS(Allocation!$K$1:$K$175,Allocation!$C$1:$C$175,"2026",Allocation!$D$1:$D$175,"MBWAY_PAR",Allocation!$F$1:$F$175,"MAS_MGT",Allocation!$G$1:$G$175,"M1",Allocation!$H$1:$H$175,"ALT")</f>
        <v>0</v>
      </c>
      <c r="E23" s="84">
        <f>SUMIFS(Allocation!$V$1:$V$175,Allocation!$C$1:$C$175,"2026",Allocation!$D$1:$D$175,"MBWAY_PAR",Allocation!$F$1:$F$175,"MAS_MGT",Allocation!$G$1:$G$175,"M1",Allocation!$H$1:$H$175,"ALT")</f>
        <v>0</v>
      </c>
      <c r="F23" s="84">
        <f>SUMIFS(Allocation!$W$1:$W$175,Allocation!$C$1:$C$175,"2026",Allocation!$D$1:$D$175,"MBWAY_PAR",Allocation!$F$1:$F$175,"MAS_MGT",Allocation!$G$1:$G$175,"M1",Allocation!$H$1:$H$175,"ALT")</f>
        <v>0</v>
      </c>
      <c r="G23" s="84">
        <f>SUMIFS(Allocation!$X$1:$X$175,Allocation!$C$1:$C$175,"2026",Allocation!$D$1:$D$175,"MBWAY_PAR",Allocation!$F$1:$F$175,"MAS_MGT",Allocation!$G$1:$G$175,"M1",Allocation!$H$1:$H$175,"ALT")</f>
        <v>0</v>
      </c>
      <c r="H23" s="84">
        <f>SUMIFS(Allocation!$Y$1:$Y$175,Allocation!$C$1:$C$175,"2026",Allocation!$D$1:$D$175,"MBWAY_PAR",Allocation!$F$1:$F$175,"MAS_MGT",Allocation!$G$1:$G$175,"M1",Allocation!$H$1:$H$175,"ALT")</f>
        <v>0</v>
      </c>
      <c r="I23" s="84">
        <f>SUMIFS(Allocation!$AC$1:$AC$175,Allocation!$C$1:$C$175,"2026",Allocation!$D$1:$D$175,"MBWAY_PAR",Allocation!$F$1:$F$175,"MAS_MGT",Allocation!$G$1:$G$175,"M1",Allocation!$H$1:$H$175,"ALT")</f>
        <v>0</v>
      </c>
      <c r="J23" s="84">
        <f>SUMIFS(Allocation!$Z$1:$Z$175,Allocation!$C$1:$C$175,"2026",Allocation!$D$1:$D$175,"MBWAY_PAR",Allocation!$F$1:$F$175,"MAS_MGT",Allocation!$G$1:$G$175,"M1",Allocation!$H$1:$H$175,"ALT")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SUMIFS(Allocation!$AA$1:$AA$175,Allocation!$C$1:$C$175,"2026",Allocation!$D$1:$D$175,"MBWAY_PAR",Allocation!$F$1:$F$175,"MAS_MGT",Allocation!$G$1:$G$175,"M1",Allocation!$H$1:$H$175,"ALT")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SUMIFS(Allocation!$I$1:$I$175,Allocation!$C$1:$C$175,"2026",Allocation!$D$1:$D$175,"MBWAY_PAR",Allocation!$F$1:$F$175,"MAS_MGT",Allocation!$G$1:$G$175,"M2",Allocation!$H$1:$H$175,"ALT")</f>
        <v>0</v>
      </c>
      <c r="D24" s="84">
        <f>SUMIFS(Allocation!$K$1:$K$175,Allocation!$C$1:$C$175,"2026",Allocation!$D$1:$D$175,"MBWAY_PAR",Allocation!$F$1:$F$175,"MAS_MGT",Allocation!$G$1:$G$175,"M2",Allocation!$H$1:$H$175,"ALT")</f>
        <v>0</v>
      </c>
      <c r="E24" s="84">
        <f>SUMIFS(Allocation!$V$1:$V$175,Allocation!$C$1:$C$175,"2026",Allocation!$D$1:$D$175,"MBWAY_PAR",Allocation!$F$1:$F$175,"MAS_MGT",Allocation!$G$1:$G$175,"M2",Allocation!$H$1:$H$175,"ALT")</f>
        <v>0</v>
      </c>
      <c r="F24" s="84">
        <f>SUMIFS(Allocation!$W$1:$W$175,Allocation!$C$1:$C$175,"2026",Allocation!$D$1:$D$175,"MBWAY_PAR",Allocation!$F$1:$F$175,"MAS_MGT",Allocation!$G$1:$G$175,"M2",Allocation!$H$1:$H$175,"ALT")</f>
        <v>0</v>
      </c>
      <c r="G24" s="84">
        <f>SUMIFS(Allocation!$X$1:$X$175,Allocation!$C$1:$C$175,"2026",Allocation!$D$1:$D$175,"MBWAY_PAR",Allocation!$F$1:$F$175,"MAS_MGT",Allocation!$G$1:$G$175,"M2",Allocation!$H$1:$H$175,"ALT")</f>
        <v>0</v>
      </c>
      <c r="H24" s="84">
        <f>SUMIFS(Allocation!$Y$1:$Y$175,Allocation!$C$1:$C$175,"2026",Allocation!$D$1:$D$175,"MBWAY_PAR",Allocation!$F$1:$F$175,"MAS_MGT",Allocation!$G$1:$G$175,"M2",Allocation!$H$1:$H$175,"ALT")</f>
        <v>0</v>
      </c>
      <c r="I24" s="84">
        <f>SUMIFS(Allocation!$AC$1:$AC$175,Allocation!$C$1:$C$175,"2026",Allocation!$D$1:$D$175,"MBWAY_PAR",Allocation!$F$1:$F$175,"MAS_MGT",Allocation!$G$1:$G$175,"M2",Allocation!$H$1:$H$175,"ALT")</f>
        <v>0</v>
      </c>
      <c r="J24" s="84">
        <f>SUMIFS(Allocation!$Z$1:$Z$175,Allocation!$C$1:$C$175,"2026",Allocation!$D$1:$D$175,"MBWAY_PAR",Allocation!$F$1:$F$175,"MAS_MGT",Allocation!$G$1:$G$175,"M2",Allocation!$H$1:$H$175,"ALT")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SUMIFS(Allocation!$AA$1:$AA$175,Allocation!$C$1:$C$175,"2026",Allocation!$D$1:$D$175,"MBWAY_PAR",Allocation!$F$1:$F$175,"MAS_MGT",Allocation!$G$1:$G$175,"M2",Allocation!$H$1:$H$175,"ALT")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SUMIFS(Allocation!$I$1:$I$175,Allocation!$C$1:$C$175,"2026",Allocation!$D$1:$D$175,"MBWAY_LYO")</f>
        <v>0</v>
      </c>
      <c r="D25" s="123">
        <f>SUMIFS(Allocation!$K$1:$K$175,Allocation!$C$1:$C$175,"2026",Allocation!$D$1:$D$175,"MBWAY_LYO")</f>
        <v>0</v>
      </c>
      <c r="E25" s="123">
        <f>SUMIFS(Allocation!$V$1:$V$175,Allocation!$C$1:$C$175,"2026",Allocation!$D$1:$D$175,"MBWAY_LYO")</f>
        <v>0</v>
      </c>
      <c r="F25" s="123">
        <f>SUMIFS(Allocation!$W$1:$W$175,Allocation!$C$1:$C$175,"2026",Allocation!$D$1:$D$175,"MBWAY_LYO")</f>
        <v>0</v>
      </c>
      <c r="G25" s="123">
        <f>SUMIFS(Allocation!$X$1:$X$175,Allocation!$C$1:$C$175,"2026",Allocation!$D$1:$D$175,"MBWAY_LYO")</f>
        <v>0</v>
      </c>
      <c r="H25" s="123">
        <f>SUMIFS(Allocation!$Y$1:$Y$175,Allocation!$C$1:$C$175,"2026",Allocation!$D$1:$D$175,"MBWAY_LYO")</f>
        <v>0</v>
      </c>
      <c r="I25" s="123">
        <f>SUMIFS(Allocation!$AC$1:$AC$175,Allocation!$C$1:$C$175,"2026",Allocation!$D$1:$D$175,"MBWAY_LYO")</f>
        <v>0</v>
      </c>
      <c r="J25" s="123">
        <f>SUMIFS(Allocation!$Z$1:$Z$175,Allocation!$C$1:$C$175,"2026",Allocation!$D$1:$D$175,"MBWAY_LYO")</f>
        <v>0</v>
      </c>
      <c r="K25" s="123">
        <f t="shared" si="0"/>
        <v>0</v>
      </c>
      <c r="L25" s="130">
        <f>SUMIFS(Allocation!$AA$1:$AA$175,Allocation!$C$1:$C$175,"2026",Allocation!$D$1:$D$175,"MBWAY_LYO")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SUMIFS(Allocation!$I$1:$I$175,Allocation!$C$1:$C$175,"2026",Allocation!$D$1:$D$175,"MBWAY_LYO",Allocation!$F$1:$F$175,"BAC_MGT",Allocation!$G$1:$G$175,"B1",Allocation!$H$1:$H$175,"INIT")</f>
        <v>0</v>
      </c>
      <c r="D26" s="84">
        <f>SUMIFS(Allocation!$K$1:$K$175,Allocation!$C$1:$C$175,"2026",Allocation!$D$1:$D$175,"MBWAY_LYO",Allocation!$F$1:$F$175,"BAC_MGT",Allocation!$G$1:$G$175,"B1",Allocation!$H$1:$H$175,"INIT")</f>
        <v>0</v>
      </c>
      <c r="E26" s="84">
        <f>SUMIFS(Allocation!$V$1:$V$175,Allocation!$C$1:$C$175,"2026",Allocation!$D$1:$D$175,"MBWAY_LYO",Allocation!$F$1:$F$175,"BAC_MGT",Allocation!$G$1:$G$175,"B1",Allocation!$H$1:$H$175,"INIT")</f>
        <v>0</v>
      </c>
      <c r="F26" s="84">
        <f>SUMIFS(Allocation!$W$1:$W$175,Allocation!$C$1:$C$175,"2026",Allocation!$D$1:$D$175,"MBWAY_LYO",Allocation!$F$1:$F$175,"BAC_MGT",Allocation!$G$1:$G$175,"B1",Allocation!$H$1:$H$175,"INIT")</f>
        <v>0</v>
      </c>
      <c r="G26" s="84">
        <f>SUMIFS(Allocation!$X$1:$X$175,Allocation!$C$1:$C$175,"2026",Allocation!$D$1:$D$175,"MBWAY_LYO",Allocation!$F$1:$F$175,"BAC_MGT",Allocation!$G$1:$G$175,"B1",Allocation!$H$1:$H$175,"INIT")</f>
        <v>0</v>
      </c>
      <c r="H26" s="84">
        <f>SUMIFS(Allocation!$Y$1:$Y$175,Allocation!$C$1:$C$175,"2026",Allocation!$D$1:$D$175,"MBWAY_LYO",Allocation!$F$1:$F$175,"BAC_MGT",Allocation!$G$1:$G$175,"B1",Allocation!$H$1:$H$175,"INIT")</f>
        <v>0</v>
      </c>
      <c r="I26" s="84">
        <f>SUMIFS(Allocation!$AC$1:$AC$175,Allocation!$C$1:$C$175,"2026",Allocation!$D$1:$D$175,"MBWAY_LYO",Allocation!$F$1:$F$175,"BAC_MGT",Allocation!$G$1:$G$175,"B1",Allocation!$H$1:$H$175,"INIT")</f>
        <v>0</v>
      </c>
      <c r="J26" s="84">
        <f>SUMIFS(Allocation!$Z$1:$Z$175,Allocation!$C$1:$C$175,"2026",Allocation!$D$1:$D$175,"MBWAY_LYO",Allocation!$F$1:$F$175,"BAC_MGT",Allocation!$G$1:$G$175,"B1",Allocation!$H$1:$H$175,"INIT")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SUMIFS(Allocation!$AA$1:$AA$175,Allocation!$C$1:$C$175,"2026",Allocation!$D$1:$D$175,"MBWAY_LYO",Allocation!$F$1:$F$175,"BAC_MGT",Allocation!$G$1:$G$175,"B1",Allocation!$H$1:$H$175,"INIT")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SUMIFS(Allocation!$I$1:$I$175,Allocation!$C$1:$C$175,"2026",Allocation!$D$1:$D$175,"MBWAY_LYO",Allocation!$F$1:$F$175,"BAC_MGT",Allocation!$G$1:$G$175,"B2",Allocation!$H$1:$H$175,"ALT")</f>
        <v>0</v>
      </c>
      <c r="D27" s="84">
        <f>SUMIFS(Allocation!$K$1:$K$175,Allocation!$C$1:$C$175,"2026",Allocation!$D$1:$D$175,"MBWAY_LYO",Allocation!$F$1:$F$175,"BAC_MGT",Allocation!$G$1:$G$175,"B2",Allocation!$H$1:$H$175,"ALT")</f>
        <v>0</v>
      </c>
      <c r="E27" s="84">
        <f>SUMIFS(Allocation!$V$1:$V$175,Allocation!$C$1:$C$175,"2026",Allocation!$D$1:$D$175,"MBWAY_LYO",Allocation!$F$1:$F$175,"BAC_MGT",Allocation!$G$1:$G$175,"B2",Allocation!$H$1:$H$175,"ALT")</f>
        <v>0</v>
      </c>
      <c r="F27" s="84">
        <f>SUMIFS(Allocation!$W$1:$W$175,Allocation!$C$1:$C$175,"2026",Allocation!$D$1:$D$175,"MBWAY_LYO",Allocation!$F$1:$F$175,"BAC_MGT",Allocation!$G$1:$G$175,"B2",Allocation!$H$1:$H$175,"ALT")</f>
        <v>0</v>
      </c>
      <c r="G27" s="84">
        <f>SUMIFS(Allocation!$X$1:$X$175,Allocation!$C$1:$C$175,"2026",Allocation!$D$1:$D$175,"MBWAY_LYO",Allocation!$F$1:$F$175,"BAC_MGT",Allocation!$G$1:$G$175,"B2",Allocation!$H$1:$H$175,"ALT")</f>
        <v>0</v>
      </c>
      <c r="H27" s="84">
        <f>SUMIFS(Allocation!$Y$1:$Y$175,Allocation!$C$1:$C$175,"2026",Allocation!$D$1:$D$175,"MBWAY_LYO",Allocation!$F$1:$F$175,"BAC_MGT",Allocation!$G$1:$G$175,"B2",Allocation!$H$1:$H$175,"ALT")</f>
        <v>0</v>
      </c>
      <c r="I27" s="84">
        <f>SUMIFS(Allocation!$AC$1:$AC$175,Allocation!$C$1:$C$175,"2026",Allocation!$D$1:$D$175,"MBWAY_LYO",Allocation!$F$1:$F$175,"BAC_MGT",Allocation!$G$1:$G$175,"B2",Allocation!$H$1:$H$175,"ALT")</f>
        <v>0</v>
      </c>
      <c r="J27" s="84">
        <f>SUMIFS(Allocation!$Z$1:$Z$175,Allocation!$C$1:$C$175,"2026",Allocation!$D$1:$D$175,"MBWAY_LYO",Allocation!$F$1:$F$175,"BAC_MGT",Allocation!$G$1:$G$175,"B2",Allocation!$H$1:$H$175,"ALT")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SUMIFS(Allocation!$AA$1:$AA$175,Allocation!$C$1:$C$175,"2026",Allocation!$D$1:$D$175,"MBWAY_LYO",Allocation!$F$1:$F$175,"BAC_MGT",Allocation!$G$1:$G$175,"B2",Allocation!$H$1:$H$175,"ALT")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SUMIFS(Allocation!$I$1:$I$175,Allocation!$C$1:$C$175,"2026",Allocation!$D$1:$D$175,"MBWAY_LYO",Allocation!$F$1:$F$175,"BAC_MGT",Allocation!$G$1:$G$175,"B3",Allocation!$H$1:$H$175,"ALT")</f>
        <v>0</v>
      </c>
      <c r="D28" s="84">
        <f>SUMIFS(Allocation!$K$1:$K$175,Allocation!$C$1:$C$175,"2026",Allocation!$D$1:$D$175,"MBWAY_LYO",Allocation!$F$1:$F$175,"BAC_MGT",Allocation!$G$1:$G$175,"B3",Allocation!$H$1:$H$175,"ALT")</f>
        <v>0</v>
      </c>
      <c r="E28" s="84">
        <f>SUMIFS(Allocation!$V$1:$V$175,Allocation!$C$1:$C$175,"2026",Allocation!$D$1:$D$175,"MBWAY_LYO",Allocation!$F$1:$F$175,"BAC_MGT",Allocation!$G$1:$G$175,"B3",Allocation!$H$1:$H$175,"ALT")</f>
        <v>0</v>
      </c>
      <c r="F28" s="84">
        <f>SUMIFS(Allocation!$W$1:$W$175,Allocation!$C$1:$C$175,"2026",Allocation!$D$1:$D$175,"MBWAY_LYO",Allocation!$F$1:$F$175,"BAC_MGT",Allocation!$G$1:$G$175,"B3",Allocation!$H$1:$H$175,"ALT")</f>
        <v>0</v>
      </c>
      <c r="G28" s="84">
        <f>SUMIFS(Allocation!$X$1:$X$175,Allocation!$C$1:$C$175,"2026",Allocation!$D$1:$D$175,"MBWAY_LYO",Allocation!$F$1:$F$175,"BAC_MGT",Allocation!$G$1:$G$175,"B3",Allocation!$H$1:$H$175,"ALT")</f>
        <v>0</v>
      </c>
      <c r="H28" s="84">
        <f>SUMIFS(Allocation!$Y$1:$Y$175,Allocation!$C$1:$C$175,"2026",Allocation!$D$1:$D$175,"MBWAY_LYO",Allocation!$F$1:$F$175,"BAC_MGT",Allocation!$G$1:$G$175,"B3",Allocation!$H$1:$H$175,"ALT")</f>
        <v>0</v>
      </c>
      <c r="I28" s="84">
        <f>SUMIFS(Allocation!$AC$1:$AC$175,Allocation!$C$1:$C$175,"2026",Allocation!$D$1:$D$175,"MBWAY_LYO",Allocation!$F$1:$F$175,"BAC_MGT",Allocation!$G$1:$G$175,"B3",Allocation!$H$1:$H$175,"ALT")</f>
        <v>0</v>
      </c>
      <c r="J28" s="84">
        <f>SUMIFS(Allocation!$Z$1:$Z$175,Allocation!$C$1:$C$175,"2026",Allocation!$D$1:$D$175,"MBWAY_LYO",Allocation!$F$1:$F$175,"BAC_MGT",Allocation!$G$1:$G$175,"B3",Allocation!$H$1:$H$175,"ALT")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SUMIFS(Allocation!$AA$1:$AA$175,Allocation!$C$1:$C$175,"2026",Allocation!$D$1:$D$175,"MBWAY_LYO",Allocation!$F$1:$F$175,"BAC_MGT",Allocation!$G$1:$G$175,"B3",Allocation!$H$1:$H$175,"ALT")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SUMIFS(Allocation!$I$1:$I$175,Allocation!$C$1:$C$175,"2026",Allocation!$D$1:$D$175,"MBWAY_LYO",Allocation!$F$1:$F$175,"MAS_MGT",Allocation!$G$1:$G$175,"M1",Allocation!$H$1:$H$175,"ALT")</f>
        <v>0</v>
      </c>
      <c r="D29" s="84">
        <f>SUMIFS(Allocation!$K$1:$K$175,Allocation!$C$1:$C$175,"2026",Allocation!$D$1:$D$175,"MBWAY_LYO",Allocation!$F$1:$F$175,"MAS_MGT",Allocation!$G$1:$G$175,"M1",Allocation!$H$1:$H$175,"ALT")</f>
        <v>0</v>
      </c>
      <c r="E29" s="84">
        <f>SUMIFS(Allocation!$V$1:$V$175,Allocation!$C$1:$C$175,"2026",Allocation!$D$1:$D$175,"MBWAY_LYO",Allocation!$F$1:$F$175,"MAS_MGT",Allocation!$G$1:$G$175,"M1",Allocation!$H$1:$H$175,"ALT")</f>
        <v>0</v>
      </c>
      <c r="F29" s="84">
        <f>SUMIFS(Allocation!$W$1:$W$175,Allocation!$C$1:$C$175,"2026",Allocation!$D$1:$D$175,"MBWAY_LYO",Allocation!$F$1:$F$175,"MAS_MGT",Allocation!$G$1:$G$175,"M1",Allocation!$H$1:$H$175,"ALT")</f>
        <v>0</v>
      </c>
      <c r="G29" s="84">
        <f>SUMIFS(Allocation!$X$1:$X$175,Allocation!$C$1:$C$175,"2026",Allocation!$D$1:$D$175,"MBWAY_LYO",Allocation!$F$1:$F$175,"MAS_MGT",Allocation!$G$1:$G$175,"M1",Allocation!$H$1:$H$175,"ALT")</f>
        <v>0</v>
      </c>
      <c r="H29" s="84">
        <f>SUMIFS(Allocation!$Y$1:$Y$175,Allocation!$C$1:$C$175,"2026",Allocation!$D$1:$D$175,"MBWAY_LYO",Allocation!$F$1:$F$175,"MAS_MGT",Allocation!$G$1:$G$175,"M1",Allocation!$H$1:$H$175,"ALT")</f>
        <v>0</v>
      </c>
      <c r="I29" s="84">
        <f>SUMIFS(Allocation!$AC$1:$AC$175,Allocation!$C$1:$C$175,"2026",Allocation!$D$1:$D$175,"MBWAY_LYO",Allocation!$F$1:$F$175,"MAS_MGT",Allocation!$G$1:$G$175,"M1",Allocation!$H$1:$H$175,"ALT")</f>
        <v>0</v>
      </c>
      <c r="J29" s="84">
        <f>SUMIFS(Allocation!$Z$1:$Z$175,Allocation!$C$1:$C$175,"2026",Allocation!$D$1:$D$175,"MBWAY_LYO",Allocation!$F$1:$F$175,"MAS_MGT",Allocation!$G$1:$G$175,"M1",Allocation!$H$1:$H$175,"ALT")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SUMIFS(Allocation!$AA$1:$AA$175,Allocation!$C$1:$C$175,"2026",Allocation!$D$1:$D$175,"MBWAY_LYO",Allocation!$F$1:$F$175,"MAS_MGT",Allocation!$G$1:$G$175,"M1",Allocation!$H$1:$H$175,"ALT")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SUMIFS(Allocation!$I$1:$I$175,Allocation!$C$1:$C$175,"2026",Allocation!$D$1:$D$175,"MBWAY_LYO",Allocation!$F$1:$F$175,"MAS_MGT",Allocation!$G$1:$G$175,"M2",Allocation!$H$1:$H$175,"ALT")</f>
        <v>0</v>
      </c>
      <c r="D30" s="84">
        <f>SUMIFS(Allocation!$K$1:$K$175,Allocation!$C$1:$C$175,"2026",Allocation!$D$1:$D$175,"MBWAY_LYO",Allocation!$F$1:$F$175,"MAS_MGT",Allocation!$G$1:$G$175,"M2",Allocation!$H$1:$H$175,"ALT")</f>
        <v>0</v>
      </c>
      <c r="E30" s="84">
        <f>SUMIFS(Allocation!$V$1:$V$175,Allocation!$C$1:$C$175,"2026",Allocation!$D$1:$D$175,"MBWAY_LYO",Allocation!$F$1:$F$175,"MAS_MGT",Allocation!$G$1:$G$175,"M2",Allocation!$H$1:$H$175,"ALT")</f>
        <v>0</v>
      </c>
      <c r="F30" s="84">
        <f>SUMIFS(Allocation!$W$1:$W$175,Allocation!$C$1:$C$175,"2026",Allocation!$D$1:$D$175,"MBWAY_LYO",Allocation!$F$1:$F$175,"MAS_MGT",Allocation!$G$1:$G$175,"M2",Allocation!$H$1:$H$175,"ALT")</f>
        <v>0</v>
      </c>
      <c r="G30" s="84">
        <f>SUMIFS(Allocation!$X$1:$X$175,Allocation!$C$1:$C$175,"2026",Allocation!$D$1:$D$175,"MBWAY_LYO",Allocation!$F$1:$F$175,"MAS_MGT",Allocation!$G$1:$G$175,"M2",Allocation!$H$1:$H$175,"ALT")</f>
        <v>0</v>
      </c>
      <c r="H30" s="84">
        <f>SUMIFS(Allocation!$Y$1:$Y$175,Allocation!$C$1:$C$175,"2026",Allocation!$D$1:$D$175,"MBWAY_LYO",Allocation!$F$1:$F$175,"MAS_MGT",Allocation!$G$1:$G$175,"M2",Allocation!$H$1:$H$175,"ALT")</f>
        <v>0</v>
      </c>
      <c r="I30" s="84">
        <f>SUMIFS(Allocation!$AC$1:$AC$175,Allocation!$C$1:$C$175,"2026",Allocation!$D$1:$D$175,"MBWAY_LYO",Allocation!$F$1:$F$175,"MAS_MGT",Allocation!$G$1:$G$175,"M2",Allocation!$H$1:$H$175,"ALT")</f>
        <v>0</v>
      </c>
      <c r="J30" s="84">
        <f>SUMIFS(Allocation!$Z$1:$Z$175,Allocation!$C$1:$C$175,"2026",Allocation!$D$1:$D$175,"MBWAY_LYO",Allocation!$F$1:$F$175,"MAS_MGT",Allocation!$G$1:$G$175,"M2",Allocation!$H$1:$H$175,"ALT")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SUMIFS(Allocation!$AA$1:$AA$175,Allocation!$C$1:$C$175,"2026",Allocation!$D$1:$D$175,"MBWAY_LYO",Allocation!$F$1:$F$175,"MAS_MGT",Allocation!$G$1:$G$175,"M2",Allocation!$H$1:$H$175,"ALT")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SUMIFS(Allocation!$I$1:$I$175,Allocation!$C$1:$C$175,"2026",Allocation!$D$1:$D$175,"MBWAY_NAN")</f>
        <v>0</v>
      </c>
      <c r="D31" s="123">
        <f>SUMIFS(Allocation!$K$1:$K$175,Allocation!$C$1:$C$175,"2026",Allocation!$D$1:$D$175,"MBWAY_NAN")</f>
        <v>0</v>
      </c>
      <c r="E31" s="123">
        <f>SUMIFS(Allocation!$V$1:$V$175,Allocation!$C$1:$C$175,"2026",Allocation!$D$1:$D$175,"MBWAY_NAN")</f>
        <v>0</v>
      </c>
      <c r="F31" s="123">
        <f>SUMIFS(Allocation!$W$1:$W$175,Allocation!$C$1:$C$175,"2026",Allocation!$D$1:$D$175,"MBWAY_NAN")</f>
        <v>0</v>
      </c>
      <c r="G31" s="123">
        <f>SUMIFS(Allocation!$X$1:$X$175,Allocation!$C$1:$C$175,"2026",Allocation!$D$1:$D$175,"MBWAY_NAN")</f>
        <v>0</v>
      </c>
      <c r="H31" s="123">
        <f>SUMIFS(Allocation!$Y$1:$Y$175,Allocation!$C$1:$C$175,"2026",Allocation!$D$1:$D$175,"MBWAY_NAN")</f>
        <v>0</v>
      </c>
      <c r="I31" s="123">
        <f>SUMIFS(Allocation!$AC$1:$AC$175,Allocation!$C$1:$C$175,"2026",Allocation!$D$1:$D$175,"MBWAY_NAN")</f>
        <v>0</v>
      </c>
      <c r="J31" s="123">
        <f>SUMIFS(Allocation!$Z$1:$Z$175,Allocation!$C$1:$C$175,"2026",Allocation!$D$1:$D$175,"MBWAY_NAN")</f>
        <v>0</v>
      </c>
      <c r="K31" s="123">
        <f t="shared" si="0"/>
        <v>0</v>
      </c>
      <c r="L31" s="130">
        <f>SUMIFS(Allocation!$AA$1:$AA$175,Allocation!$C$1:$C$175,"2026",Allocation!$D$1:$D$175,"MBWAY_NAN")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SUMIFS(Allocation!$I$1:$I$175,Allocation!$C$1:$C$175,"2026",Allocation!$D$1:$D$175,"MBWAY_NAN",Allocation!$F$1:$F$175,"BAC_MGT",Allocation!$G$1:$G$175,"B1",Allocation!$H$1:$H$175,"INIT")</f>
        <v>0</v>
      </c>
      <c r="D32" s="84">
        <f>SUMIFS(Allocation!$K$1:$K$175,Allocation!$C$1:$C$175,"2026",Allocation!$D$1:$D$175,"MBWAY_NAN",Allocation!$F$1:$F$175,"BAC_MGT",Allocation!$G$1:$G$175,"B1",Allocation!$H$1:$H$175,"INIT")</f>
        <v>0</v>
      </c>
      <c r="E32" s="84">
        <f>SUMIFS(Allocation!$V$1:$V$175,Allocation!$C$1:$C$175,"2026",Allocation!$D$1:$D$175,"MBWAY_NAN",Allocation!$F$1:$F$175,"BAC_MGT",Allocation!$G$1:$G$175,"B1",Allocation!$H$1:$H$175,"INIT")</f>
        <v>0</v>
      </c>
      <c r="F32" s="84">
        <f>SUMIFS(Allocation!$W$1:$W$175,Allocation!$C$1:$C$175,"2026",Allocation!$D$1:$D$175,"MBWAY_NAN",Allocation!$F$1:$F$175,"BAC_MGT",Allocation!$G$1:$G$175,"B1",Allocation!$H$1:$H$175,"INIT")</f>
        <v>0</v>
      </c>
      <c r="G32" s="84">
        <f>SUMIFS(Allocation!$X$1:$X$175,Allocation!$C$1:$C$175,"2026",Allocation!$D$1:$D$175,"MBWAY_NAN",Allocation!$F$1:$F$175,"BAC_MGT",Allocation!$G$1:$G$175,"B1",Allocation!$H$1:$H$175,"INIT")</f>
        <v>0</v>
      </c>
      <c r="H32" s="84">
        <f>SUMIFS(Allocation!$Y$1:$Y$175,Allocation!$C$1:$C$175,"2026",Allocation!$D$1:$D$175,"MBWAY_NAN",Allocation!$F$1:$F$175,"BAC_MGT",Allocation!$G$1:$G$175,"B1",Allocation!$H$1:$H$175,"INIT")</f>
        <v>0</v>
      </c>
      <c r="I32" s="84">
        <f>SUMIFS(Allocation!$AC$1:$AC$175,Allocation!$C$1:$C$175,"2026",Allocation!$D$1:$D$175,"MBWAY_NAN",Allocation!$F$1:$F$175,"BAC_MGT",Allocation!$G$1:$G$175,"B1",Allocation!$H$1:$H$175,"INIT")</f>
        <v>0</v>
      </c>
      <c r="J32" s="84">
        <f>SUMIFS(Allocation!$Z$1:$Z$175,Allocation!$C$1:$C$175,"2026",Allocation!$D$1:$D$175,"MBWAY_NAN",Allocation!$F$1:$F$175,"BAC_MGT",Allocation!$G$1:$G$175,"B1",Allocation!$H$1:$H$175,"INIT")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SUMIFS(Allocation!$AA$1:$AA$175,Allocation!$C$1:$C$175,"2026",Allocation!$D$1:$D$175,"MBWAY_NAN",Allocation!$F$1:$F$175,"BAC_MGT",Allocation!$G$1:$G$175,"B1",Allocation!$H$1:$H$175,"INIT")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SUMIFS(Allocation!$I$1:$I$175,Allocation!$C$1:$C$175,"2026",Allocation!$D$1:$D$175,"MBWAY_NAN",Allocation!$F$1:$F$175,"BAC_MGT",Allocation!$G$1:$G$175,"B2",Allocation!$H$1:$H$175,"ALT")</f>
        <v>0</v>
      </c>
      <c r="D33" s="84">
        <f>SUMIFS(Allocation!$K$1:$K$175,Allocation!$C$1:$C$175,"2026",Allocation!$D$1:$D$175,"MBWAY_NAN",Allocation!$F$1:$F$175,"BAC_MGT",Allocation!$G$1:$G$175,"B2",Allocation!$H$1:$H$175,"ALT")</f>
        <v>0</v>
      </c>
      <c r="E33" s="84">
        <f>SUMIFS(Allocation!$V$1:$V$175,Allocation!$C$1:$C$175,"2026",Allocation!$D$1:$D$175,"MBWAY_NAN",Allocation!$F$1:$F$175,"BAC_MGT",Allocation!$G$1:$G$175,"B2",Allocation!$H$1:$H$175,"ALT")</f>
        <v>0</v>
      </c>
      <c r="F33" s="84">
        <f>SUMIFS(Allocation!$W$1:$W$175,Allocation!$C$1:$C$175,"2026",Allocation!$D$1:$D$175,"MBWAY_NAN",Allocation!$F$1:$F$175,"BAC_MGT",Allocation!$G$1:$G$175,"B2",Allocation!$H$1:$H$175,"ALT")</f>
        <v>0</v>
      </c>
      <c r="G33" s="84">
        <f>SUMIFS(Allocation!$X$1:$X$175,Allocation!$C$1:$C$175,"2026",Allocation!$D$1:$D$175,"MBWAY_NAN",Allocation!$F$1:$F$175,"BAC_MGT",Allocation!$G$1:$G$175,"B2",Allocation!$H$1:$H$175,"ALT")</f>
        <v>0</v>
      </c>
      <c r="H33" s="84">
        <f>SUMIFS(Allocation!$Y$1:$Y$175,Allocation!$C$1:$C$175,"2026",Allocation!$D$1:$D$175,"MBWAY_NAN",Allocation!$F$1:$F$175,"BAC_MGT",Allocation!$G$1:$G$175,"B2",Allocation!$H$1:$H$175,"ALT")</f>
        <v>0</v>
      </c>
      <c r="I33" s="84">
        <f>SUMIFS(Allocation!$AC$1:$AC$175,Allocation!$C$1:$C$175,"2026",Allocation!$D$1:$D$175,"MBWAY_NAN",Allocation!$F$1:$F$175,"BAC_MGT",Allocation!$G$1:$G$175,"B2",Allocation!$H$1:$H$175,"ALT")</f>
        <v>0</v>
      </c>
      <c r="J33" s="84">
        <f>SUMIFS(Allocation!$Z$1:$Z$175,Allocation!$C$1:$C$175,"2026",Allocation!$D$1:$D$175,"MBWAY_NAN",Allocation!$F$1:$F$175,"BAC_MGT",Allocation!$G$1:$G$175,"B2",Allocation!$H$1:$H$175,"ALT")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SUMIFS(Allocation!$AA$1:$AA$175,Allocation!$C$1:$C$175,"2026",Allocation!$D$1:$D$175,"MBWAY_NAN",Allocation!$F$1:$F$175,"BAC_MGT",Allocation!$G$1:$G$175,"B2",Allocation!$H$1:$H$175,"ALT")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SUMIFS(Allocation!$I$1:$I$175,Allocation!$C$1:$C$175,"2026",Allocation!$D$1:$D$175,"MBWAY_NAN",Allocation!$F$1:$F$175,"BAC_MGT",Allocation!$G$1:$G$175,"B3",Allocation!$H$1:$H$175,"ALT")</f>
        <v>0</v>
      </c>
      <c r="D34" s="84">
        <f>SUMIFS(Allocation!$K$1:$K$175,Allocation!$C$1:$C$175,"2026",Allocation!$D$1:$D$175,"MBWAY_NAN",Allocation!$F$1:$F$175,"BAC_MGT",Allocation!$G$1:$G$175,"B3",Allocation!$H$1:$H$175,"ALT")</f>
        <v>0</v>
      </c>
      <c r="E34" s="84">
        <f>SUMIFS(Allocation!$V$1:$V$175,Allocation!$C$1:$C$175,"2026",Allocation!$D$1:$D$175,"MBWAY_NAN",Allocation!$F$1:$F$175,"BAC_MGT",Allocation!$G$1:$G$175,"B3",Allocation!$H$1:$H$175,"ALT")</f>
        <v>0</v>
      </c>
      <c r="F34" s="84">
        <f>SUMIFS(Allocation!$W$1:$W$175,Allocation!$C$1:$C$175,"2026",Allocation!$D$1:$D$175,"MBWAY_NAN",Allocation!$F$1:$F$175,"BAC_MGT",Allocation!$G$1:$G$175,"B3",Allocation!$H$1:$H$175,"ALT")</f>
        <v>0</v>
      </c>
      <c r="G34" s="84">
        <f>SUMIFS(Allocation!$X$1:$X$175,Allocation!$C$1:$C$175,"2026",Allocation!$D$1:$D$175,"MBWAY_NAN",Allocation!$F$1:$F$175,"BAC_MGT",Allocation!$G$1:$G$175,"B3",Allocation!$H$1:$H$175,"ALT")</f>
        <v>0</v>
      </c>
      <c r="H34" s="84">
        <f>SUMIFS(Allocation!$Y$1:$Y$175,Allocation!$C$1:$C$175,"2026",Allocation!$D$1:$D$175,"MBWAY_NAN",Allocation!$F$1:$F$175,"BAC_MGT",Allocation!$G$1:$G$175,"B3",Allocation!$H$1:$H$175,"ALT")</f>
        <v>0</v>
      </c>
      <c r="I34" s="84">
        <f>SUMIFS(Allocation!$AC$1:$AC$175,Allocation!$C$1:$C$175,"2026",Allocation!$D$1:$D$175,"MBWAY_NAN",Allocation!$F$1:$F$175,"BAC_MGT",Allocation!$G$1:$G$175,"B3",Allocation!$H$1:$H$175,"ALT")</f>
        <v>0</v>
      </c>
      <c r="J34" s="84">
        <f>SUMIFS(Allocation!$Z$1:$Z$175,Allocation!$C$1:$C$175,"2026",Allocation!$D$1:$D$175,"MBWAY_NAN",Allocation!$F$1:$F$175,"BAC_MGT",Allocation!$G$1:$G$175,"B3",Allocation!$H$1:$H$175,"ALT")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SUMIFS(Allocation!$AA$1:$AA$175,Allocation!$C$1:$C$175,"2026",Allocation!$D$1:$D$175,"MBWAY_NAN",Allocation!$F$1:$F$175,"BAC_MGT",Allocation!$G$1:$G$175,"B3",Allocation!$H$1:$H$175,"ALT")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SUMIFS(Allocation!$I$1:$I$175,Allocation!$C$1:$C$175,"2026",Allocation!$D$1:$D$175,"MBWAY_NAN",Allocation!$F$1:$F$175,"MAS_MGT",Allocation!$G$1:$G$175,"M1",Allocation!$H$1:$H$175,"ALT")</f>
        <v>0</v>
      </c>
      <c r="D35" s="84">
        <f>SUMIFS(Allocation!$K$1:$K$175,Allocation!$C$1:$C$175,"2026",Allocation!$D$1:$D$175,"MBWAY_NAN",Allocation!$F$1:$F$175,"MAS_MGT",Allocation!$G$1:$G$175,"M1",Allocation!$H$1:$H$175,"ALT")</f>
        <v>0</v>
      </c>
      <c r="E35" s="84">
        <f>SUMIFS(Allocation!$V$1:$V$175,Allocation!$C$1:$C$175,"2026",Allocation!$D$1:$D$175,"MBWAY_NAN",Allocation!$F$1:$F$175,"MAS_MGT",Allocation!$G$1:$G$175,"M1",Allocation!$H$1:$H$175,"ALT")</f>
        <v>0</v>
      </c>
      <c r="F35" s="84">
        <f>SUMIFS(Allocation!$W$1:$W$175,Allocation!$C$1:$C$175,"2026",Allocation!$D$1:$D$175,"MBWAY_NAN",Allocation!$F$1:$F$175,"MAS_MGT",Allocation!$G$1:$G$175,"M1",Allocation!$H$1:$H$175,"ALT")</f>
        <v>0</v>
      </c>
      <c r="G35" s="84">
        <f>SUMIFS(Allocation!$X$1:$X$175,Allocation!$C$1:$C$175,"2026",Allocation!$D$1:$D$175,"MBWAY_NAN",Allocation!$F$1:$F$175,"MAS_MGT",Allocation!$G$1:$G$175,"M1",Allocation!$H$1:$H$175,"ALT")</f>
        <v>0</v>
      </c>
      <c r="H35" s="84">
        <f>SUMIFS(Allocation!$Y$1:$Y$175,Allocation!$C$1:$C$175,"2026",Allocation!$D$1:$D$175,"MBWAY_NAN",Allocation!$F$1:$F$175,"MAS_MGT",Allocation!$G$1:$G$175,"M1",Allocation!$H$1:$H$175,"ALT")</f>
        <v>0</v>
      </c>
      <c r="I35" s="84">
        <f>SUMIFS(Allocation!$AC$1:$AC$175,Allocation!$C$1:$C$175,"2026",Allocation!$D$1:$D$175,"MBWAY_NAN",Allocation!$F$1:$F$175,"MAS_MGT",Allocation!$G$1:$G$175,"M1",Allocation!$H$1:$H$175,"ALT")</f>
        <v>0</v>
      </c>
      <c r="J35" s="84">
        <f>SUMIFS(Allocation!$Z$1:$Z$175,Allocation!$C$1:$C$175,"2026",Allocation!$D$1:$D$175,"MBWAY_NAN",Allocation!$F$1:$F$175,"MAS_MGT",Allocation!$G$1:$G$175,"M1",Allocation!$H$1:$H$175,"ALT")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SUMIFS(Allocation!$AA$1:$AA$175,Allocation!$C$1:$C$175,"2026",Allocation!$D$1:$D$175,"MBWAY_NAN",Allocation!$F$1:$F$175,"MAS_MGT",Allocation!$G$1:$G$175,"M1",Allocation!$H$1:$H$175,"ALT")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SUMIFS(Allocation!$I$1:$I$175,Allocation!$C$1:$C$175,"2026",Allocation!$D$1:$D$175,"MBWAY_NAN",Allocation!$F$1:$F$175,"MAS_MGT",Allocation!$G$1:$G$175,"M2",Allocation!$H$1:$H$175,"ALT")</f>
        <v>0</v>
      </c>
      <c r="D36" s="84">
        <f>SUMIFS(Allocation!$K$1:$K$175,Allocation!$C$1:$C$175,"2026",Allocation!$D$1:$D$175,"MBWAY_NAN",Allocation!$F$1:$F$175,"MAS_MGT",Allocation!$G$1:$G$175,"M2",Allocation!$H$1:$H$175,"ALT")</f>
        <v>0</v>
      </c>
      <c r="E36" s="84">
        <f>SUMIFS(Allocation!$V$1:$V$175,Allocation!$C$1:$C$175,"2026",Allocation!$D$1:$D$175,"MBWAY_NAN",Allocation!$F$1:$F$175,"MAS_MGT",Allocation!$G$1:$G$175,"M2",Allocation!$H$1:$H$175,"ALT")</f>
        <v>0</v>
      </c>
      <c r="F36" s="84">
        <f>SUMIFS(Allocation!$W$1:$W$175,Allocation!$C$1:$C$175,"2026",Allocation!$D$1:$D$175,"MBWAY_NAN",Allocation!$F$1:$F$175,"MAS_MGT",Allocation!$G$1:$G$175,"M2",Allocation!$H$1:$H$175,"ALT")</f>
        <v>0</v>
      </c>
      <c r="G36" s="84">
        <f>SUMIFS(Allocation!$X$1:$X$175,Allocation!$C$1:$C$175,"2026",Allocation!$D$1:$D$175,"MBWAY_NAN",Allocation!$F$1:$F$175,"MAS_MGT",Allocation!$G$1:$G$175,"M2",Allocation!$H$1:$H$175,"ALT")</f>
        <v>0</v>
      </c>
      <c r="H36" s="84">
        <f>SUMIFS(Allocation!$Y$1:$Y$175,Allocation!$C$1:$C$175,"2026",Allocation!$D$1:$D$175,"MBWAY_NAN",Allocation!$F$1:$F$175,"MAS_MGT",Allocation!$G$1:$G$175,"M2",Allocation!$H$1:$H$175,"ALT")</f>
        <v>0</v>
      </c>
      <c r="I36" s="84">
        <f>SUMIFS(Allocation!$AC$1:$AC$175,Allocation!$C$1:$C$175,"2026",Allocation!$D$1:$D$175,"MBWAY_NAN",Allocation!$F$1:$F$175,"MAS_MGT",Allocation!$G$1:$G$175,"M2",Allocation!$H$1:$H$175,"ALT")</f>
        <v>0</v>
      </c>
      <c r="J36" s="84">
        <f>SUMIFS(Allocation!$Z$1:$Z$175,Allocation!$C$1:$C$175,"2026",Allocation!$D$1:$D$175,"MBWAY_NAN",Allocation!$F$1:$F$175,"MAS_MGT",Allocation!$G$1:$G$175,"M2",Allocation!$H$1:$H$175,"ALT")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SUMIFS(Allocation!$AA$1:$AA$175,Allocation!$C$1:$C$175,"2026",Allocation!$D$1:$D$175,"MBWAY_NAN",Allocation!$F$1:$F$175,"MAS_MGT",Allocation!$G$1:$G$175,"M2",Allocation!$H$1:$H$175,"ALT")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SUMIFS(Allocation!$I$1:$I$175,Allocation!$C$1:$C$175,"2026",Allocation!$D$1:$D$175,"MBWAY_BOR")</f>
        <v>0</v>
      </c>
      <c r="D37" s="123">
        <f>SUMIFS(Allocation!$K$1:$K$175,Allocation!$C$1:$C$175,"2026",Allocation!$D$1:$D$175,"MBWAY_BOR")</f>
        <v>0</v>
      </c>
      <c r="E37" s="123">
        <f>SUMIFS(Allocation!$V$1:$V$175,Allocation!$C$1:$C$175,"2026",Allocation!$D$1:$D$175,"MBWAY_BOR")</f>
        <v>0</v>
      </c>
      <c r="F37" s="123">
        <f>SUMIFS(Allocation!$W$1:$W$175,Allocation!$C$1:$C$175,"2026",Allocation!$D$1:$D$175,"MBWAY_BOR")</f>
        <v>0</v>
      </c>
      <c r="G37" s="123">
        <f>SUMIFS(Allocation!$X$1:$X$175,Allocation!$C$1:$C$175,"2026",Allocation!$D$1:$D$175,"MBWAY_BOR")</f>
        <v>0</v>
      </c>
      <c r="H37" s="123">
        <f>SUMIFS(Allocation!$Y$1:$Y$175,Allocation!$C$1:$C$175,"2026",Allocation!$D$1:$D$175,"MBWAY_BOR")</f>
        <v>0</v>
      </c>
      <c r="I37" s="123">
        <f>SUMIFS(Allocation!$AC$1:$AC$175,Allocation!$C$1:$C$175,"2026",Allocation!$D$1:$D$175,"MBWAY_BOR")</f>
        <v>0</v>
      </c>
      <c r="J37" s="123">
        <f>SUMIFS(Allocation!$Z$1:$Z$175,Allocation!$C$1:$C$175,"2026",Allocation!$D$1:$D$175,"MBWAY_BOR")</f>
        <v>0</v>
      </c>
      <c r="K37" s="123">
        <f t="shared" si="0"/>
        <v>0</v>
      </c>
      <c r="L37" s="130">
        <f>SUMIFS(Allocation!$AA$1:$AA$175,Allocation!$C$1:$C$175,"2026",Allocation!$D$1:$D$175,"MBWAY_BOR")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SUMIFS(Allocation!$I$1:$I$175,Allocation!$C$1:$C$175,"2026",Allocation!$D$1:$D$175,"MBWAY_BOR",Allocation!$F$1:$F$175,"BAC_MGT",Allocation!$G$1:$G$175,"B1",Allocation!$H$1:$H$175,"INIT")</f>
        <v>0</v>
      </c>
      <c r="D38" s="84">
        <f>SUMIFS(Allocation!$K$1:$K$175,Allocation!$C$1:$C$175,"2026",Allocation!$D$1:$D$175,"MBWAY_BOR",Allocation!$F$1:$F$175,"BAC_MGT",Allocation!$G$1:$G$175,"B1",Allocation!$H$1:$H$175,"INIT")</f>
        <v>0</v>
      </c>
      <c r="E38" s="84">
        <f>SUMIFS(Allocation!$V$1:$V$175,Allocation!$C$1:$C$175,"2026",Allocation!$D$1:$D$175,"MBWAY_BOR",Allocation!$F$1:$F$175,"BAC_MGT",Allocation!$G$1:$G$175,"B1",Allocation!$H$1:$H$175,"INIT")</f>
        <v>0</v>
      </c>
      <c r="F38" s="84">
        <f>SUMIFS(Allocation!$W$1:$W$175,Allocation!$C$1:$C$175,"2026",Allocation!$D$1:$D$175,"MBWAY_BOR",Allocation!$F$1:$F$175,"BAC_MGT",Allocation!$G$1:$G$175,"B1",Allocation!$H$1:$H$175,"INIT")</f>
        <v>0</v>
      </c>
      <c r="G38" s="84">
        <f>SUMIFS(Allocation!$X$1:$X$175,Allocation!$C$1:$C$175,"2026",Allocation!$D$1:$D$175,"MBWAY_BOR",Allocation!$F$1:$F$175,"BAC_MGT",Allocation!$G$1:$G$175,"B1",Allocation!$H$1:$H$175,"INIT")</f>
        <v>0</v>
      </c>
      <c r="H38" s="84">
        <f>SUMIFS(Allocation!$Y$1:$Y$175,Allocation!$C$1:$C$175,"2026",Allocation!$D$1:$D$175,"MBWAY_BOR",Allocation!$F$1:$F$175,"BAC_MGT",Allocation!$G$1:$G$175,"B1",Allocation!$H$1:$H$175,"INIT")</f>
        <v>0</v>
      </c>
      <c r="I38" s="84">
        <f>SUMIFS(Allocation!$AC$1:$AC$175,Allocation!$C$1:$C$175,"2026",Allocation!$D$1:$D$175,"MBWAY_BOR",Allocation!$F$1:$F$175,"BAC_MGT",Allocation!$G$1:$G$175,"B1",Allocation!$H$1:$H$175,"INIT")</f>
        <v>0</v>
      </c>
      <c r="J38" s="84">
        <f>SUMIFS(Allocation!$Z$1:$Z$175,Allocation!$C$1:$C$175,"2026",Allocation!$D$1:$D$175,"MBWAY_BOR",Allocation!$F$1:$F$175,"BAC_MGT",Allocation!$G$1:$G$175,"B1",Allocation!$H$1:$H$175,"INIT")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SUMIFS(Allocation!$AA$1:$AA$175,Allocation!$C$1:$C$175,"2026",Allocation!$D$1:$D$175,"MBWAY_BOR",Allocation!$F$1:$F$175,"BAC_MGT",Allocation!$G$1:$G$175,"B1",Allocation!$H$1:$H$175,"INIT")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SUMIFS(Allocation!$I$1:$I$175,Allocation!$C$1:$C$175,"2026",Allocation!$D$1:$D$175,"MBWAY_BOR",Allocation!$F$1:$F$175,"BAC_MGT",Allocation!$G$1:$G$175,"B2",Allocation!$H$1:$H$175,"ALT")</f>
        <v>0</v>
      </c>
      <c r="D39" s="84">
        <f>SUMIFS(Allocation!$K$1:$K$175,Allocation!$C$1:$C$175,"2026",Allocation!$D$1:$D$175,"MBWAY_BOR",Allocation!$F$1:$F$175,"BAC_MGT",Allocation!$G$1:$G$175,"B2",Allocation!$H$1:$H$175,"ALT")</f>
        <v>0</v>
      </c>
      <c r="E39" s="84">
        <f>SUMIFS(Allocation!$V$1:$V$175,Allocation!$C$1:$C$175,"2026",Allocation!$D$1:$D$175,"MBWAY_BOR",Allocation!$F$1:$F$175,"BAC_MGT",Allocation!$G$1:$G$175,"B2",Allocation!$H$1:$H$175,"ALT")</f>
        <v>0</v>
      </c>
      <c r="F39" s="84">
        <f>SUMIFS(Allocation!$W$1:$W$175,Allocation!$C$1:$C$175,"2026",Allocation!$D$1:$D$175,"MBWAY_BOR",Allocation!$F$1:$F$175,"BAC_MGT",Allocation!$G$1:$G$175,"B2",Allocation!$H$1:$H$175,"ALT")</f>
        <v>0</v>
      </c>
      <c r="G39" s="84">
        <f>SUMIFS(Allocation!$X$1:$X$175,Allocation!$C$1:$C$175,"2026",Allocation!$D$1:$D$175,"MBWAY_BOR",Allocation!$F$1:$F$175,"BAC_MGT",Allocation!$G$1:$G$175,"B2",Allocation!$H$1:$H$175,"ALT")</f>
        <v>0</v>
      </c>
      <c r="H39" s="84">
        <f>SUMIFS(Allocation!$Y$1:$Y$175,Allocation!$C$1:$C$175,"2026",Allocation!$D$1:$D$175,"MBWAY_BOR",Allocation!$F$1:$F$175,"BAC_MGT",Allocation!$G$1:$G$175,"B2",Allocation!$H$1:$H$175,"ALT")</f>
        <v>0</v>
      </c>
      <c r="I39" s="84">
        <f>SUMIFS(Allocation!$AC$1:$AC$175,Allocation!$C$1:$C$175,"2026",Allocation!$D$1:$D$175,"MBWAY_BOR",Allocation!$F$1:$F$175,"BAC_MGT",Allocation!$G$1:$G$175,"B2",Allocation!$H$1:$H$175,"ALT")</f>
        <v>0</v>
      </c>
      <c r="J39" s="84">
        <f>SUMIFS(Allocation!$Z$1:$Z$175,Allocation!$C$1:$C$175,"2026",Allocation!$D$1:$D$175,"MBWAY_BOR",Allocation!$F$1:$F$175,"BAC_MGT",Allocation!$G$1:$G$175,"B2",Allocation!$H$1:$H$175,"ALT")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SUMIFS(Allocation!$AA$1:$AA$175,Allocation!$C$1:$C$175,"2026",Allocation!$D$1:$D$175,"MBWAY_BOR",Allocation!$F$1:$F$175,"BAC_MGT",Allocation!$G$1:$G$175,"B2",Allocation!$H$1:$H$175,"ALT")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SUMIFS(Allocation!$I$1:$I$175,Allocation!$C$1:$C$175,"2026",Allocation!$D$1:$D$175,"MBWAY_BOR",Allocation!$F$1:$F$175,"BAC_MGT",Allocation!$G$1:$G$175,"B3",Allocation!$H$1:$H$175,"ALT")</f>
        <v>0</v>
      </c>
      <c r="D40" s="84">
        <f>SUMIFS(Allocation!$K$1:$K$175,Allocation!$C$1:$C$175,"2026",Allocation!$D$1:$D$175,"MBWAY_BOR",Allocation!$F$1:$F$175,"BAC_MGT",Allocation!$G$1:$G$175,"B3",Allocation!$H$1:$H$175,"ALT")</f>
        <v>0</v>
      </c>
      <c r="E40" s="84">
        <f>SUMIFS(Allocation!$V$1:$V$175,Allocation!$C$1:$C$175,"2026",Allocation!$D$1:$D$175,"MBWAY_BOR",Allocation!$F$1:$F$175,"BAC_MGT",Allocation!$G$1:$G$175,"B3",Allocation!$H$1:$H$175,"ALT")</f>
        <v>0</v>
      </c>
      <c r="F40" s="84">
        <f>SUMIFS(Allocation!$W$1:$W$175,Allocation!$C$1:$C$175,"2026",Allocation!$D$1:$D$175,"MBWAY_BOR",Allocation!$F$1:$F$175,"BAC_MGT",Allocation!$G$1:$G$175,"B3",Allocation!$H$1:$H$175,"ALT")</f>
        <v>0</v>
      </c>
      <c r="G40" s="84">
        <f>SUMIFS(Allocation!$X$1:$X$175,Allocation!$C$1:$C$175,"2026",Allocation!$D$1:$D$175,"MBWAY_BOR",Allocation!$F$1:$F$175,"BAC_MGT",Allocation!$G$1:$G$175,"B3",Allocation!$H$1:$H$175,"ALT")</f>
        <v>0</v>
      </c>
      <c r="H40" s="84">
        <f>SUMIFS(Allocation!$Y$1:$Y$175,Allocation!$C$1:$C$175,"2026",Allocation!$D$1:$D$175,"MBWAY_BOR",Allocation!$F$1:$F$175,"BAC_MGT",Allocation!$G$1:$G$175,"B3",Allocation!$H$1:$H$175,"ALT")</f>
        <v>0</v>
      </c>
      <c r="I40" s="84">
        <f>SUMIFS(Allocation!$AC$1:$AC$175,Allocation!$C$1:$C$175,"2026",Allocation!$D$1:$D$175,"MBWAY_BOR",Allocation!$F$1:$F$175,"BAC_MGT",Allocation!$G$1:$G$175,"B3",Allocation!$H$1:$H$175,"ALT")</f>
        <v>0</v>
      </c>
      <c r="J40" s="84">
        <f>SUMIFS(Allocation!$Z$1:$Z$175,Allocation!$C$1:$C$175,"2026",Allocation!$D$1:$D$175,"MBWAY_BOR",Allocation!$F$1:$F$175,"BAC_MGT",Allocation!$G$1:$G$175,"B3",Allocation!$H$1:$H$175,"ALT")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SUMIFS(Allocation!$AA$1:$AA$175,Allocation!$C$1:$C$175,"2026",Allocation!$D$1:$D$175,"MBWAY_BOR",Allocation!$F$1:$F$175,"BAC_MGT",Allocation!$G$1:$G$175,"B3",Allocation!$H$1:$H$175,"ALT")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SUMIFS(Allocation!$I$1:$I$175,Allocation!$C$1:$C$175,"2026",Allocation!$D$1:$D$175,"MBWAY_BOR",Allocation!$F$1:$F$175,"MAS_MGT",Allocation!$G$1:$G$175,"M1",Allocation!$H$1:$H$175,"ALT")</f>
        <v>0</v>
      </c>
      <c r="D41" s="84">
        <f>SUMIFS(Allocation!$K$1:$K$175,Allocation!$C$1:$C$175,"2026",Allocation!$D$1:$D$175,"MBWAY_BOR",Allocation!$F$1:$F$175,"MAS_MGT",Allocation!$G$1:$G$175,"M1",Allocation!$H$1:$H$175,"ALT")</f>
        <v>0</v>
      </c>
      <c r="E41" s="84">
        <f>SUMIFS(Allocation!$V$1:$V$175,Allocation!$C$1:$C$175,"2026",Allocation!$D$1:$D$175,"MBWAY_BOR",Allocation!$F$1:$F$175,"MAS_MGT",Allocation!$G$1:$G$175,"M1",Allocation!$H$1:$H$175,"ALT")</f>
        <v>0</v>
      </c>
      <c r="F41" s="84">
        <f>SUMIFS(Allocation!$W$1:$W$175,Allocation!$C$1:$C$175,"2026",Allocation!$D$1:$D$175,"MBWAY_BOR",Allocation!$F$1:$F$175,"MAS_MGT",Allocation!$G$1:$G$175,"M1",Allocation!$H$1:$H$175,"ALT")</f>
        <v>0</v>
      </c>
      <c r="G41" s="84">
        <f>SUMIFS(Allocation!$X$1:$X$175,Allocation!$C$1:$C$175,"2026",Allocation!$D$1:$D$175,"MBWAY_BOR",Allocation!$F$1:$F$175,"MAS_MGT",Allocation!$G$1:$G$175,"M1",Allocation!$H$1:$H$175,"ALT")</f>
        <v>0</v>
      </c>
      <c r="H41" s="84">
        <f>SUMIFS(Allocation!$Y$1:$Y$175,Allocation!$C$1:$C$175,"2026",Allocation!$D$1:$D$175,"MBWAY_BOR",Allocation!$F$1:$F$175,"MAS_MGT",Allocation!$G$1:$G$175,"M1",Allocation!$H$1:$H$175,"ALT")</f>
        <v>0</v>
      </c>
      <c r="I41" s="84">
        <f>SUMIFS(Allocation!$AC$1:$AC$175,Allocation!$C$1:$C$175,"2026",Allocation!$D$1:$D$175,"MBWAY_BOR",Allocation!$F$1:$F$175,"MAS_MGT",Allocation!$G$1:$G$175,"M1",Allocation!$H$1:$H$175,"ALT")</f>
        <v>0</v>
      </c>
      <c r="J41" s="84">
        <f>SUMIFS(Allocation!$Z$1:$Z$175,Allocation!$C$1:$C$175,"2026",Allocation!$D$1:$D$175,"MBWAY_BOR",Allocation!$F$1:$F$175,"MAS_MGT",Allocation!$G$1:$G$175,"M1",Allocation!$H$1:$H$175,"ALT")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SUMIFS(Allocation!$AA$1:$AA$175,Allocation!$C$1:$C$175,"2026",Allocation!$D$1:$D$175,"MBWAY_BOR",Allocation!$F$1:$F$175,"MAS_MGT",Allocation!$G$1:$G$175,"M1",Allocation!$H$1:$H$175,"ALT")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SUMIFS(Allocation!$I$1:$I$175,Allocation!$C$1:$C$175,"2026",Allocation!$D$1:$D$175,"MBWAY_BOR",Allocation!$F$1:$F$175,"MAS_MGT",Allocation!$G$1:$G$175,"M2",Allocation!$H$1:$H$175,"ALT")</f>
        <v>0</v>
      </c>
      <c r="D42" s="84">
        <f>SUMIFS(Allocation!$K$1:$K$175,Allocation!$C$1:$C$175,"2026",Allocation!$D$1:$D$175,"MBWAY_BOR",Allocation!$F$1:$F$175,"MAS_MGT",Allocation!$G$1:$G$175,"M2",Allocation!$H$1:$H$175,"ALT")</f>
        <v>0</v>
      </c>
      <c r="E42" s="84">
        <f>SUMIFS(Allocation!$V$1:$V$175,Allocation!$C$1:$C$175,"2026",Allocation!$D$1:$D$175,"MBWAY_BOR",Allocation!$F$1:$F$175,"MAS_MGT",Allocation!$G$1:$G$175,"M2",Allocation!$H$1:$H$175,"ALT")</f>
        <v>0</v>
      </c>
      <c r="F42" s="84">
        <f>SUMIFS(Allocation!$W$1:$W$175,Allocation!$C$1:$C$175,"2026",Allocation!$D$1:$D$175,"MBWAY_BOR",Allocation!$F$1:$F$175,"MAS_MGT",Allocation!$G$1:$G$175,"M2",Allocation!$H$1:$H$175,"ALT")</f>
        <v>0</v>
      </c>
      <c r="G42" s="84">
        <f>SUMIFS(Allocation!$X$1:$X$175,Allocation!$C$1:$C$175,"2026",Allocation!$D$1:$D$175,"MBWAY_BOR",Allocation!$F$1:$F$175,"MAS_MGT",Allocation!$G$1:$G$175,"M2",Allocation!$H$1:$H$175,"ALT")</f>
        <v>0</v>
      </c>
      <c r="H42" s="84">
        <f>SUMIFS(Allocation!$Y$1:$Y$175,Allocation!$C$1:$C$175,"2026",Allocation!$D$1:$D$175,"MBWAY_BOR",Allocation!$F$1:$F$175,"MAS_MGT",Allocation!$G$1:$G$175,"M2",Allocation!$H$1:$H$175,"ALT")</f>
        <v>0</v>
      </c>
      <c r="I42" s="84">
        <f>SUMIFS(Allocation!$AC$1:$AC$175,Allocation!$C$1:$C$175,"2026",Allocation!$D$1:$D$175,"MBWAY_BOR",Allocation!$F$1:$F$175,"MAS_MGT",Allocation!$G$1:$G$175,"M2",Allocation!$H$1:$H$175,"ALT")</f>
        <v>0</v>
      </c>
      <c r="J42" s="84">
        <f>SUMIFS(Allocation!$Z$1:$Z$175,Allocation!$C$1:$C$175,"2026",Allocation!$D$1:$D$175,"MBWAY_BOR",Allocation!$F$1:$F$175,"MAS_MGT",Allocation!$G$1:$G$175,"M2",Allocation!$H$1:$H$175,"ALT")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SUMIFS(Allocation!$AA$1:$AA$175,Allocation!$C$1:$C$175,"2026",Allocation!$D$1:$D$175,"MBWAY_BOR",Allocation!$F$1:$F$175,"MAS_MGT",Allocation!$G$1:$G$175,"M2",Allocation!$H$1:$H$175,"ALT")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SUMIFS(Allocation!$I$1:$I$175,Allocation!$C$1:$C$175,"2026",Allocation!$E$1:$E$175,"ISCOM")</f>
        <v>0</v>
      </c>
      <c r="D43" s="123">
        <f>SUMIFS(Allocation!$K$1:$K$175,Allocation!$C$1:$C$175,"2026",Allocation!$E$1:$E$175,"ISCOM")</f>
        <v>0</v>
      </c>
      <c r="E43" s="123">
        <f>SUMIFS(Allocation!$V$1:$V$175,Allocation!$C$1:$C$175,"2026",Allocation!$E$1:$E$175,"ISCOM")</f>
        <v>0</v>
      </c>
      <c r="F43" s="123">
        <f>SUMIFS(Allocation!$W$1:$W$175,Allocation!$C$1:$C$175,"2026",Allocation!$E$1:$E$175,"ISCOM")</f>
        <v>0</v>
      </c>
      <c r="G43" s="123">
        <f>SUMIFS(Allocation!$X$1:$X$175,Allocation!$C$1:$C$175,"2026",Allocation!$E$1:$E$175,"ISCOM")</f>
        <v>0</v>
      </c>
      <c r="H43" s="123">
        <f>SUMIFS(Allocation!$Y$1:$Y$175,Allocation!$C$1:$C$175,"2026",Allocation!$E$1:$E$175,"ISCOM")</f>
        <v>0</v>
      </c>
      <c r="I43" s="123">
        <f>SUMIFS(Allocation!$AC$1:$AC$175,Allocation!$C$1:$C$175,"2026",Allocation!$E$1:$E$175,"ISCOM")</f>
        <v>0</v>
      </c>
      <c r="J43" s="123">
        <f>SUMIFS(Allocation!$Z$1:$Z$175,Allocation!$C$1:$C$175,"2026",Allocation!$E$1:$E$175,"ISCOM")</f>
        <v>0</v>
      </c>
      <c r="K43" s="123">
        <f t="shared" si="0"/>
        <v>0</v>
      </c>
      <c r="L43" s="130">
        <f>SUMIFS(Allocation!$AA$1:$AA$175,Allocation!$C$1:$C$175,"2026",Allocation!$E$1:$E$175,"ISCOM")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SUMIFS(Allocation!$I$1:$I$175,Allocation!$C$1:$C$175,"2026",Allocation!$D$1:$D$175,"ISCOM_PAR")</f>
        <v>0</v>
      </c>
      <c r="D44" s="123">
        <f>SUMIFS(Allocation!$K$1:$K$175,Allocation!$C$1:$C$175,"2026",Allocation!$D$1:$D$175,"ISCOM_PAR")</f>
        <v>0</v>
      </c>
      <c r="E44" s="123">
        <f>SUMIFS(Allocation!$V$1:$V$175,Allocation!$C$1:$C$175,"2026",Allocation!$D$1:$D$175,"ISCOM_PAR")</f>
        <v>0</v>
      </c>
      <c r="F44" s="123">
        <f>SUMIFS(Allocation!$W$1:$W$175,Allocation!$C$1:$C$175,"2026",Allocation!$D$1:$D$175,"ISCOM_PAR")</f>
        <v>0</v>
      </c>
      <c r="G44" s="123">
        <f>SUMIFS(Allocation!$X$1:$X$175,Allocation!$C$1:$C$175,"2026",Allocation!$D$1:$D$175,"ISCOM_PAR")</f>
        <v>0</v>
      </c>
      <c r="H44" s="123">
        <f>SUMIFS(Allocation!$Y$1:$Y$175,Allocation!$C$1:$C$175,"2026",Allocation!$D$1:$D$175,"ISCOM_PAR")</f>
        <v>0</v>
      </c>
      <c r="I44" s="123">
        <f>SUMIFS(Allocation!$AC$1:$AC$175,Allocation!$C$1:$C$175,"2026",Allocation!$D$1:$D$175,"ISCOM_PAR")</f>
        <v>0</v>
      </c>
      <c r="J44" s="123">
        <f>SUMIFS(Allocation!$Z$1:$Z$175,Allocation!$C$1:$C$175,"2026",Allocation!$D$1:$D$175,"ISCOM_PAR")</f>
        <v>0</v>
      </c>
      <c r="K44" s="123">
        <f t="shared" si="0"/>
        <v>0</v>
      </c>
      <c r="L44" s="130">
        <f>SUMIFS(Allocation!$AA$1:$AA$175,Allocation!$C$1:$C$175,"2026",Allocation!$D$1:$D$175,"ISCOM_PAR")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SUMIFS(Allocation!$I$1:$I$175,Allocation!$C$1:$C$175,"2026",Allocation!$D$1:$D$175,"ISCOM_PAR",Allocation!$F$1:$F$175,"BAC_COM",Allocation!$G$1:$G$175,"B1",Allocation!$H$1:$H$175,"INIT")</f>
        <v>0</v>
      </c>
      <c r="D45" s="84">
        <f>SUMIFS(Allocation!$K$1:$K$175,Allocation!$C$1:$C$175,"2026",Allocation!$D$1:$D$175,"ISCOM_PAR",Allocation!$F$1:$F$175,"BAC_COM",Allocation!$G$1:$G$175,"B1",Allocation!$H$1:$H$175,"INIT")</f>
        <v>0</v>
      </c>
      <c r="E45" s="84">
        <f>SUMIFS(Allocation!$V$1:$V$175,Allocation!$C$1:$C$175,"2026",Allocation!$D$1:$D$175,"ISCOM_PAR",Allocation!$F$1:$F$175,"BAC_COM",Allocation!$G$1:$G$175,"B1",Allocation!$H$1:$H$175,"INIT")</f>
        <v>0</v>
      </c>
      <c r="F45" s="84">
        <f>SUMIFS(Allocation!$W$1:$W$175,Allocation!$C$1:$C$175,"2026",Allocation!$D$1:$D$175,"ISCOM_PAR",Allocation!$F$1:$F$175,"BAC_COM",Allocation!$G$1:$G$175,"B1",Allocation!$H$1:$H$175,"INIT")</f>
        <v>0</v>
      </c>
      <c r="G45" s="84">
        <f>SUMIFS(Allocation!$X$1:$X$175,Allocation!$C$1:$C$175,"2026",Allocation!$D$1:$D$175,"ISCOM_PAR",Allocation!$F$1:$F$175,"BAC_COM",Allocation!$G$1:$G$175,"B1",Allocation!$H$1:$H$175,"INIT")</f>
        <v>0</v>
      </c>
      <c r="H45" s="84">
        <f>SUMIFS(Allocation!$Y$1:$Y$175,Allocation!$C$1:$C$175,"2026",Allocation!$D$1:$D$175,"ISCOM_PAR",Allocation!$F$1:$F$175,"BAC_COM",Allocation!$G$1:$G$175,"B1",Allocation!$H$1:$H$175,"INIT")</f>
        <v>0</v>
      </c>
      <c r="I45" s="84">
        <f>SUMIFS(Allocation!$AC$1:$AC$175,Allocation!$C$1:$C$175,"2026",Allocation!$D$1:$D$175,"ISCOM_PAR",Allocation!$F$1:$F$175,"BAC_COM",Allocation!$G$1:$G$175,"B1",Allocation!$H$1:$H$175,"INIT")</f>
        <v>0</v>
      </c>
      <c r="J45" s="84">
        <f>SUMIFS(Allocation!$Z$1:$Z$175,Allocation!$C$1:$C$175,"2026",Allocation!$D$1:$D$175,"ISCOM_PAR",Allocation!$F$1:$F$175,"BAC_COM",Allocation!$G$1:$G$175,"B1",Allocation!$H$1:$H$175,"INIT")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SUMIFS(Allocation!$AA$1:$AA$175,Allocation!$C$1:$C$175,"2026",Allocation!$D$1:$D$175,"ISCOM_PAR",Allocation!$F$1:$F$175,"BAC_COM",Allocation!$G$1:$G$175,"B1",Allocation!$H$1:$H$175,"INIT")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SUMIFS(Allocation!$I$1:$I$175,Allocation!$C$1:$C$175,"2026",Allocation!$D$1:$D$175,"ISCOM_PAR",Allocation!$F$1:$F$175,"BAC_COM",Allocation!$G$1:$G$175,"B2",Allocation!$H$1:$H$175,"ALT")</f>
        <v>0</v>
      </c>
      <c r="D46" s="84">
        <f>SUMIFS(Allocation!$K$1:$K$175,Allocation!$C$1:$C$175,"2026",Allocation!$D$1:$D$175,"ISCOM_PAR",Allocation!$F$1:$F$175,"BAC_COM",Allocation!$G$1:$G$175,"B2",Allocation!$H$1:$H$175,"ALT")</f>
        <v>0</v>
      </c>
      <c r="E46" s="84">
        <f>SUMIFS(Allocation!$V$1:$V$175,Allocation!$C$1:$C$175,"2026",Allocation!$D$1:$D$175,"ISCOM_PAR",Allocation!$F$1:$F$175,"BAC_COM",Allocation!$G$1:$G$175,"B2",Allocation!$H$1:$H$175,"ALT")</f>
        <v>0</v>
      </c>
      <c r="F46" s="84">
        <f>SUMIFS(Allocation!$W$1:$W$175,Allocation!$C$1:$C$175,"2026",Allocation!$D$1:$D$175,"ISCOM_PAR",Allocation!$F$1:$F$175,"BAC_COM",Allocation!$G$1:$G$175,"B2",Allocation!$H$1:$H$175,"ALT")</f>
        <v>0</v>
      </c>
      <c r="G46" s="84">
        <f>SUMIFS(Allocation!$X$1:$X$175,Allocation!$C$1:$C$175,"2026",Allocation!$D$1:$D$175,"ISCOM_PAR",Allocation!$F$1:$F$175,"BAC_COM",Allocation!$G$1:$G$175,"B2",Allocation!$H$1:$H$175,"ALT")</f>
        <v>0</v>
      </c>
      <c r="H46" s="84">
        <f>SUMIFS(Allocation!$Y$1:$Y$175,Allocation!$C$1:$C$175,"2026",Allocation!$D$1:$D$175,"ISCOM_PAR",Allocation!$F$1:$F$175,"BAC_COM",Allocation!$G$1:$G$175,"B2",Allocation!$H$1:$H$175,"ALT")</f>
        <v>0</v>
      </c>
      <c r="I46" s="84">
        <f>SUMIFS(Allocation!$AC$1:$AC$175,Allocation!$C$1:$C$175,"2026",Allocation!$D$1:$D$175,"ISCOM_PAR",Allocation!$F$1:$F$175,"BAC_COM",Allocation!$G$1:$G$175,"B2",Allocation!$H$1:$H$175,"ALT")</f>
        <v>0</v>
      </c>
      <c r="J46" s="84">
        <f>SUMIFS(Allocation!$Z$1:$Z$175,Allocation!$C$1:$C$175,"2026",Allocation!$D$1:$D$175,"ISCOM_PAR",Allocation!$F$1:$F$175,"BAC_COM",Allocation!$G$1:$G$175,"B2",Allocation!$H$1:$H$175,"ALT")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SUMIFS(Allocation!$AA$1:$AA$175,Allocation!$C$1:$C$175,"2026",Allocation!$D$1:$D$175,"ISCOM_PAR",Allocation!$F$1:$F$175,"BAC_COM",Allocation!$G$1:$G$175,"B2",Allocation!$H$1:$H$175,"ALT")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SUMIFS(Allocation!$I$1:$I$175,Allocation!$C$1:$C$175,"2026",Allocation!$D$1:$D$175,"ISCOM_PAR",Allocation!$F$1:$F$175,"BAC_COM",Allocation!$G$1:$G$175,"B3",Allocation!$H$1:$H$175,"ALT")</f>
        <v>0</v>
      </c>
      <c r="D47" s="84">
        <f>SUMIFS(Allocation!$K$1:$K$175,Allocation!$C$1:$C$175,"2026",Allocation!$D$1:$D$175,"ISCOM_PAR",Allocation!$F$1:$F$175,"BAC_COM",Allocation!$G$1:$G$175,"B3",Allocation!$H$1:$H$175,"ALT")</f>
        <v>0</v>
      </c>
      <c r="E47" s="84">
        <f>SUMIFS(Allocation!$V$1:$V$175,Allocation!$C$1:$C$175,"2026",Allocation!$D$1:$D$175,"ISCOM_PAR",Allocation!$F$1:$F$175,"BAC_COM",Allocation!$G$1:$G$175,"B3",Allocation!$H$1:$H$175,"ALT")</f>
        <v>0</v>
      </c>
      <c r="F47" s="84">
        <f>SUMIFS(Allocation!$W$1:$W$175,Allocation!$C$1:$C$175,"2026",Allocation!$D$1:$D$175,"ISCOM_PAR",Allocation!$F$1:$F$175,"BAC_COM",Allocation!$G$1:$G$175,"B3",Allocation!$H$1:$H$175,"ALT")</f>
        <v>0</v>
      </c>
      <c r="G47" s="84">
        <f>SUMIFS(Allocation!$X$1:$X$175,Allocation!$C$1:$C$175,"2026",Allocation!$D$1:$D$175,"ISCOM_PAR",Allocation!$F$1:$F$175,"BAC_COM",Allocation!$G$1:$G$175,"B3",Allocation!$H$1:$H$175,"ALT")</f>
        <v>0</v>
      </c>
      <c r="H47" s="84">
        <f>SUMIFS(Allocation!$Y$1:$Y$175,Allocation!$C$1:$C$175,"2026",Allocation!$D$1:$D$175,"ISCOM_PAR",Allocation!$F$1:$F$175,"BAC_COM",Allocation!$G$1:$G$175,"B3",Allocation!$H$1:$H$175,"ALT")</f>
        <v>0</v>
      </c>
      <c r="I47" s="84">
        <f>SUMIFS(Allocation!$AC$1:$AC$175,Allocation!$C$1:$C$175,"2026",Allocation!$D$1:$D$175,"ISCOM_PAR",Allocation!$F$1:$F$175,"BAC_COM",Allocation!$G$1:$G$175,"B3",Allocation!$H$1:$H$175,"ALT")</f>
        <v>0</v>
      </c>
      <c r="J47" s="84">
        <f>SUMIFS(Allocation!$Z$1:$Z$175,Allocation!$C$1:$C$175,"2026",Allocation!$D$1:$D$175,"ISCOM_PAR",Allocation!$F$1:$F$175,"BAC_COM",Allocation!$G$1:$G$175,"B3",Allocation!$H$1:$H$175,"ALT")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SUMIFS(Allocation!$AA$1:$AA$175,Allocation!$C$1:$C$175,"2026",Allocation!$D$1:$D$175,"ISCOM_PAR",Allocation!$F$1:$F$175,"BAC_COM",Allocation!$G$1:$G$175,"B3",Allocation!$H$1:$H$175,"ALT")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SUMIFS(Allocation!$I$1:$I$175,Allocation!$C$1:$C$175,"2026",Allocation!$D$1:$D$175,"ISCOM_PAR",Allocation!$F$1:$F$175,"MAS_COM",Allocation!$G$1:$G$175,"M1",Allocation!$H$1:$H$175,"ALT")</f>
        <v>0</v>
      </c>
      <c r="D48" s="84">
        <f>SUMIFS(Allocation!$K$1:$K$175,Allocation!$C$1:$C$175,"2026",Allocation!$D$1:$D$175,"ISCOM_PAR",Allocation!$F$1:$F$175,"MAS_COM",Allocation!$G$1:$G$175,"M1",Allocation!$H$1:$H$175,"ALT")</f>
        <v>0</v>
      </c>
      <c r="E48" s="84">
        <f>SUMIFS(Allocation!$V$1:$V$175,Allocation!$C$1:$C$175,"2026",Allocation!$D$1:$D$175,"ISCOM_PAR",Allocation!$F$1:$F$175,"MAS_COM",Allocation!$G$1:$G$175,"M1",Allocation!$H$1:$H$175,"ALT")</f>
        <v>0</v>
      </c>
      <c r="F48" s="84">
        <f>SUMIFS(Allocation!$W$1:$W$175,Allocation!$C$1:$C$175,"2026",Allocation!$D$1:$D$175,"ISCOM_PAR",Allocation!$F$1:$F$175,"MAS_COM",Allocation!$G$1:$G$175,"M1",Allocation!$H$1:$H$175,"ALT")</f>
        <v>0</v>
      </c>
      <c r="G48" s="84">
        <f>SUMIFS(Allocation!$X$1:$X$175,Allocation!$C$1:$C$175,"2026",Allocation!$D$1:$D$175,"ISCOM_PAR",Allocation!$F$1:$F$175,"MAS_COM",Allocation!$G$1:$G$175,"M1",Allocation!$H$1:$H$175,"ALT")</f>
        <v>0</v>
      </c>
      <c r="H48" s="84">
        <f>SUMIFS(Allocation!$Y$1:$Y$175,Allocation!$C$1:$C$175,"2026",Allocation!$D$1:$D$175,"ISCOM_PAR",Allocation!$F$1:$F$175,"MAS_COM",Allocation!$G$1:$G$175,"M1",Allocation!$H$1:$H$175,"ALT")</f>
        <v>0</v>
      </c>
      <c r="I48" s="84">
        <f>SUMIFS(Allocation!$AC$1:$AC$175,Allocation!$C$1:$C$175,"2026",Allocation!$D$1:$D$175,"ISCOM_PAR",Allocation!$F$1:$F$175,"MAS_COM",Allocation!$G$1:$G$175,"M1",Allocation!$H$1:$H$175,"ALT")</f>
        <v>0</v>
      </c>
      <c r="J48" s="84">
        <f>SUMIFS(Allocation!$Z$1:$Z$175,Allocation!$C$1:$C$175,"2026",Allocation!$D$1:$D$175,"ISCOM_PAR",Allocation!$F$1:$F$175,"MAS_COM",Allocation!$G$1:$G$175,"M1",Allocation!$H$1:$H$175,"ALT")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SUMIFS(Allocation!$AA$1:$AA$175,Allocation!$C$1:$C$175,"2026",Allocation!$D$1:$D$175,"ISCOM_PAR",Allocation!$F$1:$F$175,"MAS_COM",Allocation!$G$1:$G$175,"M1",Allocation!$H$1:$H$175,"ALT")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SUMIFS(Allocation!$I$1:$I$175,Allocation!$C$1:$C$175,"2026",Allocation!$D$1:$D$175,"ISCOM_PAR",Allocation!$F$1:$F$175,"MAS_COM",Allocation!$G$1:$G$175,"M2",Allocation!$H$1:$H$175,"ALT")</f>
        <v>0</v>
      </c>
      <c r="D49" s="84">
        <f>SUMIFS(Allocation!$K$1:$K$175,Allocation!$C$1:$C$175,"2026",Allocation!$D$1:$D$175,"ISCOM_PAR",Allocation!$F$1:$F$175,"MAS_COM",Allocation!$G$1:$G$175,"M2",Allocation!$H$1:$H$175,"ALT")</f>
        <v>0</v>
      </c>
      <c r="E49" s="84">
        <f>SUMIFS(Allocation!$V$1:$V$175,Allocation!$C$1:$C$175,"2026",Allocation!$D$1:$D$175,"ISCOM_PAR",Allocation!$F$1:$F$175,"MAS_COM",Allocation!$G$1:$G$175,"M2",Allocation!$H$1:$H$175,"ALT")</f>
        <v>0</v>
      </c>
      <c r="F49" s="84">
        <f>SUMIFS(Allocation!$W$1:$W$175,Allocation!$C$1:$C$175,"2026",Allocation!$D$1:$D$175,"ISCOM_PAR",Allocation!$F$1:$F$175,"MAS_COM",Allocation!$G$1:$G$175,"M2",Allocation!$H$1:$H$175,"ALT")</f>
        <v>0</v>
      </c>
      <c r="G49" s="84">
        <f>SUMIFS(Allocation!$X$1:$X$175,Allocation!$C$1:$C$175,"2026",Allocation!$D$1:$D$175,"ISCOM_PAR",Allocation!$F$1:$F$175,"MAS_COM",Allocation!$G$1:$G$175,"M2",Allocation!$H$1:$H$175,"ALT")</f>
        <v>0</v>
      </c>
      <c r="H49" s="84">
        <f>SUMIFS(Allocation!$Y$1:$Y$175,Allocation!$C$1:$C$175,"2026",Allocation!$D$1:$D$175,"ISCOM_PAR",Allocation!$F$1:$F$175,"MAS_COM",Allocation!$G$1:$G$175,"M2",Allocation!$H$1:$H$175,"ALT")</f>
        <v>0</v>
      </c>
      <c r="I49" s="84">
        <f>SUMIFS(Allocation!$AC$1:$AC$175,Allocation!$C$1:$C$175,"2026",Allocation!$D$1:$D$175,"ISCOM_PAR",Allocation!$F$1:$F$175,"MAS_COM",Allocation!$G$1:$G$175,"M2",Allocation!$H$1:$H$175,"ALT")</f>
        <v>0</v>
      </c>
      <c r="J49" s="84">
        <f>SUMIFS(Allocation!$Z$1:$Z$175,Allocation!$C$1:$C$175,"2026",Allocation!$D$1:$D$175,"ISCOM_PAR",Allocation!$F$1:$F$175,"MAS_COM",Allocation!$G$1:$G$175,"M2",Allocation!$H$1:$H$175,"ALT")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SUMIFS(Allocation!$AA$1:$AA$175,Allocation!$C$1:$C$175,"2026",Allocation!$D$1:$D$175,"ISCOM_PAR",Allocation!$F$1:$F$175,"MAS_COM",Allocation!$G$1:$G$175,"M2",Allocation!$H$1:$H$175,"ALT")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SUMIFS(Allocation!$I$1:$I$175,Allocation!$C$1:$C$175,"2026",Allocation!$D$1:$D$175,"ISCOM_LIL")</f>
        <v>0</v>
      </c>
      <c r="D50" s="123">
        <f>SUMIFS(Allocation!$K$1:$K$175,Allocation!$C$1:$C$175,"2026",Allocation!$D$1:$D$175,"ISCOM_LIL")</f>
        <v>0</v>
      </c>
      <c r="E50" s="123">
        <f>SUMIFS(Allocation!$V$1:$V$175,Allocation!$C$1:$C$175,"2026",Allocation!$D$1:$D$175,"ISCOM_LIL")</f>
        <v>0</v>
      </c>
      <c r="F50" s="123">
        <f>SUMIFS(Allocation!$W$1:$W$175,Allocation!$C$1:$C$175,"2026",Allocation!$D$1:$D$175,"ISCOM_LIL")</f>
        <v>0</v>
      </c>
      <c r="G50" s="123">
        <f>SUMIFS(Allocation!$X$1:$X$175,Allocation!$C$1:$C$175,"2026",Allocation!$D$1:$D$175,"ISCOM_LIL")</f>
        <v>0</v>
      </c>
      <c r="H50" s="123">
        <f>SUMIFS(Allocation!$Y$1:$Y$175,Allocation!$C$1:$C$175,"2026",Allocation!$D$1:$D$175,"ISCOM_LIL")</f>
        <v>0</v>
      </c>
      <c r="I50" s="123">
        <f>SUMIFS(Allocation!$AC$1:$AC$175,Allocation!$C$1:$C$175,"2026",Allocation!$D$1:$D$175,"ISCOM_LIL")</f>
        <v>0</v>
      </c>
      <c r="J50" s="123">
        <f>SUMIFS(Allocation!$Z$1:$Z$175,Allocation!$C$1:$C$175,"2026",Allocation!$D$1:$D$175,"ISCOM_LIL")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SUMIFS(Allocation!$AA$1:$AA$175,Allocation!$C$1:$C$175,"2026",Allocation!$D$1:$D$175,"ISCOM_LIL")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SUMIFS(Allocation!$I$1:$I$175,Allocation!$C$1:$C$175,"2026",Allocation!$D$1:$D$175,"ISCOM_LIL",Allocation!$F$1:$F$175,"BAC_COM",Allocation!$G$1:$G$175,"B1",Allocation!$H$1:$H$175,"INIT")</f>
        <v>0</v>
      </c>
      <c r="D51" s="84">
        <f>SUMIFS(Allocation!$K$1:$K$175,Allocation!$C$1:$C$175,"2026",Allocation!$D$1:$D$175,"ISCOM_LIL",Allocation!$F$1:$F$175,"BAC_COM",Allocation!$G$1:$G$175,"B1",Allocation!$H$1:$H$175,"INIT")</f>
        <v>0</v>
      </c>
      <c r="E51" s="84">
        <f>SUMIFS(Allocation!$V$1:$V$175,Allocation!$C$1:$C$175,"2026",Allocation!$D$1:$D$175,"ISCOM_LIL",Allocation!$F$1:$F$175,"BAC_COM",Allocation!$G$1:$G$175,"B1",Allocation!$H$1:$H$175,"INIT")</f>
        <v>0</v>
      </c>
      <c r="F51" s="84">
        <f>SUMIFS(Allocation!$W$1:$W$175,Allocation!$C$1:$C$175,"2026",Allocation!$D$1:$D$175,"ISCOM_LIL",Allocation!$F$1:$F$175,"BAC_COM",Allocation!$G$1:$G$175,"B1",Allocation!$H$1:$H$175,"INIT")</f>
        <v>0</v>
      </c>
      <c r="G51" s="84">
        <f>SUMIFS(Allocation!$X$1:$X$175,Allocation!$C$1:$C$175,"2026",Allocation!$D$1:$D$175,"ISCOM_LIL",Allocation!$F$1:$F$175,"BAC_COM",Allocation!$G$1:$G$175,"B1",Allocation!$H$1:$H$175,"INIT")</f>
        <v>0</v>
      </c>
      <c r="H51" s="84">
        <f>SUMIFS(Allocation!$Y$1:$Y$175,Allocation!$C$1:$C$175,"2026",Allocation!$D$1:$D$175,"ISCOM_LIL",Allocation!$F$1:$F$175,"BAC_COM",Allocation!$G$1:$G$175,"B1",Allocation!$H$1:$H$175,"INIT")</f>
        <v>0</v>
      </c>
      <c r="I51" s="84">
        <f>SUMIFS(Allocation!$AC$1:$AC$175,Allocation!$C$1:$C$175,"2026",Allocation!$D$1:$D$175,"ISCOM_LIL",Allocation!$F$1:$F$175,"BAC_COM",Allocation!$G$1:$G$175,"B1",Allocation!$H$1:$H$175,"INIT")</f>
        <v>0</v>
      </c>
      <c r="J51" s="84">
        <f>SUMIFS(Allocation!$Z$1:$Z$175,Allocation!$C$1:$C$175,"2026",Allocation!$D$1:$D$175,"ISCOM_LIL",Allocation!$F$1:$F$175,"BAC_COM",Allocation!$G$1:$G$175,"B1",Allocation!$H$1:$H$175,"INIT")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SUMIFS(Allocation!$AA$1:$AA$175,Allocation!$C$1:$C$175,"2026",Allocation!$D$1:$D$175,"ISCOM_LIL",Allocation!$F$1:$F$175,"BAC_COM",Allocation!$G$1:$G$175,"B1",Allocation!$H$1:$H$175,"INIT")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SUMIFS(Allocation!$I$1:$I$175,Allocation!$C$1:$C$175,"2026",Allocation!$D$1:$D$175,"ISCOM_LIL",Allocation!$F$1:$F$175,"BAC_COM",Allocation!$G$1:$G$175,"B2",Allocation!$H$1:$H$175,"ALT")</f>
        <v>0</v>
      </c>
      <c r="D52" s="84">
        <f>SUMIFS(Allocation!$K$1:$K$175,Allocation!$C$1:$C$175,"2026",Allocation!$D$1:$D$175,"ISCOM_LIL",Allocation!$F$1:$F$175,"BAC_COM",Allocation!$G$1:$G$175,"B2",Allocation!$H$1:$H$175,"ALT")</f>
        <v>0</v>
      </c>
      <c r="E52" s="84">
        <f>SUMIFS(Allocation!$V$1:$V$175,Allocation!$C$1:$C$175,"2026",Allocation!$D$1:$D$175,"ISCOM_LIL",Allocation!$F$1:$F$175,"BAC_COM",Allocation!$G$1:$G$175,"B2",Allocation!$H$1:$H$175,"ALT")</f>
        <v>0</v>
      </c>
      <c r="F52" s="84">
        <f>SUMIFS(Allocation!$W$1:$W$175,Allocation!$C$1:$C$175,"2026",Allocation!$D$1:$D$175,"ISCOM_LIL",Allocation!$F$1:$F$175,"BAC_COM",Allocation!$G$1:$G$175,"B2",Allocation!$H$1:$H$175,"ALT")</f>
        <v>0</v>
      </c>
      <c r="G52" s="84">
        <f>SUMIFS(Allocation!$X$1:$X$175,Allocation!$C$1:$C$175,"2026",Allocation!$D$1:$D$175,"ISCOM_LIL",Allocation!$F$1:$F$175,"BAC_COM",Allocation!$G$1:$G$175,"B2",Allocation!$H$1:$H$175,"ALT")</f>
        <v>0</v>
      </c>
      <c r="H52" s="84">
        <f>SUMIFS(Allocation!$Y$1:$Y$175,Allocation!$C$1:$C$175,"2026",Allocation!$D$1:$D$175,"ISCOM_LIL",Allocation!$F$1:$F$175,"BAC_COM",Allocation!$G$1:$G$175,"B2",Allocation!$H$1:$H$175,"ALT")</f>
        <v>0</v>
      </c>
      <c r="I52" s="84">
        <f>SUMIFS(Allocation!$AC$1:$AC$175,Allocation!$C$1:$C$175,"2026",Allocation!$D$1:$D$175,"ISCOM_LIL",Allocation!$F$1:$F$175,"BAC_COM",Allocation!$G$1:$G$175,"B2",Allocation!$H$1:$H$175,"ALT")</f>
        <v>0</v>
      </c>
      <c r="J52" s="84">
        <f>SUMIFS(Allocation!$Z$1:$Z$175,Allocation!$C$1:$C$175,"2026",Allocation!$D$1:$D$175,"ISCOM_LIL",Allocation!$F$1:$F$175,"BAC_COM",Allocation!$G$1:$G$175,"B2",Allocation!$H$1:$H$175,"ALT")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SUMIFS(Allocation!$AA$1:$AA$175,Allocation!$C$1:$C$175,"2026",Allocation!$D$1:$D$175,"ISCOM_LIL",Allocation!$F$1:$F$175,"BAC_COM",Allocation!$G$1:$G$175,"B2",Allocation!$H$1:$H$175,"ALT")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SUMIFS(Allocation!$I$1:$I$175,Allocation!$C$1:$C$175,"2026",Allocation!$D$1:$D$175,"ISCOM_LIL",Allocation!$F$1:$F$175,"BAC_COM",Allocation!$G$1:$G$175,"B3",Allocation!$H$1:$H$175,"ALT")</f>
        <v>0</v>
      </c>
      <c r="D53" s="84">
        <f>SUMIFS(Allocation!$K$1:$K$175,Allocation!$C$1:$C$175,"2026",Allocation!$D$1:$D$175,"ISCOM_LIL",Allocation!$F$1:$F$175,"BAC_COM",Allocation!$G$1:$G$175,"B3",Allocation!$H$1:$H$175,"ALT")</f>
        <v>0</v>
      </c>
      <c r="E53" s="84">
        <f>SUMIFS(Allocation!$V$1:$V$175,Allocation!$C$1:$C$175,"2026",Allocation!$D$1:$D$175,"ISCOM_LIL",Allocation!$F$1:$F$175,"BAC_COM",Allocation!$G$1:$G$175,"B3",Allocation!$H$1:$H$175,"ALT")</f>
        <v>0</v>
      </c>
      <c r="F53" s="84">
        <f>SUMIFS(Allocation!$W$1:$W$175,Allocation!$C$1:$C$175,"2026",Allocation!$D$1:$D$175,"ISCOM_LIL",Allocation!$F$1:$F$175,"BAC_COM",Allocation!$G$1:$G$175,"B3",Allocation!$H$1:$H$175,"ALT")</f>
        <v>0</v>
      </c>
      <c r="G53" s="84">
        <f>SUMIFS(Allocation!$X$1:$X$175,Allocation!$C$1:$C$175,"2026",Allocation!$D$1:$D$175,"ISCOM_LIL",Allocation!$F$1:$F$175,"BAC_COM",Allocation!$G$1:$G$175,"B3",Allocation!$H$1:$H$175,"ALT")</f>
        <v>0</v>
      </c>
      <c r="H53" s="84">
        <f>SUMIFS(Allocation!$Y$1:$Y$175,Allocation!$C$1:$C$175,"2026",Allocation!$D$1:$D$175,"ISCOM_LIL",Allocation!$F$1:$F$175,"BAC_COM",Allocation!$G$1:$G$175,"B3",Allocation!$H$1:$H$175,"ALT")</f>
        <v>0</v>
      </c>
      <c r="I53" s="84">
        <f>SUMIFS(Allocation!$AC$1:$AC$175,Allocation!$C$1:$C$175,"2026",Allocation!$D$1:$D$175,"ISCOM_LIL",Allocation!$F$1:$F$175,"BAC_COM",Allocation!$G$1:$G$175,"B3",Allocation!$H$1:$H$175,"ALT")</f>
        <v>0</v>
      </c>
      <c r="J53" s="84">
        <f>SUMIFS(Allocation!$Z$1:$Z$175,Allocation!$C$1:$C$175,"2026",Allocation!$D$1:$D$175,"ISCOM_LIL",Allocation!$F$1:$F$175,"BAC_COM",Allocation!$G$1:$G$175,"B3",Allocation!$H$1:$H$175,"ALT")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SUMIFS(Allocation!$AA$1:$AA$175,Allocation!$C$1:$C$175,"2026",Allocation!$D$1:$D$175,"ISCOM_LIL",Allocation!$F$1:$F$175,"BAC_COM",Allocation!$G$1:$G$175,"B3",Allocation!$H$1:$H$175,"ALT")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SUMIFS(Allocation!$I$1:$I$175,Allocation!$C$1:$C$175,"2026",Allocation!$D$1:$D$175,"ISCOM_LIL",Allocation!$F$1:$F$175,"MAS_COM",Allocation!$G$1:$G$175,"M1",Allocation!$H$1:$H$175,"ALT")</f>
        <v>0</v>
      </c>
      <c r="D54" s="84">
        <f>SUMIFS(Allocation!$K$1:$K$175,Allocation!$C$1:$C$175,"2026",Allocation!$D$1:$D$175,"ISCOM_LIL",Allocation!$F$1:$F$175,"MAS_COM",Allocation!$G$1:$G$175,"M1",Allocation!$H$1:$H$175,"ALT")</f>
        <v>0</v>
      </c>
      <c r="E54" s="84">
        <f>SUMIFS(Allocation!$V$1:$V$175,Allocation!$C$1:$C$175,"2026",Allocation!$D$1:$D$175,"ISCOM_LIL",Allocation!$F$1:$F$175,"MAS_COM",Allocation!$G$1:$G$175,"M1",Allocation!$H$1:$H$175,"ALT")</f>
        <v>0</v>
      </c>
      <c r="F54" s="84">
        <f>SUMIFS(Allocation!$W$1:$W$175,Allocation!$C$1:$C$175,"2026",Allocation!$D$1:$D$175,"ISCOM_LIL",Allocation!$F$1:$F$175,"MAS_COM",Allocation!$G$1:$G$175,"M1",Allocation!$H$1:$H$175,"ALT")</f>
        <v>0</v>
      </c>
      <c r="G54" s="84">
        <f>SUMIFS(Allocation!$X$1:$X$175,Allocation!$C$1:$C$175,"2026",Allocation!$D$1:$D$175,"ISCOM_LIL",Allocation!$F$1:$F$175,"MAS_COM",Allocation!$G$1:$G$175,"M1",Allocation!$H$1:$H$175,"ALT")</f>
        <v>0</v>
      </c>
      <c r="H54" s="84">
        <f>SUMIFS(Allocation!$Y$1:$Y$175,Allocation!$C$1:$C$175,"2026",Allocation!$D$1:$D$175,"ISCOM_LIL",Allocation!$F$1:$F$175,"MAS_COM",Allocation!$G$1:$G$175,"M1",Allocation!$H$1:$H$175,"ALT")</f>
        <v>0</v>
      </c>
      <c r="I54" s="84">
        <f>SUMIFS(Allocation!$AC$1:$AC$175,Allocation!$C$1:$C$175,"2026",Allocation!$D$1:$D$175,"ISCOM_LIL",Allocation!$F$1:$F$175,"MAS_COM",Allocation!$G$1:$G$175,"M1",Allocation!$H$1:$H$175,"ALT")</f>
        <v>0</v>
      </c>
      <c r="J54" s="84">
        <f>SUMIFS(Allocation!$Z$1:$Z$175,Allocation!$C$1:$C$175,"2026",Allocation!$D$1:$D$175,"ISCOM_LIL",Allocation!$F$1:$F$175,"MAS_COM",Allocation!$G$1:$G$175,"M1",Allocation!$H$1:$H$175,"ALT")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SUMIFS(Allocation!$AA$1:$AA$175,Allocation!$C$1:$C$175,"2026",Allocation!$D$1:$D$175,"ISCOM_LIL",Allocation!$F$1:$F$175,"MAS_COM",Allocation!$G$1:$G$175,"M1",Allocation!$H$1:$H$175,"ALT")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SUMIFS(Allocation!$I$1:$I$175,Allocation!$C$1:$C$175,"2026",Allocation!$D$1:$D$175,"ISCOM_LIL",Allocation!$F$1:$F$175,"MAS_COM",Allocation!$G$1:$G$175,"M2",Allocation!$H$1:$H$175,"ALT")</f>
        <v>0</v>
      </c>
      <c r="D55" s="84">
        <f>SUMIFS(Allocation!$K$1:$K$175,Allocation!$C$1:$C$175,"2026",Allocation!$D$1:$D$175,"ISCOM_LIL",Allocation!$F$1:$F$175,"MAS_COM",Allocation!$G$1:$G$175,"M2",Allocation!$H$1:$H$175,"ALT")</f>
        <v>0</v>
      </c>
      <c r="E55" s="84">
        <f>SUMIFS(Allocation!$V$1:$V$175,Allocation!$C$1:$C$175,"2026",Allocation!$D$1:$D$175,"ISCOM_LIL",Allocation!$F$1:$F$175,"MAS_COM",Allocation!$G$1:$G$175,"M2",Allocation!$H$1:$H$175,"ALT")</f>
        <v>0</v>
      </c>
      <c r="F55" s="84">
        <f>SUMIFS(Allocation!$W$1:$W$175,Allocation!$C$1:$C$175,"2026",Allocation!$D$1:$D$175,"ISCOM_LIL",Allocation!$F$1:$F$175,"MAS_COM",Allocation!$G$1:$G$175,"M2",Allocation!$H$1:$H$175,"ALT")</f>
        <v>0</v>
      </c>
      <c r="G55" s="84">
        <f>SUMIFS(Allocation!$X$1:$X$175,Allocation!$C$1:$C$175,"2026",Allocation!$D$1:$D$175,"ISCOM_LIL",Allocation!$F$1:$F$175,"MAS_COM",Allocation!$G$1:$G$175,"M2",Allocation!$H$1:$H$175,"ALT")</f>
        <v>0</v>
      </c>
      <c r="H55" s="84">
        <f>SUMIFS(Allocation!$Y$1:$Y$175,Allocation!$C$1:$C$175,"2026",Allocation!$D$1:$D$175,"ISCOM_LIL",Allocation!$F$1:$F$175,"MAS_COM",Allocation!$G$1:$G$175,"M2",Allocation!$H$1:$H$175,"ALT")</f>
        <v>0</v>
      </c>
      <c r="I55" s="84">
        <f>SUMIFS(Allocation!$AC$1:$AC$175,Allocation!$C$1:$C$175,"2026",Allocation!$D$1:$D$175,"ISCOM_LIL",Allocation!$F$1:$F$175,"MAS_COM",Allocation!$G$1:$G$175,"M2",Allocation!$H$1:$H$175,"ALT")</f>
        <v>0</v>
      </c>
      <c r="J55" s="84">
        <f>SUMIFS(Allocation!$Z$1:$Z$175,Allocation!$C$1:$C$175,"2026",Allocation!$D$1:$D$175,"ISCOM_LIL",Allocation!$F$1:$F$175,"MAS_COM",Allocation!$G$1:$G$175,"M2",Allocation!$H$1:$H$175,"ALT")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SUMIFS(Allocation!$AA$1:$AA$175,Allocation!$C$1:$C$175,"2026",Allocation!$D$1:$D$175,"ISCOM_LIL",Allocation!$F$1:$F$175,"MAS_COM",Allocation!$G$1:$G$175,"M2",Allocation!$H$1:$H$175,"ALT")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SUMIFS(Allocation!$I$1:$I$175,Allocation!$C$1:$C$175,"2026",Allocation!$D$1:$D$175,"ISCOM_TLS")</f>
        <v>0</v>
      </c>
      <c r="D56" s="123">
        <f>SUMIFS(Allocation!$K$1:$K$175,Allocation!$C$1:$C$175,"2026",Allocation!$D$1:$D$175,"ISCOM_TLS")</f>
        <v>0</v>
      </c>
      <c r="E56" s="123">
        <f>SUMIFS(Allocation!$V$1:$V$175,Allocation!$C$1:$C$175,"2026",Allocation!$D$1:$D$175,"ISCOM_TLS")</f>
        <v>0</v>
      </c>
      <c r="F56" s="123">
        <f>SUMIFS(Allocation!$W$1:$W$175,Allocation!$C$1:$C$175,"2026",Allocation!$D$1:$D$175,"ISCOM_TLS")</f>
        <v>0</v>
      </c>
      <c r="G56" s="123">
        <f>SUMIFS(Allocation!$X$1:$X$175,Allocation!$C$1:$C$175,"2026",Allocation!$D$1:$D$175,"ISCOM_TLS")</f>
        <v>0</v>
      </c>
      <c r="H56" s="123">
        <f>SUMIFS(Allocation!$Y$1:$Y$175,Allocation!$C$1:$C$175,"2026",Allocation!$D$1:$D$175,"ISCOM_TLS")</f>
        <v>0</v>
      </c>
      <c r="I56" s="123">
        <f>SUMIFS(Allocation!$AC$1:$AC$175,Allocation!$C$1:$C$175,"2026",Allocation!$D$1:$D$175,"ISCOM_TLS")</f>
        <v>0</v>
      </c>
      <c r="J56" s="123">
        <f>SUMIFS(Allocation!$Z$1:$Z$175,Allocation!$C$1:$C$175,"2026",Allocation!$D$1:$D$175,"ISCOM_TLS")</f>
        <v>0</v>
      </c>
      <c r="K56" s="123">
        <f t="shared" si="2"/>
        <v>0</v>
      </c>
      <c r="L56" s="130">
        <f>SUMIFS(Allocation!$AA$1:$AA$175,Allocation!$C$1:$C$175,"2026",Allocation!$D$1:$D$175,"ISCOM_TLS")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SUMIFS(Allocation!$I$1:$I$175,Allocation!$C$1:$C$175,"2026",Allocation!$D$1:$D$175,"ISCOM_TLS",Allocation!$F$1:$F$175,"BAC_COM",Allocation!$G$1:$G$175,"B1",Allocation!$H$1:$H$175,"INIT")</f>
        <v>0</v>
      </c>
      <c r="D57" s="84">
        <f>SUMIFS(Allocation!$K$1:$K$175,Allocation!$C$1:$C$175,"2026",Allocation!$D$1:$D$175,"ISCOM_TLS",Allocation!$F$1:$F$175,"BAC_COM",Allocation!$G$1:$G$175,"B1",Allocation!$H$1:$H$175,"INIT")</f>
        <v>0</v>
      </c>
      <c r="E57" s="84">
        <f>SUMIFS(Allocation!$V$1:$V$175,Allocation!$C$1:$C$175,"2026",Allocation!$D$1:$D$175,"ISCOM_TLS",Allocation!$F$1:$F$175,"BAC_COM",Allocation!$G$1:$G$175,"B1",Allocation!$H$1:$H$175,"INIT")</f>
        <v>0</v>
      </c>
      <c r="F57" s="84">
        <f>SUMIFS(Allocation!$W$1:$W$175,Allocation!$C$1:$C$175,"2026",Allocation!$D$1:$D$175,"ISCOM_TLS",Allocation!$F$1:$F$175,"BAC_COM",Allocation!$G$1:$G$175,"B1",Allocation!$H$1:$H$175,"INIT")</f>
        <v>0</v>
      </c>
      <c r="G57" s="84">
        <f>SUMIFS(Allocation!$X$1:$X$175,Allocation!$C$1:$C$175,"2026",Allocation!$D$1:$D$175,"ISCOM_TLS",Allocation!$F$1:$F$175,"BAC_COM",Allocation!$G$1:$G$175,"B1",Allocation!$H$1:$H$175,"INIT")</f>
        <v>0</v>
      </c>
      <c r="H57" s="84">
        <f>SUMIFS(Allocation!$Y$1:$Y$175,Allocation!$C$1:$C$175,"2026",Allocation!$D$1:$D$175,"ISCOM_TLS",Allocation!$F$1:$F$175,"BAC_COM",Allocation!$G$1:$G$175,"B1",Allocation!$H$1:$H$175,"INIT")</f>
        <v>0</v>
      </c>
      <c r="I57" s="84">
        <f>SUMIFS(Allocation!$AC$1:$AC$175,Allocation!$C$1:$C$175,"2026",Allocation!$D$1:$D$175,"ISCOM_TLS",Allocation!$F$1:$F$175,"BAC_COM",Allocation!$G$1:$G$175,"B1",Allocation!$H$1:$H$175,"INIT")</f>
        <v>0</v>
      </c>
      <c r="J57" s="84">
        <f>SUMIFS(Allocation!$Z$1:$Z$175,Allocation!$C$1:$C$175,"2026",Allocation!$D$1:$D$175,"ISCOM_TLS",Allocation!$F$1:$F$175,"BAC_COM",Allocation!$G$1:$G$175,"B1",Allocation!$H$1:$H$175,"INIT")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SUMIFS(Allocation!$AA$1:$AA$175,Allocation!$C$1:$C$175,"2026",Allocation!$D$1:$D$175,"ISCOM_TLS",Allocation!$F$1:$F$175,"BAC_COM",Allocation!$G$1:$G$175,"B1",Allocation!$H$1:$H$175,"INIT")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SUMIFS(Allocation!$I$1:$I$175,Allocation!$C$1:$C$175,"2026",Allocation!$D$1:$D$175,"ISCOM_TLS",Allocation!$F$1:$F$175,"BAC_COM",Allocation!$G$1:$G$175,"B2",Allocation!$H$1:$H$175,"ALT")</f>
        <v>0</v>
      </c>
      <c r="D58" s="84">
        <f>SUMIFS(Allocation!$K$1:$K$175,Allocation!$C$1:$C$175,"2026",Allocation!$D$1:$D$175,"ISCOM_TLS",Allocation!$F$1:$F$175,"BAC_COM",Allocation!$G$1:$G$175,"B2",Allocation!$H$1:$H$175,"ALT")</f>
        <v>0</v>
      </c>
      <c r="E58" s="84">
        <f>SUMIFS(Allocation!$V$1:$V$175,Allocation!$C$1:$C$175,"2026",Allocation!$D$1:$D$175,"ISCOM_TLS",Allocation!$F$1:$F$175,"BAC_COM",Allocation!$G$1:$G$175,"B2",Allocation!$H$1:$H$175,"ALT")</f>
        <v>0</v>
      </c>
      <c r="F58" s="84">
        <f>SUMIFS(Allocation!$W$1:$W$175,Allocation!$C$1:$C$175,"2026",Allocation!$D$1:$D$175,"ISCOM_TLS",Allocation!$F$1:$F$175,"BAC_COM",Allocation!$G$1:$G$175,"B2",Allocation!$H$1:$H$175,"ALT")</f>
        <v>0</v>
      </c>
      <c r="G58" s="84">
        <f>SUMIFS(Allocation!$X$1:$X$175,Allocation!$C$1:$C$175,"2026",Allocation!$D$1:$D$175,"ISCOM_TLS",Allocation!$F$1:$F$175,"BAC_COM",Allocation!$G$1:$G$175,"B2",Allocation!$H$1:$H$175,"ALT")</f>
        <v>0</v>
      </c>
      <c r="H58" s="84">
        <f>SUMIFS(Allocation!$Y$1:$Y$175,Allocation!$C$1:$C$175,"2026",Allocation!$D$1:$D$175,"ISCOM_TLS",Allocation!$F$1:$F$175,"BAC_COM",Allocation!$G$1:$G$175,"B2",Allocation!$H$1:$H$175,"ALT")</f>
        <v>0</v>
      </c>
      <c r="I58" s="84">
        <f>SUMIFS(Allocation!$AC$1:$AC$175,Allocation!$C$1:$C$175,"2026",Allocation!$D$1:$D$175,"ISCOM_TLS",Allocation!$F$1:$F$175,"BAC_COM",Allocation!$G$1:$G$175,"B2",Allocation!$H$1:$H$175,"ALT")</f>
        <v>0</v>
      </c>
      <c r="J58" s="84">
        <f>SUMIFS(Allocation!$Z$1:$Z$175,Allocation!$C$1:$C$175,"2026",Allocation!$D$1:$D$175,"ISCOM_TLS",Allocation!$F$1:$F$175,"BAC_COM",Allocation!$G$1:$G$175,"B2",Allocation!$H$1:$H$175,"ALT")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SUMIFS(Allocation!$AA$1:$AA$175,Allocation!$C$1:$C$175,"2026",Allocation!$D$1:$D$175,"ISCOM_TLS",Allocation!$F$1:$F$175,"BAC_COM",Allocation!$G$1:$G$175,"B2",Allocation!$H$1:$H$175,"ALT")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SUMIFS(Allocation!$I$1:$I$175,Allocation!$C$1:$C$175,"2026",Allocation!$D$1:$D$175,"ISCOM_TLS",Allocation!$F$1:$F$175,"BAC_COM",Allocation!$G$1:$G$175,"B3",Allocation!$H$1:$H$175,"ALT")</f>
        <v>0</v>
      </c>
      <c r="D59" s="84">
        <f>SUMIFS(Allocation!$K$1:$K$175,Allocation!$C$1:$C$175,"2026",Allocation!$D$1:$D$175,"ISCOM_TLS",Allocation!$F$1:$F$175,"BAC_COM",Allocation!$G$1:$G$175,"B3",Allocation!$H$1:$H$175,"ALT")</f>
        <v>0</v>
      </c>
      <c r="E59" s="84">
        <f>SUMIFS(Allocation!$V$1:$V$175,Allocation!$C$1:$C$175,"2026",Allocation!$D$1:$D$175,"ISCOM_TLS",Allocation!$F$1:$F$175,"BAC_COM",Allocation!$G$1:$G$175,"B3",Allocation!$H$1:$H$175,"ALT")</f>
        <v>0</v>
      </c>
      <c r="F59" s="84">
        <f>SUMIFS(Allocation!$W$1:$W$175,Allocation!$C$1:$C$175,"2026",Allocation!$D$1:$D$175,"ISCOM_TLS",Allocation!$F$1:$F$175,"BAC_COM",Allocation!$G$1:$G$175,"B3",Allocation!$H$1:$H$175,"ALT")</f>
        <v>0</v>
      </c>
      <c r="G59" s="84">
        <f>SUMIFS(Allocation!$X$1:$X$175,Allocation!$C$1:$C$175,"2026",Allocation!$D$1:$D$175,"ISCOM_TLS",Allocation!$F$1:$F$175,"BAC_COM",Allocation!$G$1:$G$175,"B3",Allocation!$H$1:$H$175,"ALT")</f>
        <v>0</v>
      </c>
      <c r="H59" s="84">
        <f>SUMIFS(Allocation!$Y$1:$Y$175,Allocation!$C$1:$C$175,"2026",Allocation!$D$1:$D$175,"ISCOM_TLS",Allocation!$F$1:$F$175,"BAC_COM",Allocation!$G$1:$G$175,"B3",Allocation!$H$1:$H$175,"ALT")</f>
        <v>0</v>
      </c>
      <c r="I59" s="84">
        <f>SUMIFS(Allocation!$AC$1:$AC$175,Allocation!$C$1:$C$175,"2026",Allocation!$D$1:$D$175,"ISCOM_TLS",Allocation!$F$1:$F$175,"BAC_COM",Allocation!$G$1:$G$175,"B3",Allocation!$H$1:$H$175,"ALT")</f>
        <v>0</v>
      </c>
      <c r="J59" s="84">
        <f>SUMIFS(Allocation!$Z$1:$Z$175,Allocation!$C$1:$C$175,"2026",Allocation!$D$1:$D$175,"ISCOM_TLS",Allocation!$F$1:$F$175,"BAC_COM",Allocation!$G$1:$G$175,"B3",Allocation!$H$1:$H$175,"ALT")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SUMIFS(Allocation!$AA$1:$AA$175,Allocation!$C$1:$C$175,"2026",Allocation!$D$1:$D$175,"ISCOM_TLS",Allocation!$F$1:$F$175,"BAC_COM",Allocation!$G$1:$G$175,"B3",Allocation!$H$1:$H$175,"ALT")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SUMIFS(Allocation!$I$1:$I$175,Allocation!$C$1:$C$175,"2026",Allocation!$D$1:$D$175,"ISCOM_TLS",Allocation!$F$1:$F$175,"MAS_COM",Allocation!$G$1:$G$175,"M1",Allocation!$H$1:$H$175,"ALT")</f>
        <v>0</v>
      </c>
      <c r="D60" s="84">
        <f>SUMIFS(Allocation!$K$1:$K$175,Allocation!$C$1:$C$175,"2026",Allocation!$D$1:$D$175,"ISCOM_TLS",Allocation!$F$1:$F$175,"MAS_COM",Allocation!$G$1:$G$175,"M1",Allocation!$H$1:$H$175,"ALT")</f>
        <v>0</v>
      </c>
      <c r="E60" s="84">
        <f>SUMIFS(Allocation!$V$1:$V$175,Allocation!$C$1:$C$175,"2026",Allocation!$D$1:$D$175,"ISCOM_TLS",Allocation!$F$1:$F$175,"MAS_COM",Allocation!$G$1:$G$175,"M1",Allocation!$H$1:$H$175,"ALT")</f>
        <v>0</v>
      </c>
      <c r="F60" s="84">
        <f>SUMIFS(Allocation!$W$1:$W$175,Allocation!$C$1:$C$175,"2026",Allocation!$D$1:$D$175,"ISCOM_TLS",Allocation!$F$1:$F$175,"MAS_COM",Allocation!$G$1:$G$175,"M1",Allocation!$H$1:$H$175,"ALT")</f>
        <v>0</v>
      </c>
      <c r="G60" s="84">
        <f>SUMIFS(Allocation!$X$1:$X$175,Allocation!$C$1:$C$175,"2026",Allocation!$D$1:$D$175,"ISCOM_TLS",Allocation!$F$1:$F$175,"MAS_COM",Allocation!$G$1:$G$175,"M1",Allocation!$H$1:$H$175,"ALT")</f>
        <v>0</v>
      </c>
      <c r="H60" s="84">
        <f>SUMIFS(Allocation!$Y$1:$Y$175,Allocation!$C$1:$C$175,"2026",Allocation!$D$1:$D$175,"ISCOM_TLS",Allocation!$F$1:$F$175,"MAS_COM",Allocation!$G$1:$G$175,"M1",Allocation!$H$1:$H$175,"ALT")</f>
        <v>0</v>
      </c>
      <c r="I60" s="84">
        <f>SUMIFS(Allocation!$AC$1:$AC$175,Allocation!$C$1:$C$175,"2026",Allocation!$D$1:$D$175,"ISCOM_TLS",Allocation!$F$1:$F$175,"MAS_COM",Allocation!$G$1:$G$175,"M1",Allocation!$H$1:$H$175,"ALT")</f>
        <v>0</v>
      </c>
      <c r="J60" s="84">
        <f>SUMIFS(Allocation!$Z$1:$Z$175,Allocation!$C$1:$C$175,"2026",Allocation!$D$1:$D$175,"ISCOM_TLS",Allocation!$F$1:$F$175,"MAS_COM",Allocation!$G$1:$G$175,"M1",Allocation!$H$1:$H$175,"ALT")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SUMIFS(Allocation!$AA$1:$AA$175,Allocation!$C$1:$C$175,"2026",Allocation!$D$1:$D$175,"ISCOM_TLS",Allocation!$F$1:$F$175,"MAS_COM",Allocation!$G$1:$G$175,"M1",Allocation!$H$1:$H$175,"ALT")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SUMIFS(Allocation!$I$1:$I$175,Allocation!$C$1:$C$175,"2026",Allocation!$D$1:$D$175,"ISCOM_TLS",Allocation!$F$1:$F$175,"MAS_COM",Allocation!$G$1:$G$175,"M2",Allocation!$H$1:$H$175,"ALT")</f>
        <v>0</v>
      </c>
      <c r="D61" s="84">
        <f>SUMIFS(Allocation!$K$1:$K$175,Allocation!$C$1:$C$175,"2026",Allocation!$D$1:$D$175,"ISCOM_TLS",Allocation!$F$1:$F$175,"MAS_COM",Allocation!$G$1:$G$175,"M2",Allocation!$H$1:$H$175,"ALT")</f>
        <v>0</v>
      </c>
      <c r="E61" s="84">
        <f>SUMIFS(Allocation!$V$1:$V$175,Allocation!$C$1:$C$175,"2026",Allocation!$D$1:$D$175,"ISCOM_TLS",Allocation!$F$1:$F$175,"MAS_COM",Allocation!$G$1:$G$175,"M2",Allocation!$H$1:$H$175,"ALT")</f>
        <v>0</v>
      </c>
      <c r="F61" s="84">
        <f>SUMIFS(Allocation!$W$1:$W$175,Allocation!$C$1:$C$175,"2026",Allocation!$D$1:$D$175,"ISCOM_TLS",Allocation!$F$1:$F$175,"MAS_COM",Allocation!$G$1:$G$175,"M2",Allocation!$H$1:$H$175,"ALT")</f>
        <v>0</v>
      </c>
      <c r="G61" s="84">
        <f>SUMIFS(Allocation!$X$1:$X$175,Allocation!$C$1:$C$175,"2026",Allocation!$D$1:$D$175,"ISCOM_TLS",Allocation!$F$1:$F$175,"MAS_COM",Allocation!$G$1:$G$175,"M2",Allocation!$H$1:$H$175,"ALT")</f>
        <v>0</v>
      </c>
      <c r="H61" s="84">
        <f>SUMIFS(Allocation!$Y$1:$Y$175,Allocation!$C$1:$C$175,"2026",Allocation!$D$1:$D$175,"ISCOM_TLS",Allocation!$F$1:$F$175,"MAS_COM",Allocation!$G$1:$G$175,"M2",Allocation!$H$1:$H$175,"ALT")</f>
        <v>0</v>
      </c>
      <c r="I61" s="84">
        <f>SUMIFS(Allocation!$AC$1:$AC$175,Allocation!$C$1:$C$175,"2026",Allocation!$D$1:$D$175,"ISCOM_TLS",Allocation!$F$1:$F$175,"MAS_COM",Allocation!$G$1:$G$175,"M2",Allocation!$H$1:$H$175,"ALT")</f>
        <v>0</v>
      </c>
      <c r="J61" s="84">
        <f>SUMIFS(Allocation!$Z$1:$Z$175,Allocation!$C$1:$C$175,"2026",Allocation!$D$1:$D$175,"ISCOM_TLS",Allocation!$F$1:$F$175,"MAS_COM",Allocation!$G$1:$G$175,"M2",Allocation!$H$1:$H$175,"ALT")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SUMIFS(Allocation!$AA$1:$AA$175,Allocation!$C$1:$C$175,"2026",Allocation!$D$1:$D$175,"ISCOM_TLS",Allocation!$F$1:$F$175,"MAS_COM",Allocation!$G$1:$G$175,"M2",Allocation!$H$1:$H$175,"ALT")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SUMIFS(Allocation!$I$1:$I$175,Allocation!$C$1:$C$175,"2026",Allocation!$E$1:$E$175,"IPAC")</f>
        <v>0</v>
      </c>
      <c r="D62" s="123">
        <f>SUMIFS(Allocation!$K$1:$K$175,Allocation!$C$1:$C$175,"2026",Allocation!$E$1:$E$175,"IPAC")</f>
        <v>0</v>
      </c>
      <c r="E62" s="123">
        <f>SUMIFS(Allocation!$V$1:$V$175,Allocation!$C$1:$C$175,"2026",Allocation!$E$1:$E$175,"IPAC")</f>
        <v>0</v>
      </c>
      <c r="F62" s="123">
        <f>SUMIFS(Allocation!$W$1:$W$175,Allocation!$C$1:$C$175,"2026",Allocation!$E$1:$E$175,"IPAC")</f>
        <v>0</v>
      </c>
      <c r="G62" s="123">
        <f>SUMIFS(Allocation!$X$1:$X$175,Allocation!$C$1:$C$175,"2026",Allocation!$E$1:$E$175,"IPAC")</f>
        <v>0</v>
      </c>
      <c r="H62" s="123">
        <f>SUMIFS(Allocation!$Y$1:$Y$175,Allocation!$C$1:$C$175,"2026",Allocation!$E$1:$E$175,"IPAC")</f>
        <v>0</v>
      </c>
      <c r="I62" s="123">
        <f>SUMIFS(Allocation!$AC$1:$AC$175,Allocation!$C$1:$C$175,"2026",Allocation!$E$1:$E$175,"IPAC")</f>
        <v>0</v>
      </c>
      <c r="J62" s="123">
        <f>SUMIFS(Allocation!$Z$1:$Z$175,Allocation!$C$1:$C$175,"2026",Allocation!$E$1:$E$175,"IPAC")</f>
        <v>0</v>
      </c>
      <c r="K62" s="123">
        <f t="shared" si="2"/>
        <v>0</v>
      </c>
      <c r="L62" s="130">
        <f>SUMIFS(Allocation!$AA$1:$AA$175,Allocation!$C$1:$C$175,"2026",Allocation!$E$1:$E$175,"IPAC")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SUMIFS(Allocation!$I$1:$I$175,Allocation!$C$1:$C$175,"2026",Allocation!$D$1:$D$175,"IPAC_NAN")</f>
        <v>0</v>
      </c>
      <c r="D63" s="123">
        <f>SUMIFS(Allocation!$K$1:$K$175,Allocation!$C$1:$C$175,"2026",Allocation!$D$1:$D$175,"IPAC_NAN")</f>
        <v>0</v>
      </c>
      <c r="E63" s="123">
        <f>SUMIFS(Allocation!$V$1:$V$175,Allocation!$C$1:$C$175,"2026",Allocation!$D$1:$D$175,"IPAC_NAN")</f>
        <v>0</v>
      </c>
      <c r="F63" s="123">
        <f>SUMIFS(Allocation!$W$1:$W$175,Allocation!$C$1:$C$175,"2026",Allocation!$D$1:$D$175,"IPAC_NAN")</f>
        <v>0</v>
      </c>
      <c r="G63" s="123">
        <f>SUMIFS(Allocation!$X$1:$X$175,Allocation!$C$1:$C$175,"2026",Allocation!$D$1:$D$175,"IPAC_NAN")</f>
        <v>0</v>
      </c>
      <c r="H63" s="123">
        <f>SUMIFS(Allocation!$Y$1:$Y$175,Allocation!$C$1:$C$175,"2026",Allocation!$D$1:$D$175,"IPAC_NAN")</f>
        <v>0</v>
      </c>
      <c r="I63" s="123">
        <f>SUMIFS(Allocation!$AC$1:$AC$175,Allocation!$C$1:$C$175,"2026",Allocation!$D$1:$D$175,"IPAC_NAN")</f>
        <v>0</v>
      </c>
      <c r="J63" s="123">
        <f>SUMIFS(Allocation!$Z$1:$Z$175,Allocation!$C$1:$C$175,"2026",Allocation!$D$1:$D$175,"IPAC_NAN")</f>
        <v>0</v>
      </c>
      <c r="K63" s="123">
        <f t="shared" si="2"/>
        <v>0</v>
      </c>
      <c r="L63" s="130">
        <f>SUMIFS(Allocation!$AA$1:$AA$175,Allocation!$C$1:$C$175,"2026",Allocation!$D$1:$D$175,"IPAC_NAN")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SUMIFS(Allocation!$I$1:$I$175,Allocation!$C$1:$C$175,"2026",Allocation!$D$1:$D$175,"IPAC_NAN",Allocation!$F$1:$F$175,"BAC_CCE",Allocation!$G$1:$G$175,"B1",Allocation!$H$1:$H$175,"ALT")</f>
        <v>0</v>
      </c>
      <c r="D64" s="84">
        <f>SUMIFS(Allocation!$K$1:$K$175,Allocation!$C$1:$C$175,"2026",Allocation!$D$1:$D$175,"IPAC_NAN",Allocation!$F$1:$F$175,"BAC_CCE",Allocation!$G$1:$G$175,"B1",Allocation!$H$1:$H$175,"ALT")</f>
        <v>0</v>
      </c>
      <c r="E64" s="84">
        <f>SUMIFS(Allocation!$V$1:$V$175,Allocation!$C$1:$C$175,"2026",Allocation!$D$1:$D$175,"IPAC_NAN",Allocation!$F$1:$F$175,"BAC_CCE",Allocation!$G$1:$G$175,"B1",Allocation!$H$1:$H$175,"ALT")</f>
        <v>0</v>
      </c>
      <c r="F64" s="84">
        <f>SUMIFS(Allocation!$W$1:$W$175,Allocation!$C$1:$C$175,"2026",Allocation!$D$1:$D$175,"IPAC_NAN",Allocation!$F$1:$F$175,"BAC_CCE",Allocation!$G$1:$G$175,"B1",Allocation!$H$1:$H$175,"ALT")</f>
        <v>0</v>
      </c>
      <c r="G64" s="84">
        <f>SUMIFS(Allocation!$X$1:$X$175,Allocation!$C$1:$C$175,"2026",Allocation!$D$1:$D$175,"IPAC_NAN",Allocation!$F$1:$F$175,"BAC_CCE",Allocation!$G$1:$G$175,"B1",Allocation!$H$1:$H$175,"ALT")</f>
        <v>0</v>
      </c>
      <c r="H64" s="84">
        <f>SUMIFS(Allocation!$Y$1:$Y$175,Allocation!$C$1:$C$175,"2026",Allocation!$D$1:$D$175,"IPAC_NAN",Allocation!$F$1:$F$175,"BAC_CCE",Allocation!$G$1:$G$175,"B1",Allocation!$H$1:$H$175,"ALT")</f>
        <v>0</v>
      </c>
      <c r="I64" s="84">
        <f>SUMIFS(Allocation!$AC$1:$AC$175,Allocation!$C$1:$C$175,"2026",Allocation!$D$1:$D$175,"IPAC_NAN",Allocation!$F$1:$F$175,"BAC_CCE",Allocation!$G$1:$G$175,"B1",Allocation!$H$1:$H$175,"ALT")</f>
        <v>0</v>
      </c>
      <c r="J64" s="84">
        <f>SUMIFS(Allocation!$Z$1:$Z$175,Allocation!$C$1:$C$175,"2026",Allocation!$D$1:$D$175,"IPAC_NAN",Allocation!$F$1:$F$175,"BAC_CCE",Allocation!$G$1:$G$175,"B1",Allocation!$H$1:$H$175,"ALT")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SUMIFS(Allocation!$AA$1:$AA$175,Allocation!$C$1:$C$175,"2026",Allocation!$D$1:$D$175,"IPAC_NAN",Allocation!$F$1:$F$175,"BAC_CCE",Allocation!$G$1:$G$175,"B1",Allocation!$H$1:$H$175,"ALT")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SUMIFS(Allocation!$I$1:$I$175,Allocation!$C$1:$C$175,"2026",Allocation!$D$1:$D$175,"IPAC_NAN",Allocation!$F$1:$F$175,"BAC_CCE",Allocation!$G$1:$G$175,"B2",Allocation!$H$1:$H$175,"ALT")</f>
        <v>0</v>
      </c>
      <c r="D65" s="84">
        <f>SUMIFS(Allocation!$K$1:$K$175,Allocation!$C$1:$C$175,"2026",Allocation!$D$1:$D$175,"IPAC_NAN",Allocation!$F$1:$F$175,"BAC_CCE",Allocation!$G$1:$G$175,"B2",Allocation!$H$1:$H$175,"ALT")</f>
        <v>0</v>
      </c>
      <c r="E65" s="84">
        <f>SUMIFS(Allocation!$V$1:$V$175,Allocation!$C$1:$C$175,"2026",Allocation!$D$1:$D$175,"IPAC_NAN",Allocation!$F$1:$F$175,"BAC_CCE",Allocation!$G$1:$G$175,"B2",Allocation!$H$1:$H$175,"ALT")</f>
        <v>0</v>
      </c>
      <c r="F65" s="84">
        <f>SUMIFS(Allocation!$W$1:$W$175,Allocation!$C$1:$C$175,"2026",Allocation!$D$1:$D$175,"IPAC_NAN",Allocation!$F$1:$F$175,"BAC_CCE",Allocation!$G$1:$G$175,"B2",Allocation!$H$1:$H$175,"ALT")</f>
        <v>0</v>
      </c>
      <c r="G65" s="84">
        <f>SUMIFS(Allocation!$X$1:$X$175,Allocation!$C$1:$C$175,"2026",Allocation!$D$1:$D$175,"IPAC_NAN",Allocation!$F$1:$F$175,"BAC_CCE",Allocation!$G$1:$G$175,"B2",Allocation!$H$1:$H$175,"ALT")</f>
        <v>0</v>
      </c>
      <c r="H65" s="84">
        <f>SUMIFS(Allocation!$Y$1:$Y$175,Allocation!$C$1:$C$175,"2026",Allocation!$D$1:$D$175,"IPAC_NAN",Allocation!$F$1:$F$175,"BAC_CCE",Allocation!$G$1:$G$175,"B2",Allocation!$H$1:$H$175,"ALT")</f>
        <v>0</v>
      </c>
      <c r="I65" s="84">
        <f>SUMIFS(Allocation!$AC$1:$AC$175,Allocation!$C$1:$C$175,"2026",Allocation!$D$1:$D$175,"IPAC_NAN",Allocation!$F$1:$F$175,"BAC_CCE",Allocation!$G$1:$G$175,"B2",Allocation!$H$1:$H$175,"ALT")</f>
        <v>0</v>
      </c>
      <c r="J65" s="84">
        <f>SUMIFS(Allocation!$Z$1:$Z$175,Allocation!$C$1:$C$175,"2026",Allocation!$D$1:$D$175,"IPAC_NAN",Allocation!$F$1:$F$175,"BAC_CCE",Allocation!$G$1:$G$175,"B2",Allocation!$H$1:$H$175,"ALT")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SUMIFS(Allocation!$AA$1:$AA$175,Allocation!$C$1:$C$175,"2026",Allocation!$D$1:$D$175,"IPAC_NAN",Allocation!$F$1:$F$175,"BAC_CCE",Allocation!$G$1:$G$175,"B2",Allocation!$H$1:$H$175,"ALT")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SUMIFS(Allocation!$I$1:$I$175,Allocation!$C$1:$C$175,"2026",Allocation!$D$1:$D$175,"IPAC_NAN",Allocation!$F$1:$F$175,"BAC_CCE",Allocation!$G$1:$G$175,"B3",Allocation!$H$1:$H$175,"ALT")</f>
        <v>0</v>
      </c>
      <c r="D66" s="84">
        <f>SUMIFS(Allocation!$K$1:$K$175,Allocation!$C$1:$C$175,"2026",Allocation!$D$1:$D$175,"IPAC_NAN",Allocation!$F$1:$F$175,"BAC_CCE",Allocation!$G$1:$G$175,"B3",Allocation!$H$1:$H$175,"ALT")</f>
        <v>0</v>
      </c>
      <c r="E66" s="84">
        <f>SUMIFS(Allocation!$V$1:$V$175,Allocation!$C$1:$C$175,"2026",Allocation!$D$1:$D$175,"IPAC_NAN",Allocation!$F$1:$F$175,"BAC_CCE",Allocation!$G$1:$G$175,"B3",Allocation!$H$1:$H$175,"ALT")</f>
        <v>0</v>
      </c>
      <c r="F66" s="84">
        <f>SUMIFS(Allocation!$W$1:$W$175,Allocation!$C$1:$C$175,"2026",Allocation!$D$1:$D$175,"IPAC_NAN",Allocation!$F$1:$F$175,"BAC_CCE",Allocation!$G$1:$G$175,"B3",Allocation!$H$1:$H$175,"ALT")</f>
        <v>0</v>
      </c>
      <c r="G66" s="84">
        <f>SUMIFS(Allocation!$X$1:$X$175,Allocation!$C$1:$C$175,"2026",Allocation!$D$1:$D$175,"IPAC_NAN",Allocation!$F$1:$F$175,"BAC_CCE",Allocation!$G$1:$G$175,"B3",Allocation!$H$1:$H$175,"ALT")</f>
        <v>0</v>
      </c>
      <c r="H66" s="84">
        <f>SUMIFS(Allocation!$Y$1:$Y$175,Allocation!$C$1:$C$175,"2026",Allocation!$D$1:$D$175,"IPAC_NAN",Allocation!$F$1:$F$175,"BAC_CCE",Allocation!$G$1:$G$175,"B3",Allocation!$H$1:$H$175,"ALT")</f>
        <v>0</v>
      </c>
      <c r="I66" s="84">
        <f>SUMIFS(Allocation!$AC$1:$AC$175,Allocation!$C$1:$C$175,"2026",Allocation!$D$1:$D$175,"IPAC_NAN",Allocation!$F$1:$F$175,"BAC_CCE",Allocation!$G$1:$G$175,"B3",Allocation!$H$1:$H$175,"ALT")</f>
        <v>0</v>
      </c>
      <c r="J66" s="84">
        <f>SUMIFS(Allocation!$Z$1:$Z$175,Allocation!$C$1:$C$175,"2026",Allocation!$D$1:$D$175,"IPAC_NAN",Allocation!$F$1:$F$175,"BAC_CCE",Allocation!$G$1:$G$175,"B3",Allocation!$H$1:$H$175,"ALT")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SUMIFS(Allocation!$AA$1:$AA$175,Allocation!$C$1:$C$175,"2026",Allocation!$D$1:$D$175,"IPAC_NAN",Allocation!$F$1:$F$175,"BAC_CCE",Allocation!$G$1:$G$175,"B3",Allocation!$H$1:$H$175,"ALT")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collapsed="1" x14ac:dyDescent="0.45">
      <c r="B67" s="36" t="s">
        <v>170</v>
      </c>
      <c r="C67" s="122">
        <f>SUMIFS(Allocation!$I$1:$I$175,Allocation!$C$1:$C$175,"2026",Allocation!$D$1:$D$175,"IPAC_REN")</f>
        <v>0</v>
      </c>
      <c r="D67" s="123">
        <f>SUMIFS(Allocation!$K$1:$K$175,Allocation!$C$1:$C$175,"2026",Allocation!$D$1:$D$175,"IPAC_REN")</f>
        <v>0</v>
      </c>
      <c r="E67" s="123">
        <f>SUMIFS(Allocation!$V$1:$V$175,Allocation!$C$1:$C$175,"2026",Allocation!$D$1:$D$175,"IPAC_REN")</f>
        <v>0</v>
      </c>
      <c r="F67" s="123">
        <f>SUMIFS(Allocation!$W$1:$W$175,Allocation!$C$1:$C$175,"2026",Allocation!$D$1:$D$175,"IPAC_REN")</f>
        <v>0</v>
      </c>
      <c r="G67" s="123">
        <f>SUMIFS(Allocation!$X$1:$X$175,Allocation!$C$1:$C$175,"2026",Allocation!$D$1:$D$175,"IPAC_REN")</f>
        <v>0</v>
      </c>
      <c r="H67" s="123">
        <f>SUMIFS(Allocation!$Y$1:$Y$175,Allocation!$C$1:$C$175,"2026",Allocation!$D$1:$D$175,"IPAC_REN")</f>
        <v>0</v>
      </c>
      <c r="I67" s="123">
        <f>SUMIFS(Allocation!$AC$1:$AC$175,Allocation!$C$1:$C$175,"2026",Allocation!$D$1:$D$175,"IPAC_REN")</f>
        <v>0</v>
      </c>
      <c r="J67" s="123">
        <f>SUMIFS(Allocation!$Z$1:$Z$175,Allocation!$C$1:$C$175,"2026",Allocation!$D$1:$D$175,"IPAC_REN")</f>
        <v>0</v>
      </c>
      <c r="K67" s="123">
        <f t="shared" si="2"/>
        <v>0</v>
      </c>
      <c r="L67" s="130">
        <f>SUMIFS(Allocation!$AA$1:$AA$175,Allocation!$C$1:$C$175,"2026",Allocation!$D$1:$D$175,"IPAC_REN")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SUMIFS(Allocation!$I$1:$I$175,Allocation!$C$1:$C$175,"2026",Allocation!$D$1:$D$175,"IPAC_REN",Allocation!$F$1:$F$175,"BAC_CCE",Allocation!$G$1:$G$175,"B1",Allocation!$H$1:$H$175,"ALT")</f>
        <v>0</v>
      </c>
      <c r="D68" s="84">
        <f>SUMIFS(Allocation!$K$1:$K$175,Allocation!$C$1:$C$175,"2026",Allocation!$D$1:$D$175,"IPAC_REN",Allocation!$F$1:$F$175,"BAC_CCE",Allocation!$G$1:$G$175,"B1",Allocation!$H$1:$H$175,"ALT")</f>
        <v>0</v>
      </c>
      <c r="E68" s="84">
        <f>SUMIFS(Allocation!$V$1:$V$175,Allocation!$C$1:$C$175,"2026",Allocation!$D$1:$D$175,"IPAC_REN",Allocation!$F$1:$F$175,"BAC_CCE",Allocation!$G$1:$G$175,"B1",Allocation!$H$1:$H$175,"ALT")</f>
        <v>0</v>
      </c>
      <c r="F68" s="84">
        <f>SUMIFS(Allocation!$W$1:$W$175,Allocation!$C$1:$C$175,"2026",Allocation!$D$1:$D$175,"IPAC_REN",Allocation!$F$1:$F$175,"BAC_CCE",Allocation!$G$1:$G$175,"B1",Allocation!$H$1:$H$175,"ALT")</f>
        <v>0</v>
      </c>
      <c r="G68" s="84">
        <f>SUMIFS(Allocation!$X$1:$X$175,Allocation!$C$1:$C$175,"2026",Allocation!$D$1:$D$175,"IPAC_REN",Allocation!$F$1:$F$175,"BAC_CCE",Allocation!$G$1:$G$175,"B1",Allocation!$H$1:$H$175,"ALT")</f>
        <v>0</v>
      </c>
      <c r="H68" s="84">
        <f>SUMIFS(Allocation!$Y$1:$Y$175,Allocation!$C$1:$C$175,"2026",Allocation!$D$1:$D$175,"IPAC_REN",Allocation!$F$1:$F$175,"BAC_CCE",Allocation!$G$1:$G$175,"B1",Allocation!$H$1:$H$175,"ALT")</f>
        <v>0</v>
      </c>
      <c r="I68" s="84">
        <f>SUMIFS(Allocation!$AC$1:$AC$175,Allocation!$C$1:$C$175,"2026",Allocation!$D$1:$D$175,"IPAC_REN",Allocation!$F$1:$F$175,"BAC_CCE",Allocation!$G$1:$G$175,"B1",Allocation!$H$1:$H$175,"ALT")</f>
        <v>0</v>
      </c>
      <c r="J68" s="84">
        <f>SUMIFS(Allocation!$Z$1:$Z$175,Allocation!$C$1:$C$175,"2026",Allocation!$D$1:$D$175,"IPAC_REN",Allocation!$F$1:$F$175,"BAC_CCE",Allocation!$G$1:$G$175,"B1",Allocation!$H$1:$H$175,"ALT")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SUMIFS(Allocation!$AA$1:$AA$175,Allocation!$C$1:$C$175,"2026",Allocation!$D$1:$D$175,"IPAC_REN",Allocation!$F$1:$F$175,"BAC_CCE",Allocation!$G$1:$G$175,"B1",Allocation!$H$1:$H$175,"ALT")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SUMIFS(Allocation!$I$1:$I$175,Allocation!$C$1:$C$175,"2026",Allocation!$D$1:$D$175,"IPAC_REN",Allocation!$F$1:$F$175,"BAC_CCE",Allocation!$G$1:$G$175,"B2",Allocation!$H$1:$H$175,"ALT")</f>
        <v>0</v>
      </c>
      <c r="D69" s="84">
        <f>SUMIFS(Allocation!$K$1:$K$175,Allocation!$C$1:$C$175,"2026",Allocation!$D$1:$D$175,"IPAC_REN",Allocation!$F$1:$F$175,"BAC_CCE",Allocation!$G$1:$G$175,"B2",Allocation!$H$1:$H$175,"ALT")</f>
        <v>0</v>
      </c>
      <c r="E69" s="84">
        <f>SUMIFS(Allocation!$V$1:$V$175,Allocation!$C$1:$C$175,"2026",Allocation!$D$1:$D$175,"IPAC_REN",Allocation!$F$1:$F$175,"BAC_CCE",Allocation!$G$1:$G$175,"B2",Allocation!$H$1:$H$175,"ALT")</f>
        <v>0</v>
      </c>
      <c r="F69" s="84">
        <f>SUMIFS(Allocation!$W$1:$W$175,Allocation!$C$1:$C$175,"2026",Allocation!$D$1:$D$175,"IPAC_REN",Allocation!$F$1:$F$175,"BAC_CCE",Allocation!$G$1:$G$175,"B2",Allocation!$H$1:$H$175,"ALT")</f>
        <v>0</v>
      </c>
      <c r="G69" s="84">
        <f>SUMIFS(Allocation!$X$1:$X$175,Allocation!$C$1:$C$175,"2026",Allocation!$D$1:$D$175,"IPAC_REN",Allocation!$F$1:$F$175,"BAC_CCE",Allocation!$G$1:$G$175,"B2",Allocation!$H$1:$H$175,"ALT")</f>
        <v>0</v>
      </c>
      <c r="H69" s="84">
        <f>SUMIFS(Allocation!$Y$1:$Y$175,Allocation!$C$1:$C$175,"2026",Allocation!$D$1:$D$175,"IPAC_REN",Allocation!$F$1:$F$175,"BAC_CCE",Allocation!$G$1:$G$175,"B2",Allocation!$H$1:$H$175,"ALT")</f>
        <v>0</v>
      </c>
      <c r="I69" s="84">
        <f>SUMIFS(Allocation!$AC$1:$AC$175,Allocation!$C$1:$C$175,"2026",Allocation!$D$1:$D$175,"IPAC_REN",Allocation!$F$1:$F$175,"BAC_CCE",Allocation!$G$1:$G$175,"B2",Allocation!$H$1:$H$175,"ALT")</f>
        <v>0</v>
      </c>
      <c r="J69" s="84">
        <f>SUMIFS(Allocation!$Z$1:$Z$175,Allocation!$C$1:$C$175,"2026",Allocation!$D$1:$D$175,"IPAC_REN",Allocation!$F$1:$F$175,"BAC_CCE",Allocation!$G$1:$G$175,"B2",Allocation!$H$1:$H$175,"ALT")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SUMIFS(Allocation!$AA$1:$AA$175,Allocation!$C$1:$C$175,"2026",Allocation!$D$1:$D$175,"IPAC_REN",Allocation!$F$1:$F$175,"BAC_CCE",Allocation!$G$1:$G$175,"B2",Allocation!$H$1:$H$175,"ALT")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SUMIFS(Allocation!$I$1:$I$175,Allocation!$C$1:$C$175,"2026",Allocation!$D$1:$D$175,"IPAC_REN",Allocation!$F$1:$F$175,"BAC_CCE",Allocation!$G$1:$G$175,"B3",Allocation!$H$1:$H$175,"ALT")</f>
        <v>0</v>
      </c>
      <c r="D70" s="84">
        <f>SUMIFS(Allocation!$K$1:$K$175,Allocation!$C$1:$C$175,"2026",Allocation!$D$1:$D$175,"IPAC_REN",Allocation!$F$1:$F$175,"BAC_CCE",Allocation!$G$1:$G$175,"B3",Allocation!$H$1:$H$175,"ALT")</f>
        <v>0</v>
      </c>
      <c r="E70" s="84">
        <f>SUMIFS(Allocation!$V$1:$V$175,Allocation!$C$1:$C$175,"2026",Allocation!$D$1:$D$175,"IPAC_REN",Allocation!$F$1:$F$175,"BAC_CCE",Allocation!$G$1:$G$175,"B3",Allocation!$H$1:$H$175,"ALT")</f>
        <v>0</v>
      </c>
      <c r="F70" s="84">
        <f>SUMIFS(Allocation!$W$1:$W$175,Allocation!$C$1:$C$175,"2026",Allocation!$D$1:$D$175,"IPAC_REN",Allocation!$F$1:$F$175,"BAC_CCE",Allocation!$G$1:$G$175,"B3",Allocation!$H$1:$H$175,"ALT")</f>
        <v>0</v>
      </c>
      <c r="G70" s="84">
        <f>SUMIFS(Allocation!$X$1:$X$175,Allocation!$C$1:$C$175,"2026",Allocation!$D$1:$D$175,"IPAC_REN",Allocation!$F$1:$F$175,"BAC_CCE",Allocation!$G$1:$G$175,"B3",Allocation!$H$1:$H$175,"ALT")</f>
        <v>0</v>
      </c>
      <c r="H70" s="84">
        <f>SUMIFS(Allocation!$Y$1:$Y$175,Allocation!$C$1:$C$175,"2026",Allocation!$D$1:$D$175,"IPAC_REN",Allocation!$F$1:$F$175,"BAC_CCE",Allocation!$G$1:$G$175,"B3",Allocation!$H$1:$H$175,"ALT")</f>
        <v>0</v>
      </c>
      <c r="I70" s="84">
        <f>SUMIFS(Allocation!$AC$1:$AC$175,Allocation!$C$1:$C$175,"2026",Allocation!$D$1:$D$175,"IPAC_REN",Allocation!$F$1:$F$175,"BAC_CCE",Allocation!$G$1:$G$175,"B3",Allocation!$H$1:$H$175,"ALT")</f>
        <v>0</v>
      </c>
      <c r="J70" s="84">
        <f>SUMIFS(Allocation!$Z$1:$Z$175,Allocation!$C$1:$C$175,"2026",Allocation!$D$1:$D$175,"IPAC_REN",Allocation!$F$1:$F$175,"BAC_CCE",Allocation!$G$1:$G$175,"B3",Allocation!$H$1:$H$175,"ALT")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SUMIFS(Allocation!$AA$1:$AA$175,Allocation!$C$1:$C$175,"2026",Allocation!$D$1:$D$175,"IPAC_REN",Allocation!$F$1:$F$175,"BAC_CCE",Allocation!$G$1:$G$175,"B3",Allocation!$H$1:$H$175,"ALT")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collapsed="1" x14ac:dyDescent="0.45">
      <c r="B71" s="36" t="s">
        <v>171</v>
      </c>
      <c r="C71" s="122">
        <f>SUMIFS(Allocation!$I$1:$I$175,Allocation!$C$1:$C$175,"2026",Allocation!$D$1:$D$175,"IPAC_MTP")</f>
        <v>0</v>
      </c>
      <c r="D71" s="123">
        <f>SUMIFS(Allocation!$K$1:$K$175,Allocation!$C$1:$C$175,"2026",Allocation!$D$1:$D$175,"IPAC_MTP")</f>
        <v>0</v>
      </c>
      <c r="E71" s="123">
        <f>SUMIFS(Allocation!$V$1:$V$175,Allocation!$C$1:$C$175,"2026",Allocation!$D$1:$D$175,"IPAC_MTP")</f>
        <v>0</v>
      </c>
      <c r="F71" s="123">
        <f>SUMIFS(Allocation!$W$1:$W$175,Allocation!$C$1:$C$175,"2026",Allocation!$D$1:$D$175,"IPAC_MTP")</f>
        <v>0</v>
      </c>
      <c r="G71" s="123">
        <f>SUMIFS(Allocation!$X$1:$X$175,Allocation!$C$1:$C$175,"2026",Allocation!$D$1:$D$175,"IPAC_MTP")</f>
        <v>0</v>
      </c>
      <c r="H71" s="123">
        <f>SUMIFS(Allocation!$Y$1:$Y$175,Allocation!$C$1:$C$175,"2026",Allocation!$D$1:$D$175,"IPAC_MTP")</f>
        <v>0</v>
      </c>
      <c r="I71" s="123">
        <f>SUMIFS(Allocation!$AC$1:$AC$175,Allocation!$C$1:$C$175,"2026",Allocation!$D$1:$D$175,"IPAC_MTP")</f>
        <v>0</v>
      </c>
      <c r="J71" s="123">
        <f>SUMIFS(Allocation!$Z$1:$Z$175,Allocation!$C$1:$C$175,"2026",Allocation!$D$1:$D$175,"IPAC_MTP")</f>
        <v>0</v>
      </c>
      <c r="K71" s="123">
        <f t="shared" si="2"/>
        <v>0</v>
      </c>
      <c r="L71" s="130">
        <f>SUMIFS(Allocation!$AA$1:$AA$175,Allocation!$C$1:$C$175,"2026",Allocation!$D$1:$D$175,"IPAC_MTP")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SUMIFS(Allocation!$I$1:$I$175,Allocation!$C$1:$C$175,"2026",Allocation!$D$1:$D$175,"IPAC_MTP",Allocation!$F$1:$F$175,"BAC_CCE",Allocation!$G$1:$G$175,"B1",Allocation!$H$1:$H$175,"ALT")</f>
        <v>0</v>
      </c>
      <c r="D72" s="84">
        <f>SUMIFS(Allocation!$K$1:$K$175,Allocation!$C$1:$C$175,"2026",Allocation!$D$1:$D$175,"IPAC_MTP",Allocation!$F$1:$F$175,"BAC_CCE",Allocation!$G$1:$G$175,"B1",Allocation!$H$1:$H$175,"ALT")</f>
        <v>0</v>
      </c>
      <c r="E72" s="84">
        <f>SUMIFS(Allocation!$V$1:$V$175,Allocation!$C$1:$C$175,"2026",Allocation!$D$1:$D$175,"IPAC_MTP",Allocation!$F$1:$F$175,"BAC_CCE",Allocation!$G$1:$G$175,"B1",Allocation!$H$1:$H$175,"ALT")</f>
        <v>0</v>
      </c>
      <c r="F72" s="84">
        <f>SUMIFS(Allocation!$W$1:$W$175,Allocation!$C$1:$C$175,"2026",Allocation!$D$1:$D$175,"IPAC_MTP",Allocation!$F$1:$F$175,"BAC_CCE",Allocation!$G$1:$G$175,"B1",Allocation!$H$1:$H$175,"ALT")</f>
        <v>0</v>
      </c>
      <c r="G72" s="84">
        <f>SUMIFS(Allocation!$X$1:$X$175,Allocation!$C$1:$C$175,"2026",Allocation!$D$1:$D$175,"IPAC_MTP",Allocation!$F$1:$F$175,"BAC_CCE",Allocation!$G$1:$G$175,"B1",Allocation!$H$1:$H$175,"ALT")</f>
        <v>0</v>
      </c>
      <c r="H72" s="84">
        <f>SUMIFS(Allocation!$Y$1:$Y$175,Allocation!$C$1:$C$175,"2026",Allocation!$D$1:$D$175,"IPAC_MTP",Allocation!$F$1:$F$175,"BAC_CCE",Allocation!$G$1:$G$175,"B1",Allocation!$H$1:$H$175,"ALT")</f>
        <v>0</v>
      </c>
      <c r="I72" s="84">
        <f>SUMIFS(Allocation!$AC$1:$AC$175,Allocation!$C$1:$C$175,"2026",Allocation!$D$1:$D$175,"IPAC_MTP",Allocation!$F$1:$F$175,"BAC_CCE",Allocation!$G$1:$G$175,"B1",Allocation!$H$1:$H$175,"ALT")</f>
        <v>0</v>
      </c>
      <c r="J72" s="84">
        <f>SUMIFS(Allocation!$Z$1:$Z$175,Allocation!$C$1:$C$175,"2026",Allocation!$D$1:$D$175,"IPAC_MTP",Allocation!$F$1:$F$175,"BAC_CCE",Allocation!$G$1:$G$175,"B1",Allocation!$H$1:$H$175,"ALT")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SUMIFS(Allocation!$AA$1:$AA$175,Allocation!$C$1:$C$175,"2026",Allocation!$D$1:$D$175,"IPAC_MTP",Allocation!$F$1:$F$175,"BAC_CCE",Allocation!$G$1:$G$175,"B1",Allocation!$H$1:$H$175,"ALT")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SUMIFS(Allocation!$I$1:$I$175,Allocation!$C$1:$C$175,"2026",Allocation!$D$1:$D$175,"IPAC_MTP",Allocation!$F$1:$F$175,"BAC_CCE",Allocation!$G$1:$G$175,"B2",Allocation!$H$1:$H$175,"ALT")</f>
        <v>0</v>
      </c>
      <c r="D73" s="84">
        <f>SUMIFS(Allocation!$K$1:$K$175,Allocation!$C$1:$C$175,"2026",Allocation!$D$1:$D$175,"IPAC_MTP",Allocation!$F$1:$F$175,"BAC_CCE",Allocation!$G$1:$G$175,"B2",Allocation!$H$1:$H$175,"ALT")</f>
        <v>0</v>
      </c>
      <c r="E73" s="84">
        <f>SUMIFS(Allocation!$V$1:$V$175,Allocation!$C$1:$C$175,"2026",Allocation!$D$1:$D$175,"IPAC_MTP",Allocation!$F$1:$F$175,"BAC_CCE",Allocation!$G$1:$G$175,"B2",Allocation!$H$1:$H$175,"ALT")</f>
        <v>0</v>
      </c>
      <c r="F73" s="84">
        <f>SUMIFS(Allocation!$W$1:$W$175,Allocation!$C$1:$C$175,"2026",Allocation!$D$1:$D$175,"IPAC_MTP",Allocation!$F$1:$F$175,"BAC_CCE",Allocation!$G$1:$G$175,"B2",Allocation!$H$1:$H$175,"ALT")</f>
        <v>0</v>
      </c>
      <c r="G73" s="84">
        <f>SUMIFS(Allocation!$X$1:$X$175,Allocation!$C$1:$C$175,"2026",Allocation!$D$1:$D$175,"IPAC_MTP",Allocation!$F$1:$F$175,"BAC_CCE",Allocation!$G$1:$G$175,"B2",Allocation!$H$1:$H$175,"ALT")</f>
        <v>0</v>
      </c>
      <c r="H73" s="84">
        <f>SUMIFS(Allocation!$Y$1:$Y$175,Allocation!$C$1:$C$175,"2026",Allocation!$D$1:$D$175,"IPAC_MTP",Allocation!$F$1:$F$175,"BAC_CCE",Allocation!$G$1:$G$175,"B2",Allocation!$H$1:$H$175,"ALT")</f>
        <v>0</v>
      </c>
      <c r="I73" s="84">
        <f>SUMIFS(Allocation!$AC$1:$AC$175,Allocation!$C$1:$C$175,"2026",Allocation!$D$1:$D$175,"IPAC_MTP",Allocation!$F$1:$F$175,"BAC_CCE",Allocation!$G$1:$G$175,"B2",Allocation!$H$1:$H$175,"ALT")</f>
        <v>0</v>
      </c>
      <c r="J73" s="84">
        <f>SUMIFS(Allocation!$Z$1:$Z$175,Allocation!$C$1:$C$175,"2026",Allocation!$D$1:$D$175,"IPAC_MTP",Allocation!$F$1:$F$175,"BAC_CCE",Allocation!$G$1:$G$175,"B2",Allocation!$H$1:$H$175,"ALT")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SUMIFS(Allocation!$AA$1:$AA$175,Allocation!$C$1:$C$175,"2026",Allocation!$D$1:$D$175,"IPAC_MTP",Allocation!$F$1:$F$175,"BAC_CCE",Allocation!$G$1:$G$175,"B2",Allocation!$H$1:$H$175,"ALT")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SUMIFS(Allocation!$I$1:$I$175,Allocation!$C$1:$C$175,"2026",Allocation!$D$1:$D$175,"IPAC_MTP",Allocation!$F$1:$F$175,"BAC_CCE",Allocation!$G$1:$G$175,"B3",Allocation!$H$1:$H$175,"ALT")</f>
        <v>0</v>
      </c>
      <c r="D74" s="84">
        <f>SUMIFS(Allocation!$K$1:$K$175,Allocation!$C$1:$C$175,"2026",Allocation!$D$1:$D$175,"IPAC_MTP",Allocation!$F$1:$F$175,"BAC_CCE",Allocation!$G$1:$G$175,"B3",Allocation!$H$1:$H$175,"ALT")</f>
        <v>0</v>
      </c>
      <c r="E74" s="84">
        <f>SUMIFS(Allocation!$V$1:$V$175,Allocation!$C$1:$C$175,"2026",Allocation!$D$1:$D$175,"IPAC_MTP",Allocation!$F$1:$F$175,"BAC_CCE",Allocation!$G$1:$G$175,"B3",Allocation!$H$1:$H$175,"ALT")</f>
        <v>0</v>
      </c>
      <c r="F74" s="84">
        <f>SUMIFS(Allocation!$W$1:$W$175,Allocation!$C$1:$C$175,"2026",Allocation!$D$1:$D$175,"IPAC_MTP",Allocation!$F$1:$F$175,"BAC_CCE",Allocation!$G$1:$G$175,"B3",Allocation!$H$1:$H$175,"ALT")</f>
        <v>0</v>
      </c>
      <c r="G74" s="84">
        <f>SUMIFS(Allocation!$X$1:$X$175,Allocation!$C$1:$C$175,"2026",Allocation!$D$1:$D$175,"IPAC_MTP",Allocation!$F$1:$F$175,"BAC_CCE",Allocation!$G$1:$G$175,"B3",Allocation!$H$1:$H$175,"ALT")</f>
        <v>0</v>
      </c>
      <c r="H74" s="84">
        <f>SUMIFS(Allocation!$Y$1:$Y$175,Allocation!$C$1:$C$175,"2026",Allocation!$D$1:$D$175,"IPAC_MTP",Allocation!$F$1:$F$175,"BAC_CCE",Allocation!$G$1:$G$175,"B3",Allocation!$H$1:$H$175,"ALT")</f>
        <v>0</v>
      </c>
      <c r="I74" s="84">
        <f>SUMIFS(Allocation!$AC$1:$AC$175,Allocation!$C$1:$C$175,"2026",Allocation!$D$1:$D$175,"IPAC_MTP",Allocation!$F$1:$F$175,"BAC_CCE",Allocation!$G$1:$G$175,"B3",Allocation!$H$1:$H$175,"ALT")</f>
        <v>0</v>
      </c>
      <c r="J74" s="84">
        <f>SUMIFS(Allocation!$Z$1:$Z$175,Allocation!$C$1:$C$175,"2026",Allocation!$D$1:$D$175,"IPAC_MTP",Allocation!$F$1:$F$175,"BAC_CCE",Allocation!$G$1:$G$175,"B3",Allocation!$H$1:$H$175,"ALT")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SUMIFS(Allocation!$AA$1:$AA$175,Allocation!$C$1:$C$175,"2026",Allocation!$D$1:$D$175,"IPAC_MTP",Allocation!$F$1:$F$175,"BAC_CCE",Allocation!$G$1:$G$175,"B3",Allocation!$H$1:$H$175,"ALT")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SUMIFS(Allocation!$I$1:$I$175,Allocation!$C$1:$C$175,"2026",Allocation!$E$1:$E$175,"PIGIER")</f>
        <v>0</v>
      </c>
      <c r="D75" s="123">
        <f>SUMIFS(Allocation!$K$1:$K$175,Allocation!$C$1:$C$175,"2026",Allocation!$E$1:$E$175,"PIGIER")</f>
        <v>0</v>
      </c>
      <c r="E75" s="123">
        <f>SUMIFS(Allocation!$V$1:$V$175,Allocation!$C$1:$C$175,"2026",Allocation!$E$1:$E$175,"PIGIER")</f>
        <v>0</v>
      </c>
      <c r="F75" s="123">
        <f>SUMIFS(Allocation!$W$1:$W$175,Allocation!$C$1:$C$175,"2026",Allocation!$E$1:$E$175,"PIGIER")</f>
        <v>0</v>
      </c>
      <c r="G75" s="123">
        <f>SUMIFS(Allocation!$X$1:$X$175,Allocation!$C$1:$C$175,"2026",Allocation!$E$1:$E$175,"PIGIER")</f>
        <v>0</v>
      </c>
      <c r="H75" s="123">
        <f>SUMIFS(Allocation!$Y$1:$Y$175,Allocation!$C$1:$C$175,"2026",Allocation!$E$1:$E$175,"PIGIER")</f>
        <v>0</v>
      </c>
      <c r="I75" s="123">
        <f>SUMIFS(Allocation!$AC$1:$AC$175,Allocation!$C$1:$C$175,"2026",Allocation!$E$1:$E$175,"PIGIER")</f>
        <v>0</v>
      </c>
      <c r="J75" s="123">
        <f>SUMIFS(Allocation!$Z$1:$Z$175,Allocation!$C$1:$C$175,"2026",Allocation!$E$1:$E$175,"PIGIER")</f>
        <v>0</v>
      </c>
      <c r="K75" s="123">
        <f t="shared" si="2"/>
        <v>0</v>
      </c>
      <c r="L75" s="130">
        <f>SUMIFS(Allocation!$AA$1:$AA$175,Allocation!$C$1:$C$175,"2026",Allocation!$E$1:$E$175,"PIGIER")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SUMIFS(Allocation!$I$1:$I$175,Allocation!$C$1:$C$175,"2026",Allocation!$D$1:$D$175,"PIGIER_LYO")</f>
        <v>0</v>
      </c>
      <c r="D76" s="123">
        <f>SUMIFS(Allocation!$K$1:$K$175,Allocation!$C$1:$C$175,"2026",Allocation!$D$1:$D$175,"PIGIER_LYO")</f>
        <v>0</v>
      </c>
      <c r="E76" s="123">
        <f>SUMIFS(Allocation!$V$1:$V$175,Allocation!$C$1:$C$175,"2026",Allocation!$D$1:$D$175,"PIGIER_LYO")</f>
        <v>0</v>
      </c>
      <c r="F76" s="123">
        <f>SUMIFS(Allocation!$W$1:$W$175,Allocation!$C$1:$C$175,"2026",Allocation!$D$1:$D$175,"PIGIER_LYO")</f>
        <v>0</v>
      </c>
      <c r="G76" s="123">
        <f>SUMIFS(Allocation!$X$1:$X$175,Allocation!$C$1:$C$175,"2026",Allocation!$D$1:$D$175,"PIGIER_LYO")</f>
        <v>0</v>
      </c>
      <c r="H76" s="123">
        <f>SUMIFS(Allocation!$Y$1:$Y$175,Allocation!$C$1:$C$175,"2026",Allocation!$D$1:$D$175,"PIGIER_LYO")</f>
        <v>0</v>
      </c>
      <c r="I76" s="123">
        <f>SUMIFS(Allocation!$AC$1:$AC$175,Allocation!$C$1:$C$175,"2026",Allocation!$D$1:$D$175,"PIGIER_LYO")</f>
        <v>0</v>
      </c>
      <c r="J76" s="123">
        <f>SUMIFS(Allocation!$Z$1:$Z$175,Allocation!$C$1:$C$175,"2026",Allocation!$D$1:$D$175,"PIGIER_LYO")</f>
        <v>0</v>
      </c>
      <c r="K76" s="123">
        <f t="shared" si="2"/>
        <v>0</v>
      </c>
      <c r="L76" s="130">
        <f>SUMIFS(Allocation!$AA$1:$AA$175,Allocation!$C$1:$C$175,"2026",Allocation!$D$1:$D$175,"PIGIER_LYO")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SUMIFS(Allocation!$I$1:$I$175,Allocation!$C$1:$C$175,"2026",Allocation!$D$1:$D$175,"PIGIER_LYO",Allocation!$F$1:$F$175,"BTS_GES",Allocation!$G$1:$G$175,"BTS1",Allocation!$H$1:$H$175,"ALT")</f>
        <v>0</v>
      </c>
      <c r="D77" s="84">
        <f>SUMIFS(Allocation!$K$1:$K$175,Allocation!$C$1:$C$175,"2026",Allocation!$D$1:$D$175,"PIGIER_LYO",Allocation!$F$1:$F$175,"BTS_GES",Allocation!$G$1:$G$175,"BTS1",Allocation!$H$1:$H$175,"ALT")</f>
        <v>0</v>
      </c>
      <c r="E77" s="84">
        <f>SUMIFS(Allocation!$V$1:$V$175,Allocation!$C$1:$C$175,"2026",Allocation!$D$1:$D$175,"PIGIER_LYO",Allocation!$F$1:$F$175,"BTS_GES",Allocation!$G$1:$G$175,"BTS1",Allocation!$H$1:$H$175,"ALT")</f>
        <v>0</v>
      </c>
      <c r="F77" s="84">
        <f>SUMIFS(Allocation!$W$1:$W$175,Allocation!$C$1:$C$175,"2026",Allocation!$D$1:$D$175,"PIGIER_LYO",Allocation!$F$1:$F$175,"BTS_GES",Allocation!$G$1:$G$175,"BTS1",Allocation!$H$1:$H$175,"ALT")</f>
        <v>0</v>
      </c>
      <c r="G77" s="84">
        <f>SUMIFS(Allocation!$X$1:$X$175,Allocation!$C$1:$C$175,"2026",Allocation!$D$1:$D$175,"PIGIER_LYO",Allocation!$F$1:$F$175,"BTS_GES",Allocation!$G$1:$G$175,"BTS1",Allocation!$H$1:$H$175,"ALT")</f>
        <v>0</v>
      </c>
      <c r="H77" s="84">
        <f>SUMIFS(Allocation!$Y$1:$Y$175,Allocation!$C$1:$C$175,"2026",Allocation!$D$1:$D$175,"PIGIER_LYO",Allocation!$F$1:$F$175,"BTS_GES",Allocation!$G$1:$G$175,"BTS1",Allocation!$H$1:$H$175,"ALT")</f>
        <v>0</v>
      </c>
      <c r="I77" s="84">
        <f>SUMIFS(Allocation!$AC$1:$AC$175,Allocation!$C$1:$C$175,"2026",Allocation!$D$1:$D$175,"PIGIER_LYO",Allocation!$F$1:$F$175,"BTS_GES",Allocation!$G$1:$G$175,"BTS1",Allocation!$H$1:$H$175,"ALT")</f>
        <v>0</v>
      </c>
      <c r="J77" s="84">
        <f>SUMIFS(Allocation!$Z$1:$Z$175,Allocation!$C$1:$C$175,"2026",Allocation!$D$1:$D$175,"PIGIER_LYO",Allocation!$F$1:$F$175,"BTS_GES",Allocation!$G$1:$G$175,"BTS1",Allocation!$H$1:$H$175,"ALT")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SUMIFS(Allocation!$AA$1:$AA$175,Allocation!$C$1:$C$175,"2026",Allocation!$D$1:$D$175,"PIGIER_LYO",Allocation!$F$1:$F$175,"BTS_GES",Allocation!$G$1:$G$175,"BTS1",Allocation!$H$1:$H$175,"ALT")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SUMIFS(Allocation!$I$1:$I$175,Allocation!$C$1:$C$175,"2026",Allocation!$D$1:$D$175,"PIGIER_LYO",Allocation!$F$1:$F$175,"BTS_GES",Allocation!$G$1:$G$175,"BTS2",Allocation!$H$1:$H$175,"ALT")</f>
        <v>0</v>
      </c>
      <c r="D78" s="84">
        <f>SUMIFS(Allocation!$K$1:$K$175,Allocation!$C$1:$C$175,"2026",Allocation!$D$1:$D$175,"PIGIER_LYO",Allocation!$F$1:$F$175,"BTS_GES",Allocation!$G$1:$G$175,"BTS2",Allocation!$H$1:$H$175,"ALT")</f>
        <v>0</v>
      </c>
      <c r="E78" s="84">
        <f>SUMIFS(Allocation!$V$1:$V$175,Allocation!$C$1:$C$175,"2026",Allocation!$D$1:$D$175,"PIGIER_LYO",Allocation!$F$1:$F$175,"BTS_GES",Allocation!$G$1:$G$175,"BTS2",Allocation!$H$1:$H$175,"ALT")</f>
        <v>0</v>
      </c>
      <c r="F78" s="84">
        <f>SUMIFS(Allocation!$W$1:$W$175,Allocation!$C$1:$C$175,"2026",Allocation!$D$1:$D$175,"PIGIER_LYO",Allocation!$F$1:$F$175,"BTS_GES",Allocation!$G$1:$G$175,"BTS2",Allocation!$H$1:$H$175,"ALT")</f>
        <v>0</v>
      </c>
      <c r="G78" s="84">
        <f>SUMIFS(Allocation!$X$1:$X$175,Allocation!$C$1:$C$175,"2026",Allocation!$D$1:$D$175,"PIGIER_LYO",Allocation!$F$1:$F$175,"BTS_GES",Allocation!$G$1:$G$175,"BTS2",Allocation!$H$1:$H$175,"ALT")</f>
        <v>0</v>
      </c>
      <c r="H78" s="84">
        <f>SUMIFS(Allocation!$Y$1:$Y$175,Allocation!$C$1:$C$175,"2026",Allocation!$D$1:$D$175,"PIGIER_LYO",Allocation!$F$1:$F$175,"BTS_GES",Allocation!$G$1:$G$175,"BTS2",Allocation!$H$1:$H$175,"ALT")</f>
        <v>0</v>
      </c>
      <c r="I78" s="84">
        <f>SUMIFS(Allocation!$AC$1:$AC$175,Allocation!$C$1:$C$175,"2026",Allocation!$D$1:$D$175,"PIGIER_LYO",Allocation!$F$1:$F$175,"BTS_GES",Allocation!$G$1:$G$175,"BTS2",Allocation!$H$1:$H$175,"ALT")</f>
        <v>0</v>
      </c>
      <c r="J78" s="84">
        <f>SUMIFS(Allocation!$Z$1:$Z$175,Allocation!$C$1:$C$175,"2026",Allocation!$D$1:$D$175,"PIGIER_LYO",Allocation!$F$1:$F$175,"BTS_GES",Allocation!$G$1:$G$175,"BTS2",Allocation!$H$1:$H$175,"ALT")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SUMIFS(Allocation!$AA$1:$AA$175,Allocation!$C$1:$C$175,"2026",Allocation!$D$1:$D$175,"PIGIER_LYO",Allocation!$F$1:$F$175,"BTS_GES",Allocation!$G$1:$G$175,"BTS2",Allocation!$H$1:$H$175,"ALT")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SUMIFS(Allocation!$I$1:$I$175,Allocation!$C$1:$C$175,"2026",Allocation!$D$1:$D$175,"PIGIER_LYO",Allocation!$F$1:$F$175,"BAC_RH",Allocation!$G$1:$G$175,"B1",Allocation!$H$1:$H$175,"ALT")</f>
        <v>0</v>
      </c>
      <c r="D79" s="84">
        <f>SUMIFS(Allocation!$K$1:$K$175,Allocation!$C$1:$C$175,"2026",Allocation!$D$1:$D$175,"PIGIER_LYO",Allocation!$F$1:$F$175,"BAC_RH",Allocation!$G$1:$G$175,"B1",Allocation!$H$1:$H$175,"ALT")</f>
        <v>0</v>
      </c>
      <c r="E79" s="84">
        <f>SUMIFS(Allocation!$V$1:$V$175,Allocation!$C$1:$C$175,"2026",Allocation!$D$1:$D$175,"PIGIER_LYO",Allocation!$F$1:$F$175,"BAC_RH",Allocation!$G$1:$G$175,"B1",Allocation!$H$1:$H$175,"ALT")</f>
        <v>0</v>
      </c>
      <c r="F79" s="84">
        <f>SUMIFS(Allocation!$W$1:$W$175,Allocation!$C$1:$C$175,"2026",Allocation!$D$1:$D$175,"PIGIER_LYO",Allocation!$F$1:$F$175,"BAC_RH",Allocation!$G$1:$G$175,"B1",Allocation!$H$1:$H$175,"ALT")</f>
        <v>0</v>
      </c>
      <c r="G79" s="84">
        <f>SUMIFS(Allocation!$X$1:$X$175,Allocation!$C$1:$C$175,"2026",Allocation!$D$1:$D$175,"PIGIER_LYO",Allocation!$F$1:$F$175,"BAC_RH",Allocation!$G$1:$G$175,"B1",Allocation!$H$1:$H$175,"ALT")</f>
        <v>0</v>
      </c>
      <c r="H79" s="84">
        <f>SUMIFS(Allocation!$Y$1:$Y$175,Allocation!$C$1:$C$175,"2026",Allocation!$D$1:$D$175,"PIGIER_LYO",Allocation!$F$1:$F$175,"BAC_RH",Allocation!$G$1:$G$175,"B1",Allocation!$H$1:$H$175,"ALT")</f>
        <v>0</v>
      </c>
      <c r="I79" s="84">
        <f>SUMIFS(Allocation!$AC$1:$AC$175,Allocation!$C$1:$C$175,"2026",Allocation!$D$1:$D$175,"PIGIER_LYO",Allocation!$F$1:$F$175,"BAC_RH",Allocation!$G$1:$G$175,"B1",Allocation!$H$1:$H$175,"ALT")</f>
        <v>0</v>
      </c>
      <c r="J79" s="84">
        <f>SUMIFS(Allocation!$Z$1:$Z$175,Allocation!$C$1:$C$175,"2026",Allocation!$D$1:$D$175,"PIGIER_LYO",Allocation!$F$1:$F$175,"BAC_RH",Allocation!$G$1:$G$175,"B1",Allocation!$H$1:$H$175,"ALT")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SUMIFS(Allocation!$AA$1:$AA$175,Allocation!$C$1:$C$175,"2026",Allocation!$D$1:$D$175,"PIGIER_LYO",Allocation!$F$1:$F$175,"BAC_RH",Allocation!$G$1:$G$175,"B1",Allocation!$H$1:$H$175,"ALT")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SUMIFS(Allocation!$I$1:$I$175,Allocation!$C$1:$C$175,"2026",Allocation!$D$1:$D$175,"PIGIER_LYO",Allocation!$F$1:$F$175,"BAC_RH",Allocation!$G$1:$G$175,"B3",Allocation!$H$1:$H$175,"ALT")</f>
        <v>0</v>
      </c>
      <c r="D80" s="84">
        <f>SUMIFS(Allocation!$K$1:$K$175,Allocation!$C$1:$C$175,"2026",Allocation!$D$1:$D$175,"PIGIER_LYO",Allocation!$F$1:$F$175,"BAC_RH",Allocation!$G$1:$G$175,"B3",Allocation!$H$1:$H$175,"ALT")</f>
        <v>0</v>
      </c>
      <c r="E80" s="84">
        <f>SUMIFS(Allocation!$V$1:$V$175,Allocation!$C$1:$C$175,"2026",Allocation!$D$1:$D$175,"PIGIER_LYO",Allocation!$F$1:$F$175,"BAC_RH",Allocation!$G$1:$G$175,"B3",Allocation!$H$1:$H$175,"ALT")</f>
        <v>0</v>
      </c>
      <c r="F80" s="84">
        <f>SUMIFS(Allocation!$W$1:$W$175,Allocation!$C$1:$C$175,"2026",Allocation!$D$1:$D$175,"PIGIER_LYO",Allocation!$F$1:$F$175,"BAC_RH",Allocation!$G$1:$G$175,"B3",Allocation!$H$1:$H$175,"ALT")</f>
        <v>0</v>
      </c>
      <c r="G80" s="84">
        <f>SUMIFS(Allocation!$X$1:$X$175,Allocation!$C$1:$C$175,"2026",Allocation!$D$1:$D$175,"PIGIER_LYO",Allocation!$F$1:$F$175,"BAC_RH",Allocation!$G$1:$G$175,"B3",Allocation!$H$1:$H$175,"ALT")</f>
        <v>0</v>
      </c>
      <c r="H80" s="84">
        <f>SUMIFS(Allocation!$Y$1:$Y$175,Allocation!$C$1:$C$175,"2026",Allocation!$D$1:$D$175,"PIGIER_LYO",Allocation!$F$1:$F$175,"BAC_RH",Allocation!$G$1:$G$175,"B3",Allocation!$H$1:$H$175,"ALT")</f>
        <v>0</v>
      </c>
      <c r="I80" s="84">
        <f>SUMIFS(Allocation!$AC$1:$AC$175,Allocation!$C$1:$C$175,"2026",Allocation!$D$1:$D$175,"PIGIER_LYO",Allocation!$F$1:$F$175,"BAC_RH",Allocation!$G$1:$G$175,"B3",Allocation!$H$1:$H$175,"ALT")</f>
        <v>0</v>
      </c>
      <c r="J80" s="84">
        <f>SUMIFS(Allocation!$Z$1:$Z$175,Allocation!$C$1:$C$175,"2026",Allocation!$D$1:$D$175,"PIGIER_LYO",Allocation!$F$1:$F$175,"BAC_RH",Allocation!$G$1:$G$175,"B3",Allocation!$H$1:$H$175,"ALT")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SUMIFS(Allocation!$AA$1:$AA$175,Allocation!$C$1:$C$175,"2026",Allocation!$D$1:$D$175,"PIGIER_LYO",Allocation!$F$1:$F$175,"BAC_RH",Allocation!$G$1:$G$175,"B3",Allocation!$H$1:$H$175,"ALT")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collapsed="1" x14ac:dyDescent="0.45">
      <c r="B81" s="36" t="s">
        <v>177</v>
      </c>
      <c r="C81" s="122">
        <f>SUMIFS(Allocation!$I$1:$I$175,Allocation!$C$1:$C$175,"2026",Allocation!$D$1:$D$175,"PIGIER_BOR")</f>
        <v>0</v>
      </c>
      <c r="D81" s="123">
        <f>SUMIFS(Allocation!$K$1:$K$175,Allocation!$C$1:$C$175,"2026",Allocation!$D$1:$D$175,"PIGIER_BOR")</f>
        <v>0</v>
      </c>
      <c r="E81" s="123">
        <f>SUMIFS(Allocation!$V$1:$V$175,Allocation!$C$1:$C$175,"2026",Allocation!$D$1:$D$175,"PIGIER_BOR")</f>
        <v>0</v>
      </c>
      <c r="F81" s="123">
        <f>SUMIFS(Allocation!$W$1:$W$175,Allocation!$C$1:$C$175,"2026",Allocation!$D$1:$D$175,"PIGIER_BOR")</f>
        <v>0</v>
      </c>
      <c r="G81" s="123">
        <f>SUMIFS(Allocation!$X$1:$X$175,Allocation!$C$1:$C$175,"2026",Allocation!$D$1:$D$175,"PIGIER_BOR")</f>
        <v>0</v>
      </c>
      <c r="H81" s="123">
        <f>SUMIFS(Allocation!$Y$1:$Y$175,Allocation!$C$1:$C$175,"2026",Allocation!$D$1:$D$175,"PIGIER_BOR")</f>
        <v>0</v>
      </c>
      <c r="I81" s="123">
        <f>SUMIFS(Allocation!$AC$1:$AC$175,Allocation!$C$1:$C$175,"2026",Allocation!$D$1:$D$175,"PIGIER_BOR")</f>
        <v>0</v>
      </c>
      <c r="J81" s="123">
        <f>SUMIFS(Allocation!$Z$1:$Z$175,Allocation!$C$1:$C$175,"2026",Allocation!$D$1:$D$175,"PIGIER_BOR")</f>
        <v>0</v>
      </c>
      <c r="K81" s="123">
        <f t="shared" si="2"/>
        <v>0</v>
      </c>
      <c r="L81" s="130">
        <f>SUMIFS(Allocation!$AA$1:$AA$175,Allocation!$C$1:$C$175,"2026",Allocation!$D$1:$D$175,"PIGIER_BOR")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SUMIFS(Allocation!$I$1:$I$175,Allocation!$C$1:$C$175,"2026",Allocation!$D$1:$D$175,"PIGIER_BOR",Allocation!$F$1:$F$175,"BTS_GES",Allocation!$G$1:$G$175,"BTS1",Allocation!$H$1:$H$175,"ALT")</f>
        <v>0</v>
      </c>
      <c r="D82" s="84">
        <f>SUMIFS(Allocation!$K$1:$K$175,Allocation!$C$1:$C$175,"2026",Allocation!$D$1:$D$175,"PIGIER_BOR",Allocation!$F$1:$F$175,"BTS_GES",Allocation!$G$1:$G$175,"BTS1",Allocation!$H$1:$H$175,"ALT")</f>
        <v>0</v>
      </c>
      <c r="E82" s="84">
        <f>SUMIFS(Allocation!$V$1:$V$175,Allocation!$C$1:$C$175,"2026",Allocation!$D$1:$D$175,"PIGIER_BOR",Allocation!$F$1:$F$175,"BTS_GES",Allocation!$G$1:$G$175,"BTS1",Allocation!$H$1:$H$175,"ALT")</f>
        <v>0</v>
      </c>
      <c r="F82" s="84">
        <f>SUMIFS(Allocation!$W$1:$W$175,Allocation!$C$1:$C$175,"2026",Allocation!$D$1:$D$175,"PIGIER_BOR",Allocation!$F$1:$F$175,"BTS_GES",Allocation!$G$1:$G$175,"BTS1",Allocation!$H$1:$H$175,"ALT")</f>
        <v>0</v>
      </c>
      <c r="G82" s="84">
        <f>SUMIFS(Allocation!$X$1:$X$175,Allocation!$C$1:$C$175,"2026",Allocation!$D$1:$D$175,"PIGIER_BOR",Allocation!$F$1:$F$175,"BTS_GES",Allocation!$G$1:$G$175,"BTS1",Allocation!$H$1:$H$175,"ALT")</f>
        <v>0</v>
      </c>
      <c r="H82" s="84">
        <f>SUMIFS(Allocation!$Y$1:$Y$175,Allocation!$C$1:$C$175,"2026",Allocation!$D$1:$D$175,"PIGIER_BOR",Allocation!$F$1:$F$175,"BTS_GES",Allocation!$G$1:$G$175,"BTS1",Allocation!$H$1:$H$175,"ALT")</f>
        <v>0</v>
      </c>
      <c r="I82" s="84">
        <f>SUMIFS(Allocation!$AC$1:$AC$175,Allocation!$C$1:$C$175,"2026",Allocation!$D$1:$D$175,"PIGIER_BOR",Allocation!$F$1:$F$175,"BTS_GES",Allocation!$G$1:$G$175,"BTS1",Allocation!$H$1:$H$175,"ALT")</f>
        <v>0</v>
      </c>
      <c r="J82" s="84">
        <f>SUMIFS(Allocation!$Z$1:$Z$175,Allocation!$C$1:$C$175,"2026",Allocation!$D$1:$D$175,"PIGIER_BOR",Allocation!$F$1:$F$175,"BTS_GES",Allocation!$G$1:$G$175,"BTS1",Allocation!$H$1:$H$175,"ALT")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SUMIFS(Allocation!$AA$1:$AA$175,Allocation!$C$1:$C$175,"2026",Allocation!$D$1:$D$175,"PIGIER_BOR",Allocation!$F$1:$F$175,"BTS_GES",Allocation!$G$1:$G$175,"BTS1",Allocation!$H$1:$H$175,"ALT")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SUMIFS(Allocation!$I$1:$I$175,Allocation!$C$1:$C$175,"2026",Allocation!$D$1:$D$175,"PIGIER_BOR",Allocation!$F$1:$F$175,"BTS_GES",Allocation!$G$1:$G$175,"BTS2",Allocation!$H$1:$H$175,"ALT")</f>
        <v>0</v>
      </c>
      <c r="D83" s="84">
        <f>SUMIFS(Allocation!$K$1:$K$175,Allocation!$C$1:$C$175,"2026",Allocation!$D$1:$D$175,"PIGIER_BOR",Allocation!$F$1:$F$175,"BTS_GES",Allocation!$G$1:$G$175,"BTS2",Allocation!$H$1:$H$175,"ALT")</f>
        <v>0</v>
      </c>
      <c r="E83" s="84">
        <f>SUMIFS(Allocation!$V$1:$V$175,Allocation!$C$1:$C$175,"2026",Allocation!$D$1:$D$175,"PIGIER_BOR",Allocation!$F$1:$F$175,"BTS_GES",Allocation!$G$1:$G$175,"BTS2",Allocation!$H$1:$H$175,"ALT")</f>
        <v>0</v>
      </c>
      <c r="F83" s="84">
        <f>SUMIFS(Allocation!$W$1:$W$175,Allocation!$C$1:$C$175,"2026",Allocation!$D$1:$D$175,"PIGIER_BOR",Allocation!$F$1:$F$175,"BTS_GES",Allocation!$G$1:$G$175,"BTS2",Allocation!$H$1:$H$175,"ALT")</f>
        <v>0</v>
      </c>
      <c r="G83" s="84">
        <f>SUMIFS(Allocation!$X$1:$X$175,Allocation!$C$1:$C$175,"2026",Allocation!$D$1:$D$175,"PIGIER_BOR",Allocation!$F$1:$F$175,"BTS_GES",Allocation!$G$1:$G$175,"BTS2",Allocation!$H$1:$H$175,"ALT")</f>
        <v>0</v>
      </c>
      <c r="H83" s="84">
        <f>SUMIFS(Allocation!$Y$1:$Y$175,Allocation!$C$1:$C$175,"2026",Allocation!$D$1:$D$175,"PIGIER_BOR",Allocation!$F$1:$F$175,"BTS_GES",Allocation!$G$1:$G$175,"BTS2",Allocation!$H$1:$H$175,"ALT")</f>
        <v>0</v>
      </c>
      <c r="I83" s="84">
        <f>SUMIFS(Allocation!$AC$1:$AC$175,Allocation!$C$1:$C$175,"2026",Allocation!$D$1:$D$175,"PIGIER_BOR",Allocation!$F$1:$F$175,"BTS_GES",Allocation!$G$1:$G$175,"BTS2",Allocation!$H$1:$H$175,"ALT")</f>
        <v>0</v>
      </c>
      <c r="J83" s="84">
        <f>SUMIFS(Allocation!$Z$1:$Z$175,Allocation!$C$1:$C$175,"2026",Allocation!$D$1:$D$175,"PIGIER_BOR",Allocation!$F$1:$F$175,"BTS_GES",Allocation!$G$1:$G$175,"BTS2",Allocation!$H$1:$H$175,"ALT")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SUMIFS(Allocation!$AA$1:$AA$175,Allocation!$C$1:$C$175,"2026",Allocation!$D$1:$D$175,"PIGIER_BOR",Allocation!$F$1:$F$175,"BTS_GES",Allocation!$G$1:$G$175,"BTS2",Allocation!$H$1:$H$175,"ALT")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SUMIFS(Allocation!$I$1:$I$175,Allocation!$C$1:$C$175,"2026",Allocation!$D$1:$D$175,"PIGIER_BOR",Allocation!$F$1:$F$175,"BAC_RH",Allocation!$G$1:$G$175,"B1",Allocation!$H$1:$H$175,"ALT")</f>
        <v>0</v>
      </c>
      <c r="D84" s="84">
        <f>SUMIFS(Allocation!$K$1:$K$175,Allocation!$C$1:$C$175,"2026",Allocation!$D$1:$D$175,"PIGIER_BOR",Allocation!$F$1:$F$175,"BAC_RH",Allocation!$G$1:$G$175,"B1",Allocation!$H$1:$H$175,"ALT")</f>
        <v>0</v>
      </c>
      <c r="E84" s="84">
        <f>SUMIFS(Allocation!$V$1:$V$175,Allocation!$C$1:$C$175,"2026",Allocation!$D$1:$D$175,"PIGIER_BOR",Allocation!$F$1:$F$175,"BAC_RH",Allocation!$G$1:$G$175,"B1",Allocation!$H$1:$H$175,"ALT")</f>
        <v>0</v>
      </c>
      <c r="F84" s="84">
        <f>SUMIFS(Allocation!$W$1:$W$175,Allocation!$C$1:$C$175,"2026",Allocation!$D$1:$D$175,"PIGIER_BOR",Allocation!$F$1:$F$175,"BAC_RH",Allocation!$G$1:$G$175,"B1",Allocation!$H$1:$H$175,"ALT")</f>
        <v>0</v>
      </c>
      <c r="G84" s="84">
        <f>SUMIFS(Allocation!$X$1:$X$175,Allocation!$C$1:$C$175,"2026",Allocation!$D$1:$D$175,"PIGIER_BOR",Allocation!$F$1:$F$175,"BAC_RH",Allocation!$G$1:$G$175,"B1",Allocation!$H$1:$H$175,"ALT")</f>
        <v>0</v>
      </c>
      <c r="H84" s="84">
        <f>SUMIFS(Allocation!$Y$1:$Y$175,Allocation!$C$1:$C$175,"2026",Allocation!$D$1:$D$175,"PIGIER_BOR",Allocation!$F$1:$F$175,"BAC_RH",Allocation!$G$1:$G$175,"B1",Allocation!$H$1:$H$175,"ALT")</f>
        <v>0</v>
      </c>
      <c r="I84" s="84">
        <f>SUMIFS(Allocation!$AC$1:$AC$175,Allocation!$C$1:$C$175,"2026",Allocation!$D$1:$D$175,"PIGIER_BOR",Allocation!$F$1:$F$175,"BAC_RH",Allocation!$G$1:$G$175,"B1",Allocation!$H$1:$H$175,"ALT")</f>
        <v>0</v>
      </c>
      <c r="J84" s="84">
        <f>SUMIFS(Allocation!$Z$1:$Z$175,Allocation!$C$1:$C$175,"2026",Allocation!$D$1:$D$175,"PIGIER_BOR",Allocation!$F$1:$F$175,"BAC_RH",Allocation!$G$1:$G$175,"B1",Allocation!$H$1:$H$175,"ALT")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SUMIFS(Allocation!$AA$1:$AA$175,Allocation!$C$1:$C$175,"2026",Allocation!$D$1:$D$175,"PIGIER_BOR",Allocation!$F$1:$F$175,"BAC_RH",Allocation!$G$1:$G$175,"B1",Allocation!$H$1:$H$175,"ALT")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SUMIFS(Allocation!$I$1:$I$175,Allocation!$C$1:$C$175,"2026",Allocation!$D$1:$D$175,"PIGIER_BOR",Allocation!$F$1:$F$175,"BAC_RH",Allocation!$G$1:$G$175,"B3",Allocation!$H$1:$H$175,"ALT")</f>
        <v>0</v>
      </c>
      <c r="D85" s="84">
        <f>SUMIFS(Allocation!$K$1:$K$175,Allocation!$C$1:$C$175,"2026",Allocation!$D$1:$D$175,"PIGIER_BOR",Allocation!$F$1:$F$175,"BAC_RH",Allocation!$G$1:$G$175,"B3",Allocation!$H$1:$H$175,"ALT")</f>
        <v>0</v>
      </c>
      <c r="E85" s="84">
        <f>SUMIFS(Allocation!$V$1:$V$175,Allocation!$C$1:$C$175,"2026",Allocation!$D$1:$D$175,"PIGIER_BOR",Allocation!$F$1:$F$175,"BAC_RH",Allocation!$G$1:$G$175,"B3",Allocation!$H$1:$H$175,"ALT")</f>
        <v>0</v>
      </c>
      <c r="F85" s="84">
        <f>SUMIFS(Allocation!$W$1:$W$175,Allocation!$C$1:$C$175,"2026",Allocation!$D$1:$D$175,"PIGIER_BOR",Allocation!$F$1:$F$175,"BAC_RH",Allocation!$G$1:$G$175,"B3",Allocation!$H$1:$H$175,"ALT")</f>
        <v>0</v>
      </c>
      <c r="G85" s="84">
        <f>SUMIFS(Allocation!$X$1:$X$175,Allocation!$C$1:$C$175,"2026",Allocation!$D$1:$D$175,"PIGIER_BOR",Allocation!$F$1:$F$175,"BAC_RH",Allocation!$G$1:$G$175,"B3",Allocation!$H$1:$H$175,"ALT")</f>
        <v>0</v>
      </c>
      <c r="H85" s="84">
        <f>SUMIFS(Allocation!$Y$1:$Y$175,Allocation!$C$1:$C$175,"2026",Allocation!$D$1:$D$175,"PIGIER_BOR",Allocation!$F$1:$F$175,"BAC_RH",Allocation!$G$1:$G$175,"B3",Allocation!$H$1:$H$175,"ALT")</f>
        <v>0</v>
      </c>
      <c r="I85" s="84">
        <f>SUMIFS(Allocation!$AC$1:$AC$175,Allocation!$C$1:$C$175,"2026",Allocation!$D$1:$D$175,"PIGIER_BOR",Allocation!$F$1:$F$175,"BAC_RH",Allocation!$G$1:$G$175,"B3",Allocation!$H$1:$H$175,"ALT")</f>
        <v>0</v>
      </c>
      <c r="J85" s="84">
        <f>SUMIFS(Allocation!$Z$1:$Z$175,Allocation!$C$1:$C$175,"2026",Allocation!$D$1:$D$175,"PIGIER_BOR",Allocation!$F$1:$F$175,"BAC_RH",Allocation!$G$1:$G$175,"B3",Allocation!$H$1:$H$175,"ALT")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SUMIFS(Allocation!$AA$1:$AA$175,Allocation!$C$1:$C$175,"2026",Allocation!$D$1:$D$175,"PIGIER_BOR",Allocation!$F$1:$F$175,"BAC_RH",Allocation!$G$1:$G$175,"B3",Allocation!$H$1:$H$175,"ALT")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SUMIFS(Allocation!$I$1:$I$175,Allocation!$C$1:$C$175,"2026",Allocation!$E$1:$E$175,"TUNON")</f>
        <v>0</v>
      </c>
      <c r="D86" s="123">
        <f>SUMIFS(Allocation!$K$1:$K$175,Allocation!$C$1:$C$175,"2026",Allocation!$E$1:$E$175,"TUNON")</f>
        <v>0</v>
      </c>
      <c r="E86" s="123">
        <f>SUMIFS(Allocation!$V$1:$V$175,Allocation!$C$1:$C$175,"2026",Allocation!$E$1:$E$175,"TUNON")</f>
        <v>0</v>
      </c>
      <c r="F86" s="123">
        <f>SUMIFS(Allocation!$W$1:$W$175,Allocation!$C$1:$C$175,"2026",Allocation!$E$1:$E$175,"TUNON")</f>
        <v>0</v>
      </c>
      <c r="G86" s="123">
        <f>SUMIFS(Allocation!$X$1:$X$175,Allocation!$C$1:$C$175,"2026",Allocation!$E$1:$E$175,"TUNON")</f>
        <v>0</v>
      </c>
      <c r="H86" s="123">
        <f>SUMIFS(Allocation!$Y$1:$Y$175,Allocation!$C$1:$C$175,"2026",Allocation!$E$1:$E$175,"TUNON")</f>
        <v>0</v>
      </c>
      <c r="I86" s="123">
        <f>SUMIFS(Allocation!$AC$1:$AC$175,Allocation!$C$1:$C$175,"2026",Allocation!$E$1:$E$175,"TUNON")</f>
        <v>0</v>
      </c>
      <c r="J86" s="123">
        <f>SUMIFS(Allocation!$Z$1:$Z$175,Allocation!$C$1:$C$175,"2026",Allocation!$E$1:$E$175,"TUNON")</f>
        <v>0</v>
      </c>
      <c r="K86" s="123">
        <f t="shared" si="4"/>
        <v>0</v>
      </c>
      <c r="L86" s="130">
        <f>SUMIFS(Allocation!$AA$1:$AA$175,Allocation!$C$1:$C$175,"2026",Allocation!$E$1:$E$175,"TUNON")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SUMIFS(Allocation!$I$1:$I$175,Allocation!$C$1:$C$175,"2026",Allocation!$D$1:$D$175,"TUNON_PAR")</f>
        <v>0</v>
      </c>
      <c r="D87" s="123">
        <f>SUMIFS(Allocation!$K$1:$K$175,Allocation!$C$1:$C$175,"2026",Allocation!$D$1:$D$175,"TUNON_PAR")</f>
        <v>0</v>
      </c>
      <c r="E87" s="123">
        <f>SUMIFS(Allocation!$V$1:$V$175,Allocation!$C$1:$C$175,"2026",Allocation!$D$1:$D$175,"TUNON_PAR")</f>
        <v>0</v>
      </c>
      <c r="F87" s="123">
        <f>SUMIFS(Allocation!$W$1:$W$175,Allocation!$C$1:$C$175,"2026",Allocation!$D$1:$D$175,"TUNON_PAR")</f>
        <v>0</v>
      </c>
      <c r="G87" s="123">
        <f>SUMIFS(Allocation!$X$1:$X$175,Allocation!$C$1:$C$175,"2026",Allocation!$D$1:$D$175,"TUNON_PAR")</f>
        <v>0</v>
      </c>
      <c r="H87" s="123">
        <f>SUMIFS(Allocation!$Y$1:$Y$175,Allocation!$C$1:$C$175,"2026",Allocation!$D$1:$D$175,"TUNON_PAR")</f>
        <v>0</v>
      </c>
      <c r="I87" s="123">
        <f>SUMIFS(Allocation!$AC$1:$AC$175,Allocation!$C$1:$C$175,"2026",Allocation!$D$1:$D$175,"TUNON_PAR")</f>
        <v>0</v>
      </c>
      <c r="J87" s="123">
        <f>SUMIFS(Allocation!$Z$1:$Z$175,Allocation!$C$1:$C$175,"2026",Allocation!$D$1:$D$175,"TUNON_PAR")</f>
        <v>0</v>
      </c>
      <c r="K87" s="123">
        <f t="shared" si="4"/>
        <v>0</v>
      </c>
      <c r="L87" s="130">
        <f>SUMIFS(Allocation!$AA$1:$AA$175,Allocation!$C$1:$C$175,"2026",Allocation!$D$1:$D$175,"TUNON_PAR")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SUMIFS(Allocation!$I$1:$I$175,Allocation!$C$1:$C$175,"2026",Allocation!$D$1:$D$175,"TUNON_PAR",Allocation!$F$1:$F$175,"BAC_TOU",Allocation!$G$1:$G$175,"B1",Allocation!$H$1:$H$175,"ALT")</f>
        <v>0</v>
      </c>
      <c r="D88" s="84">
        <f>SUMIFS(Allocation!$K$1:$K$175,Allocation!$C$1:$C$175,"2026",Allocation!$D$1:$D$175,"TUNON_PAR",Allocation!$F$1:$F$175,"BAC_TOU",Allocation!$G$1:$G$175,"B1",Allocation!$H$1:$H$175,"ALT")</f>
        <v>0</v>
      </c>
      <c r="E88" s="84">
        <f>SUMIFS(Allocation!$V$1:$V$175,Allocation!$C$1:$C$175,"2026",Allocation!$D$1:$D$175,"TUNON_PAR",Allocation!$F$1:$F$175,"BAC_TOU",Allocation!$G$1:$G$175,"B1",Allocation!$H$1:$H$175,"ALT")</f>
        <v>0</v>
      </c>
      <c r="F88" s="84">
        <f>SUMIFS(Allocation!$W$1:$W$175,Allocation!$C$1:$C$175,"2026",Allocation!$D$1:$D$175,"TUNON_PAR",Allocation!$F$1:$F$175,"BAC_TOU",Allocation!$G$1:$G$175,"B1",Allocation!$H$1:$H$175,"ALT")</f>
        <v>0</v>
      </c>
      <c r="G88" s="84">
        <f>SUMIFS(Allocation!$X$1:$X$175,Allocation!$C$1:$C$175,"2026",Allocation!$D$1:$D$175,"TUNON_PAR",Allocation!$F$1:$F$175,"BAC_TOU",Allocation!$G$1:$G$175,"B1",Allocation!$H$1:$H$175,"ALT")</f>
        <v>0</v>
      </c>
      <c r="H88" s="84">
        <f>SUMIFS(Allocation!$Y$1:$Y$175,Allocation!$C$1:$C$175,"2026",Allocation!$D$1:$D$175,"TUNON_PAR",Allocation!$F$1:$F$175,"BAC_TOU",Allocation!$G$1:$G$175,"B1",Allocation!$H$1:$H$175,"ALT")</f>
        <v>0</v>
      </c>
      <c r="I88" s="84">
        <f>SUMIFS(Allocation!$AC$1:$AC$175,Allocation!$C$1:$C$175,"2026",Allocation!$D$1:$D$175,"TUNON_PAR",Allocation!$F$1:$F$175,"BAC_TOU",Allocation!$G$1:$G$175,"B1",Allocation!$H$1:$H$175,"ALT")</f>
        <v>0</v>
      </c>
      <c r="J88" s="84">
        <f>SUMIFS(Allocation!$Z$1:$Z$175,Allocation!$C$1:$C$175,"2026",Allocation!$D$1:$D$175,"TUNON_PAR",Allocation!$F$1:$F$175,"BAC_TOU",Allocation!$G$1:$G$175,"B1",Allocation!$H$1:$H$175,"ALT")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SUMIFS(Allocation!$AA$1:$AA$175,Allocation!$C$1:$C$175,"2026",Allocation!$D$1:$D$175,"TUNON_PAR",Allocation!$F$1:$F$175,"BAC_TOU",Allocation!$G$1:$G$175,"B1",Allocation!$H$1:$H$175,"ALT")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SUMIFS(Allocation!$I$1:$I$175,Allocation!$C$1:$C$175,"2026",Allocation!$D$1:$D$175,"TUNON_PAR",Allocation!$F$1:$F$175,"BAC_TOU",Allocation!$G$1:$G$175,"B2",Allocation!$H$1:$H$175,"ALT")</f>
        <v>0</v>
      </c>
      <c r="D89" s="84">
        <f>SUMIFS(Allocation!$K$1:$K$175,Allocation!$C$1:$C$175,"2026",Allocation!$D$1:$D$175,"TUNON_PAR",Allocation!$F$1:$F$175,"BAC_TOU",Allocation!$G$1:$G$175,"B2",Allocation!$H$1:$H$175,"ALT")</f>
        <v>0</v>
      </c>
      <c r="E89" s="84">
        <f>SUMIFS(Allocation!$V$1:$V$175,Allocation!$C$1:$C$175,"2026",Allocation!$D$1:$D$175,"TUNON_PAR",Allocation!$F$1:$F$175,"BAC_TOU",Allocation!$G$1:$G$175,"B2",Allocation!$H$1:$H$175,"ALT")</f>
        <v>0</v>
      </c>
      <c r="F89" s="84">
        <f>SUMIFS(Allocation!$W$1:$W$175,Allocation!$C$1:$C$175,"2026",Allocation!$D$1:$D$175,"TUNON_PAR",Allocation!$F$1:$F$175,"BAC_TOU",Allocation!$G$1:$G$175,"B2",Allocation!$H$1:$H$175,"ALT")</f>
        <v>0</v>
      </c>
      <c r="G89" s="84">
        <f>SUMIFS(Allocation!$X$1:$X$175,Allocation!$C$1:$C$175,"2026",Allocation!$D$1:$D$175,"TUNON_PAR",Allocation!$F$1:$F$175,"BAC_TOU",Allocation!$G$1:$G$175,"B2",Allocation!$H$1:$H$175,"ALT")</f>
        <v>0</v>
      </c>
      <c r="H89" s="84">
        <f>SUMIFS(Allocation!$Y$1:$Y$175,Allocation!$C$1:$C$175,"2026",Allocation!$D$1:$D$175,"TUNON_PAR",Allocation!$F$1:$F$175,"BAC_TOU",Allocation!$G$1:$G$175,"B2",Allocation!$H$1:$H$175,"ALT")</f>
        <v>0</v>
      </c>
      <c r="I89" s="84">
        <f>SUMIFS(Allocation!$AC$1:$AC$175,Allocation!$C$1:$C$175,"2026",Allocation!$D$1:$D$175,"TUNON_PAR",Allocation!$F$1:$F$175,"BAC_TOU",Allocation!$G$1:$G$175,"B2",Allocation!$H$1:$H$175,"ALT")</f>
        <v>0</v>
      </c>
      <c r="J89" s="84">
        <f>SUMIFS(Allocation!$Z$1:$Z$175,Allocation!$C$1:$C$175,"2026",Allocation!$D$1:$D$175,"TUNON_PAR",Allocation!$F$1:$F$175,"BAC_TOU",Allocation!$G$1:$G$175,"B2",Allocation!$H$1:$H$175,"ALT")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SUMIFS(Allocation!$AA$1:$AA$175,Allocation!$C$1:$C$175,"2026",Allocation!$D$1:$D$175,"TUNON_PAR",Allocation!$F$1:$F$175,"BAC_TOU",Allocation!$G$1:$G$175,"B2",Allocation!$H$1:$H$175,"ALT")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SUMIFS(Allocation!$I$1:$I$175,Allocation!$C$1:$C$175,"2026",Allocation!$D$1:$D$175,"TUNON_PAR",Allocation!$F$1:$F$175,"BAC_TOU",Allocation!$G$1:$G$175,"B3",Allocation!$H$1:$H$175,"ALT")</f>
        <v>0</v>
      </c>
      <c r="D90" s="84">
        <f>SUMIFS(Allocation!$K$1:$K$175,Allocation!$C$1:$C$175,"2026",Allocation!$D$1:$D$175,"TUNON_PAR",Allocation!$F$1:$F$175,"BAC_TOU",Allocation!$G$1:$G$175,"B3",Allocation!$H$1:$H$175,"ALT")</f>
        <v>0</v>
      </c>
      <c r="E90" s="84">
        <f>SUMIFS(Allocation!$V$1:$V$175,Allocation!$C$1:$C$175,"2026",Allocation!$D$1:$D$175,"TUNON_PAR",Allocation!$F$1:$F$175,"BAC_TOU",Allocation!$G$1:$G$175,"B3",Allocation!$H$1:$H$175,"ALT")</f>
        <v>0</v>
      </c>
      <c r="F90" s="84">
        <f>SUMIFS(Allocation!$W$1:$W$175,Allocation!$C$1:$C$175,"2026",Allocation!$D$1:$D$175,"TUNON_PAR",Allocation!$F$1:$F$175,"BAC_TOU",Allocation!$G$1:$G$175,"B3",Allocation!$H$1:$H$175,"ALT")</f>
        <v>0</v>
      </c>
      <c r="G90" s="84">
        <f>SUMIFS(Allocation!$X$1:$X$175,Allocation!$C$1:$C$175,"2026",Allocation!$D$1:$D$175,"TUNON_PAR",Allocation!$F$1:$F$175,"BAC_TOU",Allocation!$G$1:$G$175,"B3",Allocation!$H$1:$H$175,"ALT")</f>
        <v>0</v>
      </c>
      <c r="H90" s="84">
        <f>SUMIFS(Allocation!$Y$1:$Y$175,Allocation!$C$1:$C$175,"2026",Allocation!$D$1:$D$175,"TUNON_PAR",Allocation!$F$1:$F$175,"BAC_TOU",Allocation!$G$1:$G$175,"B3",Allocation!$H$1:$H$175,"ALT")</f>
        <v>0</v>
      </c>
      <c r="I90" s="84">
        <f>SUMIFS(Allocation!$AC$1:$AC$175,Allocation!$C$1:$C$175,"2026",Allocation!$D$1:$D$175,"TUNON_PAR",Allocation!$F$1:$F$175,"BAC_TOU",Allocation!$G$1:$G$175,"B3",Allocation!$H$1:$H$175,"ALT")</f>
        <v>0</v>
      </c>
      <c r="J90" s="84">
        <f>SUMIFS(Allocation!$Z$1:$Z$175,Allocation!$C$1:$C$175,"2026",Allocation!$D$1:$D$175,"TUNON_PAR",Allocation!$F$1:$F$175,"BAC_TOU",Allocation!$G$1:$G$175,"B3",Allocation!$H$1:$H$175,"ALT")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SUMIFS(Allocation!$AA$1:$AA$175,Allocation!$C$1:$C$175,"2026",Allocation!$D$1:$D$175,"TUNON_PAR",Allocation!$F$1:$F$175,"BAC_TOU",Allocation!$G$1:$G$175,"B3",Allocation!$H$1:$H$175,"ALT")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collapsed="1" x14ac:dyDescent="0.45">
      <c r="B91" s="36" t="s">
        <v>182</v>
      </c>
      <c r="C91" s="122">
        <f>SUMIFS(Allocation!$I$1:$I$175,Allocation!$C$1:$C$175,"2026",Allocation!$D$1:$D$175,"TUNON_LYO")</f>
        <v>0</v>
      </c>
      <c r="D91" s="123">
        <f>SUMIFS(Allocation!$K$1:$K$175,Allocation!$C$1:$C$175,"2026",Allocation!$D$1:$D$175,"TUNON_LYO")</f>
        <v>0</v>
      </c>
      <c r="E91" s="123">
        <f>SUMIFS(Allocation!$V$1:$V$175,Allocation!$C$1:$C$175,"2026",Allocation!$D$1:$D$175,"TUNON_LYO")</f>
        <v>0</v>
      </c>
      <c r="F91" s="123">
        <f>SUMIFS(Allocation!$W$1:$W$175,Allocation!$C$1:$C$175,"2026",Allocation!$D$1:$D$175,"TUNON_LYO")</f>
        <v>0</v>
      </c>
      <c r="G91" s="123">
        <f>SUMIFS(Allocation!$X$1:$X$175,Allocation!$C$1:$C$175,"2026",Allocation!$D$1:$D$175,"TUNON_LYO")</f>
        <v>0</v>
      </c>
      <c r="H91" s="123">
        <f>SUMIFS(Allocation!$Y$1:$Y$175,Allocation!$C$1:$C$175,"2026",Allocation!$D$1:$D$175,"TUNON_LYO")</f>
        <v>0</v>
      </c>
      <c r="I91" s="123">
        <f>SUMIFS(Allocation!$AC$1:$AC$175,Allocation!$C$1:$C$175,"2026",Allocation!$D$1:$D$175,"TUNON_LYO")</f>
        <v>0</v>
      </c>
      <c r="J91" s="123">
        <f>SUMIFS(Allocation!$Z$1:$Z$175,Allocation!$C$1:$C$175,"2026",Allocation!$D$1:$D$175,"TUNON_LYO")</f>
        <v>0</v>
      </c>
      <c r="K91" s="123">
        <f t="shared" si="4"/>
        <v>0</v>
      </c>
      <c r="L91" s="130">
        <f>SUMIFS(Allocation!$AA$1:$AA$175,Allocation!$C$1:$C$175,"2026",Allocation!$D$1:$D$175,"TUNON_LYO")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SUMIFS(Allocation!$I$1:$I$175,Allocation!$C$1:$C$175,"2026",Allocation!$D$1:$D$175,"TUNON_LYO",Allocation!$F$1:$F$175,"BAC_TOU",Allocation!$G$1:$G$175,"B1",Allocation!$H$1:$H$175,"ALT")</f>
        <v>0</v>
      </c>
      <c r="D92" s="84">
        <f>SUMIFS(Allocation!$K$1:$K$175,Allocation!$C$1:$C$175,"2026",Allocation!$D$1:$D$175,"TUNON_LYO",Allocation!$F$1:$F$175,"BAC_TOU",Allocation!$G$1:$G$175,"B1",Allocation!$H$1:$H$175,"ALT")</f>
        <v>0</v>
      </c>
      <c r="E92" s="84">
        <f>SUMIFS(Allocation!$V$1:$V$175,Allocation!$C$1:$C$175,"2026",Allocation!$D$1:$D$175,"TUNON_LYO",Allocation!$F$1:$F$175,"BAC_TOU",Allocation!$G$1:$G$175,"B1",Allocation!$H$1:$H$175,"ALT")</f>
        <v>0</v>
      </c>
      <c r="F92" s="84">
        <f>SUMIFS(Allocation!$W$1:$W$175,Allocation!$C$1:$C$175,"2026",Allocation!$D$1:$D$175,"TUNON_LYO",Allocation!$F$1:$F$175,"BAC_TOU",Allocation!$G$1:$G$175,"B1",Allocation!$H$1:$H$175,"ALT")</f>
        <v>0</v>
      </c>
      <c r="G92" s="84">
        <f>SUMIFS(Allocation!$X$1:$X$175,Allocation!$C$1:$C$175,"2026",Allocation!$D$1:$D$175,"TUNON_LYO",Allocation!$F$1:$F$175,"BAC_TOU",Allocation!$G$1:$G$175,"B1",Allocation!$H$1:$H$175,"ALT")</f>
        <v>0</v>
      </c>
      <c r="H92" s="84">
        <f>SUMIFS(Allocation!$Y$1:$Y$175,Allocation!$C$1:$C$175,"2026",Allocation!$D$1:$D$175,"TUNON_LYO",Allocation!$F$1:$F$175,"BAC_TOU",Allocation!$G$1:$G$175,"B1",Allocation!$H$1:$H$175,"ALT")</f>
        <v>0</v>
      </c>
      <c r="I92" s="84">
        <f>SUMIFS(Allocation!$AC$1:$AC$175,Allocation!$C$1:$C$175,"2026",Allocation!$D$1:$D$175,"TUNON_LYO",Allocation!$F$1:$F$175,"BAC_TOU",Allocation!$G$1:$G$175,"B1",Allocation!$H$1:$H$175,"ALT")</f>
        <v>0</v>
      </c>
      <c r="J92" s="84">
        <f>SUMIFS(Allocation!$Z$1:$Z$175,Allocation!$C$1:$C$175,"2026",Allocation!$D$1:$D$175,"TUNON_LYO",Allocation!$F$1:$F$175,"BAC_TOU",Allocation!$G$1:$G$175,"B1",Allocation!$H$1:$H$175,"ALT")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SUMIFS(Allocation!$AA$1:$AA$175,Allocation!$C$1:$C$175,"2026",Allocation!$D$1:$D$175,"TUNON_LYO",Allocation!$F$1:$F$175,"BAC_TOU",Allocation!$G$1:$G$175,"B1",Allocation!$H$1:$H$175,"ALT")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SUMIFS(Allocation!$I$1:$I$175,Allocation!$C$1:$C$175,"2026",Allocation!$D$1:$D$175,"TUNON_LYO",Allocation!$F$1:$F$175,"BAC_TOU",Allocation!$G$1:$G$175,"B2",Allocation!$H$1:$H$175,"ALT")</f>
        <v>0</v>
      </c>
      <c r="D93" s="84">
        <f>SUMIFS(Allocation!$K$1:$K$175,Allocation!$C$1:$C$175,"2026",Allocation!$D$1:$D$175,"TUNON_LYO",Allocation!$F$1:$F$175,"BAC_TOU",Allocation!$G$1:$G$175,"B2",Allocation!$H$1:$H$175,"ALT")</f>
        <v>0</v>
      </c>
      <c r="E93" s="84">
        <f>SUMIFS(Allocation!$V$1:$V$175,Allocation!$C$1:$C$175,"2026",Allocation!$D$1:$D$175,"TUNON_LYO",Allocation!$F$1:$F$175,"BAC_TOU",Allocation!$G$1:$G$175,"B2",Allocation!$H$1:$H$175,"ALT")</f>
        <v>0</v>
      </c>
      <c r="F93" s="84">
        <f>SUMIFS(Allocation!$W$1:$W$175,Allocation!$C$1:$C$175,"2026",Allocation!$D$1:$D$175,"TUNON_LYO",Allocation!$F$1:$F$175,"BAC_TOU",Allocation!$G$1:$G$175,"B2",Allocation!$H$1:$H$175,"ALT")</f>
        <v>0</v>
      </c>
      <c r="G93" s="84">
        <f>SUMIFS(Allocation!$X$1:$X$175,Allocation!$C$1:$C$175,"2026",Allocation!$D$1:$D$175,"TUNON_LYO",Allocation!$F$1:$F$175,"BAC_TOU",Allocation!$G$1:$G$175,"B2",Allocation!$H$1:$H$175,"ALT")</f>
        <v>0</v>
      </c>
      <c r="H93" s="84">
        <f>SUMIFS(Allocation!$Y$1:$Y$175,Allocation!$C$1:$C$175,"2026",Allocation!$D$1:$D$175,"TUNON_LYO",Allocation!$F$1:$F$175,"BAC_TOU",Allocation!$G$1:$G$175,"B2",Allocation!$H$1:$H$175,"ALT")</f>
        <v>0</v>
      </c>
      <c r="I93" s="84">
        <f>SUMIFS(Allocation!$AC$1:$AC$175,Allocation!$C$1:$C$175,"2026",Allocation!$D$1:$D$175,"TUNON_LYO",Allocation!$F$1:$F$175,"BAC_TOU",Allocation!$G$1:$G$175,"B2",Allocation!$H$1:$H$175,"ALT")</f>
        <v>0</v>
      </c>
      <c r="J93" s="84">
        <f>SUMIFS(Allocation!$Z$1:$Z$175,Allocation!$C$1:$C$175,"2026",Allocation!$D$1:$D$175,"TUNON_LYO",Allocation!$F$1:$F$175,"BAC_TOU",Allocation!$G$1:$G$175,"B2",Allocation!$H$1:$H$175,"ALT")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SUMIFS(Allocation!$AA$1:$AA$175,Allocation!$C$1:$C$175,"2026",Allocation!$D$1:$D$175,"TUNON_LYO",Allocation!$F$1:$F$175,"BAC_TOU",Allocation!$G$1:$G$175,"B2",Allocation!$H$1:$H$175,"ALT")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SUMIFS(Allocation!$I$1:$I$175,Allocation!$C$1:$C$175,"2026",Allocation!$D$1:$D$175,"TUNON_LYO",Allocation!$F$1:$F$175,"BAC_TOU",Allocation!$G$1:$G$175,"B3",Allocation!$H$1:$H$175,"ALT")</f>
        <v>0</v>
      </c>
      <c r="D94" s="84">
        <f>SUMIFS(Allocation!$K$1:$K$175,Allocation!$C$1:$C$175,"2026",Allocation!$D$1:$D$175,"TUNON_LYO",Allocation!$F$1:$F$175,"BAC_TOU",Allocation!$G$1:$G$175,"B3",Allocation!$H$1:$H$175,"ALT")</f>
        <v>0</v>
      </c>
      <c r="E94" s="84">
        <f>SUMIFS(Allocation!$V$1:$V$175,Allocation!$C$1:$C$175,"2026",Allocation!$D$1:$D$175,"TUNON_LYO",Allocation!$F$1:$F$175,"BAC_TOU",Allocation!$G$1:$G$175,"B3",Allocation!$H$1:$H$175,"ALT")</f>
        <v>0</v>
      </c>
      <c r="F94" s="84">
        <f>SUMIFS(Allocation!$W$1:$W$175,Allocation!$C$1:$C$175,"2026",Allocation!$D$1:$D$175,"TUNON_LYO",Allocation!$F$1:$F$175,"BAC_TOU",Allocation!$G$1:$G$175,"B3",Allocation!$H$1:$H$175,"ALT")</f>
        <v>0</v>
      </c>
      <c r="G94" s="84">
        <f>SUMIFS(Allocation!$X$1:$X$175,Allocation!$C$1:$C$175,"2026",Allocation!$D$1:$D$175,"TUNON_LYO",Allocation!$F$1:$F$175,"BAC_TOU",Allocation!$G$1:$G$175,"B3",Allocation!$H$1:$H$175,"ALT")</f>
        <v>0</v>
      </c>
      <c r="H94" s="84">
        <f>SUMIFS(Allocation!$Y$1:$Y$175,Allocation!$C$1:$C$175,"2026",Allocation!$D$1:$D$175,"TUNON_LYO",Allocation!$F$1:$F$175,"BAC_TOU",Allocation!$G$1:$G$175,"B3",Allocation!$H$1:$H$175,"ALT")</f>
        <v>0</v>
      </c>
      <c r="I94" s="84">
        <f>SUMIFS(Allocation!$AC$1:$AC$175,Allocation!$C$1:$C$175,"2026",Allocation!$D$1:$D$175,"TUNON_LYO",Allocation!$F$1:$F$175,"BAC_TOU",Allocation!$G$1:$G$175,"B3",Allocation!$H$1:$H$175,"ALT")</f>
        <v>0</v>
      </c>
      <c r="J94" s="84">
        <f>SUMIFS(Allocation!$Z$1:$Z$175,Allocation!$C$1:$C$175,"2026",Allocation!$D$1:$D$175,"TUNON_LYO",Allocation!$F$1:$F$175,"BAC_TOU",Allocation!$G$1:$G$175,"B3",Allocation!$H$1:$H$175,"ALT")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SUMIFS(Allocation!$AA$1:$AA$175,Allocation!$C$1:$C$175,"2026",Allocation!$D$1:$D$175,"TUNON_LYO",Allocation!$F$1:$F$175,"BAC_TOU",Allocation!$G$1:$G$175,"B3",Allocation!$H$1:$H$175,"ALT")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SUMIFS(Allocation!$I$1:$I$175,Allocation!$C$1:$C$175,"2026")</f>
        <v>0</v>
      </c>
      <c r="D95" s="123">
        <f>SUMIFS(Allocation!$K$1:$K$175,Allocation!$C$1:$C$175,"2026")</f>
        <v>0</v>
      </c>
      <c r="E95" s="123">
        <f>SUMIFS(Allocation!$V$1:$V$175,Allocation!$C$1:$C$175,"2026")</f>
        <v>0</v>
      </c>
      <c r="F95" s="123">
        <f>SUMIFS(Allocation!$W$1:$W$175,Allocation!$C$1:$C$175,"2026")</f>
        <v>0</v>
      </c>
      <c r="G95" s="123">
        <f>SUMIFS(Allocation!$X$1:$X$175,Allocation!$C$1:$C$175,"2026")</f>
        <v>0</v>
      </c>
      <c r="H95" s="123">
        <f>SUMIFS(Allocation!$Y$1:$Y$175,Allocation!$C$1:$C$175,"2026")</f>
        <v>0</v>
      </c>
      <c r="I95" s="123">
        <f>SUMIFS(Allocation!$AC$1:$AC$175,Allocation!$C$1:$C$175,"2026")</f>
        <v>0</v>
      </c>
      <c r="J95" s="123">
        <f>SUMIFS(Allocation!$Z$1:$Z$175,Allocation!$C$1:$C$175,"2026")</f>
        <v>0</v>
      </c>
      <c r="K95" s="123">
        <f t="shared" si="4"/>
        <v>0</v>
      </c>
      <c r="L95" s="123">
        <f>SUMIFS(Allocation!$AA$1:$AA$175,Allocation!$C$1:$C$175,"2026")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222</v>
      </c>
      <c r="W1" t="s">
        <v>85</v>
      </c>
      <c r="X1" t="s">
        <v>86</v>
      </c>
      <c r="Y1" t="s">
        <v>87</v>
      </c>
      <c r="Z1" t="s">
        <v>223</v>
      </c>
      <c r="AA1" t="s">
        <v>224</v>
      </c>
      <c r="AB1" t="s">
        <v>137</v>
      </c>
      <c r="AC1" t="s">
        <v>225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>IF($A2="","",IF($B2="V01",cad!$C$23,IF($B2="V02",cad!$D$23,cad!$E$23)))</f>
      </c>
      <c r="W2">
        <f>IF($A2="","",IF($B2="V01",cad!$C$24,IF($B2="V02",cad!$D$24,cad!$E$24)))</f>
      </c>
      <c r="X2">
        <f>IF($A2="","",IF($B2="V01",cad!$C$25,IF($B2="V02",cad!$D$25,cad!$E$25)))</f>
      </c>
      <c r="Y2">
        <f>IF($A2="","",IF($B2="V01",cad!$C$26,IF($B2="V02",cad!$D$26,cad!$E$26)))</f>
      </c>
      <c r="Z2">
        <f>IF($A2="","",IF($B2="V01",cad!$C$27,IF($B2="V02",cad!$D$27,cad!$E$27)))</f>
      </c>
      <c r="AA2">
        <f>IF($A2="","",IF($B2="V01",cad!$C$28,IF($B2="V02",cad!$D$28,cad!$E$28)))</f>
      </c>
      <c r="AB2">
        <f>IF($A2="","",IF($B2="V01",cad!$C$39,IF($B2="V02",cad!$D$39,cad!$E$39)))</f>
      </c>
      <c r="AC2">
        <f>IF($A2="","",IF($F2="MBWAY",cad!$J$12,IF($F2="ISCOM",cad!$J$13,IF($F2="IPAC",cad!$J$14,IF($F2="PIGIER",cad!$J$15,cad!$J$16)))))</f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>
        <f>IF($A3="","",IF($B3="V01",cad!$C$23,IF($B3="V02",cad!$D$23,cad!$E$23)))</f>
      </c>
      <c r="W3">
        <f>IF($A3="","",IF($B3="V01",cad!$C$24,IF($B3="V02",cad!$D$24,cad!$E$24)))</f>
      </c>
      <c r="X3">
        <f>IF($A3="","",IF($B3="V01",cad!$C$25,IF($B3="V02",cad!$D$25,cad!$E$25)))</f>
      </c>
      <c r="Y3">
        <f>IF($A3="","",IF($B3="V01",cad!$C$26,IF($B3="V02",cad!$D$26,cad!$E$26)))</f>
      </c>
      <c r="Z3">
        <f>IF($A3="","",IF($B3="V01",cad!$C$27,IF($B3="V02",cad!$D$27,cad!$E$27)))</f>
      </c>
      <c r="AA3">
        <f>IF($A3="","",IF($B3="V01",cad!$C$28,IF($B3="V02",cad!$D$28,cad!$E$28)))</f>
      </c>
      <c r="AB3">
        <f>IF($A3="","",IF($B3="V01",cad!$C$39,IF($B3="V02",cad!$D$39,cad!$E$39)))</f>
      </c>
      <c r="AC3">
        <f>IF($A3="","",IF($F3="MBWAY",cad!$J$12,IF($F3="ISCOM",cad!$J$13,IF($F3="IPAC",cad!$J$14,IF($F3="PIGIER",cad!$J$15,cad!$J$16)))))</f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>
        <f>IF($A4="","",IF($B4="V01",cad!$C$23,IF($B4="V02",cad!$D$23,cad!$E$23)))</f>
      </c>
      <c r="W4">
        <f>IF($A4="","",IF($B4="V01",cad!$C$24,IF($B4="V02",cad!$D$24,cad!$E$24)))</f>
      </c>
      <c r="X4">
        <f>IF($A4="","",IF($B4="V01",cad!$C$25,IF($B4="V02",cad!$D$25,cad!$E$25)))</f>
      </c>
      <c r="Y4">
        <f>IF($A4="","",IF($B4="V01",cad!$C$26,IF($B4="V02",cad!$D$26,cad!$E$26)))</f>
      </c>
      <c r="Z4">
        <f>IF($A4="","",IF($B4="V01",cad!$C$27,IF($B4="V02",cad!$D$27,cad!$E$27)))</f>
      </c>
      <c r="AA4">
        <f>IF($A4="","",IF($B4="V01",cad!$C$28,IF($B4="V02",cad!$D$28,cad!$E$28)))</f>
      </c>
      <c r="AB4">
        <f>IF($A4="","",IF($B4="V01",cad!$C$39,IF($B4="V02",cad!$D$39,cad!$E$39)))</f>
      </c>
      <c r="AC4">
        <f>IF($A4="","",IF($F4="MBWAY",cad!$J$12,IF($F4="ISCOM",cad!$J$13,IF($F4="IPAC",cad!$J$14,IF($F4="PIGIER",cad!$J$15,cad!$J$16)))))</f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>
        <f>IF($A5="","",IF($B5="V01",cad!$C$23,IF($B5="V02",cad!$D$23,cad!$E$23)))</f>
      </c>
      <c r="W5">
        <f>IF($A5="","",IF($B5="V01",cad!$C$24,IF($B5="V02",cad!$D$24,cad!$E$24)))</f>
      </c>
      <c r="X5">
        <f>IF($A5="","",IF($B5="V01",cad!$C$25,IF($B5="V02",cad!$D$25,cad!$E$25)))</f>
      </c>
      <c r="Y5">
        <f>IF($A5="","",IF($B5="V01",cad!$C$26,IF($B5="V02",cad!$D$26,cad!$E$26)))</f>
      </c>
      <c r="Z5">
        <f>IF($A5="","",IF($B5="V01",cad!$C$27,IF($B5="V02",cad!$D$27,cad!$E$27)))</f>
      </c>
      <c r="AA5">
        <f>IF($A5="","",IF($B5="V01",cad!$C$28,IF($B5="V02",cad!$D$28,cad!$E$28)))</f>
      </c>
      <c r="AB5">
        <f>IF($A5="","",IF($B5="V01",cad!$C$39,IF($B5="V02",cad!$D$39,cad!$E$39)))</f>
      </c>
      <c r="AC5">
        <f>IF($A5="","",IF($F5="MBWAY",cad!$J$12,IF($F5="ISCOM",cad!$J$13,IF($F5="IPAC",cad!$J$14,IF($F5="PIGIER",cad!$J$15,cad!$J$16)))))</f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>
        <f>IF($A6="","",IF($B6="V01",cad!$C$23,IF($B6="V02",cad!$D$23,cad!$E$23)))</f>
      </c>
      <c r="W6">
        <f>IF($A6="","",IF($B6="V01",cad!$C$24,IF($B6="V02",cad!$D$24,cad!$E$24)))</f>
      </c>
      <c r="X6">
        <f>IF($A6="","",IF($B6="V01",cad!$C$25,IF($B6="V02",cad!$D$25,cad!$E$25)))</f>
      </c>
      <c r="Y6">
        <f>IF($A6="","",IF($B6="V01",cad!$C$26,IF($B6="V02",cad!$D$26,cad!$E$26)))</f>
      </c>
      <c r="Z6">
        <f>IF($A6="","",IF($B6="V01",cad!$C$27,IF($B6="V02",cad!$D$27,cad!$E$27)))</f>
      </c>
      <c r="AA6">
        <f>IF($A6="","",IF($B6="V01",cad!$C$28,IF($B6="V02",cad!$D$28,cad!$E$28)))</f>
      </c>
      <c r="AB6">
        <f>IF($A6="","",IF($B6="V01",cad!$C$39,IF($B6="V02",cad!$D$39,cad!$E$39)))</f>
      </c>
      <c r="AC6">
        <f>IF($A6="","",IF($F6="MBWAY",cad!$J$12,IF($F6="ISCOM",cad!$J$13,IF($F6="IPAC",cad!$J$14,IF($F6="PIGIER",cad!$J$15,cad!$J$16)))))</f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>
        <f>IF($A7="","",IF($B7="V01",cad!$C$23,IF($B7="V02",cad!$D$23,cad!$E$23)))</f>
      </c>
      <c r="W7">
        <f>IF($A7="","",IF($B7="V01",cad!$C$24,IF($B7="V02",cad!$D$24,cad!$E$24)))</f>
      </c>
      <c r="X7">
        <f>IF($A7="","",IF($B7="V01",cad!$C$25,IF($B7="V02",cad!$D$25,cad!$E$25)))</f>
      </c>
      <c r="Y7">
        <f>IF($A7="","",IF($B7="V01",cad!$C$26,IF($B7="V02",cad!$D$26,cad!$E$26)))</f>
      </c>
      <c r="Z7">
        <f>IF($A7="","",IF($B7="V01",cad!$C$27,IF($B7="V02",cad!$D$27,cad!$E$27)))</f>
      </c>
      <c r="AA7">
        <f>IF($A7="","",IF($B7="V01",cad!$C$28,IF($B7="V02",cad!$D$28,cad!$E$28)))</f>
      </c>
      <c r="AB7">
        <f>IF($A7="","",IF($B7="V01",cad!$C$39,IF($B7="V02",cad!$D$39,cad!$E$39)))</f>
      </c>
      <c r="AC7">
        <f>IF($A7="","",IF($F7="MBWAY",cad!$J$12,IF($F7="ISCOM",cad!$J$13,IF($F7="IPAC",cad!$J$14,IF($F7="PIGIER",cad!$J$15,cad!$J$16)))))</f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>
        <f>IF($A8="","",IF($B8="V01",cad!$C$23,IF($B8="V02",cad!$D$23,cad!$E$23)))</f>
      </c>
      <c r="W8">
        <f>IF($A8="","",IF($B8="V01",cad!$C$24,IF($B8="V02",cad!$D$24,cad!$E$24)))</f>
      </c>
      <c r="X8">
        <f>IF($A8="","",IF($B8="V01",cad!$C$25,IF($B8="V02",cad!$D$25,cad!$E$25)))</f>
      </c>
      <c r="Y8">
        <f>IF($A8="","",IF($B8="V01",cad!$C$26,IF($B8="V02",cad!$D$26,cad!$E$26)))</f>
      </c>
      <c r="Z8">
        <f>IF($A8="","",IF($B8="V01",cad!$C$27,IF($B8="V02",cad!$D$27,cad!$E$27)))</f>
      </c>
      <c r="AA8">
        <f>IF($A8="","",IF($B8="V01",cad!$C$28,IF($B8="V02",cad!$D$28,cad!$E$28)))</f>
      </c>
      <c r="AB8">
        <f>IF($A8="","",IF($B8="V01",cad!$C$39,IF($B8="V02",cad!$D$39,cad!$E$39)))</f>
      </c>
      <c r="AC8">
        <f>IF($A8="","",IF($F8="MBWAY",cad!$J$12,IF($F8="ISCOM",cad!$J$13,IF($F8="IPAC",cad!$J$14,IF($F8="PIGIER",cad!$J$15,cad!$J$16)))))</f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>
        <f>IF($A9="","",IF($B9="V01",cad!$C$23,IF($B9="V02",cad!$D$23,cad!$E$23)))</f>
      </c>
      <c r="W9">
        <f>IF($A9="","",IF($B9="V01",cad!$C$24,IF($B9="V02",cad!$D$24,cad!$E$24)))</f>
      </c>
      <c r="X9">
        <f>IF($A9="","",IF($B9="V01",cad!$C$25,IF($B9="V02",cad!$D$25,cad!$E$25)))</f>
      </c>
      <c r="Y9">
        <f>IF($A9="","",IF($B9="V01",cad!$C$26,IF($B9="V02",cad!$D$26,cad!$E$26)))</f>
      </c>
      <c r="Z9">
        <f>IF($A9="","",IF($B9="V01",cad!$C$27,IF($B9="V02",cad!$D$27,cad!$E$27)))</f>
      </c>
      <c r="AA9">
        <f>IF($A9="","",IF($B9="V01",cad!$C$28,IF($B9="V02",cad!$D$28,cad!$E$28)))</f>
      </c>
      <c r="AB9">
        <f>IF($A9="","",IF($B9="V01",cad!$C$39,IF($B9="V02",cad!$D$39,cad!$E$39)))</f>
      </c>
      <c r="AC9">
        <f>IF($A9="","",IF($F9="MBWAY",cad!$J$12,IF($F9="ISCOM",cad!$J$13,IF($F9="IPAC",cad!$J$14,IF($F9="PIGIER",cad!$J$15,cad!$J$16)))))</f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>
        <f>IF($A10="","",IF($B10="V01",cad!$C$23,IF($B10="V02",cad!$D$23,cad!$E$23)))</f>
      </c>
      <c r="W10">
        <f>IF($A10="","",IF($B10="V01",cad!$C$24,IF($B10="V02",cad!$D$24,cad!$E$24)))</f>
      </c>
      <c r="X10">
        <f>IF($A10="","",IF($B10="V01",cad!$C$25,IF($B10="V02",cad!$D$25,cad!$E$25)))</f>
      </c>
      <c r="Y10">
        <f>IF($A10="","",IF($B10="V01",cad!$C$26,IF($B10="V02",cad!$D$26,cad!$E$26)))</f>
      </c>
      <c r="Z10">
        <f>IF($A10="","",IF($B10="V01",cad!$C$27,IF($B10="V02",cad!$D$27,cad!$E$27)))</f>
      </c>
      <c r="AA10">
        <f>IF($A10="","",IF($B10="V01",cad!$C$28,IF($B10="V02",cad!$D$28,cad!$E$28)))</f>
      </c>
      <c r="AB10">
        <f>IF($A10="","",IF($B10="V01",cad!$C$39,IF($B10="V02",cad!$D$39,cad!$E$39)))</f>
      </c>
      <c r="AC10">
        <f>IF($A10="","",IF($F10="MBWAY",cad!$J$12,IF($F10="ISCOM",cad!$J$13,IF($F10="IPAC",cad!$J$14,IF($F10="PIGIER",cad!$J$15,cad!$J$16)))))</f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>
        <f>IF($A11="","",IF($B11="V01",cad!$C$23,IF($B11="V02",cad!$D$23,cad!$E$23)))</f>
      </c>
      <c r="W11">
        <f>IF($A11="","",IF($B11="V01",cad!$C$24,IF($B11="V02",cad!$D$24,cad!$E$24)))</f>
      </c>
      <c r="X11">
        <f>IF($A11="","",IF($B11="V01",cad!$C$25,IF($B11="V02",cad!$D$25,cad!$E$25)))</f>
      </c>
      <c r="Y11">
        <f>IF($A11="","",IF($B11="V01",cad!$C$26,IF($B11="V02",cad!$D$26,cad!$E$26)))</f>
      </c>
      <c r="Z11">
        <f>IF($A11="","",IF($B11="V01",cad!$C$27,IF($B11="V02",cad!$D$27,cad!$E$27)))</f>
      </c>
      <c r="AA11">
        <f>IF($A11="","",IF($B11="V01",cad!$C$28,IF($B11="V02",cad!$D$28,cad!$E$28)))</f>
      </c>
      <c r="AB11">
        <f>IF($A11="","",IF($B11="V01",cad!$C$39,IF($B11="V02",cad!$D$39,cad!$E$39)))</f>
      </c>
      <c r="AC11">
        <f>IF($A11="","",IF($F11="MBWAY",cad!$J$12,IF($F11="ISCOM",cad!$J$13,IF($F11="IPAC",cad!$J$14,IF($F11="PIGIER",cad!$J$15,cad!$J$16)))))</f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>
        <f>IF($A12="","",IF($B12="V01",cad!$C$23,IF($B12="V02",cad!$D$23,cad!$E$23)))</f>
      </c>
      <c r="W12">
        <f>IF($A12="","",IF($B12="V01",cad!$C$24,IF($B12="V02",cad!$D$24,cad!$E$24)))</f>
      </c>
      <c r="X12">
        <f>IF($A12="","",IF($B12="V01",cad!$C$25,IF($B12="V02",cad!$D$25,cad!$E$25)))</f>
      </c>
      <c r="Y12">
        <f>IF($A12="","",IF($B12="V01",cad!$C$26,IF($B12="V02",cad!$D$26,cad!$E$26)))</f>
      </c>
      <c r="Z12">
        <f>IF($A12="","",IF($B12="V01",cad!$C$27,IF($B12="V02",cad!$D$27,cad!$E$27)))</f>
      </c>
      <c r="AA12">
        <f>IF($A12="","",IF($B12="V01",cad!$C$28,IF($B12="V02",cad!$D$28,cad!$E$28)))</f>
      </c>
      <c r="AB12">
        <f>IF($A12="","",IF($B12="V01",cad!$C$39,IF($B12="V02",cad!$D$39,cad!$E$39)))</f>
      </c>
      <c r="AC12">
        <f>IF($A12="","",IF($F12="MBWAY",cad!$J$12,IF($F12="ISCOM",cad!$J$13,IF($F12="IPAC",cad!$J$14,IF($F12="PIGIER",cad!$J$15,cad!$J$16)))))</f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>
        <f>IF($A13="","",IF($B13="V01",cad!$C$23,IF($B13="V02",cad!$D$23,cad!$E$23)))</f>
      </c>
      <c r="W13">
        <f>IF($A13="","",IF($B13="V01",cad!$C$24,IF($B13="V02",cad!$D$24,cad!$E$24)))</f>
      </c>
      <c r="X13">
        <f>IF($A13="","",IF($B13="V01",cad!$C$25,IF($B13="V02",cad!$D$25,cad!$E$25)))</f>
      </c>
      <c r="Y13">
        <f>IF($A13="","",IF($B13="V01",cad!$C$26,IF($B13="V02",cad!$D$26,cad!$E$26)))</f>
      </c>
      <c r="Z13">
        <f>IF($A13="","",IF($B13="V01",cad!$C$27,IF($B13="V02",cad!$D$27,cad!$E$27)))</f>
      </c>
      <c r="AA13">
        <f>IF($A13="","",IF($B13="V01",cad!$C$28,IF($B13="V02",cad!$D$28,cad!$E$28)))</f>
      </c>
      <c r="AB13">
        <f>IF($A13="","",IF($B13="V01",cad!$C$39,IF($B13="V02",cad!$D$39,cad!$E$39)))</f>
      </c>
      <c r="AC13">
        <f>IF($A13="","",IF($F13="MBWAY",cad!$J$12,IF($F13="ISCOM",cad!$J$13,IF($F13="IPAC",cad!$J$14,IF($F13="PIGIER",cad!$J$15,cad!$J$16)))))</f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>
        <f>IF($A14="","",IF($B14="V01",cad!$C$23,IF($B14="V02",cad!$D$23,cad!$E$23)))</f>
      </c>
      <c r="W14">
        <f>IF($A14="","",IF($B14="V01",cad!$C$24,IF($B14="V02",cad!$D$24,cad!$E$24)))</f>
      </c>
      <c r="X14">
        <f>IF($A14="","",IF($B14="V01",cad!$C$25,IF($B14="V02",cad!$D$25,cad!$E$25)))</f>
      </c>
      <c r="Y14">
        <f>IF($A14="","",IF($B14="V01",cad!$C$26,IF($B14="V02",cad!$D$26,cad!$E$26)))</f>
      </c>
      <c r="Z14">
        <f>IF($A14="","",IF($B14="V01",cad!$C$27,IF($B14="V02",cad!$D$27,cad!$E$27)))</f>
      </c>
      <c r="AA14">
        <f>IF($A14="","",IF($B14="V01",cad!$C$28,IF($B14="V02",cad!$D$28,cad!$E$28)))</f>
      </c>
      <c r="AB14">
        <f>IF($A14="","",IF($B14="V01",cad!$C$39,IF($B14="V02",cad!$D$39,cad!$E$39)))</f>
      </c>
      <c r="AC14">
        <f>IF($A14="","",IF($F14="MBWAY",cad!$J$12,IF($F14="ISCOM",cad!$J$13,IF($F14="IPAC",cad!$J$14,IF($F14="PIGIER",cad!$J$15,cad!$J$16)))))</f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>
        <f>IF($A15="","",IF($B15="V01",cad!$C$23,IF($B15="V02",cad!$D$23,cad!$E$23)))</f>
      </c>
      <c r="W15">
        <f>IF($A15="","",IF($B15="V01",cad!$C$24,IF($B15="V02",cad!$D$24,cad!$E$24)))</f>
      </c>
      <c r="X15">
        <f>IF($A15="","",IF($B15="V01",cad!$C$25,IF($B15="V02",cad!$D$25,cad!$E$25)))</f>
      </c>
      <c r="Y15">
        <f>IF($A15="","",IF($B15="V01",cad!$C$26,IF($B15="V02",cad!$D$26,cad!$E$26)))</f>
      </c>
      <c r="Z15">
        <f>IF($A15="","",IF($B15="V01",cad!$C$27,IF($B15="V02",cad!$D$27,cad!$E$27)))</f>
      </c>
      <c r="AA15">
        <f>IF($A15="","",IF($B15="V01",cad!$C$28,IF($B15="V02",cad!$D$28,cad!$E$28)))</f>
      </c>
      <c r="AB15">
        <f>IF($A15="","",IF($B15="V01",cad!$C$39,IF($B15="V02",cad!$D$39,cad!$E$39)))</f>
      </c>
      <c r="AC15">
        <f>IF($A15="","",IF($F15="MBWAY",cad!$J$12,IF($F15="ISCOM",cad!$J$13,IF($F15="IPAC",cad!$J$14,IF($F15="PIGIER",cad!$J$15,cad!$J$16)))))</f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>
        <f>IF($A16="","",IF($B16="V01",cad!$C$23,IF($B16="V02",cad!$D$23,cad!$E$23)))</f>
      </c>
      <c r="W16">
        <f>IF($A16="","",IF($B16="V01",cad!$C$24,IF($B16="V02",cad!$D$24,cad!$E$24)))</f>
      </c>
      <c r="X16">
        <f>IF($A16="","",IF($B16="V01",cad!$C$25,IF($B16="V02",cad!$D$25,cad!$E$25)))</f>
      </c>
      <c r="Y16">
        <f>IF($A16="","",IF($B16="V01",cad!$C$26,IF($B16="V02",cad!$D$26,cad!$E$26)))</f>
      </c>
      <c r="Z16">
        <f>IF($A16="","",IF($B16="V01",cad!$C$27,IF($B16="V02",cad!$D$27,cad!$E$27)))</f>
      </c>
      <c r="AA16">
        <f>IF($A16="","",IF($B16="V01",cad!$C$28,IF($B16="V02",cad!$D$28,cad!$E$28)))</f>
      </c>
      <c r="AB16">
        <f>IF($A16="","",IF($B16="V01",cad!$C$39,IF($B16="V02",cad!$D$39,cad!$E$39)))</f>
      </c>
      <c r="AC16">
        <f>IF($A16="","",IF($F16="MBWAY",cad!$J$12,IF($F16="ISCOM",cad!$J$13,IF($F16="IPAC",cad!$J$14,IF($F16="PIGIER",cad!$J$15,cad!$J$16)))))</f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>
        <f>IF($A17="","",IF($B17="V01",cad!$C$23,IF($B17="V02",cad!$D$23,cad!$E$23)))</f>
      </c>
      <c r="W17">
        <f>IF($A17="","",IF($B17="V01",cad!$C$24,IF($B17="V02",cad!$D$24,cad!$E$24)))</f>
      </c>
      <c r="X17">
        <f>IF($A17="","",IF($B17="V01",cad!$C$25,IF($B17="V02",cad!$D$25,cad!$E$25)))</f>
      </c>
      <c r="Y17">
        <f>IF($A17="","",IF($B17="V01",cad!$C$26,IF($B17="V02",cad!$D$26,cad!$E$26)))</f>
      </c>
      <c r="Z17">
        <f>IF($A17="","",IF($B17="V01",cad!$C$27,IF($B17="V02",cad!$D$27,cad!$E$27)))</f>
      </c>
      <c r="AA17">
        <f>IF($A17="","",IF($B17="V01",cad!$C$28,IF($B17="V02",cad!$D$28,cad!$E$28)))</f>
      </c>
      <c r="AB17">
        <f>IF($A17="","",IF($B17="V01",cad!$C$39,IF($B17="V02",cad!$D$39,cad!$E$39)))</f>
      </c>
      <c r="AC17">
        <f>IF($A17="","",IF($F17="MBWAY",cad!$J$12,IF($F17="ISCOM",cad!$J$13,IF($F17="IPAC",cad!$J$14,IF($F17="PIGIER",cad!$J$15,cad!$J$16)))))</f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>
        <f>IF($A18="","",IF($B18="V01",cad!$C$23,IF($B18="V02",cad!$D$23,cad!$E$23)))</f>
      </c>
      <c r="W18">
        <f>IF($A18="","",IF($B18="V01",cad!$C$24,IF($B18="V02",cad!$D$24,cad!$E$24)))</f>
      </c>
      <c r="X18">
        <f>IF($A18="","",IF($B18="V01",cad!$C$25,IF($B18="V02",cad!$D$25,cad!$E$25)))</f>
      </c>
      <c r="Y18">
        <f>IF($A18="","",IF($B18="V01",cad!$C$26,IF($B18="V02",cad!$D$26,cad!$E$26)))</f>
      </c>
      <c r="Z18">
        <f>IF($A18="","",IF($B18="V01",cad!$C$27,IF($B18="V02",cad!$D$27,cad!$E$27)))</f>
      </c>
      <c r="AA18">
        <f>IF($A18="","",IF($B18="V01",cad!$C$28,IF($B18="V02",cad!$D$28,cad!$E$28)))</f>
      </c>
      <c r="AB18">
        <f>IF($A18="","",IF($B18="V01",cad!$C$39,IF($B18="V02",cad!$D$39,cad!$E$39)))</f>
      </c>
      <c r="AC18">
        <f>IF($A18="","",IF($F18="MBWAY",cad!$J$12,IF($F18="ISCOM",cad!$J$13,IF($F18="IPAC",cad!$J$14,IF($F18="PIGIER",cad!$J$15,cad!$J$16)))))</f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>
        <f>IF($A19="","",IF($B19="V01",cad!$C$23,IF($B19="V02",cad!$D$23,cad!$E$23)))</f>
      </c>
      <c r="W19">
        <f>IF($A19="","",IF($B19="V01",cad!$C$24,IF($B19="V02",cad!$D$24,cad!$E$24)))</f>
      </c>
      <c r="X19">
        <f>IF($A19="","",IF($B19="V01",cad!$C$25,IF($B19="V02",cad!$D$25,cad!$E$25)))</f>
      </c>
      <c r="Y19">
        <f>IF($A19="","",IF($B19="V01",cad!$C$26,IF($B19="V02",cad!$D$26,cad!$E$26)))</f>
      </c>
      <c r="Z19">
        <f>IF($A19="","",IF($B19="V01",cad!$C$27,IF($B19="V02",cad!$D$27,cad!$E$27)))</f>
      </c>
      <c r="AA19">
        <f>IF($A19="","",IF($B19="V01",cad!$C$28,IF($B19="V02",cad!$D$28,cad!$E$28)))</f>
      </c>
      <c r="AB19">
        <f>IF($A19="","",IF($B19="V01",cad!$C$39,IF($B19="V02",cad!$D$39,cad!$E$39)))</f>
      </c>
      <c r="AC19">
        <f>IF($A19="","",IF($F19="MBWAY",cad!$J$12,IF($F19="ISCOM",cad!$J$13,IF($F19="IPAC",cad!$J$14,IF($F19="PIGIER",cad!$J$15,cad!$J$16)))))</f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>
        <f>IF($A20="","",IF($B20="V01",cad!$C$23,IF($B20="V02",cad!$D$23,cad!$E$23)))</f>
      </c>
      <c r="W20">
        <f>IF($A20="","",IF($B20="V01",cad!$C$24,IF($B20="V02",cad!$D$24,cad!$E$24)))</f>
      </c>
      <c r="X20">
        <f>IF($A20="","",IF($B20="V01",cad!$C$25,IF($B20="V02",cad!$D$25,cad!$E$25)))</f>
      </c>
      <c r="Y20">
        <f>IF($A20="","",IF($B20="V01",cad!$C$26,IF($B20="V02",cad!$D$26,cad!$E$26)))</f>
      </c>
      <c r="Z20">
        <f>IF($A20="","",IF($B20="V01",cad!$C$27,IF($B20="V02",cad!$D$27,cad!$E$27)))</f>
      </c>
      <c r="AA20">
        <f>IF($A20="","",IF($B20="V01",cad!$C$28,IF($B20="V02",cad!$D$28,cad!$E$28)))</f>
      </c>
      <c r="AB20">
        <f>IF($A20="","",IF($B20="V01",cad!$C$39,IF($B20="V02",cad!$D$39,cad!$E$39)))</f>
      </c>
      <c r="AC20">
        <f>IF($A20="","",IF($F20="MBWAY",cad!$J$12,IF($F20="ISCOM",cad!$J$13,IF($F20="IPAC",cad!$J$14,IF($F20="PIGIER",cad!$J$15,cad!$J$16)))))</f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>
        <f>IF($A21="","",IF($B21="V01",cad!$C$23,IF($B21="V02",cad!$D$23,cad!$E$23)))</f>
      </c>
      <c r="W21">
        <f>IF($A21="","",IF($B21="V01",cad!$C$24,IF($B21="V02",cad!$D$24,cad!$E$24)))</f>
      </c>
      <c r="X21">
        <f>IF($A21="","",IF($B21="V01",cad!$C$25,IF($B21="V02",cad!$D$25,cad!$E$25)))</f>
      </c>
      <c r="Y21">
        <f>IF($A21="","",IF($B21="V01",cad!$C$26,IF($B21="V02",cad!$D$26,cad!$E$26)))</f>
      </c>
      <c r="Z21">
        <f>IF($A21="","",IF($B21="V01",cad!$C$27,IF($B21="V02",cad!$D$27,cad!$E$27)))</f>
      </c>
      <c r="AA21">
        <f>IF($A21="","",IF($B21="V01",cad!$C$28,IF($B21="V02",cad!$D$28,cad!$E$28)))</f>
      </c>
      <c r="AB21">
        <f>IF($A21="","",IF($B21="V01",cad!$C$39,IF($B21="V02",cad!$D$39,cad!$E$39)))</f>
      </c>
      <c r="AC21">
        <f>IF($A21="","",IF($F21="MBWAY",cad!$J$12,IF($F21="ISCOM",cad!$J$13,IF($F21="IPAC",cad!$J$14,IF($F21="PIGIER",cad!$J$15,cad!$J$16)))))</f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>
        <f>IF($A22="","",IF($B22="V01",cad!$C$23,IF($B22="V02",cad!$D$23,cad!$E$23)))</f>
      </c>
      <c r="W22">
        <f>IF($A22="","",IF($B22="V01",cad!$C$24,IF($B22="V02",cad!$D$24,cad!$E$24)))</f>
      </c>
      <c r="X22">
        <f>IF($A22="","",IF($B22="V01",cad!$C$25,IF($B22="V02",cad!$D$25,cad!$E$25)))</f>
      </c>
      <c r="Y22">
        <f>IF($A22="","",IF($B22="V01",cad!$C$26,IF($B22="V02",cad!$D$26,cad!$E$26)))</f>
      </c>
      <c r="Z22">
        <f>IF($A22="","",IF($B22="V01",cad!$C$27,IF($B22="V02",cad!$D$27,cad!$E$27)))</f>
      </c>
      <c r="AA22">
        <f>IF($A22="","",IF($B22="V01",cad!$C$28,IF($B22="V02",cad!$D$28,cad!$E$28)))</f>
      </c>
      <c r="AB22">
        <f>IF($A22="","",IF($B22="V01",cad!$C$39,IF($B22="V02",cad!$D$39,cad!$E$39)))</f>
      </c>
      <c r="AC22">
        <f>IF($A22="","",IF($F22="MBWAY",cad!$J$12,IF($F22="ISCOM",cad!$J$13,IF($F22="IPAC",cad!$J$14,IF($F22="PIGIER",cad!$J$15,cad!$J$16)))))</f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>
        <f>IF($A23="","",IF($B23="V01",cad!$C$23,IF($B23="V02",cad!$D$23,cad!$E$23)))</f>
      </c>
      <c r="W23">
        <f>IF($A23="","",IF($B23="V01",cad!$C$24,IF($B23="V02",cad!$D$24,cad!$E$24)))</f>
      </c>
      <c r="X23">
        <f>IF($A23="","",IF($B23="V01",cad!$C$25,IF($B23="V02",cad!$D$25,cad!$E$25)))</f>
      </c>
      <c r="Y23">
        <f>IF($A23="","",IF($B23="V01",cad!$C$26,IF($B23="V02",cad!$D$26,cad!$E$26)))</f>
      </c>
      <c r="Z23">
        <f>IF($A23="","",IF($B23="V01",cad!$C$27,IF($B23="V02",cad!$D$27,cad!$E$27)))</f>
      </c>
      <c r="AA23">
        <f>IF($A23="","",IF($B23="V01",cad!$C$28,IF($B23="V02",cad!$D$28,cad!$E$28)))</f>
      </c>
      <c r="AB23">
        <f>IF($A23="","",IF($B23="V01",cad!$C$39,IF($B23="V02",cad!$D$39,cad!$E$39)))</f>
      </c>
      <c r="AC23">
        <f>IF($A23="","",IF($F23="MBWAY",cad!$J$12,IF($F23="ISCOM",cad!$J$13,IF($F23="IPAC",cad!$J$14,IF($F23="PIGIER",cad!$J$15,cad!$J$16)))))</f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>
        <f>IF($A24="","",IF($B24="V01",cad!$C$23,IF($B24="V02",cad!$D$23,cad!$E$23)))</f>
      </c>
      <c r="W24">
        <f>IF($A24="","",IF($B24="V01",cad!$C$24,IF($B24="V02",cad!$D$24,cad!$E$24)))</f>
      </c>
      <c r="X24">
        <f>IF($A24="","",IF($B24="V01",cad!$C$25,IF($B24="V02",cad!$D$25,cad!$E$25)))</f>
      </c>
      <c r="Y24">
        <f>IF($A24="","",IF($B24="V01",cad!$C$26,IF($B24="V02",cad!$D$26,cad!$E$26)))</f>
      </c>
      <c r="Z24">
        <f>IF($A24="","",IF($B24="V01",cad!$C$27,IF($B24="V02",cad!$D$27,cad!$E$27)))</f>
      </c>
      <c r="AA24">
        <f>IF($A24="","",IF($B24="V01",cad!$C$28,IF($B24="V02",cad!$D$28,cad!$E$28)))</f>
      </c>
      <c r="AB24">
        <f>IF($A24="","",IF($B24="V01",cad!$C$39,IF($B24="V02",cad!$D$39,cad!$E$39)))</f>
      </c>
      <c r="AC24">
        <f>IF($A24="","",IF($F24="MBWAY",cad!$J$12,IF($F24="ISCOM",cad!$J$13,IF($F24="IPAC",cad!$J$14,IF($F24="PIGIER",cad!$J$15,cad!$J$16)))))</f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>
        <f>IF($A25="","",IF($B25="V01",cad!$C$23,IF($B25="V02",cad!$D$23,cad!$E$23)))</f>
      </c>
      <c r="W25">
        <f>IF($A25="","",IF($B25="V01",cad!$C$24,IF($B25="V02",cad!$D$24,cad!$E$24)))</f>
      </c>
      <c r="X25">
        <f>IF($A25="","",IF($B25="V01",cad!$C$25,IF($B25="V02",cad!$D$25,cad!$E$25)))</f>
      </c>
      <c r="Y25">
        <f>IF($A25="","",IF($B25="V01",cad!$C$26,IF($B25="V02",cad!$D$26,cad!$E$26)))</f>
      </c>
      <c r="Z25">
        <f>IF($A25="","",IF($B25="V01",cad!$C$27,IF($B25="V02",cad!$D$27,cad!$E$27)))</f>
      </c>
      <c r="AA25">
        <f>IF($A25="","",IF($B25="V01",cad!$C$28,IF($B25="V02",cad!$D$28,cad!$E$28)))</f>
      </c>
      <c r="AB25">
        <f>IF($A25="","",IF($B25="V01",cad!$C$39,IF($B25="V02",cad!$D$39,cad!$E$39)))</f>
      </c>
      <c r="AC25">
        <f>IF($A25="","",IF($F25="MBWAY",cad!$J$12,IF($F25="ISCOM",cad!$J$13,IF($F25="IPAC",cad!$J$14,IF($F25="PIGIER",cad!$J$15,cad!$J$16)))))</f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>
        <f>IF($A26="","",IF($B26="V01",cad!$C$23,IF($B26="V02",cad!$D$23,cad!$E$23)))</f>
      </c>
      <c r="W26">
        <f>IF($A26="","",IF($B26="V01",cad!$C$24,IF($B26="V02",cad!$D$24,cad!$E$24)))</f>
      </c>
      <c r="X26">
        <f>IF($A26="","",IF($B26="V01",cad!$C$25,IF($B26="V02",cad!$D$25,cad!$E$25)))</f>
      </c>
      <c r="Y26">
        <f>IF($A26="","",IF($B26="V01",cad!$C$26,IF($B26="V02",cad!$D$26,cad!$E$26)))</f>
      </c>
      <c r="Z26">
        <f>IF($A26="","",IF($B26="V01",cad!$C$27,IF($B26="V02",cad!$D$27,cad!$E$27)))</f>
      </c>
      <c r="AA26">
        <f>IF($A26="","",IF($B26="V01",cad!$C$28,IF($B26="V02",cad!$D$28,cad!$E$28)))</f>
      </c>
      <c r="AB26">
        <f>IF($A26="","",IF($B26="V01",cad!$C$39,IF($B26="V02",cad!$D$39,cad!$E$39)))</f>
      </c>
      <c r="AC26">
        <f>IF($A26="","",IF($F26="MBWAY",cad!$J$12,IF($F26="ISCOM",cad!$J$13,IF($F26="IPAC",cad!$J$14,IF($F26="PIGIER",cad!$J$15,cad!$J$16)))))</f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>
        <f>IF($A27="","",IF($B27="V01",cad!$C$23,IF($B27="V02",cad!$D$23,cad!$E$23)))</f>
      </c>
      <c r="W27">
        <f>IF($A27="","",IF($B27="V01",cad!$C$24,IF($B27="V02",cad!$D$24,cad!$E$24)))</f>
      </c>
      <c r="X27">
        <f>IF($A27="","",IF($B27="V01",cad!$C$25,IF($B27="V02",cad!$D$25,cad!$E$25)))</f>
      </c>
      <c r="Y27">
        <f>IF($A27="","",IF($B27="V01",cad!$C$26,IF($B27="V02",cad!$D$26,cad!$E$26)))</f>
      </c>
      <c r="Z27">
        <f>IF($A27="","",IF($B27="V01",cad!$C$27,IF($B27="V02",cad!$D$27,cad!$E$27)))</f>
      </c>
      <c r="AA27">
        <f>IF($A27="","",IF($B27="V01",cad!$C$28,IF($B27="V02",cad!$D$28,cad!$E$28)))</f>
      </c>
      <c r="AB27">
        <f>IF($A27="","",IF($B27="V01",cad!$C$39,IF($B27="V02",cad!$D$39,cad!$E$39)))</f>
      </c>
      <c r="AC27">
        <f>IF($A27="","",IF($F27="MBWAY",cad!$J$12,IF($F27="ISCOM",cad!$J$13,IF($F27="IPAC",cad!$J$14,IF($F27="PIGIER",cad!$J$15,cad!$J$16)))))</f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>
        <f>IF($A28="","",IF($B28="V01",cad!$C$23,IF($B28="V02",cad!$D$23,cad!$E$23)))</f>
      </c>
      <c r="W28">
        <f>IF($A28="","",IF($B28="V01",cad!$C$24,IF($B28="V02",cad!$D$24,cad!$E$24)))</f>
      </c>
      <c r="X28">
        <f>IF($A28="","",IF($B28="V01",cad!$C$25,IF($B28="V02",cad!$D$25,cad!$E$25)))</f>
      </c>
      <c r="Y28">
        <f>IF($A28="","",IF($B28="V01",cad!$C$26,IF($B28="V02",cad!$D$26,cad!$E$26)))</f>
      </c>
      <c r="Z28">
        <f>IF($A28="","",IF($B28="V01",cad!$C$27,IF($B28="V02",cad!$D$27,cad!$E$27)))</f>
      </c>
      <c r="AA28">
        <f>IF($A28="","",IF($B28="V01",cad!$C$28,IF($B28="V02",cad!$D$28,cad!$E$28)))</f>
      </c>
      <c r="AB28">
        <f>IF($A28="","",IF($B28="V01",cad!$C$39,IF($B28="V02",cad!$D$39,cad!$E$39)))</f>
      </c>
      <c r="AC28">
        <f>IF($A28="","",IF($F28="MBWAY",cad!$J$12,IF($F28="ISCOM",cad!$J$13,IF($F28="IPAC",cad!$J$14,IF($F28="PIGIER",cad!$J$15,cad!$J$16)))))</f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>
        <f>IF($A29="","",IF($B29="V01",cad!$C$23,IF($B29="V02",cad!$D$23,cad!$E$23)))</f>
      </c>
      <c r="W29">
        <f>IF($A29="","",IF($B29="V01",cad!$C$24,IF($B29="V02",cad!$D$24,cad!$E$24)))</f>
      </c>
      <c r="X29">
        <f>IF($A29="","",IF($B29="V01",cad!$C$25,IF($B29="V02",cad!$D$25,cad!$E$25)))</f>
      </c>
      <c r="Y29">
        <f>IF($A29="","",IF($B29="V01",cad!$C$26,IF($B29="V02",cad!$D$26,cad!$E$26)))</f>
      </c>
      <c r="Z29">
        <f>IF($A29="","",IF($B29="V01",cad!$C$27,IF($B29="V02",cad!$D$27,cad!$E$27)))</f>
      </c>
      <c r="AA29">
        <f>IF($A29="","",IF($B29="V01",cad!$C$28,IF($B29="V02",cad!$D$28,cad!$E$28)))</f>
      </c>
      <c r="AB29">
        <f>IF($A29="","",IF($B29="V01",cad!$C$39,IF($B29="V02",cad!$D$39,cad!$E$39)))</f>
      </c>
      <c r="AC29">
        <f>IF($A29="","",IF($F29="MBWAY",cad!$J$12,IF($F29="ISCOM",cad!$J$13,IF($F29="IPAC",cad!$J$14,IF($F29="PIGIER",cad!$J$15,cad!$J$16)))))</f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>
        <f>IF($A30="","",IF($B30="V01",cad!$C$23,IF($B30="V02",cad!$D$23,cad!$E$23)))</f>
      </c>
      <c r="W30">
        <f>IF($A30="","",IF($B30="V01",cad!$C$24,IF($B30="V02",cad!$D$24,cad!$E$24)))</f>
      </c>
      <c r="X30">
        <f>IF($A30="","",IF($B30="V01",cad!$C$25,IF($B30="V02",cad!$D$25,cad!$E$25)))</f>
      </c>
      <c r="Y30">
        <f>IF($A30="","",IF($B30="V01",cad!$C$26,IF($B30="V02",cad!$D$26,cad!$E$26)))</f>
      </c>
      <c r="Z30">
        <f>IF($A30="","",IF($B30="V01",cad!$C$27,IF($B30="V02",cad!$D$27,cad!$E$27)))</f>
      </c>
      <c r="AA30">
        <f>IF($A30="","",IF($B30="V01",cad!$C$28,IF($B30="V02",cad!$D$28,cad!$E$28)))</f>
      </c>
      <c r="AB30">
        <f>IF($A30="","",IF($B30="V01",cad!$C$39,IF($B30="V02",cad!$D$39,cad!$E$39)))</f>
      </c>
      <c r="AC30">
        <f>IF($A30="","",IF($F30="MBWAY",cad!$J$12,IF($F30="ISCOM",cad!$J$13,IF($F30="IPAC",cad!$J$14,IF($F30="PIGIER",cad!$J$15,cad!$J$16)))))</f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>
        <f>IF($A31="","",IF($B31="V01",cad!$C$23,IF($B31="V02",cad!$D$23,cad!$E$23)))</f>
      </c>
      <c r="W31">
        <f>IF($A31="","",IF($B31="V01",cad!$C$24,IF($B31="V02",cad!$D$24,cad!$E$24)))</f>
      </c>
      <c r="X31">
        <f>IF($A31="","",IF($B31="V01",cad!$C$25,IF($B31="V02",cad!$D$25,cad!$E$25)))</f>
      </c>
      <c r="Y31">
        <f>IF($A31="","",IF($B31="V01",cad!$C$26,IF($B31="V02",cad!$D$26,cad!$E$26)))</f>
      </c>
      <c r="Z31">
        <f>IF($A31="","",IF($B31="V01",cad!$C$27,IF($B31="V02",cad!$D$27,cad!$E$27)))</f>
      </c>
      <c r="AA31">
        <f>IF($A31="","",IF($B31="V01",cad!$C$28,IF($B31="V02",cad!$D$28,cad!$E$28)))</f>
      </c>
      <c r="AB31">
        <f>IF($A31="","",IF($B31="V01",cad!$C$39,IF($B31="V02",cad!$D$39,cad!$E$39)))</f>
      </c>
      <c r="AC31">
        <f>IF($A31="","",IF($F31="MBWAY",cad!$J$12,IF($F31="ISCOM",cad!$J$13,IF($F31="IPAC",cad!$J$14,IF($F31="PIGIER",cad!$J$15,cad!$J$16)))))</f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>
        <f>IF($A32="","",IF($B32="V01",cad!$C$23,IF($B32="V02",cad!$D$23,cad!$E$23)))</f>
      </c>
      <c r="W32">
        <f>IF($A32="","",IF($B32="V01",cad!$C$24,IF($B32="V02",cad!$D$24,cad!$E$24)))</f>
      </c>
      <c r="X32">
        <f>IF($A32="","",IF($B32="V01",cad!$C$25,IF($B32="V02",cad!$D$25,cad!$E$25)))</f>
      </c>
      <c r="Y32">
        <f>IF($A32="","",IF($B32="V01",cad!$C$26,IF($B32="V02",cad!$D$26,cad!$E$26)))</f>
      </c>
      <c r="Z32">
        <f>IF($A32="","",IF($B32="V01",cad!$C$27,IF($B32="V02",cad!$D$27,cad!$E$27)))</f>
      </c>
      <c r="AA32">
        <f>IF($A32="","",IF($B32="V01",cad!$C$28,IF($B32="V02",cad!$D$28,cad!$E$28)))</f>
      </c>
      <c r="AB32">
        <f>IF($A32="","",IF($B32="V01",cad!$C$39,IF($B32="V02",cad!$D$39,cad!$E$39)))</f>
      </c>
      <c r="AC32">
        <f>IF($A32="","",IF($F32="MBWAY",cad!$J$12,IF($F32="ISCOM",cad!$J$13,IF($F32="IPAC",cad!$J$14,IF($F32="PIGIER",cad!$J$15,cad!$J$16)))))</f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>
        <f>IF($A33="","",IF($B33="V01",cad!$C$23,IF($B33="V02",cad!$D$23,cad!$E$23)))</f>
      </c>
      <c r="W33">
        <f>IF($A33="","",IF($B33="V01",cad!$C$24,IF($B33="V02",cad!$D$24,cad!$E$24)))</f>
      </c>
      <c r="X33">
        <f>IF($A33="","",IF($B33="V01",cad!$C$25,IF($B33="V02",cad!$D$25,cad!$E$25)))</f>
      </c>
      <c r="Y33">
        <f>IF($A33="","",IF($B33="V01",cad!$C$26,IF($B33="V02",cad!$D$26,cad!$E$26)))</f>
      </c>
      <c r="Z33">
        <f>IF($A33="","",IF($B33="V01",cad!$C$27,IF($B33="V02",cad!$D$27,cad!$E$27)))</f>
      </c>
      <c r="AA33">
        <f>IF($A33="","",IF($B33="V01",cad!$C$28,IF($B33="V02",cad!$D$28,cad!$E$28)))</f>
      </c>
      <c r="AB33">
        <f>IF($A33="","",IF($B33="V01",cad!$C$39,IF($B33="V02",cad!$D$39,cad!$E$39)))</f>
      </c>
      <c r="AC33">
        <f>IF($A33="","",IF($F33="MBWAY",cad!$J$12,IF($F33="ISCOM",cad!$J$13,IF($F33="IPAC",cad!$J$14,IF($F33="PIGIER",cad!$J$15,cad!$J$16)))))</f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>
        <f>IF($A34="","",IF($B34="V01",cad!$C$23,IF($B34="V02",cad!$D$23,cad!$E$23)))</f>
      </c>
      <c r="W34">
        <f>IF($A34="","",IF($B34="V01",cad!$C$24,IF($B34="V02",cad!$D$24,cad!$E$24)))</f>
      </c>
      <c r="X34">
        <f>IF($A34="","",IF($B34="V01",cad!$C$25,IF($B34="V02",cad!$D$25,cad!$E$25)))</f>
      </c>
      <c r="Y34">
        <f>IF($A34="","",IF($B34="V01",cad!$C$26,IF($B34="V02",cad!$D$26,cad!$E$26)))</f>
      </c>
      <c r="Z34">
        <f>IF($A34="","",IF($B34="V01",cad!$C$27,IF($B34="V02",cad!$D$27,cad!$E$27)))</f>
      </c>
      <c r="AA34">
        <f>IF($A34="","",IF($B34="V01",cad!$C$28,IF($B34="V02",cad!$D$28,cad!$E$28)))</f>
      </c>
      <c r="AB34">
        <f>IF($A34="","",IF($B34="V01",cad!$C$39,IF($B34="V02",cad!$D$39,cad!$E$39)))</f>
      </c>
      <c r="AC34">
        <f>IF($A34="","",IF($F34="MBWAY",cad!$J$12,IF($F34="ISCOM",cad!$J$13,IF($F34="IPAC",cad!$J$14,IF($F34="PIGIER",cad!$J$15,cad!$J$16)))))</f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>
        <f>IF($A35="","",IF($B35="V01",cad!$C$23,IF($B35="V02",cad!$D$23,cad!$E$23)))</f>
      </c>
      <c r="W35">
        <f>IF($A35="","",IF($B35="V01",cad!$C$24,IF($B35="V02",cad!$D$24,cad!$E$24)))</f>
      </c>
      <c r="X35">
        <f>IF($A35="","",IF($B35="V01",cad!$C$25,IF($B35="V02",cad!$D$25,cad!$E$25)))</f>
      </c>
      <c r="Y35">
        <f>IF($A35="","",IF($B35="V01",cad!$C$26,IF($B35="V02",cad!$D$26,cad!$E$26)))</f>
      </c>
      <c r="Z35">
        <f>IF($A35="","",IF($B35="V01",cad!$C$27,IF($B35="V02",cad!$D$27,cad!$E$27)))</f>
      </c>
      <c r="AA35">
        <f>IF($A35="","",IF($B35="V01",cad!$C$28,IF($B35="V02",cad!$D$28,cad!$E$28)))</f>
      </c>
      <c r="AB35">
        <f>IF($A35="","",IF($B35="V01",cad!$C$39,IF($B35="V02",cad!$D$39,cad!$E$39)))</f>
      </c>
      <c r="AC35">
        <f>IF($A35="","",IF($F35="MBWAY",cad!$J$12,IF($F35="ISCOM",cad!$J$13,IF($F35="IPAC",cad!$J$14,IF($F35="PIGIER",cad!$J$15,cad!$J$16)))))</f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>
        <f>IF($A36="","",IF($B36="V01",cad!$C$23,IF($B36="V02",cad!$D$23,cad!$E$23)))</f>
      </c>
      <c r="W36">
        <f>IF($A36="","",IF($B36="V01",cad!$C$24,IF($B36="V02",cad!$D$24,cad!$E$24)))</f>
      </c>
      <c r="X36">
        <f>IF($A36="","",IF($B36="V01",cad!$C$25,IF($B36="V02",cad!$D$25,cad!$E$25)))</f>
      </c>
      <c r="Y36">
        <f>IF($A36="","",IF($B36="V01",cad!$C$26,IF($B36="V02",cad!$D$26,cad!$E$26)))</f>
      </c>
      <c r="Z36">
        <f>IF($A36="","",IF($B36="V01",cad!$C$27,IF($B36="V02",cad!$D$27,cad!$E$27)))</f>
      </c>
      <c r="AA36">
        <f>IF($A36="","",IF($B36="V01",cad!$C$28,IF($B36="V02",cad!$D$28,cad!$E$28)))</f>
      </c>
      <c r="AB36">
        <f>IF($A36="","",IF($B36="V01",cad!$C$39,IF($B36="V02",cad!$D$39,cad!$E$39)))</f>
      </c>
      <c r="AC36">
        <f>IF($A36="","",IF($F36="MBWAY",cad!$J$12,IF($F36="ISCOM",cad!$J$13,IF($F36="IPAC",cad!$J$14,IF($F36="PIGIER",cad!$J$15,cad!$J$16)))))</f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>
        <f>IF($A37="","",IF($B37="V01",cad!$C$23,IF($B37="V02",cad!$D$23,cad!$E$23)))</f>
      </c>
      <c r="W37">
        <f>IF($A37="","",IF($B37="V01",cad!$C$24,IF($B37="V02",cad!$D$24,cad!$E$24)))</f>
      </c>
      <c r="X37">
        <f>IF($A37="","",IF($B37="V01",cad!$C$25,IF($B37="V02",cad!$D$25,cad!$E$25)))</f>
      </c>
      <c r="Y37">
        <f>IF($A37="","",IF($B37="V01",cad!$C$26,IF($B37="V02",cad!$D$26,cad!$E$26)))</f>
      </c>
      <c r="Z37">
        <f>IF($A37="","",IF($B37="V01",cad!$C$27,IF($B37="V02",cad!$D$27,cad!$E$27)))</f>
      </c>
      <c r="AA37">
        <f>IF($A37="","",IF($B37="V01",cad!$C$28,IF($B37="V02",cad!$D$28,cad!$E$28)))</f>
      </c>
      <c r="AB37">
        <f>IF($A37="","",IF($B37="V01",cad!$C$39,IF($B37="V02",cad!$D$39,cad!$E$39)))</f>
      </c>
      <c r="AC37">
        <f>IF($A37="","",IF($F37="MBWAY",cad!$J$12,IF($F37="ISCOM",cad!$J$13,IF($F37="IPAC",cad!$J$14,IF($F37="PIGIER",cad!$J$15,cad!$J$16)))))</f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>
        <f>IF($A38="","",IF($B38="V01",cad!$C$23,IF($B38="V02",cad!$D$23,cad!$E$23)))</f>
      </c>
      <c r="W38">
        <f>IF($A38="","",IF($B38="V01",cad!$C$24,IF($B38="V02",cad!$D$24,cad!$E$24)))</f>
      </c>
      <c r="X38">
        <f>IF($A38="","",IF($B38="V01",cad!$C$25,IF($B38="V02",cad!$D$25,cad!$E$25)))</f>
      </c>
      <c r="Y38">
        <f>IF($A38="","",IF($B38="V01",cad!$C$26,IF($B38="V02",cad!$D$26,cad!$E$26)))</f>
      </c>
      <c r="Z38">
        <f>IF($A38="","",IF($B38="V01",cad!$C$27,IF($B38="V02",cad!$D$27,cad!$E$27)))</f>
      </c>
      <c r="AA38">
        <f>IF($A38="","",IF($B38="V01",cad!$C$28,IF($B38="V02",cad!$D$28,cad!$E$28)))</f>
      </c>
      <c r="AB38">
        <f>IF($A38="","",IF($B38="V01",cad!$C$39,IF($B38="V02",cad!$D$39,cad!$E$39)))</f>
      </c>
      <c r="AC38">
        <f>IF($A38="","",IF($F38="MBWAY",cad!$J$12,IF($F38="ISCOM",cad!$J$13,IF($F38="IPAC",cad!$J$14,IF($F38="PIGIER",cad!$J$15,cad!$J$16)))))</f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>
        <f>IF($A39="","",IF($B39="V01",cad!$C$23,IF($B39="V02",cad!$D$23,cad!$E$23)))</f>
      </c>
      <c r="W39">
        <f>IF($A39="","",IF($B39="V01",cad!$C$24,IF($B39="V02",cad!$D$24,cad!$E$24)))</f>
      </c>
      <c r="X39">
        <f>IF($A39="","",IF($B39="V01",cad!$C$25,IF($B39="V02",cad!$D$25,cad!$E$25)))</f>
      </c>
      <c r="Y39">
        <f>IF($A39="","",IF($B39="V01",cad!$C$26,IF($B39="V02",cad!$D$26,cad!$E$26)))</f>
      </c>
      <c r="Z39">
        <f>IF($A39="","",IF($B39="V01",cad!$C$27,IF($B39="V02",cad!$D$27,cad!$E$27)))</f>
      </c>
      <c r="AA39">
        <f>IF($A39="","",IF($B39="V01",cad!$C$28,IF($B39="V02",cad!$D$28,cad!$E$28)))</f>
      </c>
      <c r="AB39">
        <f>IF($A39="","",IF($B39="V01",cad!$C$39,IF($B39="V02",cad!$D$39,cad!$E$39)))</f>
      </c>
      <c r="AC39">
        <f>IF($A39="","",IF($F39="MBWAY",cad!$J$12,IF($F39="ISCOM",cad!$J$13,IF($F39="IPAC",cad!$J$14,IF($F39="PIGIER",cad!$J$15,cad!$J$16)))))</f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>
        <f>IF($A40="","",IF($B40="V01",cad!$C$23,IF($B40="V02",cad!$D$23,cad!$E$23)))</f>
      </c>
      <c r="W40">
        <f>IF($A40="","",IF($B40="V01",cad!$C$24,IF($B40="V02",cad!$D$24,cad!$E$24)))</f>
      </c>
      <c r="X40">
        <f>IF($A40="","",IF($B40="V01",cad!$C$25,IF($B40="V02",cad!$D$25,cad!$E$25)))</f>
      </c>
      <c r="Y40">
        <f>IF($A40="","",IF($B40="V01",cad!$C$26,IF($B40="V02",cad!$D$26,cad!$E$26)))</f>
      </c>
      <c r="Z40">
        <f>IF($A40="","",IF($B40="V01",cad!$C$27,IF($B40="V02",cad!$D$27,cad!$E$27)))</f>
      </c>
      <c r="AA40">
        <f>IF($A40="","",IF($B40="V01",cad!$C$28,IF($B40="V02",cad!$D$28,cad!$E$28)))</f>
      </c>
      <c r="AB40">
        <f>IF($A40="","",IF($B40="V01",cad!$C$39,IF($B40="V02",cad!$D$39,cad!$E$39)))</f>
      </c>
      <c r="AC40">
        <f>IF($A40="","",IF($F40="MBWAY",cad!$J$12,IF($F40="ISCOM",cad!$J$13,IF($F40="IPAC",cad!$J$14,IF($F40="PIGIER",cad!$J$15,cad!$J$16)))))</f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>
        <f>IF($A41="","",IF($B41="V01",cad!$C$23,IF($B41="V02",cad!$D$23,cad!$E$23)))</f>
      </c>
      <c r="W41">
        <f>IF($A41="","",IF($B41="V01",cad!$C$24,IF($B41="V02",cad!$D$24,cad!$E$24)))</f>
      </c>
      <c r="X41">
        <f>IF($A41="","",IF($B41="V01",cad!$C$25,IF($B41="V02",cad!$D$25,cad!$E$25)))</f>
      </c>
      <c r="Y41">
        <f>IF($A41="","",IF($B41="V01",cad!$C$26,IF($B41="V02",cad!$D$26,cad!$E$26)))</f>
      </c>
      <c r="Z41">
        <f>IF($A41="","",IF($B41="V01",cad!$C$27,IF($B41="V02",cad!$D$27,cad!$E$27)))</f>
      </c>
      <c r="AA41">
        <f>IF($A41="","",IF($B41="V01",cad!$C$28,IF($B41="V02",cad!$D$28,cad!$E$28)))</f>
      </c>
      <c r="AB41">
        <f>IF($A41="","",IF($B41="V01",cad!$C$39,IF($B41="V02",cad!$D$39,cad!$E$39)))</f>
      </c>
      <c r="AC41">
        <f>IF($A41="","",IF($F41="MBWAY",cad!$J$12,IF($F41="ISCOM",cad!$J$13,IF($F41="IPAC",cad!$J$14,IF($F41="PIGIER",cad!$J$15,cad!$J$16)))))</f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>
        <f>IF($A42="","",IF($B42="V01",cad!$C$23,IF($B42="V02",cad!$D$23,cad!$E$23)))</f>
      </c>
      <c r="W42">
        <f>IF($A42="","",IF($B42="V01",cad!$C$24,IF($B42="V02",cad!$D$24,cad!$E$24)))</f>
      </c>
      <c r="X42">
        <f>IF($A42="","",IF($B42="V01",cad!$C$25,IF($B42="V02",cad!$D$25,cad!$E$25)))</f>
      </c>
      <c r="Y42">
        <f>IF($A42="","",IF($B42="V01",cad!$C$26,IF($B42="V02",cad!$D$26,cad!$E$26)))</f>
      </c>
      <c r="Z42">
        <f>IF($A42="","",IF($B42="V01",cad!$C$27,IF($B42="V02",cad!$D$27,cad!$E$27)))</f>
      </c>
      <c r="AA42">
        <f>IF($A42="","",IF($B42="V01",cad!$C$28,IF($B42="V02",cad!$D$28,cad!$E$28)))</f>
      </c>
      <c r="AB42">
        <f>IF($A42="","",IF($B42="V01",cad!$C$39,IF($B42="V02",cad!$D$39,cad!$E$39)))</f>
      </c>
      <c r="AC42">
        <f>IF($A42="","",IF($F42="MBWAY",cad!$J$12,IF($F42="ISCOM",cad!$J$13,IF($F42="IPAC",cad!$J$14,IF($F42="PIGIER",cad!$J$15,cad!$J$16)))))</f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>
        <f>IF($A43="","",IF($B43="V01",cad!$C$23,IF($B43="V02",cad!$D$23,cad!$E$23)))</f>
      </c>
      <c r="W43">
        <f>IF($A43="","",IF($B43="V01",cad!$C$24,IF($B43="V02",cad!$D$24,cad!$E$24)))</f>
      </c>
      <c r="X43">
        <f>IF($A43="","",IF($B43="V01",cad!$C$25,IF($B43="V02",cad!$D$25,cad!$E$25)))</f>
      </c>
      <c r="Y43">
        <f>IF($A43="","",IF($B43="V01",cad!$C$26,IF($B43="V02",cad!$D$26,cad!$E$26)))</f>
      </c>
      <c r="Z43">
        <f>IF($A43="","",IF($B43="V01",cad!$C$27,IF($B43="V02",cad!$D$27,cad!$E$27)))</f>
      </c>
      <c r="AA43">
        <f>IF($A43="","",IF($B43="V01",cad!$C$28,IF($B43="V02",cad!$D$28,cad!$E$28)))</f>
      </c>
      <c r="AB43">
        <f>IF($A43="","",IF($B43="V01",cad!$C$39,IF($B43="V02",cad!$D$39,cad!$E$39)))</f>
      </c>
      <c r="AC43">
        <f>IF($A43="","",IF($F43="MBWAY",cad!$J$12,IF($F43="ISCOM",cad!$J$13,IF($F43="IPAC",cad!$J$14,IF($F43="PIGIER",cad!$J$15,cad!$J$16)))))</f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>
        <f>IF($A44="","",IF($B44="V01",cad!$C$23,IF($B44="V02",cad!$D$23,cad!$E$23)))</f>
      </c>
      <c r="W44">
        <f>IF($A44="","",IF($B44="V01",cad!$C$24,IF($B44="V02",cad!$D$24,cad!$E$24)))</f>
      </c>
      <c r="X44">
        <f>IF($A44="","",IF($B44="V01",cad!$C$25,IF($B44="V02",cad!$D$25,cad!$E$25)))</f>
      </c>
      <c r="Y44">
        <f>IF($A44="","",IF($B44="V01",cad!$C$26,IF($B44="V02",cad!$D$26,cad!$E$26)))</f>
      </c>
      <c r="Z44">
        <f>IF($A44="","",IF($B44="V01",cad!$C$27,IF($B44="V02",cad!$D$27,cad!$E$27)))</f>
      </c>
      <c r="AA44">
        <f>IF($A44="","",IF($B44="V01",cad!$C$28,IF($B44="V02",cad!$D$28,cad!$E$28)))</f>
      </c>
      <c r="AB44">
        <f>IF($A44="","",IF($B44="V01",cad!$C$39,IF($B44="V02",cad!$D$39,cad!$E$39)))</f>
      </c>
      <c r="AC44">
        <f>IF($A44="","",IF($F44="MBWAY",cad!$J$12,IF($F44="ISCOM",cad!$J$13,IF($F44="IPAC",cad!$J$14,IF($F44="PIGIER",cad!$J$15,cad!$J$16)))))</f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>
        <f>IF($A45="","",IF($B45="V01",cad!$C$23,IF($B45="V02",cad!$D$23,cad!$E$23)))</f>
      </c>
      <c r="W45">
        <f>IF($A45="","",IF($B45="V01",cad!$C$24,IF($B45="V02",cad!$D$24,cad!$E$24)))</f>
      </c>
      <c r="X45">
        <f>IF($A45="","",IF($B45="V01",cad!$C$25,IF($B45="V02",cad!$D$25,cad!$E$25)))</f>
      </c>
      <c r="Y45">
        <f>IF($A45="","",IF($B45="V01",cad!$C$26,IF($B45="V02",cad!$D$26,cad!$E$26)))</f>
      </c>
      <c r="Z45">
        <f>IF($A45="","",IF($B45="V01",cad!$C$27,IF($B45="V02",cad!$D$27,cad!$E$27)))</f>
      </c>
      <c r="AA45">
        <f>IF($A45="","",IF($B45="V01",cad!$C$28,IF($B45="V02",cad!$D$28,cad!$E$28)))</f>
      </c>
      <c r="AB45">
        <f>IF($A45="","",IF($B45="V01",cad!$C$39,IF($B45="V02",cad!$D$39,cad!$E$39)))</f>
      </c>
      <c r="AC45">
        <f>IF($A45="","",IF($F45="MBWAY",cad!$J$12,IF($F45="ISCOM",cad!$J$13,IF($F45="IPAC",cad!$J$14,IF($F45="PIGIER",cad!$J$15,cad!$J$16)))))</f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>
        <f>IF($A46="","",IF($B46="V01",cad!$C$23,IF($B46="V02",cad!$D$23,cad!$E$23)))</f>
      </c>
      <c r="W46">
        <f>IF($A46="","",IF($B46="V01",cad!$C$24,IF($B46="V02",cad!$D$24,cad!$E$24)))</f>
      </c>
      <c r="X46">
        <f>IF($A46="","",IF($B46="V01",cad!$C$25,IF($B46="V02",cad!$D$25,cad!$E$25)))</f>
      </c>
      <c r="Y46">
        <f>IF($A46="","",IF($B46="V01",cad!$C$26,IF($B46="V02",cad!$D$26,cad!$E$26)))</f>
      </c>
      <c r="Z46">
        <f>IF($A46="","",IF($B46="V01",cad!$C$27,IF($B46="V02",cad!$D$27,cad!$E$27)))</f>
      </c>
      <c r="AA46">
        <f>IF($A46="","",IF($B46="V01",cad!$C$28,IF($B46="V02",cad!$D$28,cad!$E$28)))</f>
      </c>
      <c r="AB46">
        <f>IF($A46="","",IF($B46="V01",cad!$C$39,IF($B46="V02",cad!$D$39,cad!$E$39)))</f>
      </c>
      <c r="AC46">
        <f>IF($A46="","",IF($F46="MBWAY",cad!$J$12,IF($F46="ISCOM",cad!$J$13,IF($F46="IPAC",cad!$J$14,IF($F46="PIGIER",cad!$J$15,cad!$J$16)))))</f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>
        <f>IF($A47="","",IF($B47="V01",cad!$C$23,IF($B47="V02",cad!$D$23,cad!$E$23)))</f>
      </c>
      <c r="W47">
        <f>IF($A47="","",IF($B47="V01",cad!$C$24,IF($B47="V02",cad!$D$24,cad!$E$24)))</f>
      </c>
      <c r="X47">
        <f>IF($A47="","",IF($B47="V01",cad!$C$25,IF($B47="V02",cad!$D$25,cad!$E$25)))</f>
      </c>
      <c r="Y47">
        <f>IF($A47="","",IF($B47="V01",cad!$C$26,IF($B47="V02",cad!$D$26,cad!$E$26)))</f>
      </c>
      <c r="Z47">
        <f>IF($A47="","",IF($B47="V01",cad!$C$27,IF($B47="V02",cad!$D$27,cad!$E$27)))</f>
      </c>
      <c r="AA47">
        <f>IF($A47="","",IF($B47="V01",cad!$C$28,IF($B47="V02",cad!$D$28,cad!$E$28)))</f>
      </c>
      <c r="AB47">
        <f>IF($A47="","",IF($B47="V01",cad!$C$39,IF($B47="V02",cad!$D$39,cad!$E$39)))</f>
      </c>
      <c r="AC47">
        <f>IF($A47="","",IF($F47="MBWAY",cad!$J$12,IF($F47="ISCOM",cad!$J$13,IF($F47="IPAC",cad!$J$14,IF($F47="PIGIER",cad!$J$15,cad!$J$16)))))</f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>
        <f>IF($A48="","",IF($B48="V01",cad!$C$23,IF($B48="V02",cad!$D$23,cad!$E$23)))</f>
      </c>
      <c r="W48">
        <f>IF($A48="","",IF($B48="V01",cad!$C$24,IF($B48="V02",cad!$D$24,cad!$E$24)))</f>
      </c>
      <c r="X48">
        <f>IF($A48="","",IF($B48="V01",cad!$C$25,IF($B48="V02",cad!$D$25,cad!$E$25)))</f>
      </c>
      <c r="Y48">
        <f>IF($A48="","",IF($B48="V01",cad!$C$26,IF($B48="V02",cad!$D$26,cad!$E$26)))</f>
      </c>
      <c r="Z48">
        <f>IF($A48="","",IF($B48="V01",cad!$C$27,IF($B48="V02",cad!$D$27,cad!$E$27)))</f>
      </c>
      <c r="AA48">
        <f>IF($A48="","",IF($B48="V01",cad!$C$28,IF($B48="V02",cad!$D$28,cad!$E$28)))</f>
      </c>
      <c r="AB48">
        <f>IF($A48="","",IF($B48="V01",cad!$C$39,IF($B48="V02",cad!$D$39,cad!$E$39)))</f>
      </c>
      <c r="AC48">
        <f>IF($A48="","",IF($F48="MBWAY",cad!$J$12,IF($F48="ISCOM",cad!$J$13,IF($F48="IPAC",cad!$J$14,IF($F48="PIGIER",cad!$J$15,cad!$J$16)))))</f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>
        <f>IF($A49="","",IF($B49="V01",cad!$C$23,IF($B49="V02",cad!$D$23,cad!$E$23)))</f>
      </c>
      <c r="W49">
        <f>IF($A49="","",IF($B49="V01",cad!$C$24,IF($B49="V02",cad!$D$24,cad!$E$24)))</f>
      </c>
      <c r="X49">
        <f>IF($A49="","",IF($B49="V01",cad!$C$25,IF($B49="V02",cad!$D$25,cad!$E$25)))</f>
      </c>
      <c r="Y49">
        <f>IF($A49="","",IF($B49="V01",cad!$C$26,IF($B49="V02",cad!$D$26,cad!$E$26)))</f>
      </c>
      <c r="Z49">
        <f>IF($A49="","",IF($B49="V01",cad!$C$27,IF($B49="V02",cad!$D$27,cad!$E$27)))</f>
      </c>
      <c r="AA49">
        <f>IF($A49="","",IF($B49="V01",cad!$C$28,IF($B49="V02",cad!$D$28,cad!$E$28)))</f>
      </c>
      <c r="AB49">
        <f>IF($A49="","",IF($B49="V01",cad!$C$39,IF($B49="V02",cad!$D$39,cad!$E$39)))</f>
      </c>
      <c r="AC49">
        <f>IF($A49="","",IF($F49="MBWAY",cad!$J$12,IF($F49="ISCOM",cad!$J$13,IF($F49="IPAC",cad!$J$14,IF($F49="PIGIER",cad!$J$15,cad!$J$16)))))</f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>
        <f>IF($A50="","",IF($B50="V01",cad!$C$23,IF($B50="V02",cad!$D$23,cad!$E$23)))</f>
      </c>
      <c r="W50">
        <f>IF($A50="","",IF($B50="V01",cad!$C$24,IF($B50="V02",cad!$D$24,cad!$E$24)))</f>
      </c>
      <c r="X50">
        <f>IF($A50="","",IF($B50="V01",cad!$C$25,IF($B50="V02",cad!$D$25,cad!$E$25)))</f>
      </c>
      <c r="Y50">
        <f>IF($A50="","",IF($B50="V01",cad!$C$26,IF($B50="V02",cad!$D$26,cad!$E$26)))</f>
      </c>
      <c r="Z50">
        <f>IF($A50="","",IF($B50="V01",cad!$C$27,IF($B50="V02",cad!$D$27,cad!$E$27)))</f>
      </c>
      <c r="AA50">
        <f>IF($A50="","",IF($B50="V01",cad!$C$28,IF($B50="V02",cad!$D$28,cad!$E$28)))</f>
      </c>
      <c r="AB50">
        <f>IF($A50="","",IF($B50="V01",cad!$C$39,IF($B50="V02",cad!$D$39,cad!$E$39)))</f>
      </c>
      <c r="AC50">
        <f>IF($A50="","",IF($F50="MBWAY",cad!$J$12,IF($F50="ISCOM",cad!$J$13,IF($F50="IPAC",cad!$J$14,IF($F50="PIGIER",cad!$J$15,cad!$J$16)))))</f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>
        <f>IF($A51="","",IF($B51="V01",cad!$C$23,IF($B51="V02",cad!$D$23,cad!$E$23)))</f>
      </c>
      <c r="W51">
        <f>IF($A51="","",IF($B51="V01",cad!$C$24,IF($B51="V02",cad!$D$24,cad!$E$24)))</f>
      </c>
      <c r="X51">
        <f>IF($A51="","",IF($B51="V01",cad!$C$25,IF($B51="V02",cad!$D$25,cad!$E$25)))</f>
      </c>
      <c r="Y51">
        <f>IF($A51="","",IF($B51="V01",cad!$C$26,IF($B51="V02",cad!$D$26,cad!$E$26)))</f>
      </c>
      <c r="Z51">
        <f>IF($A51="","",IF($B51="V01",cad!$C$27,IF($B51="V02",cad!$D$27,cad!$E$27)))</f>
      </c>
      <c r="AA51">
        <f>IF($A51="","",IF($B51="V01",cad!$C$28,IF($B51="V02",cad!$D$28,cad!$E$28)))</f>
      </c>
      <c r="AB51">
        <f>IF($A51="","",IF($B51="V01",cad!$C$39,IF($B51="V02",cad!$D$39,cad!$E$39)))</f>
      </c>
      <c r="AC51">
        <f>IF($A51="","",IF($F51="MBWAY",cad!$J$12,IF($F51="ISCOM",cad!$J$13,IF($F51="IPAC",cad!$J$14,IF($F51="PIGIER",cad!$J$15,cad!$J$16)))))</f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>
        <f>IF($A52="","",IF($B52="V01",cad!$C$23,IF($B52="V02",cad!$D$23,cad!$E$23)))</f>
      </c>
      <c r="W52">
        <f>IF($A52="","",IF($B52="V01",cad!$C$24,IF($B52="V02",cad!$D$24,cad!$E$24)))</f>
      </c>
      <c r="X52">
        <f>IF($A52="","",IF($B52="V01",cad!$C$25,IF($B52="V02",cad!$D$25,cad!$E$25)))</f>
      </c>
      <c r="Y52">
        <f>IF($A52="","",IF($B52="V01",cad!$C$26,IF($B52="V02",cad!$D$26,cad!$E$26)))</f>
      </c>
      <c r="Z52">
        <f>IF($A52="","",IF($B52="V01",cad!$C$27,IF($B52="V02",cad!$D$27,cad!$E$27)))</f>
      </c>
      <c r="AA52">
        <f>IF($A52="","",IF($B52="V01",cad!$C$28,IF($B52="V02",cad!$D$28,cad!$E$28)))</f>
      </c>
      <c r="AB52">
        <f>IF($A52="","",IF($B52="V01",cad!$C$39,IF($B52="V02",cad!$D$39,cad!$E$39)))</f>
      </c>
      <c r="AC52">
        <f>IF($A52="","",IF($F52="MBWAY",cad!$J$12,IF($F52="ISCOM",cad!$J$13,IF($F52="IPAC",cad!$J$14,IF($F52="PIGIER",cad!$J$15,cad!$J$16)))))</f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>
        <f>IF($A53="","",IF($B53="V01",cad!$C$23,IF($B53="V02",cad!$D$23,cad!$E$23)))</f>
      </c>
      <c r="W53">
        <f>IF($A53="","",IF($B53="V01",cad!$C$24,IF($B53="V02",cad!$D$24,cad!$E$24)))</f>
      </c>
      <c r="X53">
        <f>IF($A53="","",IF($B53="V01",cad!$C$25,IF($B53="V02",cad!$D$25,cad!$E$25)))</f>
      </c>
      <c r="Y53">
        <f>IF($A53="","",IF($B53="V01",cad!$C$26,IF($B53="V02",cad!$D$26,cad!$E$26)))</f>
      </c>
      <c r="Z53">
        <f>IF($A53="","",IF($B53="V01",cad!$C$27,IF($B53="V02",cad!$D$27,cad!$E$27)))</f>
      </c>
      <c r="AA53">
        <f>IF($A53="","",IF($B53="V01",cad!$C$28,IF($B53="V02",cad!$D$28,cad!$E$28)))</f>
      </c>
      <c r="AB53">
        <f>IF($A53="","",IF($B53="V01",cad!$C$39,IF($B53="V02",cad!$D$39,cad!$E$39)))</f>
      </c>
      <c r="AC53">
        <f>IF($A53="","",IF($F53="MBWAY",cad!$J$12,IF($F53="ISCOM",cad!$J$13,IF($F53="IPAC",cad!$J$14,IF($F53="PIGIER",cad!$J$15,cad!$J$16)))))</f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>
        <f>IF($A54="","",IF($B54="V01",cad!$C$23,IF($B54="V02",cad!$D$23,cad!$E$23)))</f>
      </c>
      <c r="W54">
        <f>IF($A54="","",IF($B54="V01",cad!$C$24,IF($B54="V02",cad!$D$24,cad!$E$24)))</f>
      </c>
      <c r="X54">
        <f>IF($A54="","",IF($B54="V01",cad!$C$25,IF($B54="V02",cad!$D$25,cad!$E$25)))</f>
      </c>
      <c r="Y54">
        <f>IF($A54="","",IF($B54="V01",cad!$C$26,IF($B54="V02",cad!$D$26,cad!$E$26)))</f>
      </c>
      <c r="Z54">
        <f>IF($A54="","",IF($B54="V01",cad!$C$27,IF($B54="V02",cad!$D$27,cad!$E$27)))</f>
      </c>
      <c r="AA54">
        <f>IF($A54="","",IF($B54="V01",cad!$C$28,IF($B54="V02",cad!$D$28,cad!$E$28)))</f>
      </c>
      <c r="AB54">
        <f>IF($A54="","",IF($B54="V01",cad!$C$39,IF($B54="V02",cad!$D$39,cad!$E$39)))</f>
      </c>
      <c r="AC54">
        <f>IF($A54="","",IF($F54="MBWAY",cad!$J$12,IF($F54="ISCOM",cad!$J$13,IF($F54="IPAC",cad!$J$14,IF($F54="PIGIER",cad!$J$15,cad!$J$16)))))</f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>
        <f>IF($A55="","",IF($B55="V01",cad!$C$23,IF($B55="V02",cad!$D$23,cad!$E$23)))</f>
      </c>
      <c r="W55">
        <f>IF($A55="","",IF($B55="V01",cad!$C$24,IF($B55="V02",cad!$D$24,cad!$E$24)))</f>
      </c>
      <c r="X55">
        <f>IF($A55="","",IF($B55="V01",cad!$C$25,IF($B55="V02",cad!$D$25,cad!$E$25)))</f>
      </c>
      <c r="Y55">
        <f>IF($A55="","",IF($B55="V01",cad!$C$26,IF($B55="V02",cad!$D$26,cad!$E$26)))</f>
      </c>
      <c r="Z55">
        <f>IF($A55="","",IF($B55="V01",cad!$C$27,IF($B55="V02",cad!$D$27,cad!$E$27)))</f>
      </c>
      <c r="AA55">
        <f>IF($A55="","",IF($B55="V01",cad!$C$28,IF($B55="V02",cad!$D$28,cad!$E$28)))</f>
      </c>
      <c r="AB55">
        <f>IF($A55="","",IF($B55="V01",cad!$C$39,IF($B55="V02",cad!$D$39,cad!$E$39)))</f>
      </c>
      <c r="AC55">
        <f>IF($A55="","",IF($F55="MBWAY",cad!$J$12,IF($F55="ISCOM",cad!$J$13,IF($F55="IPAC",cad!$J$14,IF($F55="PIGIER",cad!$J$15,cad!$J$16)))))</f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>
        <f>IF($A56="","",IF($B56="V01",cad!$C$23,IF($B56="V02",cad!$D$23,cad!$E$23)))</f>
      </c>
      <c r="W56">
        <f>IF($A56="","",IF($B56="V01",cad!$C$24,IF($B56="V02",cad!$D$24,cad!$E$24)))</f>
      </c>
      <c r="X56">
        <f>IF($A56="","",IF($B56="V01",cad!$C$25,IF($B56="V02",cad!$D$25,cad!$E$25)))</f>
      </c>
      <c r="Y56">
        <f>IF($A56="","",IF($B56="V01",cad!$C$26,IF($B56="V02",cad!$D$26,cad!$E$26)))</f>
      </c>
      <c r="Z56">
        <f>IF($A56="","",IF($B56="V01",cad!$C$27,IF($B56="V02",cad!$D$27,cad!$E$27)))</f>
      </c>
      <c r="AA56">
        <f>IF($A56="","",IF($B56="V01",cad!$C$28,IF($B56="V02",cad!$D$28,cad!$E$28)))</f>
      </c>
      <c r="AB56">
        <f>IF($A56="","",IF($B56="V01",cad!$C$39,IF($B56="V02",cad!$D$39,cad!$E$39)))</f>
      </c>
      <c r="AC56">
        <f>IF($A56="","",IF($F56="MBWAY",cad!$J$12,IF($F56="ISCOM",cad!$J$13,IF($F56="IPAC",cad!$J$14,IF($F56="PIGIER",cad!$J$15,cad!$J$16)))))</f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>
        <f>IF($A57="","",IF($B57="V01",cad!$C$23,IF($B57="V02",cad!$D$23,cad!$E$23)))</f>
      </c>
      <c r="W57">
        <f>IF($A57="","",IF($B57="V01",cad!$C$24,IF($B57="V02",cad!$D$24,cad!$E$24)))</f>
      </c>
      <c r="X57">
        <f>IF($A57="","",IF($B57="V01",cad!$C$25,IF($B57="V02",cad!$D$25,cad!$E$25)))</f>
      </c>
      <c r="Y57">
        <f>IF($A57="","",IF($B57="V01",cad!$C$26,IF($B57="V02",cad!$D$26,cad!$E$26)))</f>
      </c>
      <c r="Z57">
        <f>IF($A57="","",IF($B57="V01",cad!$C$27,IF($B57="V02",cad!$D$27,cad!$E$27)))</f>
      </c>
      <c r="AA57">
        <f>IF($A57="","",IF($B57="V01",cad!$C$28,IF($B57="V02",cad!$D$28,cad!$E$28)))</f>
      </c>
      <c r="AB57">
        <f>IF($A57="","",IF($B57="V01",cad!$C$39,IF($B57="V02",cad!$D$39,cad!$E$39)))</f>
      </c>
      <c r="AC57">
        <f>IF($A57="","",IF($F57="MBWAY",cad!$J$12,IF($F57="ISCOM",cad!$J$13,IF($F57="IPAC",cad!$J$14,IF($F57="PIGIER",cad!$J$15,cad!$J$16)))))</f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>
        <f>IF($A58="","",IF($B58="V01",cad!$C$23,IF($B58="V02",cad!$D$23,cad!$E$23)))</f>
      </c>
      <c r="W58">
        <f>IF($A58="","",IF($B58="V01",cad!$C$24,IF($B58="V02",cad!$D$24,cad!$E$24)))</f>
      </c>
      <c r="X58">
        <f>IF($A58="","",IF($B58="V01",cad!$C$25,IF($B58="V02",cad!$D$25,cad!$E$25)))</f>
      </c>
      <c r="Y58">
        <f>IF($A58="","",IF($B58="V01",cad!$C$26,IF($B58="V02",cad!$D$26,cad!$E$26)))</f>
      </c>
      <c r="Z58">
        <f>IF($A58="","",IF($B58="V01",cad!$C$27,IF($B58="V02",cad!$D$27,cad!$E$27)))</f>
      </c>
      <c r="AA58">
        <f>IF($A58="","",IF($B58="V01",cad!$C$28,IF($B58="V02",cad!$D$28,cad!$E$28)))</f>
      </c>
      <c r="AB58">
        <f>IF($A58="","",IF($B58="V01",cad!$C$39,IF($B58="V02",cad!$D$39,cad!$E$39)))</f>
      </c>
      <c r="AC58">
        <f>IF($A58="","",IF($F58="MBWAY",cad!$J$12,IF($F58="ISCOM",cad!$J$13,IF($F58="IPAC",cad!$J$14,IF($F58="PIGIER",cad!$J$15,cad!$J$16)))))</f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>
        <f>IF($A59="","",IF($B59="V01",cad!$C$23,IF($B59="V02",cad!$D$23,cad!$E$23)))</f>
      </c>
      <c r="W59">
        <f>IF($A59="","",IF($B59="V01",cad!$C$24,IF($B59="V02",cad!$D$24,cad!$E$24)))</f>
      </c>
      <c r="X59">
        <f>IF($A59="","",IF($B59="V01",cad!$C$25,IF($B59="V02",cad!$D$25,cad!$E$25)))</f>
      </c>
      <c r="Y59">
        <f>IF($A59="","",IF($B59="V01",cad!$C$26,IF($B59="V02",cad!$D$26,cad!$E$26)))</f>
      </c>
      <c r="Z59">
        <f>IF($A59="","",IF($B59="V01",cad!$C$27,IF($B59="V02",cad!$D$27,cad!$E$27)))</f>
      </c>
      <c r="AA59">
        <f>IF($A59="","",IF($B59="V01",cad!$C$28,IF($B59="V02",cad!$D$28,cad!$E$28)))</f>
      </c>
      <c r="AB59">
        <f>IF($A59="","",IF($B59="V01",cad!$C$39,IF($B59="V02",cad!$D$39,cad!$E$39)))</f>
      </c>
      <c r="AC59">
        <f>IF($A59="","",IF($F59="MBWAY",cad!$J$12,IF($F59="ISCOM",cad!$J$13,IF($F59="IPAC",cad!$J$14,IF($F59="PIGIER",cad!$J$15,cad!$J$16)))))</f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>
        <f>IF($A60="","",IF($B60="V01",cad!$C$23,IF($B60="V02",cad!$D$23,cad!$E$23)))</f>
      </c>
      <c r="W60">
        <f>IF($A60="","",IF($B60="V01",cad!$C$24,IF($B60="V02",cad!$D$24,cad!$E$24)))</f>
      </c>
      <c r="X60">
        <f>IF($A60="","",IF($B60="V01",cad!$C$25,IF($B60="V02",cad!$D$25,cad!$E$25)))</f>
      </c>
      <c r="Y60">
        <f>IF($A60="","",IF($B60="V01",cad!$C$26,IF($B60="V02",cad!$D$26,cad!$E$26)))</f>
      </c>
      <c r="Z60">
        <f>IF($A60="","",IF($B60="V01",cad!$C$27,IF($B60="V02",cad!$D$27,cad!$E$27)))</f>
      </c>
      <c r="AA60">
        <f>IF($A60="","",IF($B60="V01",cad!$C$28,IF($B60="V02",cad!$D$28,cad!$E$28)))</f>
      </c>
      <c r="AB60">
        <f>IF($A60="","",IF($B60="V01",cad!$C$39,IF($B60="V02",cad!$D$39,cad!$E$39)))</f>
      </c>
      <c r="AC60">
        <f>IF($A60="","",IF($F60="MBWAY",cad!$J$12,IF($F60="ISCOM",cad!$J$13,IF($F60="IPAC",cad!$J$14,IF($F60="PIGIER",cad!$J$15,cad!$J$16)))))</f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>
        <f>IF($A61="","",IF($B61="V01",cad!$C$23,IF($B61="V02",cad!$D$23,cad!$E$23)))</f>
      </c>
      <c r="W61">
        <f>IF($A61="","",IF($B61="V01",cad!$C$24,IF($B61="V02",cad!$D$24,cad!$E$24)))</f>
      </c>
      <c r="X61">
        <f>IF($A61="","",IF($B61="V01",cad!$C$25,IF($B61="V02",cad!$D$25,cad!$E$25)))</f>
      </c>
      <c r="Y61">
        <f>IF($A61="","",IF($B61="V01",cad!$C$26,IF($B61="V02",cad!$D$26,cad!$E$26)))</f>
      </c>
      <c r="Z61">
        <f>IF($A61="","",IF($B61="V01",cad!$C$27,IF($B61="V02",cad!$D$27,cad!$E$27)))</f>
      </c>
      <c r="AA61">
        <f>IF($A61="","",IF($B61="V01",cad!$C$28,IF($B61="V02",cad!$D$28,cad!$E$28)))</f>
      </c>
      <c r="AB61">
        <f>IF($A61="","",IF($B61="V01",cad!$C$39,IF($B61="V02",cad!$D$39,cad!$E$39)))</f>
      </c>
      <c r="AC61">
        <f>IF($A61="","",IF($F61="MBWAY",cad!$J$12,IF($F61="ISCOM",cad!$J$13,IF($F61="IPAC",cad!$J$14,IF($F61="PIGIER",cad!$J$15,cad!$J$16)))))</f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>
        <f>IF($A62="","",IF($B62="V01",cad!$C$23,IF($B62="V02",cad!$D$23,cad!$E$23)))</f>
      </c>
      <c r="W62">
        <f>IF($A62="","",IF($B62="V01",cad!$C$24,IF($B62="V02",cad!$D$24,cad!$E$24)))</f>
      </c>
      <c r="X62">
        <f>IF($A62="","",IF($B62="V01",cad!$C$25,IF($B62="V02",cad!$D$25,cad!$E$25)))</f>
      </c>
      <c r="Y62">
        <f>IF($A62="","",IF($B62="V01",cad!$C$26,IF($B62="V02",cad!$D$26,cad!$E$26)))</f>
      </c>
      <c r="Z62">
        <f>IF($A62="","",IF($B62="V01",cad!$C$27,IF($B62="V02",cad!$D$27,cad!$E$27)))</f>
      </c>
      <c r="AA62">
        <f>IF($A62="","",IF($B62="V01",cad!$C$28,IF($B62="V02",cad!$D$28,cad!$E$28)))</f>
      </c>
      <c r="AB62">
        <f>IF($A62="","",IF($B62="V01",cad!$C$39,IF($B62="V02",cad!$D$39,cad!$E$39)))</f>
      </c>
      <c r="AC62">
        <f>IF($A62="","",IF($F62="MBWAY",cad!$J$12,IF($F62="ISCOM",cad!$J$13,IF($F62="IPAC",cad!$J$14,IF($F62="PIGIER",cad!$J$15,cad!$J$16)))))</f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>
        <f>IF($A63="","",IF($B63="V01",cad!$C$23,IF($B63="V02",cad!$D$23,cad!$E$23)))</f>
      </c>
      <c r="W63">
        <f>IF($A63="","",IF($B63="V01",cad!$C$24,IF($B63="V02",cad!$D$24,cad!$E$24)))</f>
      </c>
      <c r="X63">
        <f>IF($A63="","",IF($B63="V01",cad!$C$25,IF($B63="V02",cad!$D$25,cad!$E$25)))</f>
      </c>
      <c r="Y63">
        <f>IF($A63="","",IF($B63="V01",cad!$C$26,IF($B63="V02",cad!$D$26,cad!$E$26)))</f>
      </c>
      <c r="Z63">
        <f>IF($A63="","",IF($B63="V01",cad!$C$27,IF($B63="V02",cad!$D$27,cad!$E$27)))</f>
      </c>
      <c r="AA63">
        <f>IF($A63="","",IF($B63="V01",cad!$C$28,IF($B63="V02",cad!$D$28,cad!$E$28)))</f>
      </c>
      <c r="AB63">
        <f>IF($A63="","",IF($B63="V01",cad!$C$39,IF($B63="V02",cad!$D$39,cad!$E$39)))</f>
      </c>
      <c r="AC63">
        <f>IF($A63="","",IF($F63="MBWAY",cad!$J$12,IF($F63="ISCOM",cad!$J$13,IF($F63="IPAC",cad!$J$14,IF($F63="PIGIER",cad!$J$15,cad!$J$16)))))</f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>
        <f>IF($A64="","",IF($B64="V01",cad!$C$23,IF($B64="V02",cad!$D$23,cad!$E$23)))</f>
      </c>
      <c r="W64">
        <f>IF($A64="","",IF($B64="V01",cad!$C$24,IF($B64="V02",cad!$D$24,cad!$E$24)))</f>
      </c>
      <c r="X64">
        <f>IF($A64="","",IF($B64="V01",cad!$C$25,IF($B64="V02",cad!$D$25,cad!$E$25)))</f>
      </c>
      <c r="Y64">
        <f>IF($A64="","",IF($B64="V01",cad!$C$26,IF($B64="V02",cad!$D$26,cad!$E$26)))</f>
      </c>
      <c r="Z64">
        <f>IF($A64="","",IF($B64="V01",cad!$C$27,IF($B64="V02",cad!$D$27,cad!$E$27)))</f>
      </c>
      <c r="AA64">
        <f>IF($A64="","",IF($B64="V01",cad!$C$28,IF($B64="V02",cad!$D$28,cad!$E$28)))</f>
      </c>
      <c r="AB64">
        <f>IF($A64="","",IF($B64="V01",cad!$C$39,IF($B64="V02",cad!$D$39,cad!$E$39)))</f>
      </c>
      <c r="AC64">
        <f>IF($A64="","",IF($F64="MBWAY",cad!$J$12,IF($F64="ISCOM",cad!$J$13,IF($F64="IPAC",cad!$J$14,IF($F64="PIGIER",cad!$J$15,cad!$J$16)))))</f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>
        <f>IF($A65="","",IF($B65="V01",cad!$C$23,IF($B65="V02",cad!$D$23,cad!$E$23)))</f>
      </c>
      <c r="W65">
        <f>IF($A65="","",IF($B65="V01",cad!$C$24,IF($B65="V02",cad!$D$24,cad!$E$24)))</f>
      </c>
      <c r="X65">
        <f>IF($A65="","",IF($B65="V01",cad!$C$25,IF($B65="V02",cad!$D$25,cad!$E$25)))</f>
      </c>
      <c r="Y65">
        <f>IF($A65="","",IF($B65="V01",cad!$C$26,IF($B65="V02",cad!$D$26,cad!$E$26)))</f>
      </c>
      <c r="Z65">
        <f>IF($A65="","",IF($B65="V01",cad!$C$27,IF($B65="V02",cad!$D$27,cad!$E$27)))</f>
      </c>
      <c r="AA65">
        <f>IF($A65="","",IF($B65="V01",cad!$C$28,IF($B65="V02",cad!$D$28,cad!$E$28)))</f>
      </c>
      <c r="AB65">
        <f>IF($A65="","",IF($B65="V01",cad!$C$39,IF($B65="V02",cad!$D$39,cad!$E$39)))</f>
      </c>
      <c r="AC65">
        <f>IF($A65="","",IF($F65="MBWAY",cad!$J$12,IF($F65="ISCOM",cad!$J$13,IF($F65="IPAC",cad!$J$14,IF($F65="PIGIER",cad!$J$15,cad!$J$16)))))</f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>
        <f>IF($A66="","",IF($B66="V01",cad!$C$23,IF($B66="V02",cad!$D$23,cad!$E$23)))</f>
      </c>
      <c r="W66">
        <f>IF($A66="","",IF($B66="V01",cad!$C$24,IF($B66="V02",cad!$D$24,cad!$E$24)))</f>
      </c>
      <c r="X66">
        <f>IF($A66="","",IF($B66="V01",cad!$C$25,IF($B66="V02",cad!$D$25,cad!$E$25)))</f>
      </c>
      <c r="Y66">
        <f>IF($A66="","",IF($B66="V01",cad!$C$26,IF($B66="V02",cad!$D$26,cad!$E$26)))</f>
      </c>
      <c r="Z66">
        <f>IF($A66="","",IF($B66="V01",cad!$C$27,IF($B66="V02",cad!$D$27,cad!$E$27)))</f>
      </c>
      <c r="AA66">
        <f>IF($A66="","",IF($B66="V01",cad!$C$28,IF($B66="V02",cad!$D$28,cad!$E$28)))</f>
      </c>
      <c r="AB66">
        <f>IF($A66="","",IF($B66="V01",cad!$C$39,IF($B66="V02",cad!$D$39,cad!$E$39)))</f>
      </c>
      <c r="AC66">
        <f>IF($A66="","",IF($F66="MBWAY",cad!$J$12,IF($F66="ISCOM",cad!$J$13,IF($F66="IPAC",cad!$J$14,IF($F66="PIGIER",cad!$J$15,cad!$J$16)))))</f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>
        <f>IF($A67="","",IF($B67="V01",cad!$C$23,IF($B67="V02",cad!$D$23,cad!$E$23)))</f>
      </c>
      <c r="W67">
        <f>IF($A67="","",IF($B67="V01",cad!$C$24,IF($B67="V02",cad!$D$24,cad!$E$24)))</f>
      </c>
      <c r="X67">
        <f>IF($A67="","",IF($B67="V01",cad!$C$25,IF($B67="V02",cad!$D$25,cad!$E$25)))</f>
      </c>
      <c r="Y67">
        <f>IF($A67="","",IF($B67="V01",cad!$C$26,IF($B67="V02",cad!$D$26,cad!$E$26)))</f>
      </c>
      <c r="Z67">
        <f>IF($A67="","",IF($B67="V01",cad!$C$27,IF($B67="V02",cad!$D$27,cad!$E$27)))</f>
      </c>
      <c r="AA67">
        <f>IF($A67="","",IF($B67="V01",cad!$C$28,IF($B67="V02",cad!$D$28,cad!$E$28)))</f>
      </c>
      <c r="AB67">
        <f>IF($A67="","",IF($B67="V01",cad!$C$39,IF($B67="V02",cad!$D$39,cad!$E$39)))</f>
      </c>
      <c r="AC67">
        <f>IF($A67="","",IF($F67="MBWAY",cad!$J$12,IF($F67="ISCOM",cad!$J$13,IF($F67="IPAC",cad!$J$14,IF($F67="PIGIER",cad!$J$15,cad!$J$16)))))</f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>
        <f>IF($A68="","",IF($B68="V01",cad!$C$23,IF($B68="V02",cad!$D$23,cad!$E$23)))</f>
      </c>
      <c r="W68">
        <f>IF($A68="","",IF($B68="V01",cad!$C$24,IF($B68="V02",cad!$D$24,cad!$E$24)))</f>
      </c>
      <c r="X68">
        <f>IF($A68="","",IF($B68="V01",cad!$C$25,IF($B68="V02",cad!$D$25,cad!$E$25)))</f>
      </c>
      <c r="Y68">
        <f>IF($A68="","",IF($B68="V01",cad!$C$26,IF($B68="V02",cad!$D$26,cad!$E$26)))</f>
      </c>
      <c r="Z68">
        <f>IF($A68="","",IF($B68="V01",cad!$C$27,IF($B68="V02",cad!$D$27,cad!$E$27)))</f>
      </c>
      <c r="AA68">
        <f>IF($A68="","",IF($B68="V01",cad!$C$28,IF($B68="V02",cad!$D$28,cad!$E$28)))</f>
      </c>
      <c r="AB68">
        <f>IF($A68="","",IF($B68="V01",cad!$C$39,IF($B68="V02",cad!$D$39,cad!$E$39)))</f>
      </c>
      <c r="AC68">
        <f>IF($A68="","",IF($F68="MBWAY",cad!$J$12,IF($F68="ISCOM",cad!$J$13,IF($F68="IPAC",cad!$J$14,IF($F68="PIGIER",cad!$J$15,cad!$J$16)))))</f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>
        <f>IF($A69="","",IF($B69="V01",cad!$C$23,IF($B69="V02",cad!$D$23,cad!$E$23)))</f>
      </c>
      <c r="W69">
        <f>IF($A69="","",IF($B69="V01",cad!$C$24,IF($B69="V02",cad!$D$24,cad!$E$24)))</f>
      </c>
      <c r="X69">
        <f>IF($A69="","",IF($B69="V01",cad!$C$25,IF($B69="V02",cad!$D$25,cad!$E$25)))</f>
      </c>
      <c r="Y69">
        <f>IF($A69="","",IF($B69="V01",cad!$C$26,IF($B69="V02",cad!$D$26,cad!$E$26)))</f>
      </c>
      <c r="Z69">
        <f>IF($A69="","",IF($B69="V01",cad!$C$27,IF($B69="V02",cad!$D$27,cad!$E$27)))</f>
      </c>
      <c r="AA69">
        <f>IF($A69="","",IF($B69="V01",cad!$C$28,IF($B69="V02",cad!$D$28,cad!$E$28)))</f>
      </c>
      <c r="AB69">
        <f>IF($A69="","",IF($B69="V01",cad!$C$39,IF($B69="V02",cad!$D$39,cad!$E$39)))</f>
      </c>
      <c r="AC69">
        <f>IF($A69="","",IF($F69="MBWAY",cad!$J$12,IF($F69="ISCOM",cad!$J$13,IF($F69="IPAC",cad!$J$14,IF($F69="PIGIER",cad!$J$15,cad!$J$16)))))</f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>
        <f>IF($A70="","",IF($B70="V01",cad!$C$23,IF($B70="V02",cad!$D$23,cad!$E$23)))</f>
      </c>
      <c r="W70">
        <f>IF($A70="","",IF($B70="V01",cad!$C$24,IF($B70="V02",cad!$D$24,cad!$E$24)))</f>
      </c>
      <c r="X70">
        <f>IF($A70="","",IF($B70="V01",cad!$C$25,IF($B70="V02",cad!$D$25,cad!$E$25)))</f>
      </c>
      <c r="Y70">
        <f>IF($A70="","",IF($B70="V01",cad!$C$26,IF($B70="V02",cad!$D$26,cad!$E$26)))</f>
      </c>
      <c r="Z70">
        <f>IF($A70="","",IF($B70="V01",cad!$C$27,IF($B70="V02",cad!$D$27,cad!$E$27)))</f>
      </c>
      <c r="AA70">
        <f>IF($A70="","",IF($B70="V01",cad!$C$28,IF($B70="V02",cad!$D$28,cad!$E$28)))</f>
      </c>
      <c r="AB70">
        <f>IF($A70="","",IF($B70="V01",cad!$C$39,IF($B70="V02",cad!$D$39,cad!$E$39)))</f>
      </c>
      <c r="AC70">
        <f>IF($A70="","",IF($F70="MBWAY",cad!$J$12,IF($F70="ISCOM",cad!$J$13,IF($F70="IPAC",cad!$J$14,IF($F70="PIGIER",cad!$J$15,cad!$J$16)))))</f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>
        <f>IF($A71="","",IF($B71="V01",cad!$C$23,IF($B71="V02",cad!$D$23,cad!$E$23)))</f>
      </c>
      <c r="W71">
        <f>IF($A71="","",IF($B71="V01",cad!$C$24,IF($B71="V02",cad!$D$24,cad!$E$24)))</f>
      </c>
      <c r="X71">
        <f>IF($A71="","",IF($B71="V01",cad!$C$25,IF($B71="V02",cad!$D$25,cad!$E$25)))</f>
      </c>
      <c r="Y71">
        <f>IF($A71="","",IF($B71="V01",cad!$C$26,IF($B71="V02",cad!$D$26,cad!$E$26)))</f>
      </c>
      <c r="Z71">
        <f>IF($A71="","",IF($B71="V01",cad!$C$27,IF($B71="V02",cad!$D$27,cad!$E$27)))</f>
      </c>
      <c r="AA71">
        <f>IF($A71="","",IF($B71="V01",cad!$C$28,IF($B71="V02",cad!$D$28,cad!$E$28)))</f>
      </c>
      <c r="AB71">
        <f>IF($A71="","",IF($B71="V01",cad!$C$39,IF($B71="V02",cad!$D$39,cad!$E$39)))</f>
      </c>
      <c r="AC71">
        <f>IF($A71="","",IF($F71="MBWAY",cad!$J$12,IF($F71="ISCOM",cad!$J$13,IF($F71="IPAC",cad!$J$14,IF($F71="PIGIER",cad!$J$15,cad!$J$16)))))</f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>
        <f>IF($A72="","",IF($B72="V01",cad!$C$23,IF($B72="V02",cad!$D$23,cad!$E$23)))</f>
      </c>
      <c r="W72">
        <f>IF($A72="","",IF($B72="V01",cad!$C$24,IF($B72="V02",cad!$D$24,cad!$E$24)))</f>
      </c>
      <c r="X72">
        <f>IF($A72="","",IF($B72="V01",cad!$C$25,IF($B72="V02",cad!$D$25,cad!$E$25)))</f>
      </c>
      <c r="Y72">
        <f>IF($A72="","",IF($B72="V01",cad!$C$26,IF($B72="V02",cad!$D$26,cad!$E$26)))</f>
      </c>
      <c r="Z72">
        <f>IF($A72="","",IF($B72="V01",cad!$C$27,IF($B72="V02",cad!$D$27,cad!$E$27)))</f>
      </c>
      <c r="AA72">
        <f>IF($A72="","",IF($B72="V01",cad!$C$28,IF($B72="V02",cad!$D$28,cad!$E$28)))</f>
      </c>
      <c r="AB72">
        <f>IF($A72="","",IF($B72="V01",cad!$C$39,IF($B72="V02",cad!$D$39,cad!$E$39)))</f>
      </c>
      <c r="AC72">
        <f>IF($A72="","",IF($F72="MBWAY",cad!$J$12,IF($F72="ISCOM",cad!$J$13,IF($F72="IPAC",cad!$J$14,IF($F72="PIGIER",cad!$J$15,cad!$J$16)))))</f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>
        <f>IF($A73="","",IF($B73="V01",cad!$C$23,IF($B73="V02",cad!$D$23,cad!$E$23)))</f>
      </c>
      <c r="W73">
        <f>IF($A73="","",IF($B73="V01",cad!$C$24,IF($B73="V02",cad!$D$24,cad!$E$24)))</f>
      </c>
      <c r="X73">
        <f>IF($A73="","",IF($B73="V01",cad!$C$25,IF($B73="V02",cad!$D$25,cad!$E$25)))</f>
      </c>
      <c r="Y73">
        <f>IF($A73="","",IF($B73="V01",cad!$C$26,IF($B73="V02",cad!$D$26,cad!$E$26)))</f>
      </c>
      <c r="Z73">
        <f>IF($A73="","",IF($B73="V01",cad!$C$27,IF($B73="V02",cad!$D$27,cad!$E$27)))</f>
      </c>
      <c r="AA73">
        <f>IF($A73="","",IF($B73="V01",cad!$C$28,IF($B73="V02",cad!$D$28,cad!$E$28)))</f>
      </c>
      <c r="AB73">
        <f>IF($A73="","",IF($B73="V01",cad!$C$39,IF($B73="V02",cad!$D$39,cad!$E$39)))</f>
      </c>
      <c r="AC73">
        <f>IF($A73="","",IF($F73="MBWAY",cad!$J$12,IF($F73="ISCOM",cad!$J$13,IF($F73="IPAC",cad!$J$14,IF($F73="PIGIER",cad!$J$15,cad!$J$16)))))</f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>
        <f>IF($A74="","",IF($B74="V01",cad!$C$23,IF($B74="V02",cad!$D$23,cad!$E$23)))</f>
      </c>
      <c r="W74">
        <f>IF($A74="","",IF($B74="V01",cad!$C$24,IF($B74="V02",cad!$D$24,cad!$E$24)))</f>
      </c>
      <c r="X74">
        <f>IF($A74="","",IF($B74="V01",cad!$C$25,IF($B74="V02",cad!$D$25,cad!$E$25)))</f>
      </c>
      <c r="Y74">
        <f>IF($A74="","",IF($B74="V01",cad!$C$26,IF($B74="V02",cad!$D$26,cad!$E$26)))</f>
      </c>
      <c r="Z74">
        <f>IF($A74="","",IF($B74="V01",cad!$C$27,IF($B74="V02",cad!$D$27,cad!$E$27)))</f>
      </c>
      <c r="AA74">
        <f>IF($A74="","",IF($B74="V01",cad!$C$28,IF($B74="V02",cad!$D$28,cad!$E$28)))</f>
      </c>
      <c r="AB74">
        <f>IF($A74="","",IF($B74="V01",cad!$C$39,IF($B74="V02",cad!$D$39,cad!$E$39)))</f>
      </c>
      <c r="AC74">
        <f>IF($A74="","",IF($F74="MBWAY",cad!$J$12,IF($F74="ISCOM",cad!$J$13,IF($F74="IPAC",cad!$J$14,IF($F74="PIGIER",cad!$J$15,cad!$J$16)))))</f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>
        <f>IF($A75="","",IF($B75="V01",cad!$C$23,IF($B75="V02",cad!$D$23,cad!$E$23)))</f>
      </c>
      <c r="W75">
        <f>IF($A75="","",IF($B75="V01",cad!$C$24,IF($B75="V02",cad!$D$24,cad!$E$24)))</f>
      </c>
      <c r="X75">
        <f>IF($A75="","",IF($B75="V01",cad!$C$25,IF($B75="V02",cad!$D$25,cad!$E$25)))</f>
      </c>
      <c r="Y75">
        <f>IF($A75="","",IF($B75="V01",cad!$C$26,IF($B75="V02",cad!$D$26,cad!$E$26)))</f>
      </c>
      <c r="Z75">
        <f>IF($A75="","",IF($B75="V01",cad!$C$27,IF($B75="V02",cad!$D$27,cad!$E$27)))</f>
      </c>
      <c r="AA75">
        <f>IF($A75="","",IF($B75="V01",cad!$C$28,IF($B75="V02",cad!$D$28,cad!$E$28)))</f>
      </c>
      <c r="AB75">
        <f>IF($A75="","",IF($B75="V01",cad!$C$39,IF($B75="V02",cad!$D$39,cad!$E$39)))</f>
      </c>
      <c r="AC75">
        <f>IF($A75="","",IF($F75="MBWAY",cad!$J$12,IF($F75="ISCOM",cad!$J$13,IF($F75="IPAC",cad!$J$14,IF($F75="PIGIER",cad!$J$15,cad!$J$16)))))</f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>
        <f>IF($A76="","",IF($B76="V01",cad!$C$23,IF($B76="V02",cad!$D$23,cad!$E$23)))</f>
      </c>
      <c r="W76">
        <f>IF($A76="","",IF($B76="V01",cad!$C$24,IF($B76="V02",cad!$D$24,cad!$E$24)))</f>
      </c>
      <c r="X76">
        <f>IF($A76="","",IF($B76="V01",cad!$C$25,IF($B76="V02",cad!$D$25,cad!$E$25)))</f>
      </c>
      <c r="Y76">
        <f>IF($A76="","",IF($B76="V01",cad!$C$26,IF($B76="V02",cad!$D$26,cad!$E$26)))</f>
      </c>
      <c r="Z76">
        <f>IF($A76="","",IF($B76="V01",cad!$C$27,IF($B76="V02",cad!$D$27,cad!$E$27)))</f>
      </c>
      <c r="AA76">
        <f>IF($A76="","",IF($B76="V01",cad!$C$28,IF($B76="V02",cad!$D$28,cad!$E$28)))</f>
      </c>
      <c r="AB76">
        <f>IF($A76="","",IF($B76="V01",cad!$C$39,IF($B76="V02",cad!$D$39,cad!$E$39)))</f>
      </c>
      <c r="AC76">
        <f>IF($A76="","",IF($F76="MBWAY",cad!$J$12,IF($F76="ISCOM",cad!$J$13,IF($F76="IPAC",cad!$J$14,IF($F76="PIGIER",cad!$J$15,cad!$J$16)))))</f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>
        <f>IF($A77="","",IF($B77="V01",cad!$C$23,IF($B77="V02",cad!$D$23,cad!$E$23)))</f>
      </c>
      <c r="W77">
        <f>IF($A77="","",IF($B77="V01",cad!$C$24,IF($B77="V02",cad!$D$24,cad!$E$24)))</f>
      </c>
      <c r="X77">
        <f>IF($A77="","",IF($B77="V01",cad!$C$25,IF($B77="V02",cad!$D$25,cad!$E$25)))</f>
      </c>
      <c r="Y77">
        <f>IF($A77="","",IF($B77="V01",cad!$C$26,IF($B77="V02",cad!$D$26,cad!$E$26)))</f>
      </c>
      <c r="Z77">
        <f>IF($A77="","",IF($B77="V01",cad!$C$27,IF($B77="V02",cad!$D$27,cad!$E$27)))</f>
      </c>
      <c r="AA77">
        <f>IF($A77="","",IF($B77="V01",cad!$C$28,IF($B77="V02",cad!$D$28,cad!$E$28)))</f>
      </c>
      <c r="AB77">
        <f>IF($A77="","",IF($B77="V01",cad!$C$39,IF($B77="V02",cad!$D$39,cad!$E$39)))</f>
      </c>
      <c r="AC77">
        <f>IF($A77="","",IF($F77="MBWAY",cad!$J$12,IF($F77="ISCOM",cad!$J$13,IF($F77="IPAC",cad!$J$14,IF($F77="PIGIER",cad!$J$15,cad!$J$16)))))</f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>
        <f>IF($A78="","",IF($B78="V01",cad!$C$23,IF($B78="V02",cad!$D$23,cad!$E$23)))</f>
      </c>
      <c r="W78">
        <f>IF($A78="","",IF($B78="V01",cad!$C$24,IF($B78="V02",cad!$D$24,cad!$E$24)))</f>
      </c>
      <c r="X78">
        <f>IF($A78="","",IF($B78="V01",cad!$C$25,IF($B78="V02",cad!$D$25,cad!$E$25)))</f>
      </c>
      <c r="Y78">
        <f>IF($A78="","",IF($B78="V01",cad!$C$26,IF($B78="V02",cad!$D$26,cad!$E$26)))</f>
      </c>
      <c r="Z78">
        <f>IF($A78="","",IF($B78="V01",cad!$C$27,IF($B78="V02",cad!$D$27,cad!$E$27)))</f>
      </c>
      <c r="AA78">
        <f>IF($A78="","",IF($B78="V01",cad!$C$28,IF($B78="V02",cad!$D$28,cad!$E$28)))</f>
      </c>
      <c r="AB78">
        <f>IF($A78="","",IF($B78="V01",cad!$C$39,IF($B78="V02",cad!$D$39,cad!$E$39)))</f>
      </c>
      <c r="AC78">
        <f>IF($A78="","",IF($F78="MBWAY",cad!$J$12,IF($F78="ISCOM",cad!$J$13,IF($F78="IPAC",cad!$J$14,IF($F78="PIGIER",cad!$J$15,cad!$J$16)))))</f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>
        <f>IF($A79="","",IF($B79="V01",cad!$C$23,IF($B79="V02",cad!$D$23,cad!$E$23)))</f>
      </c>
      <c r="W79">
        <f>IF($A79="","",IF($B79="V01",cad!$C$24,IF($B79="V02",cad!$D$24,cad!$E$24)))</f>
      </c>
      <c r="X79">
        <f>IF($A79="","",IF($B79="V01",cad!$C$25,IF($B79="V02",cad!$D$25,cad!$E$25)))</f>
      </c>
      <c r="Y79">
        <f>IF($A79="","",IF($B79="V01",cad!$C$26,IF($B79="V02",cad!$D$26,cad!$E$26)))</f>
      </c>
      <c r="Z79">
        <f>IF($A79="","",IF($B79="V01",cad!$C$27,IF($B79="V02",cad!$D$27,cad!$E$27)))</f>
      </c>
      <c r="AA79">
        <f>IF($A79="","",IF($B79="V01",cad!$C$28,IF($B79="V02",cad!$D$28,cad!$E$28)))</f>
      </c>
      <c r="AB79">
        <f>IF($A79="","",IF($B79="V01",cad!$C$39,IF($B79="V02",cad!$D$39,cad!$E$39)))</f>
      </c>
      <c r="AC79">
        <f>IF($A79="","",IF($F79="MBWAY",cad!$J$12,IF($F79="ISCOM",cad!$J$13,IF($F79="IPAC",cad!$J$14,IF($F79="PIGIER",cad!$J$15,cad!$J$16)))))</f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>
        <f>IF($A80="","",IF($B80="V01",cad!$C$23,IF($B80="V02",cad!$D$23,cad!$E$23)))</f>
      </c>
      <c r="W80">
        <f>IF($A80="","",IF($B80="V01",cad!$C$24,IF($B80="V02",cad!$D$24,cad!$E$24)))</f>
      </c>
      <c r="X80">
        <f>IF($A80="","",IF($B80="V01",cad!$C$25,IF($B80="V02",cad!$D$25,cad!$E$25)))</f>
      </c>
      <c r="Y80">
        <f>IF($A80="","",IF($B80="V01",cad!$C$26,IF($B80="V02",cad!$D$26,cad!$E$26)))</f>
      </c>
      <c r="Z80">
        <f>IF($A80="","",IF($B80="V01",cad!$C$27,IF($B80="V02",cad!$D$27,cad!$E$27)))</f>
      </c>
      <c r="AA80">
        <f>IF($A80="","",IF($B80="V01",cad!$C$28,IF($B80="V02",cad!$D$28,cad!$E$28)))</f>
      </c>
      <c r="AB80">
        <f>IF($A80="","",IF($B80="V01",cad!$C$39,IF($B80="V02",cad!$D$39,cad!$E$39)))</f>
      </c>
      <c r="AC80">
        <f>IF($A80="","",IF($F80="MBWAY",cad!$J$12,IF($F80="ISCOM",cad!$J$13,IF($F80="IPAC",cad!$J$14,IF($F80="PIGIER",cad!$J$15,cad!$J$16)))))</f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>
        <f>IF($A81="","",IF($B81="V01",cad!$C$23,IF($B81="V02",cad!$D$23,cad!$E$23)))</f>
      </c>
      <c r="W81">
        <f>IF($A81="","",IF($B81="V01",cad!$C$24,IF($B81="V02",cad!$D$24,cad!$E$24)))</f>
      </c>
      <c r="X81">
        <f>IF($A81="","",IF($B81="V01",cad!$C$25,IF($B81="V02",cad!$D$25,cad!$E$25)))</f>
      </c>
      <c r="Y81">
        <f>IF($A81="","",IF($B81="V01",cad!$C$26,IF($B81="V02",cad!$D$26,cad!$E$26)))</f>
      </c>
      <c r="Z81">
        <f>IF($A81="","",IF($B81="V01",cad!$C$27,IF($B81="V02",cad!$D$27,cad!$E$27)))</f>
      </c>
      <c r="AA81">
        <f>IF($A81="","",IF($B81="V01",cad!$C$28,IF($B81="V02",cad!$D$28,cad!$E$28)))</f>
      </c>
      <c r="AB81">
        <f>IF($A81="","",IF($B81="V01",cad!$C$39,IF($B81="V02",cad!$D$39,cad!$E$39)))</f>
      </c>
      <c r="AC81">
        <f>IF($A81="","",IF($F81="MBWAY",cad!$J$12,IF($F81="ISCOM",cad!$J$13,IF($F81="IPAC",cad!$J$14,IF($F81="PIGIER",cad!$J$15,cad!$J$16)))))</f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>
        <f>IF($A82="","",IF($B82="V01",cad!$C$23,IF($B82="V02",cad!$D$23,cad!$E$23)))</f>
      </c>
      <c r="W82">
        <f>IF($A82="","",IF($B82="V01",cad!$C$24,IF($B82="V02",cad!$D$24,cad!$E$24)))</f>
      </c>
      <c r="X82">
        <f>IF($A82="","",IF($B82="V01",cad!$C$25,IF($B82="V02",cad!$D$25,cad!$E$25)))</f>
      </c>
      <c r="Y82">
        <f>IF($A82="","",IF($B82="V01",cad!$C$26,IF($B82="V02",cad!$D$26,cad!$E$26)))</f>
      </c>
      <c r="Z82">
        <f>IF($A82="","",IF($B82="V01",cad!$C$27,IF($B82="V02",cad!$D$27,cad!$E$27)))</f>
      </c>
      <c r="AA82">
        <f>IF($A82="","",IF($B82="V01",cad!$C$28,IF($B82="V02",cad!$D$28,cad!$E$28)))</f>
      </c>
      <c r="AB82">
        <f>IF($A82="","",IF($B82="V01",cad!$C$39,IF($B82="V02",cad!$D$39,cad!$E$39)))</f>
      </c>
      <c r="AC82">
        <f>IF($A82="","",IF($F82="MBWAY",cad!$J$12,IF($F82="ISCOM",cad!$J$13,IF($F82="IPAC",cad!$J$14,IF($F82="PIGIER",cad!$J$15,cad!$J$16)))))</f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>
        <f>IF($A83="","",IF($B83="V01",cad!$C$23,IF($B83="V02",cad!$D$23,cad!$E$23)))</f>
      </c>
      <c r="W83">
        <f>IF($A83="","",IF($B83="V01",cad!$C$24,IF($B83="V02",cad!$D$24,cad!$E$24)))</f>
      </c>
      <c r="X83">
        <f>IF($A83="","",IF($B83="V01",cad!$C$25,IF($B83="V02",cad!$D$25,cad!$E$25)))</f>
      </c>
      <c r="Y83">
        <f>IF($A83="","",IF($B83="V01",cad!$C$26,IF($B83="V02",cad!$D$26,cad!$E$26)))</f>
      </c>
      <c r="Z83">
        <f>IF($A83="","",IF($B83="V01",cad!$C$27,IF($B83="V02",cad!$D$27,cad!$E$27)))</f>
      </c>
      <c r="AA83">
        <f>IF($A83="","",IF($B83="V01",cad!$C$28,IF($B83="V02",cad!$D$28,cad!$E$28)))</f>
      </c>
      <c r="AB83">
        <f>IF($A83="","",IF($B83="V01",cad!$C$39,IF($B83="V02",cad!$D$39,cad!$E$39)))</f>
      </c>
      <c r="AC83">
        <f>IF($A83="","",IF($F83="MBWAY",cad!$J$12,IF($F83="ISCOM",cad!$J$13,IF($F83="IPAC",cad!$J$14,IF($F83="PIGIER",cad!$J$15,cad!$J$16)))))</f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>
        <f>IF($A84="","",IF($B84="V01",cad!$C$23,IF($B84="V02",cad!$D$23,cad!$E$23)))</f>
      </c>
      <c r="W84">
        <f>IF($A84="","",IF($B84="V01",cad!$C$24,IF($B84="V02",cad!$D$24,cad!$E$24)))</f>
      </c>
      <c r="X84">
        <f>IF($A84="","",IF($B84="V01",cad!$C$25,IF($B84="V02",cad!$D$25,cad!$E$25)))</f>
      </c>
      <c r="Y84">
        <f>IF($A84="","",IF($B84="V01",cad!$C$26,IF($B84="V02",cad!$D$26,cad!$E$26)))</f>
      </c>
      <c r="Z84">
        <f>IF($A84="","",IF($B84="V01",cad!$C$27,IF($B84="V02",cad!$D$27,cad!$E$27)))</f>
      </c>
      <c r="AA84">
        <f>IF($A84="","",IF($B84="V01",cad!$C$28,IF($B84="V02",cad!$D$28,cad!$E$28)))</f>
      </c>
      <c r="AB84">
        <f>IF($A84="","",IF($B84="V01",cad!$C$39,IF($B84="V02",cad!$D$39,cad!$E$39)))</f>
      </c>
      <c r="AC84">
        <f>IF($A84="","",IF($F84="MBWAY",cad!$J$12,IF($F84="ISCOM",cad!$J$13,IF($F84="IPAC",cad!$J$14,IF($F84="PIGIER",cad!$J$15,cad!$J$16)))))</f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>
        <f>IF($A85="","",IF($B85="V01",cad!$C$23,IF($B85="V02",cad!$D$23,cad!$E$23)))</f>
      </c>
      <c r="W85">
        <f>IF($A85="","",IF($B85="V01",cad!$C$24,IF($B85="V02",cad!$D$24,cad!$E$24)))</f>
      </c>
      <c r="X85">
        <f>IF($A85="","",IF($B85="V01",cad!$C$25,IF($B85="V02",cad!$D$25,cad!$E$25)))</f>
      </c>
      <c r="Y85">
        <f>IF($A85="","",IF($B85="V01",cad!$C$26,IF($B85="V02",cad!$D$26,cad!$E$26)))</f>
      </c>
      <c r="Z85">
        <f>IF($A85="","",IF($B85="V01",cad!$C$27,IF($B85="V02",cad!$D$27,cad!$E$27)))</f>
      </c>
      <c r="AA85">
        <f>IF($A85="","",IF($B85="V01",cad!$C$28,IF($B85="V02",cad!$D$28,cad!$E$28)))</f>
      </c>
      <c r="AB85">
        <f>IF($A85="","",IF($B85="V01",cad!$C$39,IF($B85="V02",cad!$D$39,cad!$E$39)))</f>
      </c>
      <c r="AC85">
        <f>IF($A85="","",IF($F85="MBWAY",cad!$J$12,IF($F85="ISCOM",cad!$J$13,IF($F85="IPAC",cad!$J$14,IF($F85="PIGIER",cad!$J$15,cad!$J$16)))))</f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>
        <f>IF($A86="","",IF($B86="V01",cad!$C$23,IF($B86="V02",cad!$D$23,cad!$E$23)))</f>
      </c>
      <c r="W86">
        <f>IF($A86="","",IF($B86="V01",cad!$C$24,IF($B86="V02",cad!$D$24,cad!$E$24)))</f>
      </c>
      <c r="X86">
        <f>IF($A86="","",IF($B86="V01",cad!$C$25,IF($B86="V02",cad!$D$25,cad!$E$25)))</f>
      </c>
      <c r="Y86">
        <f>IF($A86="","",IF($B86="V01",cad!$C$26,IF($B86="V02",cad!$D$26,cad!$E$26)))</f>
      </c>
      <c r="Z86">
        <f>IF($A86="","",IF($B86="V01",cad!$C$27,IF($B86="V02",cad!$D$27,cad!$E$27)))</f>
      </c>
      <c r="AA86">
        <f>IF($A86="","",IF($B86="V01",cad!$C$28,IF($B86="V02",cad!$D$28,cad!$E$28)))</f>
      </c>
      <c r="AB86">
        <f>IF($A86="","",IF($B86="V01",cad!$C$39,IF($B86="V02",cad!$D$39,cad!$E$39)))</f>
      </c>
      <c r="AC86">
        <f>IF($A86="","",IF($F86="MBWAY",cad!$J$12,IF($F86="ISCOM",cad!$J$13,IF($F86="IPAC",cad!$J$14,IF($F86="PIGIER",cad!$J$15,cad!$J$16)))))</f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>
        <f>IF($A87="","",IF($B87="V01",cad!$C$23,IF($B87="V02",cad!$D$23,cad!$E$23)))</f>
      </c>
      <c r="W87">
        <f>IF($A87="","",IF($B87="V01",cad!$C$24,IF($B87="V02",cad!$D$24,cad!$E$24)))</f>
      </c>
      <c r="X87">
        <f>IF($A87="","",IF($B87="V01",cad!$C$25,IF($B87="V02",cad!$D$25,cad!$E$25)))</f>
      </c>
      <c r="Y87">
        <f>IF($A87="","",IF($B87="V01",cad!$C$26,IF($B87="V02",cad!$D$26,cad!$E$26)))</f>
      </c>
      <c r="Z87">
        <f>IF($A87="","",IF($B87="V01",cad!$C$27,IF($B87="V02",cad!$D$27,cad!$E$27)))</f>
      </c>
      <c r="AA87">
        <f>IF($A87="","",IF($B87="V01",cad!$C$28,IF($B87="V02",cad!$D$28,cad!$E$28)))</f>
      </c>
      <c r="AB87">
        <f>IF($A87="","",IF($B87="V01",cad!$C$39,IF($B87="V02",cad!$D$39,cad!$E$39)))</f>
      </c>
      <c r="AC87">
        <f>IF($A87="","",IF($F87="MBWAY",cad!$J$12,IF($F87="ISCOM",cad!$J$13,IF($F87="IPAC",cad!$J$14,IF($F87="PIGIER",cad!$J$15,cad!$J$16)))))</f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>
        <f>IF($A88="","",IF($B88="V01",cad!$C$23,IF($B88="V02",cad!$D$23,cad!$E$23)))</f>
      </c>
      <c r="W88">
        <f>IF($A88="","",IF($B88="V01",cad!$C$24,IF($B88="V02",cad!$D$24,cad!$E$24)))</f>
      </c>
      <c r="X88">
        <f>IF($A88="","",IF($B88="V01",cad!$C$25,IF($B88="V02",cad!$D$25,cad!$E$25)))</f>
      </c>
      <c r="Y88">
        <f>IF($A88="","",IF($B88="V01",cad!$C$26,IF($B88="V02",cad!$D$26,cad!$E$26)))</f>
      </c>
      <c r="Z88">
        <f>IF($A88="","",IF($B88="V01",cad!$C$27,IF($B88="V02",cad!$D$27,cad!$E$27)))</f>
      </c>
      <c r="AA88">
        <f>IF($A88="","",IF($B88="V01",cad!$C$28,IF($B88="V02",cad!$D$28,cad!$E$28)))</f>
      </c>
      <c r="AB88">
        <f>IF($A88="","",IF($B88="V01",cad!$C$39,IF($B88="V02",cad!$D$39,cad!$E$39)))</f>
      </c>
      <c r="AC88">
        <f>IF($A88="","",IF($F88="MBWAY",cad!$J$12,IF($F88="ISCOM",cad!$J$13,IF($F88="IPAC",cad!$J$14,IF($F88="PIGIER",cad!$J$15,cad!$J$16)))))</f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>
        <f>IF($A89="","",IF($B89="V01",cad!$C$23,IF($B89="V02",cad!$D$23,cad!$E$23)))</f>
      </c>
      <c r="W89">
        <f>IF($A89="","",IF($B89="V01",cad!$C$24,IF($B89="V02",cad!$D$24,cad!$E$24)))</f>
      </c>
      <c r="X89">
        <f>IF($A89="","",IF($B89="V01",cad!$C$25,IF($B89="V02",cad!$D$25,cad!$E$25)))</f>
      </c>
      <c r="Y89">
        <f>IF($A89="","",IF($B89="V01",cad!$C$26,IF($B89="V02",cad!$D$26,cad!$E$26)))</f>
      </c>
      <c r="Z89">
        <f>IF($A89="","",IF($B89="V01",cad!$C$27,IF($B89="V02",cad!$D$27,cad!$E$27)))</f>
      </c>
      <c r="AA89">
        <f>IF($A89="","",IF($B89="V01",cad!$C$28,IF($B89="V02",cad!$D$28,cad!$E$28)))</f>
      </c>
      <c r="AB89">
        <f>IF($A89="","",IF($B89="V01",cad!$C$39,IF($B89="V02",cad!$D$39,cad!$E$39)))</f>
      </c>
      <c r="AC89">
        <f>IF($A89="","",IF($F89="MBWAY",cad!$J$12,IF($F89="ISCOM",cad!$J$13,IF($F89="IPAC",cad!$J$14,IF($F89="PIGIER",cad!$J$15,cad!$J$16)))))</f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>
        <f>IF($A90="","",IF($B90="V01",cad!$C$23,IF($B90="V02",cad!$D$23,cad!$E$23)))</f>
      </c>
      <c r="W90">
        <f>IF($A90="","",IF($B90="V01",cad!$C$24,IF($B90="V02",cad!$D$24,cad!$E$24)))</f>
      </c>
      <c r="X90">
        <f>IF($A90="","",IF($B90="V01",cad!$C$25,IF($B90="V02",cad!$D$25,cad!$E$25)))</f>
      </c>
      <c r="Y90">
        <f>IF($A90="","",IF($B90="V01",cad!$C$26,IF($B90="V02",cad!$D$26,cad!$E$26)))</f>
      </c>
      <c r="Z90">
        <f>IF($A90="","",IF($B90="V01",cad!$C$27,IF($B90="V02",cad!$D$27,cad!$E$27)))</f>
      </c>
      <c r="AA90">
        <f>IF($A90="","",IF($B90="V01",cad!$C$28,IF($B90="V02",cad!$D$28,cad!$E$28)))</f>
      </c>
      <c r="AB90">
        <f>IF($A90="","",IF($B90="V01",cad!$C$39,IF($B90="V02",cad!$D$39,cad!$E$39)))</f>
      </c>
      <c r="AC90">
        <f>IF($A90="","",IF($F90="MBWAY",cad!$J$12,IF($F90="ISCOM",cad!$J$13,IF($F90="IPAC",cad!$J$14,IF($F90="PIGIER",cad!$J$15,cad!$J$16)))))</f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>
        <f>IF($A91="","",IF($B91="V01",cad!$C$23,IF($B91="V02",cad!$D$23,cad!$E$23)))</f>
      </c>
      <c r="W91">
        <f>IF($A91="","",IF($B91="V01",cad!$C$24,IF($B91="V02",cad!$D$24,cad!$E$24)))</f>
      </c>
      <c r="X91">
        <f>IF($A91="","",IF($B91="V01",cad!$C$25,IF($B91="V02",cad!$D$25,cad!$E$25)))</f>
      </c>
      <c r="Y91">
        <f>IF($A91="","",IF($B91="V01",cad!$C$26,IF($B91="V02",cad!$D$26,cad!$E$26)))</f>
      </c>
      <c r="Z91">
        <f>IF($A91="","",IF($B91="V01",cad!$C$27,IF($B91="V02",cad!$D$27,cad!$E$27)))</f>
      </c>
      <c r="AA91">
        <f>IF($A91="","",IF($B91="V01",cad!$C$28,IF($B91="V02",cad!$D$28,cad!$E$28)))</f>
      </c>
      <c r="AB91">
        <f>IF($A91="","",IF($B91="V01",cad!$C$39,IF($B91="V02",cad!$D$39,cad!$E$39)))</f>
      </c>
      <c r="AC91">
        <f>IF($A91="","",IF($F91="MBWAY",cad!$J$12,IF($F91="ISCOM",cad!$J$13,IF($F91="IPAC",cad!$J$14,IF($F91="PIGIER",cad!$J$15,cad!$J$16)))))</f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>
        <f>IF($A92="","",IF($B92="V01",cad!$C$23,IF($B92="V02",cad!$D$23,cad!$E$23)))</f>
      </c>
      <c r="W92">
        <f>IF($A92="","",IF($B92="V01",cad!$C$24,IF($B92="V02",cad!$D$24,cad!$E$24)))</f>
      </c>
      <c r="X92">
        <f>IF($A92="","",IF($B92="V01",cad!$C$25,IF($B92="V02",cad!$D$25,cad!$E$25)))</f>
      </c>
      <c r="Y92">
        <f>IF($A92="","",IF($B92="V01",cad!$C$26,IF($B92="V02",cad!$D$26,cad!$E$26)))</f>
      </c>
      <c r="Z92">
        <f>IF($A92="","",IF($B92="V01",cad!$C$27,IF($B92="V02",cad!$D$27,cad!$E$27)))</f>
      </c>
      <c r="AA92">
        <f>IF($A92="","",IF($B92="V01",cad!$C$28,IF($B92="V02",cad!$D$28,cad!$E$28)))</f>
      </c>
      <c r="AB92">
        <f>IF($A92="","",IF($B92="V01",cad!$C$39,IF($B92="V02",cad!$D$39,cad!$E$39)))</f>
      </c>
      <c r="AC92">
        <f>IF($A92="","",IF($F92="MBWAY",cad!$J$12,IF($F92="ISCOM",cad!$J$13,IF($F92="IPAC",cad!$J$14,IF($F92="PIGIER",cad!$J$15,cad!$J$16)))))</f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>
        <f>IF($A93="","",IF($B93="V01",cad!$C$23,IF($B93="V02",cad!$D$23,cad!$E$23)))</f>
      </c>
      <c r="W93">
        <f>IF($A93="","",IF($B93="V01",cad!$C$24,IF($B93="V02",cad!$D$24,cad!$E$24)))</f>
      </c>
      <c r="X93">
        <f>IF($A93="","",IF($B93="V01",cad!$C$25,IF($B93="V02",cad!$D$25,cad!$E$25)))</f>
      </c>
      <c r="Y93">
        <f>IF($A93="","",IF($B93="V01",cad!$C$26,IF($B93="V02",cad!$D$26,cad!$E$26)))</f>
      </c>
      <c r="Z93">
        <f>IF($A93="","",IF($B93="V01",cad!$C$27,IF($B93="V02",cad!$D$27,cad!$E$27)))</f>
      </c>
      <c r="AA93">
        <f>IF($A93="","",IF($B93="V01",cad!$C$28,IF($B93="V02",cad!$D$28,cad!$E$28)))</f>
      </c>
      <c r="AB93">
        <f>IF($A93="","",IF($B93="V01",cad!$C$39,IF($B93="V02",cad!$D$39,cad!$E$39)))</f>
      </c>
      <c r="AC93">
        <f>IF($A93="","",IF($F93="MBWAY",cad!$J$12,IF($F93="ISCOM",cad!$J$13,IF($F93="IPAC",cad!$J$14,IF($F93="PIGIER",cad!$J$15,cad!$J$16)))))</f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>
        <f>IF($A94="","",IF($B94="V01",cad!$C$23,IF($B94="V02",cad!$D$23,cad!$E$23)))</f>
      </c>
      <c r="W94">
        <f>IF($A94="","",IF($B94="V01",cad!$C$24,IF($B94="V02",cad!$D$24,cad!$E$24)))</f>
      </c>
      <c r="X94">
        <f>IF($A94="","",IF($B94="V01",cad!$C$25,IF($B94="V02",cad!$D$25,cad!$E$25)))</f>
      </c>
      <c r="Y94">
        <f>IF($A94="","",IF($B94="V01",cad!$C$26,IF($B94="V02",cad!$D$26,cad!$E$26)))</f>
      </c>
      <c r="Z94">
        <f>IF($A94="","",IF($B94="V01",cad!$C$27,IF($B94="V02",cad!$D$27,cad!$E$27)))</f>
      </c>
      <c r="AA94">
        <f>IF($A94="","",IF($B94="V01",cad!$C$28,IF($B94="V02",cad!$D$28,cad!$E$28)))</f>
      </c>
      <c r="AB94">
        <f>IF($A94="","",IF($B94="V01",cad!$C$39,IF($B94="V02",cad!$D$39,cad!$E$39)))</f>
      </c>
      <c r="AC94">
        <f>IF($A94="","",IF($F94="MBWAY",cad!$J$12,IF($F94="ISCOM",cad!$J$13,IF($F94="IPAC",cad!$J$14,IF($F94="PIGIER",cad!$J$15,cad!$J$16)))))</f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>
        <f>IF($A95="","",IF($B95="V01",cad!$C$23,IF($B95="V02",cad!$D$23,cad!$E$23)))</f>
      </c>
      <c r="W95">
        <f>IF($A95="","",IF($B95="V01",cad!$C$24,IF($B95="V02",cad!$D$24,cad!$E$24)))</f>
      </c>
      <c r="X95">
        <f>IF($A95="","",IF($B95="V01",cad!$C$25,IF($B95="V02",cad!$D$25,cad!$E$25)))</f>
      </c>
      <c r="Y95">
        <f>IF($A95="","",IF($B95="V01",cad!$C$26,IF($B95="V02",cad!$D$26,cad!$E$26)))</f>
      </c>
      <c r="Z95">
        <f>IF($A95="","",IF($B95="V01",cad!$C$27,IF($B95="V02",cad!$D$27,cad!$E$27)))</f>
      </c>
      <c r="AA95">
        <f>IF($A95="","",IF($B95="V01",cad!$C$28,IF($B95="V02",cad!$D$28,cad!$E$28)))</f>
      </c>
      <c r="AB95">
        <f>IF($A95="","",IF($B95="V01",cad!$C$39,IF($B95="V02",cad!$D$39,cad!$E$39)))</f>
      </c>
      <c r="AC95">
        <f>IF($A95="","",IF($F95="MBWAY",cad!$J$12,IF($F95="ISCOM",cad!$J$13,IF($F95="IPAC",cad!$J$14,IF($F95="PIGIER",cad!$J$15,cad!$J$16)))))</f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>
        <f>IF($A96="","",IF($B96="V01",cad!$C$23,IF($B96="V02",cad!$D$23,cad!$E$23)))</f>
      </c>
      <c r="W96">
        <f>IF($A96="","",IF($B96="V01",cad!$C$24,IF($B96="V02",cad!$D$24,cad!$E$24)))</f>
      </c>
      <c r="X96">
        <f>IF($A96="","",IF($B96="V01",cad!$C$25,IF($B96="V02",cad!$D$25,cad!$E$25)))</f>
      </c>
      <c r="Y96">
        <f>IF($A96="","",IF($B96="V01",cad!$C$26,IF($B96="V02",cad!$D$26,cad!$E$26)))</f>
      </c>
      <c r="Z96">
        <f>IF($A96="","",IF($B96="V01",cad!$C$27,IF($B96="V02",cad!$D$27,cad!$E$27)))</f>
      </c>
      <c r="AA96">
        <f>IF($A96="","",IF($B96="V01",cad!$C$28,IF($B96="V02",cad!$D$28,cad!$E$28)))</f>
      </c>
      <c r="AB96">
        <f>IF($A96="","",IF($B96="V01",cad!$C$39,IF($B96="V02",cad!$D$39,cad!$E$39)))</f>
      </c>
      <c r="AC96">
        <f>IF($A96="","",IF($F96="MBWAY",cad!$J$12,IF($F96="ISCOM",cad!$J$13,IF($F96="IPAC",cad!$J$14,IF($F96="PIGIER",cad!$J$15,cad!$J$16)))))</f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>
        <f>IF($A97="","",IF($B97="V01",cad!$C$23,IF($B97="V02",cad!$D$23,cad!$E$23)))</f>
      </c>
      <c r="W97">
        <f>IF($A97="","",IF($B97="V01",cad!$C$24,IF($B97="V02",cad!$D$24,cad!$E$24)))</f>
      </c>
      <c r="X97">
        <f>IF($A97="","",IF($B97="V01",cad!$C$25,IF($B97="V02",cad!$D$25,cad!$E$25)))</f>
      </c>
      <c r="Y97">
        <f>IF($A97="","",IF($B97="V01",cad!$C$26,IF($B97="V02",cad!$D$26,cad!$E$26)))</f>
      </c>
      <c r="Z97">
        <f>IF($A97="","",IF($B97="V01",cad!$C$27,IF($B97="V02",cad!$D$27,cad!$E$27)))</f>
      </c>
      <c r="AA97">
        <f>IF($A97="","",IF($B97="V01",cad!$C$28,IF($B97="V02",cad!$D$28,cad!$E$28)))</f>
      </c>
      <c r="AB97">
        <f>IF($A97="","",IF($B97="V01",cad!$C$39,IF($B97="V02",cad!$D$39,cad!$E$39)))</f>
      </c>
      <c r="AC97">
        <f>IF($A97="","",IF($F97="MBWAY",cad!$J$12,IF($F97="ISCOM",cad!$J$13,IF($F97="IPAC",cad!$J$14,IF($F97="PIGIER",cad!$J$15,cad!$J$16)))))</f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>
        <f>IF($A98="","",IF($B98="V01",cad!$C$23,IF($B98="V02",cad!$D$23,cad!$E$23)))</f>
      </c>
      <c r="W98">
        <f>IF($A98="","",IF($B98="V01",cad!$C$24,IF($B98="V02",cad!$D$24,cad!$E$24)))</f>
      </c>
      <c r="X98">
        <f>IF($A98="","",IF($B98="V01",cad!$C$25,IF($B98="V02",cad!$D$25,cad!$E$25)))</f>
      </c>
      <c r="Y98">
        <f>IF($A98="","",IF($B98="V01",cad!$C$26,IF($B98="V02",cad!$D$26,cad!$E$26)))</f>
      </c>
      <c r="Z98">
        <f>IF($A98="","",IF($B98="V01",cad!$C$27,IF($B98="V02",cad!$D$27,cad!$E$27)))</f>
      </c>
      <c r="AA98">
        <f>IF($A98="","",IF($B98="V01",cad!$C$28,IF($B98="V02",cad!$D$28,cad!$E$28)))</f>
      </c>
      <c r="AB98">
        <f>IF($A98="","",IF($B98="V01",cad!$C$39,IF($B98="V02",cad!$D$39,cad!$E$39)))</f>
      </c>
      <c r="AC98">
        <f>IF($A98="","",IF($F98="MBWAY",cad!$J$12,IF($F98="ISCOM",cad!$J$13,IF($F98="IPAC",cad!$J$14,IF($F98="PIGIER",cad!$J$15,cad!$J$16)))))</f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>
        <f>IF($A99="","",IF($B99="V01",cad!$C$23,IF($B99="V02",cad!$D$23,cad!$E$23)))</f>
      </c>
      <c r="W99">
        <f>IF($A99="","",IF($B99="V01",cad!$C$24,IF($B99="V02",cad!$D$24,cad!$E$24)))</f>
      </c>
      <c r="X99">
        <f>IF($A99="","",IF($B99="V01",cad!$C$25,IF($B99="V02",cad!$D$25,cad!$E$25)))</f>
      </c>
      <c r="Y99">
        <f>IF($A99="","",IF($B99="V01",cad!$C$26,IF($B99="V02",cad!$D$26,cad!$E$26)))</f>
      </c>
      <c r="Z99">
        <f>IF($A99="","",IF($B99="V01",cad!$C$27,IF($B99="V02",cad!$D$27,cad!$E$27)))</f>
      </c>
      <c r="AA99">
        <f>IF($A99="","",IF($B99="V01",cad!$C$28,IF($B99="V02",cad!$D$28,cad!$E$28)))</f>
      </c>
      <c r="AB99">
        <f>IF($A99="","",IF($B99="V01",cad!$C$39,IF($B99="V02",cad!$D$39,cad!$E$39)))</f>
      </c>
      <c r="AC99">
        <f>IF($A99="","",IF($F99="MBWAY",cad!$J$12,IF($F99="ISCOM",cad!$J$13,IF($F99="IPAC",cad!$J$14,IF($F99="PIGIER",cad!$J$15,cad!$J$16)))))</f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>
        <f>IF($A100="","",IF($B100="V01",cad!$C$23,IF($B100="V02",cad!$D$23,cad!$E$23)))</f>
      </c>
      <c r="W100">
        <f>IF($A100="","",IF($B100="V01",cad!$C$24,IF($B100="V02",cad!$D$24,cad!$E$24)))</f>
      </c>
      <c r="X100">
        <f>IF($A100="","",IF($B100="V01",cad!$C$25,IF($B100="V02",cad!$D$25,cad!$E$25)))</f>
      </c>
      <c r="Y100">
        <f>IF($A100="","",IF($B100="V01",cad!$C$26,IF($B100="V02",cad!$D$26,cad!$E$26)))</f>
      </c>
      <c r="Z100">
        <f>IF($A100="","",IF($B100="V01",cad!$C$27,IF($B100="V02",cad!$D$27,cad!$E$27)))</f>
      </c>
      <c r="AA100">
        <f>IF($A100="","",IF($B100="V01",cad!$C$28,IF($B100="V02",cad!$D$28,cad!$E$28)))</f>
      </c>
      <c r="AB100">
        <f>IF($A100="","",IF($B100="V01",cad!$C$39,IF($B100="V02",cad!$D$39,cad!$E$39)))</f>
      </c>
      <c r="AC100">
        <f>IF($A100="","",IF($F100="MBWAY",cad!$J$12,IF($F100="ISCOM",cad!$J$13,IF($F100="IPAC",cad!$J$14,IF($F100="PIGIER",cad!$J$15,cad!$J$16)))))</f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>
        <f>IF($A101="","",IF($B101="V01",cad!$C$23,IF($B101="V02",cad!$D$23,cad!$E$23)))</f>
      </c>
      <c r="W101">
        <f>IF($A101="","",IF($B101="V01",cad!$C$24,IF($B101="V02",cad!$D$24,cad!$E$24)))</f>
      </c>
      <c r="X101">
        <f>IF($A101="","",IF($B101="V01",cad!$C$25,IF($B101="V02",cad!$D$25,cad!$E$25)))</f>
      </c>
      <c r="Y101">
        <f>IF($A101="","",IF($B101="V01",cad!$C$26,IF($B101="V02",cad!$D$26,cad!$E$26)))</f>
      </c>
      <c r="Z101">
        <f>IF($A101="","",IF($B101="V01",cad!$C$27,IF($B101="V02",cad!$D$27,cad!$E$27)))</f>
      </c>
      <c r="AA101">
        <f>IF($A101="","",IF($B101="V01",cad!$C$28,IF($B101="V02",cad!$D$28,cad!$E$28)))</f>
      </c>
      <c r="AB101">
        <f>IF($A101="","",IF($B101="V01",cad!$C$39,IF($B101="V02",cad!$D$39,cad!$E$39)))</f>
      </c>
      <c r="AC101">
        <f>IF($A101="","",IF($F101="MBWAY",cad!$J$12,IF($F101="ISCOM",cad!$J$13,IF($F101="IPAC",cad!$J$14,IF($F101="PIGIER",cad!$J$15,cad!$J$16)))))</f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>
        <f>IF($A102="","",IF($B102="V01",cad!$C$23,IF($B102="V02",cad!$D$23,cad!$E$23)))</f>
      </c>
      <c r="W102">
        <f>IF($A102="","",IF($B102="V01",cad!$C$24,IF($B102="V02",cad!$D$24,cad!$E$24)))</f>
      </c>
      <c r="X102">
        <f>IF($A102="","",IF($B102="V01",cad!$C$25,IF($B102="V02",cad!$D$25,cad!$E$25)))</f>
      </c>
      <c r="Y102">
        <f>IF($A102="","",IF($B102="V01",cad!$C$26,IF($B102="V02",cad!$D$26,cad!$E$26)))</f>
      </c>
      <c r="Z102">
        <f>IF($A102="","",IF($B102="V01",cad!$C$27,IF($B102="V02",cad!$D$27,cad!$E$27)))</f>
      </c>
      <c r="AA102">
        <f>IF($A102="","",IF($B102="V01",cad!$C$28,IF($B102="V02",cad!$D$28,cad!$E$28)))</f>
      </c>
      <c r="AB102">
        <f>IF($A102="","",IF($B102="V01",cad!$C$39,IF($B102="V02",cad!$D$39,cad!$E$39)))</f>
      </c>
      <c r="AC102">
        <f>IF($A102="","",IF($F102="MBWAY",cad!$J$12,IF($F102="ISCOM",cad!$J$13,IF($F102="IPAC",cad!$J$14,IF($F102="PIGIER",cad!$J$15,cad!$J$16)))))</f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>
        <f>IF($A103="","",IF($B103="V01",cad!$C$23,IF($B103="V02",cad!$D$23,cad!$E$23)))</f>
      </c>
      <c r="W103">
        <f>IF($A103="","",IF($B103="V01",cad!$C$24,IF($B103="V02",cad!$D$24,cad!$E$24)))</f>
      </c>
      <c r="X103">
        <f>IF($A103="","",IF($B103="V01",cad!$C$25,IF($B103="V02",cad!$D$25,cad!$E$25)))</f>
      </c>
      <c r="Y103">
        <f>IF($A103="","",IF($B103="V01",cad!$C$26,IF($B103="V02",cad!$D$26,cad!$E$26)))</f>
      </c>
      <c r="Z103">
        <f>IF($A103="","",IF($B103="V01",cad!$C$27,IF($B103="V02",cad!$D$27,cad!$E$27)))</f>
      </c>
      <c r="AA103">
        <f>IF($A103="","",IF($B103="V01",cad!$C$28,IF($B103="V02",cad!$D$28,cad!$E$28)))</f>
      </c>
      <c r="AB103">
        <f>IF($A103="","",IF($B103="V01",cad!$C$39,IF($B103="V02",cad!$D$39,cad!$E$39)))</f>
      </c>
      <c r="AC103">
        <f>IF($A103="","",IF($F103="MBWAY",cad!$J$12,IF($F103="ISCOM",cad!$J$13,IF($F103="IPAC",cad!$J$14,IF($F103="PIGIER",cad!$J$15,cad!$J$16)))))</f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>
        <f>IF($A104="","",IF($B104="V01",cad!$C$23,IF($B104="V02",cad!$D$23,cad!$E$23)))</f>
      </c>
      <c r="W104">
        <f>IF($A104="","",IF($B104="V01",cad!$C$24,IF($B104="V02",cad!$D$24,cad!$E$24)))</f>
      </c>
      <c r="X104">
        <f>IF($A104="","",IF($B104="V01",cad!$C$25,IF($B104="V02",cad!$D$25,cad!$E$25)))</f>
      </c>
      <c r="Y104">
        <f>IF($A104="","",IF($B104="V01",cad!$C$26,IF($B104="V02",cad!$D$26,cad!$E$26)))</f>
      </c>
      <c r="Z104">
        <f>IF($A104="","",IF($B104="V01",cad!$C$27,IF($B104="V02",cad!$D$27,cad!$E$27)))</f>
      </c>
      <c r="AA104">
        <f>IF($A104="","",IF($B104="V01",cad!$C$28,IF($B104="V02",cad!$D$28,cad!$E$28)))</f>
      </c>
      <c r="AB104">
        <f>IF($A104="","",IF($B104="V01",cad!$C$39,IF($B104="V02",cad!$D$39,cad!$E$39)))</f>
      </c>
      <c r="AC104">
        <f>IF($A104="","",IF($F104="MBWAY",cad!$J$12,IF($F104="ISCOM",cad!$J$13,IF($F104="IPAC",cad!$J$14,IF($F104="PIGIER",cad!$J$15,cad!$J$16)))))</f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>
        <f>IF($A105="","",IF($B105="V01",cad!$C$23,IF($B105="V02",cad!$D$23,cad!$E$23)))</f>
      </c>
      <c r="W105">
        <f>IF($A105="","",IF($B105="V01",cad!$C$24,IF($B105="V02",cad!$D$24,cad!$E$24)))</f>
      </c>
      <c r="X105">
        <f>IF($A105="","",IF($B105="V01",cad!$C$25,IF($B105="V02",cad!$D$25,cad!$E$25)))</f>
      </c>
      <c r="Y105">
        <f>IF($A105="","",IF($B105="V01",cad!$C$26,IF($B105="V02",cad!$D$26,cad!$E$26)))</f>
      </c>
      <c r="Z105">
        <f>IF($A105="","",IF($B105="V01",cad!$C$27,IF($B105="V02",cad!$D$27,cad!$E$27)))</f>
      </c>
      <c r="AA105">
        <f>IF($A105="","",IF($B105="V01",cad!$C$28,IF($B105="V02",cad!$D$28,cad!$E$28)))</f>
      </c>
      <c r="AB105">
        <f>IF($A105="","",IF($B105="V01",cad!$C$39,IF($B105="V02",cad!$D$39,cad!$E$39)))</f>
      </c>
      <c r="AC105">
        <f>IF($A105="","",IF($F105="MBWAY",cad!$J$12,IF($F105="ISCOM",cad!$J$13,IF($F105="IPAC",cad!$J$14,IF($F105="PIGIER",cad!$J$15,cad!$J$16)))))</f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>
        <f>IF($A106="","",IF($B106="V01",cad!$C$23,IF($B106="V02",cad!$D$23,cad!$E$23)))</f>
      </c>
      <c r="W106">
        <f>IF($A106="","",IF($B106="V01",cad!$C$24,IF($B106="V02",cad!$D$24,cad!$E$24)))</f>
      </c>
      <c r="X106">
        <f>IF($A106="","",IF($B106="V01",cad!$C$25,IF($B106="V02",cad!$D$25,cad!$E$25)))</f>
      </c>
      <c r="Y106">
        <f>IF($A106="","",IF($B106="V01",cad!$C$26,IF($B106="V02",cad!$D$26,cad!$E$26)))</f>
      </c>
      <c r="Z106">
        <f>IF($A106="","",IF($B106="V01",cad!$C$27,IF($B106="V02",cad!$D$27,cad!$E$27)))</f>
      </c>
      <c r="AA106">
        <f>IF($A106="","",IF($B106="V01",cad!$C$28,IF($B106="V02",cad!$D$28,cad!$E$28)))</f>
      </c>
      <c r="AB106">
        <f>IF($A106="","",IF($B106="V01",cad!$C$39,IF($B106="V02",cad!$D$39,cad!$E$39)))</f>
      </c>
      <c r="AC106">
        <f>IF($A106="","",IF($F106="MBWAY",cad!$J$12,IF($F106="ISCOM",cad!$J$13,IF($F106="IPAC",cad!$J$14,IF($F106="PIGIER",cad!$J$15,cad!$J$16)))))</f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>
        <f>IF($A107="","",IF($B107="V01",cad!$C$23,IF($B107="V02",cad!$D$23,cad!$E$23)))</f>
      </c>
      <c r="W107">
        <f>IF($A107="","",IF($B107="V01",cad!$C$24,IF($B107="V02",cad!$D$24,cad!$E$24)))</f>
      </c>
      <c r="X107">
        <f>IF($A107="","",IF($B107="V01",cad!$C$25,IF($B107="V02",cad!$D$25,cad!$E$25)))</f>
      </c>
      <c r="Y107">
        <f>IF($A107="","",IF($B107="V01",cad!$C$26,IF($B107="V02",cad!$D$26,cad!$E$26)))</f>
      </c>
      <c r="Z107">
        <f>IF($A107="","",IF($B107="V01",cad!$C$27,IF($B107="V02",cad!$D$27,cad!$E$27)))</f>
      </c>
      <c r="AA107">
        <f>IF($A107="","",IF($B107="V01",cad!$C$28,IF($B107="V02",cad!$D$28,cad!$E$28)))</f>
      </c>
      <c r="AB107">
        <f>IF($A107="","",IF($B107="V01",cad!$C$39,IF($B107="V02",cad!$D$39,cad!$E$39)))</f>
      </c>
      <c r="AC107">
        <f>IF($A107="","",IF($F107="MBWAY",cad!$J$12,IF($F107="ISCOM",cad!$J$13,IF($F107="IPAC",cad!$J$14,IF($F107="PIGIER",cad!$J$15,cad!$J$16)))))</f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>
        <f>IF($A108="","",IF($B108="V01",cad!$C$23,IF($B108="V02",cad!$D$23,cad!$E$23)))</f>
      </c>
      <c r="W108">
        <f>IF($A108="","",IF($B108="V01",cad!$C$24,IF($B108="V02",cad!$D$24,cad!$E$24)))</f>
      </c>
      <c r="X108">
        <f>IF($A108="","",IF($B108="V01",cad!$C$25,IF($B108="V02",cad!$D$25,cad!$E$25)))</f>
      </c>
      <c r="Y108">
        <f>IF($A108="","",IF($B108="V01",cad!$C$26,IF($B108="V02",cad!$D$26,cad!$E$26)))</f>
      </c>
      <c r="Z108">
        <f>IF($A108="","",IF($B108="V01",cad!$C$27,IF($B108="V02",cad!$D$27,cad!$E$27)))</f>
      </c>
      <c r="AA108">
        <f>IF($A108="","",IF($B108="V01",cad!$C$28,IF($B108="V02",cad!$D$28,cad!$E$28)))</f>
      </c>
      <c r="AB108">
        <f>IF($A108="","",IF($B108="V01",cad!$C$39,IF($B108="V02",cad!$D$39,cad!$E$39)))</f>
      </c>
      <c r="AC108">
        <f>IF($A108="","",IF($F108="MBWAY",cad!$J$12,IF($F108="ISCOM",cad!$J$13,IF($F108="IPAC",cad!$J$14,IF($F108="PIGIER",cad!$J$15,cad!$J$16)))))</f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>
        <f>IF($A109="","",IF($B109="V01",cad!$C$23,IF($B109="V02",cad!$D$23,cad!$E$23)))</f>
      </c>
      <c r="W109">
        <f>IF($A109="","",IF($B109="V01",cad!$C$24,IF($B109="V02",cad!$D$24,cad!$E$24)))</f>
      </c>
      <c r="X109">
        <f>IF($A109="","",IF($B109="V01",cad!$C$25,IF($B109="V02",cad!$D$25,cad!$E$25)))</f>
      </c>
      <c r="Y109">
        <f>IF($A109="","",IF($B109="V01",cad!$C$26,IF($B109="V02",cad!$D$26,cad!$E$26)))</f>
      </c>
      <c r="Z109">
        <f>IF($A109="","",IF($B109="V01",cad!$C$27,IF($B109="V02",cad!$D$27,cad!$E$27)))</f>
      </c>
      <c r="AA109">
        <f>IF($A109="","",IF($B109="V01",cad!$C$28,IF($B109="V02",cad!$D$28,cad!$E$28)))</f>
      </c>
      <c r="AB109">
        <f>IF($A109="","",IF($B109="V01",cad!$C$39,IF($B109="V02",cad!$D$39,cad!$E$39)))</f>
      </c>
      <c r="AC109">
        <f>IF($A109="","",IF($F109="MBWAY",cad!$J$12,IF($F109="ISCOM",cad!$J$13,IF($F109="IPAC",cad!$J$14,IF($F109="PIGIER",cad!$J$15,cad!$J$16)))))</f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>
        <f>IF($A110="","",IF($B110="V01",cad!$C$23,IF($B110="V02",cad!$D$23,cad!$E$23)))</f>
      </c>
      <c r="W110">
        <f>IF($A110="","",IF($B110="V01",cad!$C$24,IF($B110="V02",cad!$D$24,cad!$E$24)))</f>
      </c>
      <c r="X110">
        <f>IF($A110="","",IF($B110="V01",cad!$C$25,IF($B110="V02",cad!$D$25,cad!$E$25)))</f>
      </c>
      <c r="Y110">
        <f>IF($A110="","",IF($B110="V01",cad!$C$26,IF($B110="V02",cad!$D$26,cad!$E$26)))</f>
      </c>
      <c r="Z110">
        <f>IF($A110="","",IF($B110="V01",cad!$C$27,IF($B110="V02",cad!$D$27,cad!$E$27)))</f>
      </c>
      <c r="AA110">
        <f>IF($A110="","",IF($B110="V01",cad!$C$28,IF($B110="V02",cad!$D$28,cad!$E$28)))</f>
      </c>
      <c r="AB110">
        <f>IF($A110="","",IF($B110="V01",cad!$C$39,IF($B110="V02",cad!$D$39,cad!$E$39)))</f>
      </c>
      <c r="AC110">
        <f>IF($A110="","",IF($F110="MBWAY",cad!$J$12,IF($F110="ISCOM",cad!$J$13,IF($F110="IPAC",cad!$J$14,IF($F110="PIGIER",cad!$J$15,cad!$J$16)))))</f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>
        <f>IF($A111="","",IF($B111="V01",cad!$C$23,IF($B111="V02",cad!$D$23,cad!$E$23)))</f>
      </c>
      <c r="W111">
        <f>IF($A111="","",IF($B111="V01",cad!$C$24,IF($B111="V02",cad!$D$24,cad!$E$24)))</f>
      </c>
      <c r="X111">
        <f>IF($A111="","",IF($B111="V01",cad!$C$25,IF($B111="V02",cad!$D$25,cad!$E$25)))</f>
      </c>
      <c r="Y111">
        <f>IF($A111="","",IF($B111="V01",cad!$C$26,IF($B111="V02",cad!$D$26,cad!$E$26)))</f>
      </c>
      <c r="Z111">
        <f>IF($A111="","",IF($B111="V01",cad!$C$27,IF($B111="V02",cad!$D$27,cad!$E$27)))</f>
      </c>
      <c r="AA111">
        <f>IF($A111="","",IF($B111="V01",cad!$C$28,IF($B111="V02",cad!$D$28,cad!$E$28)))</f>
      </c>
      <c r="AB111">
        <f>IF($A111="","",IF($B111="V01",cad!$C$39,IF($B111="V02",cad!$D$39,cad!$E$39)))</f>
      </c>
      <c r="AC111">
        <f>IF($A111="","",IF($F111="MBWAY",cad!$J$12,IF($F111="ISCOM",cad!$J$13,IF($F111="IPAC",cad!$J$14,IF($F111="PIGIER",cad!$J$15,cad!$J$16)))))</f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>
        <f>IF($A112="","",IF($B112="V01",cad!$C$23,IF($B112="V02",cad!$D$23,cad!$E$23)))</f>
      </c>
      <c r="W112">
        <f>IF($A112="","",IF($B112="V01",cad!$C$24,IF($B112="V02",cad!$D$24,cad!$E$24)))</f>
      </c>
      <c r="X112">
        <f>IF($A112="","",IF($B112="V01",cad!$C$25,IF($B112="V02",cad!$D$25,cad!$E$25)))</f>
      </c>
      <c r="Y112">
        <f>IF($A112="","",IF($B112="V01",cad!$C$26,IF($B112="V02",cad!$D$26,cad!$E$26)))</f>
      </c>
      <c r="Z112">
        <f>IF($A112="","",IF($B112="V01",cad!$C$27,IF($B112="V02",cad!$D$27,cad!$E$27)))</f>
      </c>
      <c r="AA112">
        <f>IF($A112="","",IF($B112="V01",cad!$C$28,IF($B112="V02",cad!$D$28,cad!$E$28)))</f>
      </c>
      <c r="AB112">
        <f>IF($A112="","",IF($B112="V01",cad!$C$39,IF($B112="V02",cad!$D$39,cad!$E$39)))</f>
      </c>
      <c r="AC112">
        <f>IF($A112="","",IF($F112="MBWAY",cad!$J$12,IF($F112="ISCOM",cad!$J$13,IF($F112="IPAC",cad!$J$14,IF($F112="PIGIER",cad!$J$15,cad!$J$16)))))</f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>
        <f>IF($A113="","",IF($B113="V01",cad!$C$23,IF($B113="V02",cad!$D$23,cad!$E$23)))</f>
      </c>
      <c r="W113">
        <f>IF($A113="","",IF($B113="V01",cad!$C$24,IF($B113="V02",cad!$D$24,cad!$E$24)))</f>
      </c>
      <c r="X113">
        <f>IF($A113="","",IF($B113="V01",cad!$C$25,IF($B113="V02",cad!$D$25,cad!$E$25)))</f>
      </c>
      <c r="Y113">
        <f>IF($A113="","",IF($B113="V01",cad!$C$26,IF($B113="V02",cad!$D$26,cad!$E$26)))</f>
      </c>
      <c r="Z113">
        <f>IF($A113="","",IF($B113="V01",cad!$C$27,IF($B113="V02",cad!$D$27,cad!$E$27)))</f>
      </c>
      <c r="AA113">
        <f>IF($A113="","",IF($B113="V01",cad!$C$28,IF($B113="V02",cad!$D$28,cad!$E$28)))</f>
      </c>
      <c r="AB113">
        <f>IF($A113="","",IF($B113="V01",cad!$C$39,IF($B113="V02",cad!$D$39,cad!$E$39)))</f>
      </c>
      <c r="AC113">
        <f>IF($A113="","",IF($F113="MBWAY",cad!$J$12,IF($F113="ISCOM",cad!$J$13,IF($F113="IPAC",cad!$J$14,IF($F113="PIGIER",cad!$J$15,cad!$J$16)))))</f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>
        <f>IF($A114="","",IF($B114="V01",cad!$C$23,IF($B114="V02",cad!$D$23,cad!$E$23)))</f>
      </c>
      <c r="W114">
        <f>IF($A114="","",IF($B114="V01",cad!$C$24,IF($B114="V02",cad!$D$24,cad!$E$24)))</f>
      </c>
      <c r="X114">
        <f>IF($A114="","",IF($B114="V01",cad!$C$25,IF($B114="V02",cad!$D$25,cad!$E$25)))</f>
      </c>
      <c r="Y114">
        <f>IF($A114="","",IF($B114="V01",cad!$C$26,IF($B114="V02",cad!$D$26,cad!$E$26)))</f>
      </c>
      <c r="Z114">
        <f>IF($A114="","",IF($B114="V01",cad!$C$27,IF($B114="V02",cad!$D$27,cad!$E$27)))</f>
      </c>
      <c r="AA114">
        <f>IF($A114="","",IF($B114="V01",cad!$C$28,IF($B114="V02",cad!$D$28,cad!$E$28)))</f>
      </c>
      <c r="AB114">
        <f>IF($A114="","",IF($B114="V01",cad!$C$39,IF($B114="V02",cad!$D$39,cad!$E$39)))</f>
      </c>
      <c r="AC114">
        <f>IF($A114="","",IF($F114="MBWAY",cad!$J$12,IF($F114="ISCOM",cad!$J$13,IF($F114="IPAC",cad!$J$14,IF($F114="PIGIER",cad!$J$15,cad!$J$16)))))</f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>
        <f>IF($A115="","",IF($B115="V01",cad!$C$23,IF($B115="V02",cad!$D$23,cad!$E$23)))</f>
      </c>
      <c r="W115">
        <f>IF($A115="","",IF($B115="V01",cad!$C$24,IF($B115="V02",cad!$D$24,cad!$E$24)))</f>
      </c>
      <c r="X115">
        <f>IF($A115="","",IF($B115="V01",cad!$C$25,IF($B115="V02",cad!$D$25,cad!$E$25)))</f>
      </c>
      <c r="Y115">
        <f>IF($A115="","",IF($B115="V01",cad!$C$26,IF($B115="V02",cad!$D$26,cad!$E$26)))</f>
      </c>
      <c r="Z115">
        <f>IF($A115="","",IF($B115="V01",cad!$C$27,IF($B115="V02",cad!$D$27,cad!$E$27)))</f>
      </c>
      <c r="AA115">
        <f>IF($A115="","",IF($B115="V01",cad!$C$28,IF($B115="V02",cad!$D$28,cad!$E$28)))</f>
      </c>
      <c r="AB115">
        <f>IF($A115="","",IF($B115="V01",cad!$C$39,IF($B115="V02",cad!$D$39,cad!$E$39)))</f>
      </c>
      <c r="AC115">
        <f>IF($A115="","",IF($F115="MBWAY",cad!$J$12,IF($F115="ISCOM",cad!$J$13,IF($F115="IPAC",cad!$J$14,IF($F115="PIGIER",cad!$J$15,cad!$J$16)))))</f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>
        <f>IF($A116="","",IF($B116="V01",cad!$C$23,IF($B116="V02",cad!$D$23,cad!$E$23)))</f>
      </c>
      <c r="W116">
        <f>IF($A116="","",IF($B116="V01",cad!$C$24,IF($B116="V02",cad!$D$24,cad!$E$24)))</f>
      </c>
      <c r="X116">
        <f>IF($A116="","",IF($B116="V01",cad!$C$25,IF($B116="V02",cad!$D$25,cad!$E$25)))</f>
      </c>
      <c r="Y116">
        <f>IF($A116="","",IF($B116="V01",cad!$C$26,IF($B116="V02",cad!$D$26,cad!$E$26)))</f>
      </c>
      <c r="Z116">
        <f>IF($A116="","",IF($B116="V01",cad!$C$27,IF($B116="V02",cad!$D$27,cad!$E$27)))</f>
      </c>
      <c r="AA116">
        <f>IF($A116="","",IF($B116="V01",cad!$C$28,IF($B116="V02",cad!$D$28,cad!$E$28)))</f>
      </c>
      <c r="AB116">
        <f>IF($A116="","",IF($B116="V01",cad!$C$39,IF($B116="V02",cad!$D$39,cad!$E$39)))</f>
      </c>
      <c r="AC116">
        <f>IF($A116="","",IF($F116="MBWAY",cad!$J$12,IF($F116="ISCOM",cad!$J$13,IF($F116="IPAC",cad!$J$14,IF($F116="PIGIER",cad!$J$15,cad!$J$16)))))</f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>
        <f>IF($A117="","",IF($B117="V01",cad!$C$23,IF($B117="V02",cad!$D$23,cad!$E$23)))</f>
      </c>
      <c r="W117">
        <f>IF($A117="","",IF($B117="V01",cad!$C$24,IF($B117="V02",cad!$D$24,cad!$E$24)))</f>
      </c>
      <c r="X117">
        <f>IF($A117="","",IF($B117="V01",cad!$C$25,IF($B117="V02",cad!$D$25,cad!$E$25)))</f>
      </c>
      <c r="Y117">
        <f>IF($A117="","",IF($B117="V01",cad!$C$26,IF($B117="V02",cad!$D$26,cad!$E$26)))</f>
      </c>
      <c r="Z117">
        <f>IF($A117="","",IF($B117="V01",cad!$C$27,IF($B117="V02",cad!$D$27,cad!$E$27)))</f>
      </c>
      <c r="AA117">
        <f>IF($A117="","",IF($B117="V01",cad!$C$28,IF($B117="V02",cad!$D$28,cad!$E$28)))</f>
      </c>
      <c r="AB117">
        <f>IF($A117="","",IF($B117="V01",cad!$C$39,IF($B117="V02",cad!$D$39,cad!$E$39)))</f>
      </c>
      <c r="AC117">
        <f>IF($A117="","",IF($F117="MBWAY",cad!$J$12,IF($F117="ISCOM",cad!$J$13,IF($F117="IPAC",cad!$J$14,IF($F117="PIGIER",cad!$J$15,cad!$J$16)))))</f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>
        <f>IF($A118="","",IF($B118="V01",cad!$C$23,IF($B118="V02",cad!$D$23,cad!$E$23)))</f>
      </c>
      <c r="W118">
        <f>IF($A118="","",IF($B118="V01",cad!$C$24,IF($B118="V02",cad!$D$24,cad!$E$24)))</f>
      </c>
      <c r="X118">
        <f>IF($A118="","",IF($B118="V01",cad!$C$25,IF($B118="V02",cad!$D$25,cad!$E$25)))</f>
      </c>
      <c r="Y118">
        <f>IF($A118="","",IF($B118="V01",cad!$C$26,IF($B118="V02",cad!$D$26,cad!$E$26)))</f>
      </c>
      <c r="Z118">
        <f>IF($A118="","",IF($B118="V01",cad!$C$27,IF($B118="V02",cad!$D$27,cad!$E$27)))</f>
      </c>
      <c r="AA118">
        <f>IF($A118="","",IF($B118="V01",cad!$C$28,IF($B118="V02",cad!$D$28,cad!$E$28)))</f>
      </c>
      <c r="AB118">
        <f>IF($A118="","",IF($B118="V01",cad!$C$39,IF($B118="V02",cad!$D$39,cad!$E$39)))</f>
      </c>
      <c r="AC118">
        <f>IF($A118="","",IF($F118="MBWAY",cad!$J$12,IF($F118="ISCOM",cad!$J$13,IF($F118="IPAC",cad!$J$14,IF($F118="PIGIER",cad!$J$15,cad!$J$16)))))</f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>
        <f>IF($A119="","",IF($B119="V01",cad!$C$23,IF($B119="V02",cad!$D$23,cad!$E$23)))</f>
      </c>
      <c r="W119">
        <f>IF($A119="","",IF($B119="V01",cad!$C$24,IF($B119="V02",cad!$D$24,cad!$E$24)))</f>
      </c>
      <c r="X119">
        <f>IF($A119="","",IF($B119="V01",cad!$C$25,IF($B119="V02",cad!$D$25,cad!$E$25)))</f>
      </c>
      <c r="Y119">
        <f>IF($A119="","",IF($B119="V01",cad!$C$26,IF($B119="V02",cad!$D$26,cad!$E$26)))</f>
      </c>
      <c r="Z119">
        <f>IF($A119="","",IF($B119="V01",cad!$C$27,IF($B119="V02",cad!$D$27,cad!$E$27)))</f>
      </c>
      <c r="AA119">
        <f>IF($A119="","",IF($B119="V01",cad!$C$28,IF($B119="V02",cad!$D$28,cad!$E$28)))</f>
      </c>
      <c r="AB119">
        <f>IF($A119="","",IF($B119="V01",cad!$C$39,IF($B119="V02",cad!$D$39,cad!$E$39)))</f>
      </c>
      <c r="AC119">
        <f>IF($A119="","",IF($F119="MBWAY",cad!$J$12,IF($F119="ISCOM",cad!$J$13,IF($F119="IPAC",cad!$J$14,IF($F119="PIGIER",cad!$J$15,cad!$J$16)))))</f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>
        <f>IF($A120="","",IF($B120="V01",cad!$C$23,IF($B120="V02",cad!$D$23,cad!$E$23)))</f>
      </c>
      <c r="W120">
        <f>IF($A120="","",IF($B120="V01",cad!$C$24,IF($B120="V02",cad!$D$24,cad!$E$24)))</f>
      </c>
      <c r="X120">
        <f>IF($A120="","",IF($B120="V01",cad!$C$25,IF($B120="V02",cad!$D$25,cad!$E$25)))</f>
      </c>
      <c r="Y120">
        <f>IF($A120="","",IF($B120="V01",cad!$C$26,IF($B120="V02",cad!$D$26,cad!$E$26)))</f>
      </c>
      <c r="Z120">
        <f>IF($A120="","",IF($B120="V01",cad!$C$27,IF($B120="V02",cad!$D$27,cad!$E$27)))</f>
      </c>
      <c r="AA120">
        <f>IF($A120="","",IF($B120="V01",cad!$C$28,IF($B120="V02",cad!$D$28,cad!$E$28)))</f>
      </c>
      <c r="AB120">
        <f>IF($A120="","",IF($B120="V01",cad!$C$39,IF($B120="V02",cad!$D$39,cad!$E$39)))</f>
      </c>
      <c r="AC120">
        <f>IF($A120="","",IF($F120="MBWAY",cad!$J$12,IF($F120="ISCOM",cad!$J$13,IF($F120="IPAC",cad!$J$14,IF($F120="PIGIER",cad!$J$15,cad!$J$16)))))</f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>
        <f>IF($A121="","",IF($B121="V01",cad!$C$23,IF($B121="V02",cad!$D$23,cad!$E$23)))</f>
      </c>
      <c r="W121">
        <f>IF($A121="","",IF($B121="V01",cad!$C$24,IF($B121="V02",cad!$D$24,cad!$E$24)))</f>
      </c>
      <c r="X121">
        <f>IF($A121="","",IF($B121="V01",cad!$C$25,IF($B121="V02",cad!$D$25,cad!$E$25)))</f>
      </c>
      <c r="Y121">
        <f>IF($A121="","",IF($B121="V01",cad!$C$26,IF($B121="V02",cad!$D$26,cad!$E$26)))</f>
      </c>
      <c r="Z121">
        <f>IF($A121="","",IF($B121="V01",cad!$C$27,IF($B121="V02",cad!$D$27,cad!$E$27)))</f>
      </c>
      <c r="AA121">
        <f>IF($A121="","",IF($B121="V01",cad!$C$28,IF($B121="V02",cad!$D$28,cad!$E$28)))</f>
      </c>
      <c r="AB121">
        <f>IF($A121="","",IF($B121="V01",cad!$C$39,IF($B121="V02",cad!$D$39,cad!$E$39)))</f>
      </c>
      <c r="AC121">
        <f>IF($A121="","",IF($F121="MBWAY",cad!$J$12,IF($F121="ISCOM",cad!$J$13,IF($F121="IPAC",cad!$J$14,IF($F121="PIGIER",cad!$J$15,cad!$J$16)))))</f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>
        <f>IF($A122="","",IF($B122="V01",cad!$C$23,IF($B122="V02",cad!$D$23,cad!$E$23)))</f>
      </c>
      <c r="W122">
        <f>IF($A122="","",IF($B122="V01",cad!$C$24,IF($B122="V02",cad!$D$24,cad!$E$24)))</f>
      </c>
      <c r="X122">
        <f>IF($A122="","",IF($B122="V01",cad!$C$25,IF($B122="V02",cad!$D$25,cad!$E$25)))</f>
      </c>
      <c r="Y122">
        <f>IF($A122="","",IF($B122="V01",cad!$C$26,IF($B122="V02",cad!$D$26,cad!$E$26)))</f>
      </c>
      <c r="Z122">
        <f>IF($A122="","",IF($B122="V01",cad!$C$27,IF($B122="V02",cad!$D$27,cad!$E$27)))</f>
      </c>
      <c r="AA122">
        <f>IF($A122="","",IF($B122="V01",cad!$C$28,IF($B122="V02",cad!$D$28,cad!$E$28)))</f>
      </c>
      <c r="AB122">
        <f>IF($A122="","",IF($B122="V01",cad!$C$39,IF($B122="V02",cad!$D$39,cad!$E$39)))</f>
      </c>
      <c r="AC122">
        <f>IF($A122="","",IF($F122="MBWAY",cad!$J$12,IF($F122="ISCOM",cad!$J$13,IF($F122="IPAC",cad!$J$14,IF($F122="PIGIER",cad!$J$15,cad!$J$16)))))</f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>
        <f>IF($A123="","",IF($B123="V01",cad!$C$23,IF($B123="V02",cad!$D$23,cad!$E$23)))</f>
      </c>
      <c r="W123">
        <f>IF($A123="","",IF($B123="V01",cad!$C$24,IF($B123="V02",cad!$D$24,cad!$E$24)))</f>
      </c>
      <c r="X123">
        <f>IF($A123="","",IF($B123="V01",cad!$C$25,IF($B123="V02",cad!$D$25,cad!$E$25)))</f>
      </c>
      <c r="Y123">
        <f>IF($A123="","",IF($B123="V01",cad!$C$26,IF($B123="V02",cad!$D$26,cad!$E$26)))</f>
      </c>
      <c r="Z123">
        <f>IF($A123="","",IF($B123="V01",cad!$C$27,IF($B123="V02",cad!$D$27,cad!$E$27)))</f>
      </c>
      <c r="AA123">
        <f>IF($A123="","",IF($B123="V01",cad!$C$28,IF($B123="V02",cad!$D$28,cad!$E$28)))</f>
      </c>
      <c r="AB123">
        <f>IF($A123="","",IF($B123="V01",cad!$C$39,IF($B123="V02",cad!$D$39,cad!$E$39)))</f>
      </c>
      <c r="AC123">
        <f>IF($A123="","",IF($F123="MBWAY",cad!$J$12,IF($F123="ISCOM",cad!$J$13,IF($F123="IPAC",cad!$J$14,IF($F123="PIGIER",cad!$J$15,cad!$J$16)))))</f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>
        <f>IF($A124="","",IF($B124="V01",cad!$C$23,IF($B124="V02",cad!$D$23,cad!$E$23)))</f>
      </c>
      <c r="W124">
        <f>IF($A124="","",IF($B124="V01",cad!$C$24,IF($B124="V02",cad!$D$24,cad!$E$24)))</f>
      </c>
      <c r="X124">
        <f>IF($A124="","",IF($B124="V01",cad!$C$25,IF($B124="V02",cad!$D$25,cad!$E$25)))</f>
      </c>
      <c r="Y124">
        <f>IF($A124="","",IF($B124="V01",cad!$C$26,IF($B124="V02",cad!$D$26,cad!$E$26)))</f>
      </c>
      <c r="Z124">
        <f>IF($A124="","",IF($B124="V01",cad!$C$27,IF($B124="V02",cad!$D$27,cad!$E$27)))</f>
      </c>
      <c r="AA124">
        <f>IF($A124="","",IF($B124="V01",cad!$C$28,IF($B124="V02",cad!$D$28,cad!$E$28)))</f>
      </c>
      <c r="AB124">
        <f>IF($A124="","",IF($B124="V01",cad!$C$39,IF($B124="V02",cad!$D$39,cad!$E$39)))</f>
      </c>
      <c r="AC124">
        <f>IF($A124="","",IF($F124="MBWAY",cad!$J$12,IF($F124="ISCOM",cad!$J$13,IF($F124="IPAC",cad!$J$14,IF($F124="PIGIER",cad!$J$15,cad!$J$16)))))</f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>
        <f>IF($A125="","",IF($B125="V01",cad!$C$23,IF($B125="V02",cad!$D$23,cad!$E$23)))</f>
      </c>
      <c r="W125">
        <f>IF($A125="","",IF($B125="V01",cad!$C$24,IF($B125="V02",cad!$D$24,cad!$E$24)))</f>
      </c>
      <c r="X125">
        <f>IF($A125="","",IF($B125="V01",cad!$C$25,IF($B125="V02",cad!$D$25,cad!$E$25)))</f>
      </c>
      <c r="Y125">
        <f>IF($A125="","",IF($B125="V01",cad!$C$26,IF($B125="V02",cad!$D$26,cad!$E$26)))</f>
      </c>
      <c r="Z125">
        <f>IF($A125="","",IF($B125="V01",cad!$C$27,IF($B125="V02",cad!$D$27,cad!$E$27)))</f>
      </c>
      <c r="AA125">
        <f>IF($A125="","",IF($B125="V01",cad!$C$28,IF($B125="V02",cad!$D$28,cad!$E$28)))</f>
      </c>
      <c r="AB125">
        <f>IF($A125="","",IF($B125="V01",cad!$C$39,IF($B125="V02",cad!$D$39,cad!$E$39)))</f>
      </c>
      <c r="AC125">
        <f>IF($A125="","",IF($F125="MBWAY",cad!$J$12,IF($F125="ISCOM",cad!$J$13,IF($F125="IPAC",cad!$J$14,IF($F125="PIGIER",cad!$J$15,cad!$J$16)))))</f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>
        <f>IF($A126="","",IF($B126="V01",cad!$C$23,IF($B126="V02",cad!$D$23,cad!$E$23)))</f>
      </c>
      <c r="W126">
        <f>IF($A126="","",IF($B126="V01",cad!$C$24,IF($B126="V02",cad!$D$24,cad!$E$24)))</f>
      </c>
      <c r="X126">
        <f>IF($A126="","",IF($B126="V01",cad!$C$25,IF($B126="V02",cad!$D$25,cad!$E$25)))</f>
      </c>
      <c r="Y126">
        <f>IF($A126="","",IF($B126="V01",cad!$C$26,IF($B126="V02",cad!$D$26,cad!$E$26)))</f>
      </c>
      <c r="Z126">
        <f>IF($A126="","",IF($B126="V01",cad!$C$27,IF($B126="V02",cad!$D$27,cad!$E$27)))</f>
      </c>
      <c r="AA126">
        <f>IF($A126="","",IF($B126="V01",cad!$C$28,IF($B126="V02",cad!$D$28,cad!$E$28)))</f>
      </c>
      <c r="AB126">
        <f>IF($A126="","",IF($B126="V01",cad!$C$39,IF($B126="V02",cad!$D$39,cad!$E$39)))</f>
      </c>
      <c r="AC126">
        <f>IF($A126="","",IF($F126="MBWAY",cad!$J$12,IF($F126="ISCOM",cad!$J$13,IF($F126="IPAC",cad!$J$14,IF($F126="PIGIER",cad!$J$15,cad!$J$16)))))</f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>
        <f>IF($A127="","",IF($B127="V01",cad!$C$23,IF($B127="V02",cad!$D$23,cad!$E$23)))</f>
      </c>
      <c r="W127">
        <f>IF($A127="","",IF($B127="V01",cad!$C$24,IF($B127="V02",cad!$D$24,cad!$E$24)))</f>
      </c>
      <c r="X127">
        <f>IF($A127="","",IF($B127="V01",cad!$C$25,IF($B127="V02",cad!$D$25,cad!$E$25)))</f>
      </c>
      <c r="Y127">
        <f>IF($A127="","",IF($B127="V01",cad!$C$26,IF($B127="V02",cad!$D$26,cad!$E$26)))</f>
      </c>
      <c r="Z127">
        <f>IF($A127="","",IF($B127="V01",cad!$C$27,IF($B127="V02",cad!$D$27,cad!$E$27)))</f>
      </c>
      <c r="AA127">
        <f>IF($A127="","",IF($B127="V01",cad!$C$28,IF($B127="V02",cad!$D$28,cad!$E$28)))</f>
      </c>
      <c r="AB127">
        <f>IF($A127="","",IF($B127="V01",cad!$C$39,IF($B127="V02",cad!$D$39,cad!$E$39)))</f>
      </c>
      <c r="AC127">
        <f>IF($A127="","",IF($F127="MBWAY",cad!$J$12,IF($F127="ISCOM",cad!$J$13,IF($F127="IPAC",cad!$J$14,IF($F127="PIGIER",cad!$J$15,cad!$J$16)))))</f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>
        <f>IF($A128="","",IF($B128="V01",cad!$C$23,IF($B128="V02",cad!$D$23,cad!$E$23)))</f>
      </c>
      <c r="W128">
        <f>IF($A128="","",IF($B128="V01",cad!$C$24,IF($B128="V02",cad!$D$24,cad!$E$24)))</f>
      </c>
      <c r="X128">
        <f>IF($A128="","",IF($B128="V01",cad!$C$25,IF($B128="V02",cad!$D$25,cad!$E$25)))</f>
      </c>
      <c r="Y128">
        <f>IF($A128="","",IF($B128="V01",cad!$C$26,IF($B128="V02",cad!$D$26,cad!$E$26)))</f>
      </c>
      <c r="Z128">
        <f>IF($A128="","",IF($B128="V01",cad!$C$27,IF($B128="V02",cad!$D$27,cad!$E$27)))</f>
      </c>
      <c r="AA128">
        <f>IF($A128="","",IF($B128="V01",cad!$C$28,IF($B128="V02",cad!$D$28,cad!$E$28)))</f>
      </c>
      <c r="AB128">
        <f>IF($A128="","",IF($B128="V01",cad!$C$39,IF($B128="V02",cad!$D$39,cad!$E$39)))</f>
      </c>
      <c r="AC128">
        <f>IF($A128="","",IF($F128="MBWAY",cad!$J$12,IF($F128="ISCOM",cad!$J$13,IF($F128="IPAC",cad!$J$14,IF($F128="PIGIER",cad!$J$15,cad!$J$16)))))</f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>
        <f>IF($A129="","",IF($B129="V01",cad!$C$23,IF($B129="V02",cad!$D$23,cad!$E$23)))</f>
      </c>
      <c r="W129">
        <f>IF($A129="","",IF($B129="V01",cad!$C$24,IF($B129="V02",cad!$D$24,cad!$E$24)))</f>
      </c>
      <c r="X129">
        <f>IF($A129="","",IF($B129="V01",cad!$C$25,IF($B129="V02",cad!$D$25,cad!$E$25)))</f>
      </c>
      <c r="Y129">
        <f>IF($A129="","",IF($B129="V01",cad!$C$26,IF($B129="V02",cad!$D$26,cad!$E$26)))</f>
      </c>
      <c r="Z129">
        <f>IF($A129="","",IF($B129="V01",cad!$C$27,IF($B129="V02",cad!$D$27,cad!$E$27)))</f>
      </c>
      <c r="AA129">
        <f>IF($A129="","",IF($B129="V01",cad!$C$28,IF($B129="V02",cad!$D$28,cad!$E$28)))</f>
      </c>
      <c r="AB129">
        <f>IF($A129="","",IF($B129="V01",cad!$C$39,IF($B129="V02",cad!$D$39,cad!$E$39)))</f>
      </c>
      <c r="AC129">
        <f>IF($A129="","",IF($F129="MBWAY",cad!$J$12,IF($F129="ISCOM",cad!$J$13,IF($F129="IPAC",cad!$J$14,IF($F129="PIGIER",cad!$J$15,cad!$J$16)))))</f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>
        <f>IF($A130="","",IF($B130="V01",cad!$C$23,IF($B130="V02",cad!$D$23,cad!$E$23)))</f>
      </c>
      <c r="W130">
        <f>IF($A130="","",IF($B130="V01",cad!$C$24,IF($B130="V02",cad!$D$24,cad!$E$24)))</f>
      </c>
      <c r="X130">
        <f>IF($A130="","",IF($B130="V01",cad!$C$25,IF($B130="V02",cad!$D$25,cad!$E$25)))</f>
      </c>
      <c r="Y130">
        <f>IF($A130="","",IF($B130="V01",cad!$C$26,IF($B130="V02",cad!$D$26,cad!$E$26)))</f>
      </c>
      <c r="Z130">
        <f>IF($A130="","",IF($B130="V01",cad!$C$27,IF($B130="V02",cad!$D$27,cad!$E$27)))</f>
      </c>
      <c r="AA130">
        <f>IF($A130="","",IF($B130="V01",cad!$C$28,IF($B130="V02",cad!$D$28,cad!$E$28)))</f>
      </c>
      <c r="AB130">
        <f>IF($A130="","",IF($B130="V01",cad!$C$39,IF($B130="V02",cad!$D$39,cad!$E$39)))</f>
      </c>
      <c r="AC130">
        <f>IF($A130="","",IF($F130="MBWAY",cad!$J$12,IF($F130="ISCOM",cad!$J$13,IF($F130="IPAC",cad!$J$14,IF($F130="PIGIER",cad!$J$15,cad!$J$16)))))</f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>
        <f>IF($A131="","",IF($B131="V01",cad!$C$23,IF($B131="V02",cad!$D$23,cad!$E$23)))</f>
      </c>
      <c r="W131">
        <f>IF($A131="","",IF($B131="V01",cad!$C$24,IF($B131="V02",cad!$D$24,cad!$E$24)))</f>
      </c>
      <c r="X131">
        <f>IF($A131="","",IF($B131="V01",cad!$C$25,IF($B131="V02",cad!$D$25,cad!$E$25)))</f>
      </c>
      <c r="Y131">
        <f>IF($A131="","",IF($B131="V01",cad!$C$26,IF($B131="V02",cad!$D$26,cad!$E$26)))</f>
      </c>
      <c r="Z131">
        <f>IF($A131="","",IF($B131="V01",cad!$C$27,IF($B131="V02",cad!$D$27,cad!$E$27)))</f>
      </c>
      <c r="AA131">
        <f>IF($A131="","",IF($B131="V01",cad!$C$28,IF($B131="V02",cad!$D$28,cad!$E$28)))</f>
      </c>
      <c r="AB131">
        <f>IF($A131="","",IF($B131="V01",cad!$C$39,IF($B131="V02",cad!$D$39,cad!$E$39)))</f>
      </c>
      <c r="AC131">
        <f>IF($A131="","",IF($F131="MBWAY",cad!$J$12,IF($F131="ISCOM",cad!$J$13,IF($F131="IPAC",cad!$J$14,IF($F131="PIGIER",cad!$J$15,cad!$J$16)))))</f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>
        <f>IF($A132="","",IF($B132="V01",cad!$C$23,IF($B132="V02",cad!$D$23,cad!$E$23)))</f>
      </c>
      <c r="W132">
        <f>IF($A132="","",IF($B132="V01",cad!$C$24,IF($B132="V02",cad!$D$24,cad!$E$24)))</f>
      </c>
      <c r="X132">
        <f>IF($A132="","",IF($B132="V01",cad!$C$25,IF($B132="V02",cad!$D$25,cad!$E$25)))</f>
      </c>
      <c r="Y132">
        <f>IF($A132="","",IF($B132="V01",cad!$C$26,IF($B132="V02",cad!$D$26,cad!$E$26)))</f>
      </c>
      <c r="Z132">
        <f>IF($A132="","",IF($B132="V01",cad!$C$27,IF($B132="V02",cad!$D$27,cad!$E$27)))</f>
      </c>
      <c r="AA132">
        <f>IF($A132="","",IF($B132="V01",cad!$C$28,IF($B132="V02",cad!$D$28,cad!$E$28)))</f>
      </c>
      <c r="AB132">
        <f>IF($A132="","",IF($B132="V01",cad!$C$39,IF($B132="V02",cad!$D$39,cad!$E$39)))</f>
      </c>
      <c r="AC132">
        <f>IF($A132="","",IF($F132="MBWAY",cad!$J$12,IF($F132="ISCOM",cad!$J$13,IF($F132="IPAC",cad!$J$14,IF($F132="PIGIER",cad!$J$15,cad!$J$16)))))</f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>
        <f>IF($A133="","",IF($B133="V01",cad!$C$23,IF($B133="V02",cad!$D$23,cad!$E$23)))</f>
      </c>
      <c r="W133">
        <f>IF($A133="","",IF($B133="V01",cad!$C$24,IF($B133="V02",cad!$D$24,cad!$E$24)))</f>
      </c>
      <c r="X133">
        <f>IF($A133="","",IF($B133="V01",cad!$C$25,IF($B133="V02",cad!$D$25,cad!$E$25)))</f>
      </c>
      <c r="Y133">
        <f>IF($A133="","",IF($B133="V01",cad!$C$26,IF($B133="V02",cad!$D$26,cad!$E$26)))</f>
      </c>
      <c r="Z133">
        <f>IF($A133="","",IF($B133="V01",cad!$C$27,IF($B133="V02",cad!$D$27,cad!$E$27)))</f>
      </c>
      <c r="AA133">
        <f>IF($A133="","",IF($B133="V01",cad!$C$28,IF($B133="V02",cad!$D$28,cad!$E$28)))</f>
      </c>
      <c r="AB133">
        <f>IF($A133="","",IF($B133="V01",cad!$C$39,IF($B133="V02",cad!$D$39,cad!$E$39)))</f>
      </c>
      <c r="AC133">
        <f>IF($A133="","",IF($F133="MBWAY",cad!$J$12,IF($F133="ISCOM",cad!$J$13,IF($F133="IPAC",cad!$J$14,IF($F133="PIGIER",cad!$J$15,cad!$J$16)))))</f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>
        <f>IF($A134="","",IF($B134="V01",cad!$C$23,IF($B134="V02",cad!$D$23,cad!$E$23)))</f>
      </c>
      <c r="W134">
        <f>IF($A134="","",IF($B134="V01",cad!$C$24,IF($B134="V02",cad!$D$24,cad!$E$24)))</f>
      </c>
      <c r="X134">
        <f>IF($A134="","",IF($B134="V01",cad!$C$25,IF($B134="V02",cad!$D$25,cad!$E$25)))</f>
      </c>
      <c r="Y134">
        <f>IF($A134="","",IF($B134="V01",cad!$C$26,IF($B134="V02",cad!$D$26,cad!$E$26)))</f>
      </c>
      <c r="Z134">
        <f>IF($A134="","",IF($B134="V01",cad!$C$27,IF($B134="V02",cad!$D$27,cad!$E$27)))</f>
      </c>
      <c r="AA134">
        <f>IF($A134="","",IF($B134="V01",cad!$C$28,IF($B134="V02",cad!$D$28,cad!$E$28)))</f>
      </c>
      <c r="AB134">
        <f>IF($A134="","",IF($B134="V01",cad!$C$39,IF($B134="V02",cad!$D$39,cad!$E$39)))</f>
      </c>
      <c r="AC134">
        <f>IF($A134="","",IF($F134="MBWAY",cad!$J$12,IF($F134="ISCOM",cad!$J$13,IF($F134="IPAC",cad!$J$14,IF($F134="PIGIER",cad!$J$15,cad!$J$16)))))</f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>
        <f>IF($A135="","",IF($B135="V01",cad!$C$23,IF($B135="V02",cad!$D$23,cad!$E$23)))</f>
      </c>
      <c r="W135">
        <f>IF($A135="","",IF($B135="V01",cad!$C$24,IF($B135="V02",cad!$D$24,cad!$E$24)))</f>
      </c>
      <c r="X135">
        <f>IF($A135="","",IF($B135="V01",cad!$C$25,IF($B135="V02",cad!$D$25,cad!$E$25)))</f>
      </c>
      <c r="Y135">
        <f>IF($A135="","",IF($B135="V01",cad!$C$26,IF($B135="V02",cad!$D$26,cad!$E$26)))</f>
      </c>
      <c r="Z135">
        <f>IF($A135="","",IF($B135="V01",cad!$C$27,IF($B135="V02",cad!$D$27,cad!$E$27)))</f>
      </c>
      <c r="AA135">
        <f>IF($A135="","",IF($B135="V01",cad!$C$28,IF($B135="V02",cad!$D$28,cad!$E$28)))</f>
      </c>
      <c r="AB135">
        <f>IF($A135="","",IF($B135="V01",cad!$C$39,IF($B135="V02",cad!$D$39,cad!$E$39)))</f>
      </c>
      <c r="AC135">
        <f>IF($A135="","",IF($F135="MBWAY",cad!$J$12,IF($F135="ISCOM",cad!$J$13,IF($F135="IPAC",cad!$J$14,IF($F135="PIGIER",cad!$J$15,cad!$J$16)))))</f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>
        <f>IF($A136="","",IF($B136="V01",cad!$C$23,IF($B136="V02",cad!$D$23,cad!$E$23)))</f>
      </c>
      <c r="W136">
        <f>IF($A136="","",IF($B136="V01",cad!$C$24,IF($B136="V02",cad!$D$24,cad!$E$24)))</f>
      </c>
      <c r="X136">
        <f>IF($A136="","",IF($B136="V01",cad!$C$25,IF($B136="V02",cad!$D$25,cad!$E$25)))</f>
      </c>
      <c r="Y136">
        <f>IF($A136="","",IF($B136="V01",cad!$C$26,IF($B136="V02",cad!$D$26,cad!$E$26)))</f>
      </c>
      <c r="Z136">
        <f>IF($A136="","",IF($B136="V01",cad!$C$27,IF($B136="V02",cad!$D$27,cad!$E$27)))</f>
      </c>
      <c r="AA136">
        <f>IF($A136="","",IF($B136="V01",cad!$C$28,IF($B136="V02",cad!$D$28,cad!$E$28)))</f>
      </c>
      <c r="AB136">
        <f>IF($A136="","",IF($B136="V01",cad!$C$39,IF($B136="V02",cad!$D$39,cad!$E$39)))</f>
      </c>
      <c r="AC136">
        <f>IF($A136="","",IF($F136="MBWAY",cad!$J$12,IF($F136="ISCOM",cad!$J$13,IF($F136="IPAC",cad!$J$14,IF($F136="PIGIER",cad!$J$15,cad!$J$16)))))</f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>
        <f>IF($A137="","",IF($B137="V01",cad!$C$23,IF($B137="V02",cad!$D$23,cad!$E$23)))</f>
      </c>
      <c r="W137">
        <f>IF($A137="","",IF($B137="V01",cad!$C$24,IF($B137="V02",cad!$D$24,cad!$E$24)))</f>
      </c>
      <c r="X137">
        <f>IF($A137="","",IF($B137="V01",cad!$C$25,IF($B137="V02",cad!$D$25,cad!$E$25)))</f>
      </c>
      <c r="Y137">
        <f>IF($A137="","",IF($B137="V01",cad!$C$26,IF($B137="V02",cad!$D$26,cad!$E$26)))</f>
      </c>
      <c r="Z137">
        <f>IF($A137="","",IF($B137="V01",cad!$C$27,IF($B137="V02",cad!$D$27,cad!$E$27)))</f>
      </c>
      <c r="AA137">
        <f>IF($A137="","",IF($B137="V01",cad!$C$28,IF($B137="V02",cad!$D$28,cad!$E$28)))</f>
      </c>
      <c r="AB137">
        <f>IF($A137="","",IF($B137="V01",cad!$C$39,IF($B137="V02",cad!$D$39,cad!$E$39)))</f>
      </c>
      <c r="AC137">
        <f>IF($A137="","",IF($F137="MBWAY",cad!$J$12,IF($F137="ISCOM",cad!$J$13,IF($F137="IPAC",cad!$J$14,IF($F137="PIGIER",cad!$J$15,cad!$J$16)))))</f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>
        <f>IF($A138="","",IF($B138="V01",cad!$C$23,IF($B138="V02",cad!$D$23,cad!$E$23)))</f>
      </c>
      <c r="W138">
        <f>IF($A138="","",IF($B138="V01",cad!$C$24,IF($B138="V02",cad!$D$24,cad!$E$24)))</f>
      </c>
      <c r="X138">
        <f>IF($A138="","",IF($B138="V01",cad!$C$25,IF($B138="V02",cad!$D$25,cad!$E$25)))</f>
      </c>
      <c r="Y138">
        <f>IF($A138="","",IF($B138="V01",cad!$C$26,IF($B138="V02",cad!$D$26,cad!$E$26)))</f>
      </c>
      <c r="Z138">
        <f>IF($A138="","",IF($B138="V01",cad!$C$27,IF($B138="V02",cad!$D$27,cad!$E$27)))</f>
      </c>
      <c r="AA138">
        <f>IF($A138="","",IF($B138="V01",cad!$C$28,IF($B138="V02",cad!$D$28,cad!$E$28)))</f>
      </c>
      <c r="AB138">
        <f>IF($A138="","",IF($B138="V01",cad!$C$39,IF($B138="V02",cad!$D$39,cad!$E$39)))</f>
      </c>
      <c r="AC138">
        <f>IF($A138="","",IF($F138="MBWAY",cad!$J$12,IF($F138="ISCOM",cad!$J$13,IF($F138="IPAC",cad!$J$14,IF($F138="PIGIER",cad!$J$15,cad!$J$16)))))</f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>
        <f>IF($A139="","",IF($B139="V01",cad!$C$23,IF($B139="V02",cad!$D$23,cad!$E$23)))</f>
      </c>
      <c r="W139">
        <f>IF($A139="","",IF($B139="V01",cad!$C$24,IF($B139="V02",cad!$D$24,cad!$E$24)))</f>
      </c>
      <c r="X139">
        <f>IF($A139="","",IF($B139="V01",cad!$C$25,IF($B139="V02",cad!$D$25,cad!$E$25)))</f>
      </c>
      <c r="Y139">
        <f>IF($A139="","",IF($B139="V01",cad!$C$26,IF($B139="V02",cad!$D$26,cad!$E$26)))</f>
      </c>
      <c r="Z139">
        <f>IF($A139="","",IF($B139="V01",cad!$C$27,IF($B139="V02",cad!$D$27,cad!$E$27)))</f>
      </c>
      <c r="AA139">
        <f>IF($A139="","",IF($B139="V01",cad!$C$28,IF($B139="V02",cad!$D$28,cad!$E$28)))</f>
      </c>
      <c r="AB139">
        <f>IF($A139="","",IF($B139="V01",cad!$C$39,IF($B139="V02",cad!$D$39,cad!$E$39)))</f>
      </c>
      <c r="AC139">
        <f>IF($A139="","",IF($F139="MBWAY",cad!$J$12,IF($F139="ISCOM",cad!$J$13,IF($F139="IPAC",cad!$J$14,IF($F139="PIGIER",cad!$J$15,cad!$J$16)))))</f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>
        <f>IF($A140="","",IF($B140="V01",cad!$C$23,IF($B140="V02",cad!$D$23,cad!$E$23)))</f>
      </c>
      <c r="W140">
        <f>IF($A140="","",IF($B140="V01",cad!$C$24,IF($B140="V02",cad!$D$24,cad!$E$24)))</f>
      </c>
      <c r="X140">
        <f>IF($A140="","",IF($B140="V01",cad!$C$25,IF($B140="V02",cad!$D$25,cad!$E$25)))</f>
      </c>
      <c r="Y140">
        <f>IF($A140="","",IF($B140="V01",cad!$C$26,IF($B140="V02",cad!$D$26,cad!$E$26)))</f>
      </c>
      <c r="Z140">
        <f>IF($A140="","",IF($B140="V01",cad!$C$27,IF($B140="V02",cad!$D$27,cad!$E$27)))</f>
      </c>
      <c r="AA140">
        <f>IF($A140="","",IF($B140="V01",cad!$C$28,IF($B140="V02",cad!$D$28,cad!$E$28)))</f>
      </c>
      <c r="AB140">
        <f>IF($A140="","",IF($B140="V01",cad!$C$39,IF($B140="V02",cad!$D$39,cad!$E$39)))</f>
      </c>
      <c r="AC140">
        <f>IF($A140="","",IF($F140="MBWAY",cad!$J$12,IF($F140="ISCOM",cad!$J$13,IF($F140="IPAC",cad!$J$14,IF($F140="PIGIER",cad!$J$15,cad!$J$16)))))</f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>
        <f>IF($A141="","",IF($B141="V01",cad!$C$23,IF($B141="V02",cad!$D$23,cad!$E$23)))</f>
      </c>
      <c r="W141">
        <f>IF($A141="","",IF($B141="V01",cad!$C$24,IF($B141="V02",cad!$D$24,cad!$E$24)))</f>
      </c>
      <c r="X141">
        <f>IF($A141="","",IF($B141="V01",cad!$C$25,IF($B141="V02",cad!$D$25,cad!$E$25)))</f>
      </c>
      <c r="Y141">
        <f>IF($A141="","",IF($B141="V01",cad!$C$26,IF($B141="V02",cad!$D$26,cad!$E$26)))</f>
      </c>
      <c r="Z141">
        <f>IF($A141="","",IF($B141="V01",cad!$C$27,IF($B141="V02",cad!$D$27,cad!$E$27)))</f>
      </c>
      <c r="AA141">
        <f>IF($A141="","",IF($B141="V01",cad!$C$28,IF($B141="V02",cad!$D$28,cad!$E$28)))</f>
      </c>
      <c r="AB141">
        <f>IF($A141="","",IF($B141="V01",cad!$C$39,IF($B141="V02",cad!$D$39,cad!$E$39)))</f>
      </c>
      <c r="AC141">
        <f>IF($A141="","",IF($F141="MBWAY",cad!$J$12,IF($F141="ISCOM",cad!$J$13,IF($F141="IPAC",cad!$J$14,IF($F141="PIGIER",cad!$J$15,cad!$J$16)))))</f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>
        <f>IF($A142="","",IF($B142="V01",cad!$C$23,IF($B142="V02",cad!$D$23,cad!$E$23)))</f>
      </c>
      <c r="W142">
        <f>IF($A142="","",IF($B142="V01",cad!$C$24,IF($B142="V02",cad!$D$24,cad!$E$24)))</f>
      </c>
      <c r="X142">
        <f>IF($A142="","",IF($B142="V01",cad!$C$25,IF($B142="V02",cad!$D$25,cad!$E$25)))</f>
      </c>
      <c r="Y142">
        <f>IF($A142="","",IF($B142="V01",cad!$C$26,IF($B142="V02",cad!$D$26,cad!$E$26)))</f>
      </c>
      <c r="Z142">
        <f>IF($A142="","",IF($B142="V01",cad!$C$27,IF($B142="V02",cad!$D$27,cad!$E$27)))</f>
      </c>
      <c r="AA142">
        <f>IF($A142="","",IF($B142="V01",cad!$C$28,IF($B142="V02",cad!$D$28,cad!$E$28)))</f>
      </c>
      <c r="AB142">
        <f>IF($A142="","",IF($B142="V01",cad!$C$39,IF($B142="V02",cad!$D$39,cad!$E$39)))</f>
      </c>
      <c r="AC142">
        <f>IF($A142="","",IF($F142="MBWAY",cad!$J$12,IF($F142="ISCOM",cad!$J$13,IF($F142="IPAC",cad!$J$14,IF($F142="PIGIER",cad!$J$15,cad!$J$16)))))</f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>
        <f>IF($A143="","",IF($B143="V01",cad!$C$23,IF($B143="V02",cad!$D$23,cad!$E$23)))</f>
      </c>
      <c r="W143">
        <f>IF($A143="","",IF($B143="V01",cad!$C$24,IF($B143="V02",cad!$D$24,cad!$E$24)))</f>
      </c>
      <c r="X143">
        <f>IF($A143="","",IF($B143="V01",cad!$C$25,IF($B143="V02",cad!$D$25,cad!$E$25)))</f>
      </c>
      <c r="Y143">
        <f>IF($A143="","",IF($B143="V01",cad!$C$26,IF($B143="V02",cad!$D$26,cad!$E$26)))</f>
      </c>
      <c r="Z143">
        <f>IF($A143="","",IF($B143="V01",cad!$C$27,IF($B143="V02",cad!$D$27,cad!$E$27)))</f>
      </c>
      <c r="AA143">
        <f>IF($A143="","",IF($B143="V01",cad!$C$28,IF($B143="V02",cad!$D$28,cad!$E$28)))</f>
      </c>
      <c r="AB143">
        <f>IF($A143="","",IF($B143="V01",cad!$C$39,IF($B143="V02",cad!$D$39,cad!$E$39)))</f>
      </c>
      <c r="AC143">
        <f>IF($A143="","",IF($F143="MBWAY",cad!$J$12,IF($F143="ISCOM",cad!$J$13,IF($F143="IPAC",cad!$J$14,IF($F143="PIGIER",cad!$J$15,cad!$J$16)))))</f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>
        <f>IF($A144="","",IF($B144="V01",cad!$C$23,IF($B144="V02",cad!$D$23,cad!$E$23)))</f>
      </c>
      <c r="W144">
        <f>IF($A144="","",IF($B144="V01",cad!$C$24,IF($B144="V02",cad!$D$24,cad!$E$24)))</f>
      </c>
      <c r="X144">
        <f>IF($A144="","",IF($B144="V01",cad!$C$25,IF($B144="V02",cad!$D$25,cad!$E$25)))</f>
      </c>
      <c r="Y144">
        <f>IF($A144="","",IF($B144="V01",cad!$C$26,IF($B144="V02",cad!$D$26,cad!$E$26)))</f>
      </c>
      <c r="Z144">
        <f>IF($A144="","",IF($B144="V01",cad!$C$27,IF($B144="V02",cad!$D$27,cad!$E$27)))</f>
      </c>
      <c r="AA144">
        <f>IF($A144="","",IF($B144="V01",cad!$C$28,IF($B144="V02",cad!$D$28,cad!$E$28)))</f>
      </c>
      <c r="AB144">
        <f>IF($A144="","",IF($B144="V01",cad!$C$39,IF($B144="V02",cad!$D$39,cad!$E$39)))</f>
      </c>
      <c r="AC144">
        <f>IF($A144="","",IF($F144="MBWAY",cad!$J$12,IF($F144="ISCOM",cad!$J$13,IF($F144="IPAC",cad!$J$14,IF($F144="PIGIER",cad!$J$15,cad!$J$16)))))</f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>
        <f>IF($A145="","",IF($B145="V01",cad!$C$23,IF($B145="V02",cad!$D$23,cad!$E$23)))</f>
      </c>
      <c r="W145">
        <f>IF($A145="","",IF($B145="V01",cad!$C$24,IF($B145="V02",cad!$D$24,cad!$E$24)))</f>
      </c>
      <c r="X145">
        <f>IF($A145="","",IF($B145="V01",cad!$C$25,IF($B145="V02",cad!$D$25,cad!$E$25)))</f>
      </c>
      <c r="Y145">
        <f>IF($A145="","",IF($B145="V01",cad!$C$26,IF($B145="V02",cad!$D$26,cad!$E$26)))</f>
      </c>
      <c r="Z145">
        <f>IF($A145="","",IF($B145="V01",cad!$C$27,IF($B145="V02",cad!$D$27,cad!$E$27)))</f>
      </c>
      <c r="AA145">
        <f>IF($A145="","",IF($B145="V01",cad!$C$28,IF($B145="V02",cad!$D$28,cad!$E$28)))</f>
      </c>
      <c r="AB145">
        <f>IF($A145="","",IF($B145="V01",cad!$C$39,IF($B145="V02",cad!$D$39,cad!$E$39)))</f>
      </c>
      <c r="AC145">
        <f>IF($A145="","",IF($F145="MBWAY",cad!$J$12,IF($F145="ISCOM",cad!$J$13,IF($F145="IPAC",cad!$J$14,IF($F145="PIGIER",cad!$J$15,cad!$J$16)))))</f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>
        <f>IF($A146="","",IF($B146="V01",cad!$C$23,IF($B146="V02",cad!$D$23,cad!$E$23)))</f>
      </c>
      <c r="W146">
        <f>IF($A146="","",IF($B146="V01",cad!$C$24,IF($B146="V02",cad!$D$24,cad!$E$24)))</f>
      </c>
      <c r="X146">
        <f>IF($A146="","",IF($B146="V01",cad!$C$25,IF($B146="V02",cad!$D$25,cad!$E$25)))</f>
      </c>
      <c r="Y146">
        <f>IF($A146="","",IF($B146="V01",cad!$C$26,IF($B146="V02",cad!$D$26,cad!$E$26)))</f>
      </c>
      <c r="Z146">
        <f>IF($A146="","",IF($B146="V01",cad!$C$27,IF($B146="V02",cad!$D$27,cad!$E$27)))</f>
      </c>
      <c r="AA146">
        <f>IF($A146="","",IF($B146="V01",cad!$C$28,IF($B146="V02",cad!$D$28,cad!$E$28)))</f>
      </c>
      <c r="AB146">
        <f>IF($A146="","",IF($B146="V01",cad!$C$39,IF($B146="V02",cad!$D$39,cad!$E$39)))</f>
      </c>
      <c r="AC146">
        <f>IF($A146="","",IF($F146="MBWAY",cad!$J$12,IF($F146="ISCOM",cad!$J$13,IF($F146="IPAC",cad!$J$14,IF($F146="PIGIER",cad!$J$15,cad!$J$16)))))</f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>
        <f>IF($A147="","",IF($B147="V01",cad!$C$23,IF($B147="V02",cad!$D$23,cad!$E$23)))</f>
      </c>
      <c r="W147">
        <f>IF($A147="","",IF($B147="V01",cad!$C$24,IF($B147="V02",cad!$D$24,cad!$E$24)))</f>
      </c>
      <c r="X147">
        <f>IF($A147="","",IF($B147="V01",cad!$C$25,IF($B147="V02",cad!$D$25,cad!$E$25)))</f>
      </c>
      <c r="Y147">
        <f>IF($A147="","",IF($B147="V01",cad!$C$26,IF($B147="V02",cad!$D$26,cad!$E$26)))</f>
      </c>
      <c r="Z147">
        <f>IF($A147="","",IF($B147="V01",cad!$C$27,IF($B147="V02",cad!$D$27,cad!$E$27)))</f>
      </c>
      <c r="AA147">
        <f>IF($A147="","",IF($B147="V01",cad!$C$28,IF($B147="V02",cad!$D$28,cad!$E$28)))</f>
      </c>
      <c r="AB147">
        <f>IF($A147="","",IF($B147="V01",cad!$C$39,IF($B147="V02",cad!$D$39,cad!$E$39)))</f>
      </c>
      <c r="AC147">
        <f>IF($A147="","",IF($F147="MBWAY",cad!$J$12,IF($F147="ISCOM",cad!$J$13,IF($F147="IPAC",cad!$J$14,IF($F147="PIGIER",cad!$J$15,cad!$J$16)))))</f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>
        <f>IF($A148="","",IF($B148="V01",cad!$C$23,IF($B148="V02",cad!$D$23,cad!$E$23)))</f>
      </c>
      <c r="W148">
        <f>IF($A148="","",IF($B148="V01",cad!$C$24,IF($B148="V02",cad!$D$24,cad!$E$24)))</f>
      </c>
      <c r="X148">
        <f>IF($A148="","",IF($B148="V01",cad!$C$25,IF($B148="V02",cad!$D$25,cad!$E$25)))</f>
      </c>
      <c r="Y148">
        <f>IF($A148="","",IF($B148="V01",cad!$C$26,IF($B148="V02",cad!$D$26,cad!$E$26)))</f>
      </c>
      <c r="Z148">
        <f>IF($A148="","",IF($B148="V01",cad!$C$27,IF($B148="V02",cad!$D$27,cad!$E$27)))</f>
      </c>
      <c r="AA148">
        <f>IF($A148="","",IF($B148="V01",cad!$C$28,IF($B148="V02",cad!$D$28,cad!$E$28)))</f>
      </c>
      <c r="AB148">
        <f>IF($A148="","",IF($B148="V01",cad!$C$39,IF($B148="V02",cad!$D$39,cad!$E$39)))</f>
      </c>
      <c r="AC148">
        <f>IF($A148="","",IF($F148="MBWAY",cad!$J$12,IF($F148="ISCOM",cad!$J$13,IF($F148="IPAC",cad!$J$14,IF($F148="PIGIER",cad!$J$15,cad!$J$16)))))</f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>
        <f>IF($A149="","",IF($B149="V01",cad!$C$23,IF($B149="V02",cad!$D$23,cad!$E$23)))</f>
      </c>
      <c r="W149">
        <f>IF($A149="","",IF($B149="V01",cad!$C$24,IF($B149="V02",cad!$D$24,cad!$E$24)))</f>
      </c>
      <c r="X149">
        <f>IF($A149="","",IF($B149="V01",cad!$C$25,IF($B149="V02",cad!$D$25,cad!$E$25)))</f>
      </c>
      <c r="Y149">
        <f>IF($A149="","",IF($B149="V01",cad!$C$26,IF($B149="V02",cad!$D$26,cad!$E$26)))</f>
      </c>
      <c r="Z149">
        <f>IF($A149="","",IF($B149="V01",cad!$C$27,IF($B149="V02",cad!$D$27,cad!$E$27)))</f>
      </c>
      <c r="AA149">
        <f>IF($A149="","",IF($B149="V01",cad!$C$28,IF($B149="V02",cad!$D$28,cad!$E$28)))</f>
      </c>
      <c r="AB149">
        <f>IF($A149="","",IF($B149="V01",cad!$C$39,IF($B149="V02",cad!$D$39,cad!$E$39)))</f>
      </c>
      <c r="AC149">
        <f>IF($A149="","",IF($F149="MBWAY",cad!$J$12,IF($F149="ISCOM",cad!$J$13,IF($F149="IPAC",cad!$J$14,IF($F149="PIGIER",cad!$J$15,cad!$J$16)))))</f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>
        <f>IF($A150="","",IF($B150="V01",cad!$C$23,IF($B150="V02",cad!$D$23,cad!$E$23)))</f>
      </c>
      <c r="W150">
        <f>IF($A150="","",IF($B150="V01",cad!$C$24,IF($B150="V02",cad!$D$24,cad!$E$24)))</f>
      </c>
      <c r="X150">
        <f>IF($A150="","",IF($B150="V01",cad!$C$25,IF($B150="V02",cad!$D$25,cad!$E$25)))</f>
      </c>
      <c r="Y150">
        <f>IF($A150="","",IF($B150="V01",cad!$C$26,IF($B150="V02",cad!$D$26,cad!$E$26)))</f>
      </c>
      <c r="Z150">
        <f>IF($A150="","",IF($B150="V01",cad!$C$27,IF($B150="V02",cad!$D$27,cad!$E$27)))</f>
      </c>
      <c r="AA150">
        <f>IF($A150="","",IF($B150="V01",cad!$C$28,IF($B150="V02",cad!$D$28,cad!$E$28)))</f>
      </c>
      <c r="AB150">
        <f>IF($A150="","",IF($B150="V01",cad!$C$39,IF($B150="V02",cad!$D$39,cad!$E$39)))</f>
      </c>
      <c r="AC150">
        <f>IF($A150="","",IF($F150="MBWAY",cad!$J$12,IF($F150="ISCOM",cad!$J$13,IF($F150="IPAC",cad!$J$14,IF($F150="PIGIER",cad!$J$15,cad!$J$16)))))</f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>
        <f>IF($A151="","",IF($B151="V01",cad!$C$23,IF($B151="V02",cad!$D$23,cad!$E$23)))</f>
      </c>
      <c r="W151">
        <f>IF($A151="","",IF($B151="V01",cad!$C$24,IF($B151="V02",cad!$D$24,cad!$E$24)))</f>
      </c>
      <c r="X151">
        <f>IF($A151="","",IF($B151="V01",cad!$C$25,IF($B151="V02",cad!$D$25,cad!$E$25)))</f>
      </c>
      <c r="Y151">
        <f>IF($A151="","",IF($B151="V01",cad!$C$26,IF($B151="V02",cad!$D$26,cad!$E$26)))</f>
      </c>
      <c r="Z151">
        <f>IF($A151="","",IF($B151="V01",cad!$C$27,IF($B151="V02",cad!$D$27,cad!$E$27)))</f>
      </c>
      <c r="AA151">
        <f>IF($A151="","",IF($B151="V01",cad!$C$28,IF($B151="V02",cad!$D$28,cad!$E$28)))</f>
      </c>
      <c r="AB151">
        <f>IF($A151="","",IF($B151="V01",cad!$C$39,IF($B151="V02",cad!$D$39,cad!$E$39)))</f>
      </c>
      <c r="AC151">
        <f>IF($A151="","",IF($F151="MBWAY",cad!$J$12,IF($F151="ISCOM",cad!$J$13,IF($F151="IPAC",cad!$J$14,IF($F151="PIGIER",cad!$J$15,cad!$J$16)))))</f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>
        <f>IF($A152="","",IF($B152="V01",cad!$C$23,IF($B152="V02",cad!$D$23,cad!$E$23)))</f>
      </c>
      <c r="W152">
        <f>IF($A152="","",IF($B152="V01",cad!$C$24,IF($B152="V02",cad!$D$24,cad!$E$24)))</f>
      </c>
      <c r="X152">
        <f>IF($A152="","",IF($B152="V01",cad!$C$25,IF($B152="V02",cad!$D$25,cad!$E$25)))</f>
      </c>
      <c r="Y152">
        <f>IF($A152="","",IF($B152="V01",cad!$C$26,IF($B152="V02",cad!$D$26,cad!$E$26)))</f>
      </c>
      <c r="Z152">
        <f>IF($A152="","",IF($B152="V01",cad!$C$27,IF($B152="V02",cad!$D$27,cad!$E$27)))</f>
      </c>
      <c r="AA152">
        <f>IF($A152="","",IF($B152="V01",cad!$C$28,IF($B152="V02",cad!$D$28,cad!$E$28)))</f>
      </c>
      <c r="AB152">
        <f>IF($A152="","",IF($B152="V01",cad!$C$39,IF($B152="V02",cad!$D$39,cad!$E$39)))</f>
      </c>
      <c r="AC152">
        <f>IF($A152="","",IF($F152="MBWAY",cad!$J$12,IF($F152="ISCOM",cad!$J$13,IF($F152="IPAC",cad!$J$14,IF($F152="PIGIER",cad!$J$15,cad!$J$16)))))</f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>
        <f>IF($A153="","",IF($B153="V01",cad!$C$23,IF($B153="V02",cad!$D$23,cad!$E$23)))</f>
      </c>
      <c r="W153">
        <f>IF($A153="","",IF($B153="V01",cad!$C$24,IF($B153="V02",cad!$D$24,cad!$E$24)))</f>
      </c>
      <c r="X153">
        <f>IF($A153="","",IF($B153="V01",cad!$C$25,IF($B153="V02",cad!$D$25,cad!$E$25)))</f>
      </c>
      <c r="Y153">
        <f>IF($A153="","",IF($B153="V01",cad!$C$26,IF($B153="V02",cad!$D$26,cad!$E$26)))</f>
      </c>
      <c r="Z153">
        <f>IF($A153="","",IF($B153="V01",cad!$C$27,IF($B153="V02",cad!$D$27,cad!$E$27)))</f>
      </c>
      <c r="AA153">
        <f>IF($A153="","",IF($B153="V01",cad!$C$28,IF($B153="V02",cad!$D$28,cad!$E$28)))</f>
      </c>
      <c r="AB153">
        <f>IF($A153="","",IF($B153="V01",cad!$C$39,IF($B153="V02",cad!$D$39,cad!$E$39)))</f>
      </c>
      <c r="AC153">
        <f>IF($A153="","",IF($F153="MBWAY",cad!$J$12,IF($F153="ISCOM",cad!$J$13,IF($F153="IPAC",cad!$J$14,IF($F153="PIGIER",cad!$J$15,cad!$J$16)))))</f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>
        <f>IF($A154="","",IF($B154="V01",cad!$C$23,IF($B154="V02",cad!$D$23,cad!$E$23)))</f>
      </c>
      <c r="W154">
        <f>IF($A154="","",IF($B154="V01",cad!$C$24,IF($B154="V02",cad!$D$24,cad!$E$24)))</f>
      </c>
      <c r="X154">
        <f>IF($A154="","",IF($B154="V01",cad!$C$25,IF($B154="V02",cad!$D$25,cad!$E$25)))</f>
      </c>
      <c r="Y154">
        <f>IF($A154="","",IF($B154="V01",cad!$C$26,IF($B154="V02",cad!$D$26,cad!$E$26)))</f>
      </c>
      <c r="Z154">
        <f>IF($A154="","",IF($B154="V01",cad!$C$27,IF($B154="V02",cad!$D$27,cad!$E$27)))</f>
      </c>
      <c r="AA154">
        <f>IF($A154="","",IF($B154="V01",cad!$C$28,IF($B154="V02",cad!$D$28,cad!$E$28)))</f>
      </c>
      <c r="AB154">
        <f>IF($A154="","",IF($B154="V01",cad!$C$39,IF($B154="V02",cad!$D$39,cad!$E$39)))</f>
      </c>
      <c r="AC154">
        <f>IF($A154="","",IF($F154="MBWAY",cad!$J$12,IF($F154="ISCOM",cad!$J$13,IF($F154="IPAC",cad!$J$14,IF($F154="PIGIER",cad!$J$15,cad!$J$16)))))</f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>
        <f>IF($A155="","",IF($B155="V01",cad!$C$23,IF($B155="V02",cad!$D$23,cad!$E$23)))</f>
      </c>
      <c r="W155">
        <f>IF($A155="","",IF($B155="V01",cad!$C$24,IF($B155="V02",cad!$D$24,cad!$E$24)))</f>
      </c>
      <c r="X155">
        <f>IF($A155="","",IF($B155="V01",cad!$C$25,IF($B155="V02",cad!$D$25,cad!$E$25)))</f>
      </c>
      <c r="Y155">
        <f>IF($A155="","",IF($B155="V01",cad!$C$26,IF($B155="V02",cad!$D$26,cad!$E$26)))</f>
      </c>
      <c r="Z155">
        <f>IF($A155="","",IF($B155="V01",cad!$C$27,IF($B155="V02",cad!$D$27,cad!$E$27)))</f>
      </c>
      <c r="AA155">
        <f>IF($A155="","",IF($B155="V01",cad!$C$28,IF($B155="V02",cad!$D$28,cad!$E$28)))</f>
      </c>
      <c r="AB155">
        <f>IF($A155="","",IF($B155="V01",cad!$C$39,IF($B155="V02",cad!$D$39,cad!$E$39)))</f>
      </c>
      <c r="AC155">
        <f>IF($A155="","",IF($F155="MBWAY",cad!$J$12,IF($F155="ISCOM",cad!$J$13,IF($F155="IPAC",cad!$J$14,IF($F155="PIGIER",cad!$J$15,cad!$J$16)))))</f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>
        <f>IF($A156="","",IF($B156="V01",cad!$C$23,IF($B156="V02",cad!$D$23,cad!$E$23)))</f>
      </c>
      <c r="W156">
        <f>IF($A156="","",IF($B156="V01",cad!$C$24,IF($B156="V02",cad!$D$24,cad!$E$24)))</f>
      </c>
      <c r="X156">
        <f>IF($A156="","",IF($B156="V01",cad!$C$25,IF($B156="V02",cad!$D$25,cad!$E$25)))</f>
      </c>
      <c r="Y156">
        <f>IF($A156="","",IF($B156="V01",cad!$C$26,IF($B156="V02",cad!$D$26,cad!$E$26)))</f>
      </c>
      <c r="Z156">
        <f>IF($A156="","",IF($B156="V01",cad!$C$27,IF($B156="V02",cad!$D$27,cad!$E$27)))</f>
      </c>
      <c r="AA156">
        <f>IF($A156="","",IF($B156="V01",cad!$C$28,IF($B156="V02",cad!$D$28,cad!$E$28)))</f>
      </c>
      <c r="AB156">
        <f>IF($A156="","",IF($B156="V01",cad!$C$39,IF($B156="V02",cad!$D$39,cad!$E$39)))</f>
      </c>
      <c r="AC156">
        <f>IF($A156="","",IF($F156="MBWAY",cad!$J$12,IF($F156="ISCOM",cad!$J$13,IF($F156="IPAC",cad!$J$14,IF($F156="PIGIER",cad!$J$15,cad!$J$16)))))</f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>
        <f>IF($A157="","",IF($B157="V01",cad!$C$23,IF($B157="V02",cad!$D$23,cad!$E$23)))</f>
      </c>
      <c r="W157">
        <f>IF($A157="","",IF($B157="V01",cad!$C$24,IF($B157="V02",cad!$D$24,cad!$E$24)))</f>
      </c>
      <c r="X157">
        <f>IF($A157="","",IF($B157="V01",cad!$C$25,IF($B157="V02",cad!$D$25,cad!$E$25)))</f>
      </c>
      <c r="Y157">
        <f>IF($A157="","",IF($B157="V01",cad!$C$26,IF($B157="V02",cad!$D$26,cad!$E$26)))</f>
      </c>
      <c r="Z157">
        <f>IF($A157="","",IF($B157="V01",cad!$C$27,IF($B157="V02",cad!$D$27,cad!$E$27)))</f>
      </c>
      <c r="AA157">
        <f>IF($A157="","",IF($B157="V01",cad!$C$28,IF($B157="V02",cad!$D$28,cad!$E$28)))</f>
      </c>
      <c r="AB157">
        <f>IF($A157="","",IF($B157="V01",cad!$C$39,IF($B157="V02",cad!$D$39,cad!$E$39)))</f>
      </c>
      <c r="AC157">
        <f>IF($A157="","",IF($F157="MBWAY",cad!$J$12,IF($F157="ISCOM",cad!$J$13,IF($F157="IPAC",cad!$J$14,IF($F157="PIGIER",cad!$J$15,cad!$J$16)))))</f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>
        <f>IF($A158="","",IF($B158="V01",cad!$C$23,IF($B158="V02",cad!$D$23,cad!$E$23)))</f>
      </c>
      <c r="W158">
        <f>IF($A158="","",IF($B158="V01",cad!$C$24,IF($B158="V02",cad!$D$24,cad!$E$24)))</f>
      </c>
      <c r="X158">
        <f>IF($A158="","",IF($B158="V01",cad!$C$25,IF($B158="V02",cad!$D$25,cad!$E$25)))</f>
      </c>
      <c r="Y158">
        <f>IF($A158="","",IF($B158="V01",cad!$C$26,IF($B158="V02",cad!$D$26,cad!$E$26)))</f>
      </c>
      <c r="Z158">
        <f>IF($A158="","",IF($B158="V01",cad!$C$27,IF($B158="V02",cad!$D$27,cad!$E$27)))</f>
      </c>
      <c r="AA158">
        <f>IF($A158="","",IF($B158="V01",cad!$C$28,IF($B158="V02",cad!$D$28,cad!$E$28)))</f>
      </c>
      <c r="AB158">
        <f>IF($A158="","",IF($B158="V01",cad!$C$39,IF($B158="V02",cad!$D$39,cad!$E$39)))</f>
      </c>
      <c r="AC158">
        <f>IF($A158="","",IF($F158="MBWAY",cad!$J$12,IF($F158="ISCOM",cad!$J$13,IF($F158="IPAC",cad!$J$14,IF($F158="PIGIER",cad!$J$15,cad!$J$16)))))</f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>
        <f>IF($A159="","",IF($B159="V01",cad!$C$23,IF($B159="V02",cad!$D$23,cad!$E$23)))</f>
      </c>
      <c r="W159">
        <f>IF($A159="","",IF($B159="V01",cad!$C$24,IF($B159="V02",cad!$D$24,cad!$E$24)))</f>
      </c>
      <c r="X159">
        <f>IF($A159="","",IF($B159="V01",cad!$C$25,IF($B159="V02",cad!$D$25,cad!$E$25)))</f>
      </c>
      <c r="Y159">
        <f>IF($A159="","",IF($B159="V01",cad!$C$26,IF($B159="V02",cad!$D$26,cad!$E$26)))</f>
      </c>
      <c r="Z159">
        <f>IF($A159="","",IF($B159="V01",cad!$C$27,IF($B159="V02",cad!$D$27,cad!$E$27)))</f>
      </c>
      <c r="AA159">
        <f>IF($A159="","",IF($B159="V01",cad!$C$28,IF($B159="V02",cad!$D$28,cad!$E$28)))</f>
      </c>
      <c r="AB159">
        <f>IF($A159="","",IF($B159="V01",cad!$C$39,IF($B159="V02",cad!$D$39,cad!$E$39)))</f>
      </c>
      <c r="AC159">
        <f>IF($A159="","",IF($F159="MBWAY",cad!$J$12,IF($F159="ISCOM",cad!$J$13,IF($F159="IPAC",cad!$J$14,IF($F159="PIGIER",cad!$J$15,cad!$J$16)))))</f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>
        <f>IF($A160="","",IF($B160="V01",cad!$C$23,IF($B160="V02",cad!$D$23,cad!$E$23)))</f>
      </c>
      <c r="W160">
        <f>IF($A160="","",IF($B160="V01",cad!$C$24,IF($B160="V02",cad!$D$24,cad!$E$24)))</f>
      </c>
      <c r="X160">
        <f>IF($A160="","",IF($B160="V01",cad!$C$25,IF($B160="V02",cad!$D$25,cad!$E$25)))</f>
      </c>
      <c r="Y160">
        <f>IF($A160="","",IF($B160="V01",cad!$C$26,IF($B160="V02",cad!$D$26,cad!$E$26)))</f>
      </c>
      <c r="Z160">
        <f>IF($A160="","",IF($B160="V01",cad!$C$27,IF($B160="V02",cad!$D$27,cad!$E$27)))</f>
      </c>
      <c r="AA160">
        <f>IF($A160="","",IF($B160="V01",cad!$C$28,IF($B160="V02",cad!$D$28,cad!$E$28)))</f>
      </c>
      <c r="AB160">
        <f>IF($A160="","",IF($B160="V01",cad!$C$39,IF($B160="V02",cad!$D$39,cad!$E$39)))</f>
      </c>
      <c r="AC160">
        <f>IF($A160="","",IF($F160="MBWAY",cad!$J$12,IF($F160="ISCOM",cad!$J$13,IF($F160="IPAC",cad!$J$14,IF($F160="PIGIER",cad!$J$15,cad!$J$16)))))</f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>
        <f>IF($A161="","",IF($B161="V01",cad!$C$23,IF($B161="V02",cad!$D$23,cad!$E$23)))</f>
      </c>
      <c r="W161">
        <f>IF($A161="","",IF($B161="V01",cad!$C$24,IF($B161="V02",cad!$D$24,cad!$E$24)))</f>
      </c>
      <c r="X161">
        <f>IF($A161="","",IF($B161="V01",cad!$C$25,IF($B161="V02",cad!$D$25,cad!$E$25)))</f>
      </c>
      <c r="Y161">
        <f>IF($A161="","",IF($B161="V01",cad!$C$26,IF($B161="V02",cad!$D$26,cad!$E$26)))</f>
      </c>
      <c r="Z161">
        <f>IF($A161="","",IF($B161="V01",cad!$C$27,IF($B161="V02",cad!$D$27,cad!$E$27)))</f>
      </c>
      <c r="AA161">
        <f>IF($A161="","",IF($B161="V01",cad!$C$28,IF($B161="V02",cad!$D$28,cad!$E$28)))</f>
      </c>
      <c r="AB161">
        <f>IF($A161="","",IF($B161="V01",cad!$C$39,IF($B161="V02",cad!$D$39,cad!$E$39)))</f>
      </c>
      <c r="AC161">
        <f>IF($A161="","",IF($F161="MBWAY",cad!$J$12,IF($F161="ISCOM",cad!$J$13,IF($F161="IPAC",cad!$J$14,IF($F161="PIGIER",cad!$J$15,cad!$J$16)))))</f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>
        <f>IF($A162="","",IF($B162="V01",cad!$C$23,IF($B162="V02",cad!$D$23,cad!$E$23)))</f>
      </c>
      <c r="W162">
        <f>IF($A162="","",IF($B162="V01",cad!$C$24,IF($B162="V02",cad!$D$24,cad!$E$24)))</f>
      </c>
      <c r="X162">
        <f>IF($A162="","",IF($B162="V01",cad!$C$25,IF($B162="V02",cad!$D$25,cad!$E$25)))</f>
      </c>
      <c r="Y162">
        <f>IF($A162="","",IF($B162="V01",cad!$C$26,IF($B162="V02",cad!$D$26,cad!$E$26)))</f>
      </c>
      <c r="Z162">
        <f>IF($A162="","",IF($B162="V01",cad!$C$27,IF($B162="V02",cad!$D$27,cad!$E$27)))</f>
      </c>
      <c r="AA162">
        <f>IF($A162="","",IF($B162="V01",cad!$C$28,IF($B162="V02",cad!$D$28,cad!$E$28)))</f>
      </c>
      <c r="AB162">
        <f>IF($A162="","",IF($B162="V01",cad!$C$39,IF($B162="V02",cad!$D$39,cad!$E$39)))</f>
      </c>
      <c r="AC162">
        <f>IF($A162="","",IF($F162="MBWAY",cad!$J$12,IF($F162="ISCOM",cad!$J$13,IF($F162="IPAC",cad!$J$14,IF($F162="PIGIER",cad!$J$15,cad!$J$16)))))</f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>
        <f>IF($A163="","",IF($B163="V01",cad!$C$23,IF($B163="V02",cad!$D$23,cad!$E$23)))</f>
      </c>
      <c r="W163">
        <f>IF($A163="","",IF($B163="V01",cad!$C$24,IF($B163="V02",cad!$D$24,cad!$E$24)))</f>
      </c>
      <c r="X163">
        <f>IF($A163="","",IF($B163="V01",cad!$C$25,IF($B163="V02",cad!$D$25,cad!$E$25)))</f>
      </c>
      <c r="Y163">
        <f>IF($A163="","",IF($B163="V01",cad!$C$26,IF($B163="V02",cad!$D$26,cad!$E$26)))</f>
      </c>
      <c r="Z163">
        <f>IF($A163="","",IF($B163="V01",cad!$C$27,IF($B163="V02",cad!$D$27,cad!$E$27)))</f>
      </c>
      <c r="AA163">
        <f>IF($A163="","",IF($B163="V01",cad!$C$28,IF($B163="V02",cad!$D$28,cad!$E$28)))</f>
      </c>
      <c r="AB163">
        <f>IF($A163="","",IF($B163="V01",cad!$C$39,IF($B163="V02",cad!$D$39,cad!$E$39)))</f>
      </c>
      <c r="AC163">
        <f>IF($A163="","",IF($F163="MBWAY",cad!$J$12,IF($F163="ISCOM",cad!$J$13,IF($F163="IPAC",cad!$J$14,IF($F163="PIGIER",cad!$J$15,cad!$J$16)))))</f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>
        <f>IF($A164="","",IF($B164="V01",cad!$C$23,IF($B164="V02",cad!$D$23,cad!$E$23)))</f>
      </c>
      <c r="W164">
        <f>IF($A164="","",IF($B164="V01",cad!$C$24,IF($B164="V02",cad!$D$24,cad!$E$24)))</f>
      </c>
      <c r="X164">
        <f>IF($A164="","",IF($B164="V01",cad!$C$25,IF($B164="V02",cad!$D$25,cad!$E$25)))</f>
      </c>
      <c r="Y164">
        <f>IF($A164="","",IF($B164="V01",cad!$C$26,IF($B164="V02",cad!$D$26,cad!$E$26)))</f>
      </c>
      <c r="Z164">
        <f>IF($A164="","",IF($B164="V01",cad!$C$27,IF($B164="V02",cad!$D$27,cad!$E$27)))</f>
      </c>
      <c r="AA164">
        <f>IF($A164="","",IF($B164="V01",cad!$C$28,IF($B164="V02",cad!$D$28,cad!$E$28)))</f>
      </c>
      <c r="AB164">
        <f>IF($A164="","",IF($B164="V01",cad!$C$39,IF($B164="V02",cad!$D$39,cad!$E$39)))</f>
      </c>
      <c r="AC164">
        <f>IF($A164="","",IF($F164="MBWAY",cad!$J$12,IF($F164="ISCOM",cad!$J$13,IF($F164="IPAC",cad!$J$14,IF($F164="PIGIER",cad!$J$15,cad!$J$16)))))</f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>
        <f>IF($A165="","",IF($B165="V01",cad!$C$23,IF($B165="V02",cad!$D$23,cad!$E$23)))</f>
      </c>
      <c r="W165">
        <f>IF($A165="","",IF($B165="V01",cad!$C$24,IF($B165="V02",cad!$D$24,cad!$E$24)))</f>
      </c>
      <c r="X165">
        <f>IF($A165="","",IF($B165="V01",cad!$C$25,IF($B165="V02",cad!$D$25,cad!$E$25)))</f>
      </c>
      <c r="Y165">
        <f>IF($A165="","",IF($B165="V01",cad!$C$26,IF($B165="V02",cad!$D$26,cad!$E$26)))</f>
      </c>
      <c r="Z165">
        <f>IF($A165="","",IF($B165="V01",cad!$C$27,IF($B165="V02",cad!$D$27,cad!$E$27)))</f>
      </c>
      <c r="AA165">
        <f>IF($A165="","",IF($B165="V01",cad!$C$28,IF($B165="V02",cad!$D$28,cad!$E$28)))</f>
      </c>
      <c r="AB165">
        <f>IF($A165="","",IF($B165="V01",cad!$C$39,IF($B165="V02",cad!$D$39,cad!$E$39)))</f>
      </c>
      <c r="AC165">
        <f>IF($A165="","",IF($F165="MBWAY",cad!$J$12,IF($F165="ISCOM",cad!$J$13,IF($F165="IPAC",cad!$J$14,IF($F165="PIGIER",cad!$J$15,cad!$J$16)))))</f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>
        <f>IF($A166="","",IF($B166="V01",cad!$C$23,IF($B166="V02",cad!$D$23,cad!$E$23)))</f>
      </c>
      <c r="W166">
        <f>IF($A166="","",IF($B166="V01",cad!$C$24,IF($B166="V02",cad!$D$24,cad!$E$24)))</f>
      </c>
      <c r="X166">
        <f>IF($A166="","",IF($B166="V01",cad!$C$25,IF($B166="V02",cad!$D$25,cad!$E$25)))</f>
      </c>
      <c r="Y166">
        <f>IF($A166="","",IF($B166="V01",cad!$C$26,IF($B166="V02",cad!$D$26,cad!$E$26)))</f>
      </c>
      <c r="Z166">
        <f>IF($A166="","",IF($B166="V01",cad!$C$27,IF($B166="V02",cad!$D$27,cad!$E$27)))</f>
      </c>
      <c r="AA166">
        <f>IF($A166="","",IF($B166="V01",cad!$C$28,IF($B166="V02",cad!$D$28,cad!$E$28)))</f>
      </c>
      <c r="AB166">
        <f>IF($A166="","",IF($B166="V01",cad!$C$39,IF($B166="V02",cad!$D$39,cad!$E$39)))</f>
      </c>
      <c r="AC166">
        <f>IF($A166="","",IF($F166="MBWAY",cad!$J$12,IF($F166="ISCOM",cad!$J$13,IF($F166="IPAC",cad!$J$14,IF($F166="PIGIER",cad!$J$15,cad!$J$16)))))</f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>
        <f>IF($A167="","",IF($B167="V01",cad!$C$23,IF($B167="V02",cad!$D$23,cad!$E$23)))</f>
      </c>
      <c r="W167">
        <f>IF($A167="","",IF($B167="V01",cad!$C$24,IF($B167="V02",cad!$D$24,cad!$E$24)))</f>
      </c>
      <c r="X167">
        <f>IF($A167="","",IF($B167="V01",cad!$C$25,IF($B167="V02",cad!$D$25,cad!$E$25)))</f>
      </c>
      <c r="Y167">
        <f>IF($A167="","",IF($B167="V01",cad!$C$26,IF($B167="V02",cad!$D$26,cad!$E$26)))</f>
      </c>
      <c r="Z167">
        <f>IF($A167="","",IF($B167="V01",cad!$C$27,IF($B167="V02",cad!$D$27,cad!$E$27)))</f>
      </c>
      <c r="AA167">
        <f>IF($A167="","",IF($B167="V01",cad!$C$28,IF($B167="V02",cad!$D$28,cad!$E$28)))</f>
      </c>
      <c r="AB167">
        <f>IF($A167="","",IF($B167="V01",cad!$C$39,IF($B167="V02",cad!$D$39,cad!$E$39)))</f>
      </c>
      <c r="AC167">
        <f>IF($A167="","",IF($F167="MBWAY",cad!$J$12,IF($F167="ISCOM",cad!$J$13,IF($F167="IPAC",cad!$J$14,IF($F167="PIGIER",cad!$J$15,cad!$J$16)))))</f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>
        <f>IF($A168="","",IF($B168="V01",cad!$C$23,IF($B168="V02",cad!$D$23,cad!$E$23)))</f>
      </c>
      <c r="W168">
        <f>IF($A168="","",IF($B168="V01",cad!$C$24,IF($B168="V02",cad!$D$24,cad!$E$24)))</f>
      </c>
      <c r="X168">
        <f>IF($A168="","",IF($B168="V01",cad!$C$25,IF($B168="V02",cad!$D$25,cad!$E$25)))</f>
      </c>
      <c r="Y168">
        <f>IF($A168="","",IF($B168="V01",cad!$C$26,IF($B168="V02",cad!$D$26,cad!$E$26)))</f>
      </c>
      <c r="Z168">
        <f>IF($A168="","",IF($B168="V01",cad!$C$27,IF($B168="V02",cad!$D$27,cad!$E$27)))</f>
      </c>
      <c r="AA168">
        <f>IF($A168="","",IF($B168="V01",cad!$C$28,IF($B168="V02",cad!$D$28,cad!$E$28)))</f>
      </c>
      <c r="AB168">
        <f>IF($A168="","",IF($B168="V01",cad!$C$39,IF($B168="V02",cad!$D$39,cad!$E$39)))</f>
      </c>
      <c r="AC168">
        <f>IF($A168="","",IF($F168="MBWAY",cad!$J$12,IF($F168="ISCOM",cad!$J$13,IF($F168="IPAC",cad!$J$14,IF($F168="PIGIER",cad!$J$15,cad!$J$16)))))</f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>
        <f>IF($A169="","",IF($B169="V01",cad!$C$23,IF($B169="V02",cad!$D$23,cad!$E$23)))</f>
      </c>
      <c r="W169">
        <f>IF($A169="","",IF($B169="V01",cad!$C$24,IF($B169="V02",cad!$D$24,cad!$E$24)))</f>
      </c>
      <c r="X169">
        <f>IF($A169="","",IF($B169="V01",cad!$C$25,IF($B169="V02",cad!$D$25,cad!$E$25)))</f>
      </c>
      <c r="Y169">
        <f>IF($A169="","",IF($B169="V01",cad!$C$26,IF($B169="V02",cad!$D$26,cad!$E$26)))</f>
      </c>
      <c r="Z169">
        <f>IF($A169="","",IF($B169="V01",cad!$C$27,IF($B169="V02",cad!$D$27,cad!$E$27)))</f>
      </c>
      <c r="AA169">
        <f>IF($A169="","",IF($B169="V01",cad!$C$28,IF($B169="V02",cad!$D$28,cad!$E$28)))</f>
      </c>
      <c r="AB169">
        <f>IF($A169="","",IF($B169="V01",cad!$C$39,IF($B169="V02",cad!$D$39,cad!$E$39)))</f>
      </c>
      <c r="AC169">
        <f>IF($A169="","",IF($F169="MBWAY",cad!$J$12,IF($F169="ISCOM",cad!$J$13,IF($F169="IPAC",cad!$J$14,IF($F169="PIGIER",cad!$J$15,cad!$J$16)))))</f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>
        <f>IF($A170="","",IF($B170="V01",cad!$C$23,IF($B170="V02",cad!$D$23,cad!$E$23)))</f>
      </c>
      <c r="W170">
        <f>IF($A170="","",IF($B170="V01",cad!$C$24,IF($B170="V02",cad!$D$24,cad!$E$24)))</f>
      </c>
      <c r="X170">
        <f>IF($A170="","",IF($B170="V01",cad!$C$25,IF($B170="V02",cad!$D$25,cad!$E$25)))</f>
      </c>
      <c r="Y170">
        <f>IF($A170="","",IF($B170="V01",cad!$C$26,IF($B170="V02",cad!$D$26,cad!$E$26)))</f>
      </c>
      <c r="Z170">
        <f>IF($A170="","",IF($B170="V01",cad!$C$27,IF($B170="V02",cad!$D$27,cad!$E$27)))</f>
      </c>
      <c r="AA170">
        <f>IF($A170="","",IF($B170="V01",cad!$C$28,IF($B170="V02",cad!$D$28,cad!$E$28)))</f>
      </c>
      <c r="AB170">
        <f>IF($A170="","",IF($B170="V01",cad!$C$39,IF($B170="V02",cad!$D$39,cad!$E$39)))</f>
      </c>
      <c r="AC170">
        <f>IF($A170="","",IF($F170="MBWAY",cad!$J$12,IF($F170="ISCOM",cad!$J$13,IF($F170="IPAC",cad!$J$14,IF($F170="PIGIER",cad!$J$15,cad!$J$16)))))</f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>
        <f>IF($A171="","",IF($B171="V01",cad!$C$23,IF($B171="V02",cad!$D$23,cad!$E$23)))</f>
      </c>
      <c r="W171">
        <f>IF($A171="","",IF($B171="V01",cad!$C$24,IF($B171="V02",cad!$D$24,cad!$E$24)))</f>
      </c>
      <c r="X171">
        <f>IF($A171="","",IF($B171="V01",cad!$C$25,IF($B171="V02",cad!$D$25,cad!$E$25)))</f>
      </c>
      <c r="Y171">
        <f>IF($A171="","",IF($B171="V01",cad!$C$26,IF($B171="V02",cad!$D$26,cad!$E$26)))</f>
      </c>
      <c r="Z171">
        <f>IF($A171="","",IF($B171="V01",cad!$C$27,IF($B171="V02",cad!$D$27,cad!$E$27)))</f>
      </c>
      <c r="AA171">
        <f>IF($A171="","",IF($B171="V01",cad!$C$28,IF($B171="V02",cad!$D$28,cad!$E$28)))</f>
      </c>
      <c r="AB171">
        <f>IF($A171="","",IF($B171="V01",cad!$C$39,IF($B171="V02",cad!$D$39,cad!$E$39)))</f>
      </c>
      <c r="AC171">
        <f>IF($A171="","",IF($F171="MBWAY",cad!$J$12,IF($F171="ISCOM",cad!$J$13,IF($F171="IPAC",cad!$J$14,IF($F171="PIGIER",cad!$J$15,cad!$J$16)))))</f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>
        <f>IF($A172="","",IF($B172="V01",cad!$C$23,IF($B172="V02",cad!$D$23,cad!$E$23)))</f>
      </c>
      <c r="W172">
        <f>IF($A172="","",IF($B172="V01",cad!$C$24,IF($B172="V02",cad!$D$24,cad!$E$24)))</f>
      </c>
      <c r="X172">
        <f>IF($A172="","",IF($B172="V01",cad!$C$25,IF($B172="V02",cad!$D$25,cad!$E$25)))</f>
      </c>
      <c r="Y172">
        <f>IF($A172="","",IF($B172="V01",cad!$C$26,IF($B172="V02",cad!$D$26,cad!$E$26)))</f>
      </c>
      <c r="Z172">
        <f>IF($A172="","",IF($B172="V01",cad!$C$27,IF($B172="V02",cad!$D$27,cad!$E$27)))</f>
      </c>
      <c r="AA172">
        <f>IF($A172="","",IF($B172="V01",cad!$C$28,IF($B172="V02",cad!$D$28,cad!$E$28)))</f>
      </c>
      <c r="AB172">
        <f>IF($A172="","",IF($B172="V01",cad!$C$39,IF($B172="V02",cad!$D$39,cad!$E$39)))</f>
      </c>
      <c r="AC172">
        <f>IF($A172="","",IF($F172="MBWAY",cad!$J$12,IF($F172="ISCOM",cad!$J$13,IF($F172="IPAC",cad!$J$14,IF($F172="PIGIER",cad!$J$15,cad!$J$16)))))</f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>
        <f>IF($A173="","",IF($B173="V01",cad!$C$23,IF($B173="V02",cad!$D$23,cad!$E$23)))</f>
      </c>
      <c r="W173">
        <f>IF($A173="","",IF($B173="V01",cad!$C$24,IF($B173="V02",cad!$D$24,cad!$E$24)))</f>
      </c>
      <c r="X173">
        <f>IF($A173="","",IF($B173="V01",cad!$C$25,IF($B173="V02",cad!$D$25,cad!$E$25)))</f>
      </c>
      <c r="Y173">
        <f>IF($A173="","",IF($B173="V01",cad!$C$26,IF($B173="V02",cad!$D$26,cad!$E$26)))</f>
      </c>
      <c r="Z173">
        <f>IF($A173="","",IF($B173="V01",cad!$C$27,IF($B173="V02",cad!$D$27,cad!$E$27)))</f>
      </c>
      <c r="AA173">
        <f>IF($A173="","",IF($B173="V01",cad!$C$28,IF($B173="V02",cad!$D$28,cad!$E$28)))</f>
      </c>
      <c r="AB173">
        <f>IF($A173="","",IF($B173="V01",cad!$C$39,IF($B173="V02",cad!$D$39,cad!$E$39)))</f>
      </c>
      <c r="AC173">
        <f>IF($A173="","",IF($F173="MBWAY",cad!$J$12,IF($F173="ISCOM",cad!$J$13,IF($F173="IPAC",cad!$J$14,IF($F173="PIGIER",cad!$J$15,cad!$J$16)))))</f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>
        <f>IF($A174="","",IF($B174="V01",cad!$C$23,IF($B174="V02",cad!$D$23,cad!$E$23)))</f>
      </c>
      <c r="W174">
        <f>IF($A174="","",IF($B174="V01",cad!$C$24,IF($B174="V02",cad!$D$24,cad!$E$24)))</f>
      </c>
      <c r="X174">
        <f>IF($A174="","",IF($B174="V01",cad!$C$25,IF($B174="V02",cad!$D$25,cad!$E$25)))</f>
      </c>
      <c r="Y174">
        <f>IF($A174="","",IF($B174="V01",cad!$C$26,IF($B174="V02",cad!$D$26,cad!$E$26)))</f>
      </c>
      <c r="Z174">
        <f>IF($A174="","",IF($B174="V01",cad!$C$27,IF($B174="V02",cad!$D$27,cad!$E$27)))</f>
      </c>
      <c r="AA174">
        <f>IF($A174="","",IF($B174="V01",cad!$C$28,IF($B174="V02",cad!$D$28,cad!$E$28)))</f>
      </c>
      <c r="AB174">
        <f>IF($A174="","",IF($B174="V01",cad!$C$39,IF($B174="V02",cad!$D$39,cad!$E$39)))</f>
      </c>
      <c r="AC174">
        <f>IF($A174="","",IF($F174="MBWAY",cad!$J$12,IF($F174="ISCOM",cad!$J$13,IF($F174="IPAC",cad!$J$14,IF($F174="PIGIER",cad!$J$15,cad!$J$16)))))</f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>
        <f>IF($A175="","",IF($B175="V01",cad!$C$23,IF($B175="V02",cad!$D$23,cad!$E$23)))</f>
      </c>
      <c r="W175">
        <f>IF($A175="","",IF($B175="V01",cad!$C$24,IF($B175="V02",cad!$D$24,cad!$E$24)))</f>
      </c>
      <c r="X175">
        <f>IF($A175="","",IF($B175="V01",cad!$C$25,IF($B175="V02",cad!$D$25,cad!$E$25)))</f>
      </c>
      <c r="Y175">
        <f>IF($A175="","",IF($B175="V01",cad!$C$26,IF($B175="V02",cad!$D$26,cad!$E$26)))</f>
      </c>
      <c r="Z175">
        <f>IF($A175="","",IF($B175="V01",cad!$C$27,IF($B175="V02",cad!$D$27,cad!$E$27)))</f>
      </c>
      <c r="AA175">
        <f>IF($A175="","",IF($B175="V01",cad!$C$28,IF($B175="V02",cad!$D$28,cad!$E$28)))</f>
      </c>
      <c r="AB175">
        <f>IF($A175="","",IF($B175="V01",cad!$C$39,IF($B175="V02",cad!$D$39,cad!$E$39)))</f>
      </c>
      <c r="AC175">
        <f>IF($A175="","",IF($F175="MBWAY",cad!$J$12,IF($F175="ISCOM",cad!$J$13,IF($F175="IPAC",cad!$J$14,IF($F175="PIGIER",cad!$J$15,cad!$J$16)))))</f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IF($A2="","",IF($D2="V01",cad!$C$23,IF($D2="V02",cad!$D$23,cad!$E$23)))</f>
      </c>
      <c r="H2">
        <f>IF($A2="","",IF($D2="V01",cad!$C$24,IF($D2="V02",cad!$D$24,cad!$E$24)))</f>
      </c>
      <c r="I2">
        <f>IF($A2="","",IF($D2="V01",cad!$C$32,IF($D2="V02",cad!$D$32,cad!$E$32)))</f>
      </c>
      <c r="J2">
        <f>IF($A2="","",IF($D2="V01",cad!$C$33,IF($D2="V02",cad!$D$33,cad!$E$33)))</f>
      </c>
      <c r="K2">
        <f>IF($A2="","",IF($D2="V01",cad!$C$34,IF($D2="V02",cad!$D$34,cad!$E$34)))</f>
      </c>
      <c r="L2">
        <f>IF($A2="","",IF($D2="V01",cad!$C$35,IF($D2="V02",cad!$D$35,cad!$E$35)))</f>
      </c>
      <c r="M2">
        <f>IF($A2="","",IF($D2="V01",cad!$C$36,IF($D2="V02",cad!$D$36,cad!$E$36)))</f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>
        <f>IF($A3="","",IF($D3="V01",cad!$C$23,IF($D3="V02",cad!$D$23,cad!$E$23)))</f>
      </c>
      <c r="H3">
        <f>IF($A3="","",IF($D3="V01",cad!$C$24,IF($D3="V02",cad!$D$24,cad!$E$24)))</f>
      </c>
      <c r="I3">
        <f>IF($A3="","",IF($D3="V01",cad!$C$32,IF($D3="V02",cad!$D$32,cad!$E$32)))</f>
      </c>
      <c r="J3">
        <f>IF($A3="","",IF($D3="V01",cad!$C$33,IF($D3="V02",cad!$D$33,cad!$E$33)))</f>
      </c>
      <c r="K3">
        <f>IF($A3="","",IF($D3="V01",cad!$C$34,IF($D3="V02",cad!$D$34,cad!$E$34)))</f>
      </c>
      <c r="L3">
        <f>IF($A3="","",IF($D3="V01",cad!$C$35,IF($D3="V02",cad!$D$35,cad!$E$35)))</f>
      </c>
      <c r="M3">
        <f>IF($A3="","",IF($D3="V01",cad!$C$36,IF($D3="V02",cad!$D$36,cad!$E$36)))</f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>
        <f>IF($A4="","",IF($D4="V01",cad!$C$23,IF($D4="V02",cad!$D$23,cad!$E$23)))</f>
      </c>
      <c r="H4">
        <f>IF($A4="","",IF($D4="V01",cad!$C$24,IF($D4="V02",cad!$D$24,cad!$E$24)))</f>
      </c>
      <c r="I4">
        <f>IF($A4="","",IF($D4="V01",cad!$C$32,IF($D4="V02",cad!$D$32,cad!$E$32)))</f>
      </c>
      <c r="J4">
        <f>IF($A4="","",IF($D4="V01",cad!$C$33,IF($D4="V02",cad!$D$33,cad!$E$33)))</f>
      </c>
      <c r="K4">
        <f>IF($A4="","",IF($D4="V01",cad!$C$34,IF($D4="V02",cad!$D$34,cad!$E$34)))</f>
      </c>
      <c r="L4">
        <f>IF($A4="","",IF($D4="V01",cad!$C$35,IF($D4="V02",cad!$D$35,cad!$E$35)))</f>
      </c>
      <c r="M4">
        <f>IF($A4="","",IF($D4="V01",cad!$C$36,IF($D4="V02",cad!$D$36,cad!$E$36)))</f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>
        <f>IF($A5="","",IF($D5="V01",cad!$C$23,IF($D5="V02",cad!$D$23,cad!$E$23)))</f>
      </c>
      <c r="H5">
        <f>IF($A5="","",IF($D5="V01",cad!$C$24,IF($D5="V02",cad!$D$24,cad!$E$24)))</f>
      </c>
      <c r="I5">
        <f>IF($A5="","",IF($D5="V01",cad!$C$32,IF($D5="V02",cad!$D$32,cad!$E$32)))</f>
      </c>
      <c r="J5">
        <f>IF($A5="","",IF($D5="V01",cad!$C$33,IF($D5="V02",cad!$D$33,cad!$E$33)))</f>
      </c>
      <c r="K5">
        <f>IF($A5="","",IF($D5="V01",cad!$C$34,IF($D5="V02",cad!$D$34,cad!$E$34)))</f>
      </c>
      <c r="L5">
        <f>IF($A5="","",IF($D5="V01",cad!$C$35,IF($D5="V02",cad!$D$35,cad!$E$35)))</f>
      </c>
      <c r="M5">
        <f>IF($A5="","",IF($D5="V01",cad!$C$36,IF($D5="V02",cad!$D$36,cad!$E$36)))</f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>
        <f>IF($A6="","",IF($D6="V01",cad!$C$23,IF($D6="V02",cad!$D$23,cad!$E$23)))</f>
      </c>
      <c r="H6">
        <f>IF($A6="","",IF($D6="V01",cad!$C$24,IF($D6="V02",cad!$D$24,cad!$E$24)))</f>
      </c>
      <c r="I6">
        <f>IF($A6="","",IF($D6="V01",cad!$C$32,IF($D6="V02",cad!$D$32,cad!$E$32)))</f>
      </c>
      <c r="J6">
        <f>IF($A6="","",IF($D6="V01",cad!$C$33,IF($D6="V02",cad!$D$33,cad!$E$33)))</f>
      </c>
      <c r="K6">
        <f>IF($A6="","",IF($D6="V01",cad!$C$34,IF($D6="V02",cad!$D$34,cad!$E$34)))</f>
      </c>
      <c r="L6">
        <f>IF($A6="","",IF($D6="V01",cad!$C$35,IF($D6="V02",cad!$D$35,cad!$E$35)))</f>
      </c>
      <c r="M6">
        <f>IF($A6="","",IF($D6="V01",cad!$C$36,IF($D6="V02",cad!$D$36,cad!$E$36)))</f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>
        <f>IF($A7="","",IF($D7="V01",cad!$C$23,IF($D7="V02",cad!$D$23,cad!$E$23)))</f>
      </c>
      <c r="H7">
        <f>IF($A7="","",IF($D7="V01",cad!$C$24,IF($D7="V02",cad!$D$24,cad!$E$24)))</f>
      </c>
      <c r="I7">
        <f>IF($A7="","",IF($D7="V01",cad!$C$32,IF($D7="V02",cad!$D$32,cad!$E$32)))</f>
      </c>
      <c r="J7">
        <f>IF($A7="","",IF($D7="V01",cad!$C$33,IF($D7="V02",cad!$D$33,cad!$E$33)))</f>
      </c>
      <c r="K7">
        <f>IF($A7="","",IF($D7="V01",cad!$C$34,IF($D7="V02",cad!$D$34,cad!$E$34)))</f>
      </c>
      <c r="L7">
        <f>IF($A7="","",IF($D7="V01",cad!$C$35,IF($D7="V02",cad!$D$35,cad!$E$35)))</f>
      </c>
      <c r="M7">
        <f>IF($A7="","",IF($D7="V01",cad!$C$36,IF($D7="V02",cad!$D$36,cad!$E$36)))</f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>
        <f>IF($A8="","",IF($D8="V01",cad!$C$23,IF($D8="V02",cad!$D$23,cad!$E$23)))</f>
      </c>
      <c r="H8">
        <f>IF($A8="","",IF($D8="V01",cad!$C$24,IF($D8="V02",cad!$D$24,cad!$E$24)))</f>
      </c>
      <c r="I8">
        <f>IF($A8="","",IF($D8="V01",cad!$C$32,IF($D8="V02",cad!$D$32,cad!$E$32)))</f>
      </c>
      <c r="J8">
        <f>IF($A8="","",IF($D8="V01",cad!$C$33,IF($D8="V02",cad!$D$33,cad!$E$33)))</f>
      </c>
      <c r="K8">
        <f>IF($A8="","",IF($D8="V01",cad!$C$34,IF($D8="V02",cad!$D$34,cad!$E$34)))</f>
      </c>
      <c r="L8">
        <f>IF($A8="","",IF($D8="V01",cad!$C$35,IF($D8="V02",cad!$D$35,cad!$E$35)))</f>
      </c>
      <c r="M8">
        <f>IF($A8="","",IF($D8="V01",cad!$C$36,IF($D8="V02",cad!$D$36,cad!$E$36)))</f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>
        <f>IF($A9="","",IF($D9="V01",cad!$C$23,IF($D9="V02",cad!$D$23,cad!$E$23)))</f>
      </c>
      <c r="H9">
        <f>IF($A9="","",IF($D9="V01",cad!$C$24,IF($D9="V02",cad!$D$24,cad!$E$24)))</f>
      </c>
      <c r="I9">
        <f>IF($A9="","",IF($D9="V01",cad!$C$32,IF($D9="V02",cad!$D$32,cad!$E$32)))</f>
      </c>
      <c r="J9">
        <f>IF($A9="","",IF($D9="V01",cad!$C$33,IF($D9="V02",cad!$D$33,cad!$E$33)))</f>
      </c>
      <c r="K9">
        <f>IF($A9="","",IF($D9="V01",cad!$C$34,IF($D9="V02",cad!$D$34,cad!$E$34)))</f>
      </c>
      <c r="L9">
        <f>IF($A9="","",IF($D9="V01",cad!$C$35,IF($D9="V02",cad!$D$35,cad!$E$35)))</f>
      </c>
      <c r="M9">
        <f>IF($A9="","",IF($D9="V01",cad!$C$36,IF($D9="V02",cad!$D$36,cad!$E$36)))</f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>
        <f>IF($A10="","",IF($D10="V01",cad!$C$23,IF($D10="V02",cad!$D$23,cad!$E$23)))</f>
      </c>
      <c r="H10">
        <f>IF($A10="","",IF($D10="V01",cad!$C$24,IF($D10="V02",cad!$D$24,cad!$E$24)))</f>
      </c>
      <c r="I10">
        <f>IF($A10="","",IF($D10="V01",cad!$C$32,IF($D10="V02",cad!$D$32,cad!$E$32)))</f>
      </c>
      <c r="J10">
        <f>IF($A10="","",IF($D10="V01",cad!$C$33,IF($D10="V02",cad!$D$33,cad!$E$33)))</f>
      </c>
      <c r="K10">
        <f>IF($A10="","",IF($D10="V01",cad!$C$34,IF($D10="V02",cad!$D$34,cad!$E$34)))</f>
      </c>
      <c r="L10">
        <f>IF($A10="","",IF($D10="V01",cad!$C$35,IF($D10="V02",cad!$D$35,cad!$E$35)))</f>
      </c>
      <c r="M10">
        <f>IF($A10="","",IF($D10="V01",cad!$C$36,IF($D10="V02",cad!$D$36,cad!$E$36)))</f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>
        <f>IF($A11="","",IF($D11="V01",cad!$C$23,IF($D11="V02",cad!$D$23,cad!$E$23)))</f>
      </c>
      <c r="H11">
        <f>IF($A11="","",IF($D11="V01",cad!$C$24,IF($D11="V02",cad!$D$24,cad!$E$24)))</f>
      </c>
      <c r="I11">
        <f>IF($A11="","",IF($D11="V01",cad!$C$32,IF($D11="V02",cad!$D$32,cad!$E$32)))</f>
      </c>
      <c r="J11">
        <f>IF($A11="","",IF($D11="V01",cad!$C$33,IF($D11="V02",cad!$D$33,cad!$E$33)))</f>
      </c>
      <c r="K11">
        <f>IF($A11="","",IF($D11="V01",cad!$C$34,IF($D11="V02",cad!$D$34,cad!$E$34)))</f>
      </c>
      <c r="L11">
        <f>IF($A11="","",IF($D11="V01",cad!$C$35,IF($D11="V02",cad!$D$35,cad!$E$35)))</f>
      </c>
      <c r="M11">
        <f>IF($A11="","",IF($D11="V01",cad!$C$36,IF($D11="V02",cad!$D$36,cad!$E$36)))</f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>
        <f>IF($A12="","",IF($D12="V01",cad!$C$23,IF($D12="V02",cad!$D$23,cad!$E$23)))</f>
      </c>
      <c r="H12">
        <f>IF($A12="","",IF($D12="V01",cad!$C$24,IF($D12="V02",cad!$D$24,cad!$E$24)))</f>
      </c>
      <c r="I12">
        <f>IF($A12="","",IF($D12="V01",cad!$C$32,IF($D12="V02",cad!$D$32,cad!$E$32)))</f>
      </c>
      <c r="J12">
        <f>IF($A12="","",IF($D12="V01",cad!$C$33,IF($D12="V02",cad!$D$33,cad!$E$33)))</f>
      </c>
      <c r="K12">
        <f>IF($A12="","",IF($D12="V01",cad!$C$34,IF($D12="V02",cad!$D$34,cad!$E$34)))</f>
      </c>
      <c r="L12">
        <f>IF($A12="","",IF($D12="V01",cad!$C$35,IF($D12="V02",cad!$D$35,cad!$E$35)))</f>
      </c>
      <c r="M12">
        <f>IF($A12="","",IF($D12="V01",cad!$C$36,IF($D12="V02",cad!$D$36,cad!$E$36)))</f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>
        <f>IF($A13="","",IF($D13="V01",cad!$C$23,IF($D13="V02",cad!$D$23,cad!$E$23)))</f>
      </c>
      <c r="H13">
        <f>IF($A13="","",IF($D13="V01",cad!$C$24,IF($D13="V02",cad!$D$24,cad!$E$24)))</f>
      </c>
      <c r="I13">
        <f>IF($A13="","",IF($D13="V01",cad!$C$32,IF($D13="V02",cad!$D$32,cad!$E$32)))</f>
      </c>
      <c r="J13">
        <f>IF($A13="","",IF($D13="V01",cad!$C$33,IF($D13="V02",cad!$D$33,cad!$E$33)))</f>
      </c>
      <c r="K13">
        <f>IF($A13="","",IF($D13="V01",cad!$C$34,IF($D13="V02",cad!$D$34,cad!$E$34)))</f>
      </c>
      <c r="L13">
        <f>IF($A13="","",IF($D13="V01",cad!$C$35,IF($D13="V02",cad!$D$35,cad!$E$35)))</f>
      </c>
      <c r="M13">
        <f>IF($A13="","",IF($D13="V01",cad!$C$36,IF($D13="V02",cad!$D$36,cad!$E$36)))</f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>
        <f>IF($A14="","",IF($D14="V01",cad!$C$23,IF($D14="V02",cad!$D$23,cad!$E$23)))</f>
      </c>
      <c r="H14">
        <f>IF($A14="","",IF($D14="V01",cad!$C$24,IF($D14="V02",cad!$D$24,cad!$E$24)))</f>
      </c>
      <c r="I14">
        <f>IF($A14="","",IF($D14="V01",cad!$C$32,IF($D14="V02",cad!$D$32,cad!$E$32)))</f>
      </c>
      <c r="J14">
        <f>IF($A14="","",IF($D14="V01",cad!$C$33,IF($D14="V02",cad!$D$33,cad!$E$33)))</f>
      </c>
      <c r="K14">
        <f>IF($A14="","",IF($D14="V01",cad!$C$34,IF($D14="V02",cad!$D$34,cad!$E$34)))</f>
      </c>
      <c r="L14">
        <f>IF($A14="","",IF($D14="V01",cad!$C$35,IF($D14="V02",cad!$D$35,cad!$E$35)))</f>
      </c>
      <c r="M14">
        <f>IF($A14="","",IF($D14="V01",cad!$C$36,IF($D14="V02",cad!$D$36,cad!$E$36)))</f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>
        <f>IF($A15="","",IF($D15="V01",cad!$C$23,IF($D15="V02",cad!$D$23,cad!$E$23)))</f>
      </c>
      <c r="H15">
        <f>IF($A15="","",IF($D15="V01",cad!$C$24,IF($D15="V02",cad!$D$24,cad!$E$24)))</f>
      </c>
      <c r="I15">
        <f>IF($A15="","",IF($D15="V01",cad!$C$32,IF($D15="V02",cad!$D$32,cad!$E$32)))</f>
      </c>
      <c r="J15">
        <f>IF($A15="","",IF($D15="V01",cad!$C$33,IF($D15="V02",cad!$D$33,cad!$E$33)))</f>
      </c>
      <c r="K15">
        <f>IF($A15="","",IF($D15="V01",cad!$C$34,IF($D15="V02",cad!$D$34,cad!$E$34)))</f>
      </c>
      <c r="L15">
        <f>IF($A15="","",IF($D15="V01",cad!$C$35,IF($D15="V02",cad!$D$35,cad!$E$35)))</f>
      </c>
      <c r="M15">
        <f>IF($A15="","",IF($D15="V01",cad!$C$36,IF($D15="V02",cad!$D$36,cad!$E$36)))</f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>
        <f>IF($A16="","",IF($D16="V01",cad!$C$23,IF($D16="V02",cad!$D$23,cad!$E$23)))</f>
      </c>
      <c r="H16">
        <f>IF($A16="","",IF($D16="V01",cad!$C$24,IF($D16="V02",cad!$D$24,cad!$E$24)))</f>
      </c>
      <c r="I16">
        <f>IF($A16="","",IF($D16="V01",cad!$C$32,IF($D16="V02",cad!$D$32,cad!$E$32)))</f>
      </c>
      <c r="J16">
        <f>IF($A16="","",IF($D16="V01",cad!$C$33,IF($D16="V02",cad!$D$33,cad!$E$33)))</f>
      </c>
      <c r="K16">
        <f>IF($A16="","",IF($D16="V01",cad!$C$34,IF($D16="V02",cad!$D$34,cad!$E$34)))</f>
      </c>
      <c r="L16">
        <f>IF($A16="","",IF($D16="V01",cad!$C$35,IF($D16="V02",cad!$D$35,cad!$E$35)))</f>
      </c>
      <c r="M16">
        <f>IF($A16="","",IF($D16="V01",cad!$C$36,IF($D16="V02",cad!$D$36,cad!$E$36)))</f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>
        <f>IF($A17="","",IF($D17="V01",cad!$C$23,IF($D17="V02",cad!$D$23,cad!$E$23)))</f>
      </c>
      <c r="H17">
        <f>IF($A17="","",IF($D17="V01",cad!$C$24,IF($D17="V02",cad!$D$24,cad!$E$24)))</f>
      </c>
      <c r="I17">
        <f>IF($A17="","",IF($D17="V01",cad!$C$32,IF($D17="V02",cad!$D$32,cad!$E$32)))</f>
      </c>
      <c r="J17">
        <f>IF($A17="","",IF($D17="V01",cad!$C$33,IF($D17="V02",cad!$D$33,cad!$E$33)))</f>
      </c>
      <c r="K17">
        <f>IF($A17="","",IF($D17="V01",cad!$C$34,IF($D17="V02",cad!$D$34,cad!$E$34)))</f>
      </c>
      <c r="L17">
        <f>IF($A17="","",IF($D17="V01",cad!$C$35,IF($D17="V02",cad!$D$35,cad!$E$35)))</f>
      </c>
      <c r="M17">
        <f>IF($A17="","",IF($D17="V01",cad!$C$36,IF($D17="V02",cad!$D$36,cad!$E$36)))</f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>
        <f>IF($A18="","",IF($D18="V01",cad!$C$23,IF($D18="V02",cad!$D$23,cad!$E$23)))</f>
      </c>
      <c r="H18">
        <f>IF($A18="","",IF($D18="V01",cad!$C$24,IF($D18="V02",cad!$D$24,cad!$E$24)))</f>
      </c>
      <c r="I18">
        <f>IF($A18="","",IF($D18="V01",cad!$C$32,IF($D18="V02",cad!$D$32,cad!$E$32)))</f>
      </c>
      <c r="J18">
        <f>IF($A18="","",IF($D18="V01",cad!$C$33,IF($D18="V02",cad!$D$33,cad!$E$33)))</f>
      </c>
      <c r="K18">
        <f>IF($A18="","",IF($D18="V01",cad!$C$34,IF($D18="V02",cad!$D$34,cad!$E$34)))</f>
      </c>
      <c r="L18">
        <f>IF($A18="","",IF($D18="V01",cad!$C$35,IF($D18="V02",cad!$D$35,cad!$E$35)))</f>
      </c>
      <c r="M18">
        <f>IF($A18="","",IF($D18="V01",cad!$C$36,IF($D18="V02",cad!$D$36,cad!$E$36)))</f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>
        <f>IF($A19="","",IF($D19="V01",cad!$C$23,IF($D19="V02",cad!$D$23,cad!$E$23)))</f>
      </c>
      <c r="H19">
        <f>IF($A19="","",IF($D19="V01",cad!$C$24,IF($D19="V02",cad!$D$24,cad!$E$24)))</f>
      </c>
      <c r="I19">
        <f>IF($A19="","",IF($D19="V01",cad!$C$32,IF($D19="V02",cad!$D$32,cad!$E$32)))</f>
      </c>
      <c r="J19">
        <f>IF($A19="","",IF($D19="V01",cad!$C$33,IF($D19="V02",cad!$D$33,cad!$E$33)))</f>
      </c>
      <c r="K19">
        <f>IF($A19="","",IF($D19="V01",cad!$C$34,IF($D19="V02",cad!$D$34,cad!$E$34)))</f>
      </c>
      <c r="L19">
        <f>IF($A19="","",IF($D19="V01",cad!$C$35,IF($D19="V02",cad!$D$35,cad!$E$35)))</f>
      </c>
      <c r="M19">
        <f>IF($A19="","",IF($D19="V01",cad!$C$36,IF($D19="V02",cad!$D$36,cad!$E$36)))</f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>
        <f>IF($A20="","",IF($D20="V01",cad!$C$23,IF($D20="V02",cad!$D$23,cad!$E$23)))</f>
      </c>
      <c r="H20">
        <f>IF($A20="","",IF($D20="V01",cad!$C$24,IF($D20="V02",cad!$D$24,cad!$E$24)))</f>
      </c>
      <c r="I20">
        <f>IF($A20="","",IF($D20="V01",cad!$C$32,IF($D20="V02",cad!$D$32,cad!$E$32)))</f>
      </c>
      <c r="J20">
        <f>IF($A20="","",IF($D20="V01",cad!$C$33,IF($D20="V02",cad!$D$33,cad!$E$33)))</f>
      </c>
      <c r="K20">
        <f>IF($A20="","",IF($D20="V01",cad!$C$34,IF($D20="V02",cad!$D$34,cad!$E$34)))</f>
      </c>
      <c r="L20">
        <f>IF($A20="","",IF($D20="V01",cad!$C$35,IF($D20="V02",cad!$D$35,cad!$E$35)))</f>
      </c>
      <c r="M20">
        <f>IF($A20="","",IF($D20="V01",cad!$C$36,IF($D20="V02",cad!$D$36,cad!$E$36)))</f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>
        <f>IF($A21="","",IF($D21="V01",cad!$C$23,IF($D21="V02",cad!$D$23,cad!$E$23)))</f>
      </c>
      <c r="H21">
        <f>IF($A21="","",IF($D21="V01",cad!$C$24,IF($D21="V02",cad!$D$24,cad!$E$24)))</f>
      </c>
      <c r="I21">
        <f>IF($A21="","",IF($D21="V01",cad!$C$32,IF($D21="V02",cad!$D$32,cad!$E$32)))</f>
      </c>
      <c r="J21">
        <f>IF($A21="","",IF($D21="V01",cad!$C$33,IF($D21="V02",cad!$D$33,cad!$E$33)))</f>
      </c>
      <c r="K21">
        <f>IF($A21="","",IF($D21="V01",cad!$C$34,IF($D21="V02",cad!$D$34,cad!$E$34)))</f>
      </c>
      <c r="L21">
        <f>IF($A21="","",IF($D21="V01",cad!$C$35,IF($D21="V02",cad!$D$35,cad!$E$35)))</f>
      </c>
      <c r="M21">
        <f>IF($A21="","",IF($D21="V01",cad!$C$36,IF($D21="V02",cad!$D$36,cad!$E$36)))</f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>
        <f>IF($A22="","",IF($D22="V01",cad!$C$23,IF($D22="V02",cad!$D$23,cad!$E$23)))</f>
      </c>
      <c r="H22">
        <f>IF($A22="","",IF($D22="V01",cad!$C$24,IF($D22="V02",cad!$D$24,cad!$E$24)))</f>
      </c>
      <c r="I22">
        <f>IF($A22="","",IF($D22="V01",cad!$C$32,IF($D22="V02",cad!$D$32,cad!$E$32)))</f>
      </c>
      <c r="J22">
        <f>IF($A22="","",IF($D22="V01",cad!$C$33,IF($D22="V02",cad!$D$33,cad!$E$33)))</f>
      </c>
      <c r="K22">
        <f>IF($A22="","",IF($D22="V01",cad!$C$34,IF($D22="V02",cad!$D$34,cad!$E$34)))</f>
      </c>
      <c r="L22">
        <f>IF($A22="","",IF($D22="V01",cad!$C$35,IF($D22="V02",cad!$D$35,cad!$E$35)))</f>
      </c>
      <c r="M22">
        <f>IF($A22="","",IF($D22="V01",cad!$C$36,IF($D22="V02",cad!$D$36,cad!$E$36)))</f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>
        <f>IF($A23="","",IF($D23="V01",cad!$C$23,IF($D23="V02",cad!$D$23,cad!$E$23)))</f>
      </c>
      <c r="H23">
        <f>IF($A23="","",IF($D23="V01",cad!$C$24,IF($D23="V02",cad!$D$24,cad!$E$24)))</f>
      </c>
      <c r="I23">
        <f>IF($A23="","",IF($D23="V01",cad!$C$32,IF($D23="V02",cad!$D$32,cad!$E$32)))</f>
      </c>
      <c r="J23">
        <f>IF($A23="","",IF($D23="V01",cad!$C$33,IF($D23="V02",cad!$D$33,cad!$E$33)))</f>
      </c>
      <c r="K23">
        <f>IF($A23="","",IF($D23="V01",cad!$C$34,IF($D23="V02",cad!$D$34,cad!$E$34)))</f>
      </c>
      <c r="L23">
        <f>IF($A23="","",IF($D23="V01",cad!$C$35,IF($D23="V02",cad!$D$35,cad!$E$35)))</f>
      </c>
      <c r="M23">
        <f>IF($A23="","",IF($D23="V01",cad!$C$36,IF($D23="V02",cad!$D$36,cad!$E$36)))</f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>
        <f>IF($A24="","",IF($D24="V01",cad!$C$23,IF($D24="V02",cad!$D$23,cad!$E$23)))</f>
      </c>
      <c r="H24">
        <f>IF($A24="","",IF($D24="V01",cad!$C$24,IF($D24="V02",cad!$D$24,cad!$E$24)))</f>
      </c>
      <c r="I24">
        <f>IF($A24="","",IF($D24="V01",cad!$C$32,IF($D24="V02",cad!$D$32,cad!$E$32)))</f>
      </c>
      <c r="J24">
        <f>IF($A24="","",IF($D24="V01",cad!$C$33,IF($D24="V02",cad!$D$33,cad!$E$33)))</f>
      </c>
      <c r="K24">
        <f>IF($A24="","",IF($D24="V01",cad!$C$34,IF($D24="V02",cad!$D$34,cad!$E$34)))</f>
      </c>
      <c r="L24">
        <f>IF($A24="","",IF($D24="V01",cad!$C$35,IF($D24="V02",cad!$D$35,cad!$E$35)))</f>
      </c>
      <c r="M24">
        <f>IF($A24="","",IF($D24="V01",cad!$C$36,IF($D24="V02",cad!$D$36,cad!$E$36)))</f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>
        <f>IF($A25="","",IF($D25="V01",cad!$C$23,IF($D25="V02",cad!$D$23,cad!$E$23)))</f>
      </c>
      <c r="H25">
        <f>IF($A25="","",IF($D25="V01",cad!$C$24,IF($D25="V02",cad!$D$24,cad!$E$24)))</f>
      </c>
      <c r="I25">
        <f>IF($A25="","",IF($D25="V01",cad!$C$32,IF($D25="V02",cad!$D$32,cad!$E$32)))</f>
      </c>
      <c r="J25">
        <f>IF($A25="","",IF($D25="V01",cad!$C$33,IF($D25="V02",cad!$D$33,cad!$E$33)))</f>
      </c>
      <c r="K25">
        <f>IF($A25="","",IF($D25="V01",cad!$C$34,IF($D25="V02",cad!$D$34,cad!$E$34)))</f>
      </c>
      <c r="L25">
        <f>IF($A25="","",IF($D25="V01",cad!$C$35,IF($D25="V02",cad!$D$35,cad!$E$35)))</f>
      </c>
      <c r="M25">
        <f>IF($A25="","",IF($D25="V01",cad!$C$36,IF($D25="V02",cad!$D$36,cad!$E$36)))</f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>
        <f>IF($A26="","",IF($D26="V01",cad!$C$23,IF($D26="V02",cad!$D$23,cad!$E$23)))</f>
      </c>
      <c r="H26">
        <f>IF($A26="","",IF($D26="V01",cad!$C$24,IF($D26="V02",cad!$D$24,cad!$E$24)))</f>
      </c>
      <c r="I26">
        <f>IF($A26="","",IF($D26="V01",cad!$C$32,IF($D26="V02",cad!$D$32,cad!$E$32)))</f>
      </c>
      <c r="J26">
        <f>IF($A26="","",IF($D26="V01",cad!$C$33,IF($D26="V02",cad!$D$33,cad!$E$33)))</f>
      </c>
      <c r="K26">
        <f>IF($A26="","",IF($D26="V01",cad!$C$34,IF($D26="V02",cad!$D$34,cad!$E$34)))</f>
      </c>
      <c r="L26">
        <f>IF($A26="","",IF($D26="V01",cad!$C$35,IF($D26="V02",cad!$D$35,cad!$E$35)))</f>
      </c>
      <c r="M26">
        <f>IF($A26="","",IF($D26="V01",cad!$C$36,IF($D26="V02",cad!$D$36,cad!$E$36)))</f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>
        <f>IF($A27="","",IF($D27="V01",cad!$C$23,IF($D27="V02",cad!$D$23,cad!$E$23)))</f>
      </c>
      <c r="H27">
        <f>IF($A27="","",IF($D27="V01",cad!$C$24,IF($D27="V02",cad!$D$24,cad!$E$24)))</f>
      </c>
      <c r="I27">
        <f>IF($A27="","",IF($D27="V01",cad!$C$32,IF($D27="V02",cad!$D$32,cad!$E$32)))</f>
      </c>
      <c r="J27">
        <f>IF($A27="","",IF($D27="V01",cad!$C$33,IF($D27="V02",cad!$D$33,cad!$E$33)))</f>
      </c>
      <c r="K27">
        <f>IF($A27="","",IF($D27="V01",cad!$C$34,IF($D27="V02",cad!$D$34,cad!$E$34)))</f>
      </c>
      <c r="L27">
        <f>IF($A27="","",IF($D27="V01",cad!$C$35,IF($D27="V02",cad!$D$35,cad!$E$35)))</f>
      </c>
      <c r="M27">
        <f>IF($A27="","",IF($D27="V01",cad!$C$36,IF($D27="V02",cad!$D$36,cad!$E$36)))</f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>
        <f>IF($A28="","",IF($D28="V01",cad!$C$23,IF($D28="V02",cad!$D$23,cad!$E$23)))</f>
      </c>
      <c r="H28">
        <f>IF($A28="","",IF($D28="V01",cad!$C$24,IF($D28="V02",cad!$D$24,cad!$E$24)))</f>
      </c>
      <c r="I28">
        <f>IF($A28="","",IF($D28="V01",cad!$C$32,IF($D28="V02",cad!$D$32,cad!$E$32)))</f>
      </c>
      <c r="J28">
        <f>IF($A28="","",IF($D28="V01",cad!$C$33,IF($D28="V02",cad!$D$33,cad!$E$33)))</f>
      </c>
      <c r="K28">
        <f>IF($A28="","",IF($D28="V01",cad!$C$34,IF($D28="V02",cad!$D$34,cad!$E$34)))</f>
      </c>
      <c r="L28">
        <f>IF($A28="","",IF($D28="V01",cad!$C$35,IF($D28="V02",cad!$D$35,cad!$E$35)))</f>
      </c>
      <c r="M28">
        <f>IF($A28="","",IF($D28="V01",cad!$C$36,IF($D28="V02",cad!$D$36,cad!$E$36)))</f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>
        <f>IF($A29="","",IF($D29="V01",cad!$C$23,IF($D29="V02",cad!$D$23,cad!$E$23)))</f>
      </c>
      <c r="H29">
        <f>IF($A29="","",IF($D29="V01",cad!$C$24,IF($D29="V02",cad!$D$24,cad!$E$24)))</f>
      </c>
      <c r="I29">
        <f>IF($A29="","",IF($D29="V01",cad!$C$32,IF($D29="V02",cad!$D$32,cad!$E$32)))</f>
      </c>
      <c r="J29">
        <f>IF($A29="","",IF($D29="V01",cad!$C$33,IF($D29="V02",cad!$D$33,cad!$E$33)))</f>
      </c>
      <c r="K29">
        <f>IF($A29="","",IF($D29="V01",cad!$C$34,IF($D29="V02",cad!$D$34,cad!$E$34)))</f>
      </c>
      <c r="L29">
        <f>IF($A29="","",IF($D29="V01",cad!$C$35,IF($D29="V02",cad!$D$35,cad!$E$35)))</f>
      </c>
      <c r="M29">
        <f>IF($A29="","",IF($D29="V01",cad!$C$36,IF($D29="V02",cad!$D$36,cad!$E$36)))</f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>
        <f>IF($A30="","",IF($D30="V01",cad!$C$23,IF($D30="V02",cad!$D$23,cad!$E$23)))</f>
      </c>
      <c r="H30">
        <f>IF($A30="","",IF($D30="V01",cad!$C$24,IF($D30="V02",cad!$D$24,cad!$E$24)))</f>
      </c>
      <c r="I30">
        <f>IF($A30="","",IF($D30="V01",cad!$C$32,IF($D30="V02",cad!$D$32,cad!$E$32)))</f>
      </c>
      <c r="J30">
        <f>IF($A30="","",IF($D30="V01",cad!$C$33,IF($D30="V02",cad!$D$33,cad!$E$33)))</f>
      </c>
      <c r="K30">
        <f>IF($A30="","",IF($D30="V01",cad!$C$34,IF($D30="V02",cad!$D$34,cad!$E$34)))</f>
      </c>
      <c r="L30">
        <f>IF($A30="","",IF($D30="V01",cad!$C$35,IF($D30="V02",cad!$D$35,cad!$E$35)))</f>
      </c>
      <c r="M30">
        <f>IF($A30="","",IF($D30="V01",cad!$C$36,IF($D30="V02",cad!$D$36,cad!$E$36)))</f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>
        <f>IF($A31="","",IF($D31="V01",cad!$C$23,IF($D31="V02",cad!$D$23,cad!$E$23)))</f>
      </c>
      <c r="H31">
        <f>IF($A31="","",IF($D31="V01",cad!$C$24,IF($D31="V02",cad!$D$24,cad!$E$24)))</f>
      </c>
      <c r="I31">
        <f>IF($A31="","",IF($D31="V01",cad!$C$32,IF($D31="V02",cad!$D$32,cad!$E$32)))</f>
      </c>
      <c r="J31">
        <f>IF($A31="","",IF($D31="V01",cad!$C$33,IF($D31="V02",cad!$D$33,cad!$E$33)))</f>
      </c>
      <c r="K31">
        <f>IF($A31="","",IF($D31="V01",cad!$C$34,IF($D31="V02",cad!$D$34,cad!$E$34)))</f>
      </c>
      <c r="L31">
        <f>IF($A31="","",IF($D31="V01",cad!$C$35,IF($D31="V02",cad!$D$35,cad!$E$35)))</f>
      </c>
      <c r="M31">
        <f>IF($A31="","",IF($D31="V01",cad!$C$36,IF($D31="V02",cad!$D$36,cad!$E$36)))</f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>
        <f>IF($A32="","",IF($D32="V01",cad!$C$23,IF($D32="V02",cad!$D$23,cad!$E$23)))</f>
      </c>
      <c r="H32">
        <f>IF($A32="","",IF($D32="V01",cad!$C$24,IF($D32="V02",cad!$D$24,cad!$E$24)))</f>
      </c>
      <c r="I32">
        <f>IF($A32="","",IF($D32="V01",cad!$C$32,IF($D32="V02",cad!$D$32,cad!$E$32)))</f>
      </c>
      <c r="J32">
        <f>IF($A32="","",IF($D32="V01",cad!$C$33,IF($D32="V02",cad!$D$33,cad!$E$33)))</f>
      </c>
      <c r="K32">
        <f>IF($A32="","",IF($D32="V01",cad!$C$34,IF($D32="V02",cad!$D$34,cad!$E$34)))</f>
      </c>
      <c r="L32">
        <f>IF($A32="","",IF($D32="V01",cad!$C$35,IF($D32="V02",cad!$D$35,cad!$E$35)))</f>
      </c>
      <c r="M32">
        <f>IF($A32="","",IF($D32="V01",cad!$C$36,IF($D32="V02",cad!$D$36,cad!$E$36)))</f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>
        <f>IF($A33="","",IF($D33="V01",cad!$C$23,IF($D33="V02",cad!$D$23,cad!$E$23)))</f>
      </c>
      <c r="H33">
        <f>IF($A33="","",IF($D33="V01",cad!$C$24,IF($D33="V02",cad!$D$24,cad!$E$24)))</f>
      </c>
      <c r="I33">
        <f>IF($A33="","",IF($D33="V01",cad!$C$32,IF($D33="V02",cad!$D$32,cad!$E$32)))</f>
      </c>
      <c r="J33">
        <f>IF($A33="","",IF($D33="V01",cad!$C$33,IF($D33="V02",cad!$D$33,cad!$E$33)))</f>
      </c>
      <c r="K33">
        <f>IF($A33="","",IF($D33="V01",cad!$C$34,IF($D33="V02",cad!$D$34,cad!$E$34)))</f>
      </c>
      <c r="L33">
        <f>IF($A33="","",IF($D33="V01",cad!$C$35,IF($D33="V02",cad!$D$35,cad!$E$35)))</f>
      </c>
      <c r="M33">
        <f>IF($A33="","",IF($D33="V01",cad!$C$36,IF($D33="V02",cad!$D$36,cad!$E$36)))</f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>
        <f>IF($A34="","",IF($D34="V01",cad!$C$23,IF($D34="V02",cad!$D$23,cad!$E$23)))</f>
      </c>
      <c r="H34">
        <f>IF($A34="","",IF($D34="V01",cad!$C$24,IF($D34="V02",cad!$D$24,cad!$E$24)))</f>
      </c>
      <c r="I34">
        <f>IF($A34="","",IF($D34="V01",cad!$C$32,IF($D34="V02",cad!$D$32,cad!$E$32)))</f>
      </c>
      <c r="J34">
        <f>IF($A34="","",IF($D34="V01",cad!$C$33,IF($D34="V02",cad!$D$33,cad!$E$33)))</f>
      </c>
      <c r="K34">
        <f>IF($A34="","",IF($D34="V01",cad!$C$34,IF($D34="V02",cad!$D$34,cad!$E$34)))</f>
      </c>
      <c r="L34">
        <f>IF($A34="","",IF($D34="V01",cad!$C$35,IF($D34="V02",cad!$D$35,cad!$E$35)))</f>
      </c>
      <c r="M34">
        <f>IF($A34="","",IF($D34="V01",cad!$C$36,IF($D34="V02",cad!$D$36,cad!$E$36)))</f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>
        <f>IF($A35="","",IF($D35="V01",cad!$C$23,IF($D35="V02",cad!$D$23,cad!$E$23)))</f>
      </c>
      <c r="H35">
        <f>IF($A35="","",IF($D35="V01",cad!$C$24,IF($D35="V02",cad!$D$24,cad!$E$24)))</f>
      </c>
      <c r="I35">
        <f>IF($A35="","",IF($D35="V01",cad!$C$32,IF($D35="V02",cad!$D$32,cad!$E$32)))</f>
      </c>
      <c r="J35">
        <f>IF($A35="","",IF($D35="V01",cad!$C$33,IF($D35="V02",cad!$D$33,cad!$E$33)))</f>
      </c>
      <c r="K35">
        <f>IF($A35="","",IF($D35="V01",cad!$C$34,IF($D35="V02",cad!$D$34,cad!$E$34)))</f>
      </c>
      <c r="L35">
        <f>IF($A35="","",IF($D35="V01",cad!$C$35,IF($D35="V02",cad!$D$35,cad!$E$35)))</f>
      </c>
      <c r="M35">
        <f>IF($A35="","",IF($D35="V01",cad!$C$36,IF($D35="V02",cad!$D$36,cad!$E$36)))</f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>
        <f>IF($A36="","",IF($D36="V01",cad!$C$23,IF($D36="V02",cad!$D$23,cad!$E$23)))</f>
      </c>
      <c r="H36">
        <f>IF($A36="","",IF($D36="V01",cad!$C$24,IF($D36="V02",cad!$D$24,cad!$E$24)))</f>
      </c>
      <c r="I36">
        <f>IF($A36="","",IF($D36="V01",cad!$C$32,IF($D36="V02",cad!$D$32,cad!$E$32)))</f>
      </c>
      <c r="J36">
        <f>IF($A36="","",IF($D36="V01",cad!$C$33,IF($D36="V02",cad!$D$33,cad!$E$33)))</f>
      </c>
      <c r="K36">
        <f>IF($A36="","",IF($D36="V01",cad!$C$34,IF($D36="V02",cad!$D$34,cad!$E$34)))</f>
      </c>
      <c r="L36">
        <f>IF($A36="","",IF($D36="V01",cad!$C$35,IF($D36="V02",cad!$D$35,cad!$E$35)))</f>
      </c>
      <c r="M36">
        <f>IF($A36="","",IF($D36="V01",cad!$C$36,IF($D36="V02",cad!$D$36,cad!$E$36)))</f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>
        <f>IF($A37="","",IF($D37="V01",cad!$C$23,IF($D37="V02",cad!$D$23,cad!$E$23)))</f>
      </c>
      <c r="H37">
        <f>IF($A37="","",IF($D37="V01",cad!$C$24,IF($D37="V02",cad!$D$24,cad!$E$24)))</f>
      </c>
      <c r="I37">
        <f>IF($A37="","",IF($D37="V01",cad!$C$32,IF($D37="V02",cad!$D$32,cad!$E$32)))</f>
      </c>
      <c r="J37">
        <f>IF($A37="","",IF($D37="V01",cad!$C$33,IF($D37="V02",cad!$D$33,cad!$E$33)))</f>
      </c>
      <c r="K37">
        <f>IF($A37="","",IF($D37="V01",cad!$C$34,IF($D37="V02",cad!$D$34,cad!$E$34)))</f>
      </c>
      <c r="L37">
        <f>IF($A37="","",IF($D37="V01",cad!$C$35,IF($D37="V02",cad!$D$35,cad!$E$35)))</f>
      </c>
      <c r="M37">
        <f>IF($A37="","",IF($D37="V01",cad!$C$36,IF($D37="V02",cad!$D$36,cad!$E$36)))</f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>
        <f>IF($A38="","",IF($D38="V01",cad!$C$23,IF($D38="V02",cad!$D$23,cad!$E$23)))</f>
      </c>
      <c r="H38">
        <f>IF($A38="","",IF($D38="V01",cad!$C$24,IF($D38="V02",cad!$D$24,cad!$E$24)))</f>
      </c>
      <c r="I38">
        <f>IF($A38="","",IF($D38="V01",cad!$C$32,IF($D38="V02",cad!$D$32,cad!$E$32)))</f>
      </c>
      <c r="J38">
        <f>IF($A38="","",IF($D38="V01",cad!$C$33,IF($D38="V02",cad!$D$33,cad!$E$33)))</f>
      </c>
      <c r="K38">
        <f>IF($A38="","",IF($D38="V01",cad!$C$34,IF($D38="V02",cad!$D$34,cad!$E$34)))</f>
      </c>
      <c r="L38">
        <f>IF($A38="","",IF($D38="V01",cad!$C$35,IF($D38="V02",cad!$D$35,cad!$E$35)))</f>
      </c>
      <c r="M38">
        <f>IF($A38="","",IF($D38="V01",cad!$C$36,IF($D38="V02",cad!$D$36,cad!$E$36)))</f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>
        <f>IF($A39="","",IF($D39="V01",cad!$C$23,IF($D39="V02",cad!$D$23,cad!$E$23)))</f>
      </c>
      <c r="H39">
        <f>IF($A39="","",IF($D39="V01",cad!$C$24,IF($D39="V02",cad!$D$24,cad!$E$24)))</f>
      </c>
      <c r="I39">
        <f>IF($A39="","",IF($D39="V01",cad!$C$32,IF($D39="V02",cad!$D$32,cad!$E$32)))</f>
      </c>
      <c r="J39">
        <f>IF($A39="","",IF($D39="V01",cad!$C$33,IF($D39="V02",cad!$D$33,cad!$E$33)))</f>
      </c>
      <c r="K39">
        <f>IF($A39="","",IF($D39="V01",cad!$C$34,IF($D39="V02",cad!$D$34,cad!$E$34)))</f>
      </c>
      <c r="L39">
        <f>IF($A39="","",IF($D39="V01",cad!$C$35,IF($D39="V02",cad!$D$35,cad!$E$35)))</f>
      </c>
      <c r="M39">
        <f>IF($A39="","",IF($D39="V01",cad!$C$36,IF($D39="V02",cad!$D$36,cad!$E$36)))</f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>
        <f>IF($A40="","",IF($D40="V01",cad!$C$23,IF($D40="V02",cad!$D$23,cad!$E$23)))</f>
      </c>
      <c r="H40">
        <f>IF($A40="","",IF($D40="V01",cad!$C$24,IF($D40="V02",cad!$D$24,cad!$E$24)))</f>
      </c>
      <c r="I40">
        <f>IF($A40="","",IF($D40="V01",cad!$C$32,IF($D40="V02",cad!$D$32,cad!$E$32)))</f>
      </c>
      <c r="J40">
        <f>IF($A40="","",IF($D40="V01",cad!$C$33,IF($D40="V02",cad!$D$33,cad!$E$33)))</f>
      </c>
      <c r="K40">
        <f>IF($A40="","",IF($D40="V01",cad!$C$34,IF($D40="V02",cad!$D$34,cad!$E$34)))</f>
      </c>
      <c r="L40">
        <f>IF($A40="","",IF($D40="V01",cad!$C$35,IF($D40="V02",cad!$D$35,cad!$E$35)))</f>
      </c>
      <c r="M40">
        <f>IF($A40="","",IF($D40="V01",cad!$C$36,IF($D40="V02",cad!$D$36,cad!$E$36)))</f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>
        <f>IF($A41="","",IF($D41="V01",cad!$C$23,IF($D41="V02",cad!$D$23,cad!$E$23)))</f>
      </c>
      <c r="H41">
        <f>IF($A41="","",IF($D41="V01",cad!$C$24,IF($D41="V02",cad!$D$24,cad!$E$24)))</f>
      </c>
      <c r="I41">
        <f>IF($A41="","",IF($D41="V01",cad!$C$32,IF($D41="V02",cad!$D$32,cad!$E$32)))</f>
      </c>
      <c r="J41">
        <f>IF($A41="","",IF($D41="V01",cad!$C$33,IF($D41="V02",cad!$D$33,cad!$E$33)))</f>
      </c>
      <c r="K41">
        <f>IF($A41="","",IF($D41="V01",cad!$C$34,IF($D41="V02",cad!$D$34,cad!$E$34)))</f>
      </c>
      <c r="L41">
        <f>IF($A41="","",IF($D41="V01",cad!$C$35,IF($D41="V02",cad!$D$35,cad!$E$35)))</f>
      </c>
      <c r="M41">
        <f>IF($A41="","",IF($D41="V01",cad!$C$36,IF($D41="V02",cad!$D$36,cad!$E$36)))</f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>
        <f>IF($A42="","",IF($D42="V01",cad!$C$23,IF($D42="V02",cad!$D$23,cad!$E$23)))</f>
      </c>
      <c r="H42">
        <f>IF($A42="","",IF($D42="V01",cad!$C$24,IF($D42="V02",cad!$D$24,cad!$E$24)))</f>
      </c>
      <c r="I42">
        <f>IF($A42="","",IF($D42="V01",cad!$C$32,IF($D42="V02",cad!$D$32,cad!$E$32)))</f>
      </c>
      <c r="J42">
        <f>IF($A42="","",IF($D42="V01",cad!$C$33,IF($D42="V02",cad!$D$33,cad!$E$33)))</f>
      </c>
      <c r="K42">
        <f>IF($A42="","",IF($D42="V01",cad!$C$34,IF($D42="V02",cad!$D$34,cad!$E$34)))</f>
      </c>
      <c r="L42">
        <f>IF($A42="","",IF($D42="V01",cad!$C$35,IF($D42="V02",cad!$D$35,cad!$E$35)))</f>
      </c>
      <c r="M42">
        <f>IF($A42="","",IF($D42="V01",cad!$C$36,IF($D42="V02",cad!$D$36,cad!$E$36)))</f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>
        <f>IF($A43="","",IF($D43="V01",cad!$C$23,IF($D43="V02",cad!$D$23,cad!$E$23)))</f>
      </c>
      <c r="H43">
        <f>IF($A43="","",IF($D43="V01",cad!$C$24,IF($D43="V02",cad!$D$24,cad!$E$24)))</f>
      </c>
      <c r="I43">
        <f>IF($A43="","",IF($D43="V01",cad!$C$32,IF($D43="V02",cad!$D$32,cad!$E$32)))</f>
      </c>
      <c r="J43">
        <f>IF($A43="","",IF($D43="V01",cad!$C$33,IF($D43="V02",cad!$D$33,cad!$E$33)))</f>
      </c>
      <c r="K43">
        <f>IF($A43="","",IF($D43="V01",cad!$C$34,IF($D43="V02",cad!$D$34,cad!$E$34)))</f>
      </c>
      <c r="L43">
        <f>IF($A43="","",IF($D43="V01",cad!$C$35,IF($D43="V02",cad!$D$35,cad!$E$35)))</f>
      </c>
      <c r="M43">
        <f>IF($A43="","",IF($D43="V01",cad!$C$36,IF($D43="V02",cad!$D$36,cad!$E$36)))</f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>
        <f>IF($A44="","",IF($D44="V01",cad!$C$23,IF($D44="V02",cad!$D$23,cad!$E$23)))</f>
      </c>
      <c r="H44">
        <f>IF($A44="","",IF($D44="V01",cad!$C$24,IF($D44="V02",cad!$D$24,cad!$E$24)))</f>
      </c>
      <c r="I44">
        <f>IF($A44="","",IF($D44="V01",cad!$C$32,IF($D44="V02",cad!$D$32,cad!$E$32)))</f>
      </c>
      <c r="J44">
        <f>IF($A44="","",IF($D44="V01",cad!$C$33,IF($D44="V02",cad!$D$33,cad!$E$33)))</f>
      </c>
      <c r="K44">
        <f>IF($A44="","",IF($D44="V01",cad!$C$34,IF($D44="V02",cad!$D$34,cad!$E$34)))</f>
      </c>
      <c r="L44">
        <f>IF($A44="","",IF($D44="V01",cad!$C$35,IF($D44="V02",cad!$D$35,cad!$E$35)))</f>
      </c>
      <c r="M44">
        <f>IF($A44="","",IF($D44="V01",cad!$C$36,IF($D44="V02",cad!$D$36,cad!$E$36)))</f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>
        <f>IF($A45="","",IF($D45="V01",cad!$C$23,IF($D45="V02",cad!$D$23,cad!$E$23)))</f>
      </c>
      <c r="H45">
        <f>IF($A45="","",IF($D45="V01",cad!$C$24,IF($D45="V02",cad!$D$24,cad!$E$24)))</f>
      </c>
      <c r="I45">
        <f>IF($A45="","",IF($D45="V01",cad!$C$32,IF($D45="V02",cad!$D$32,cad!$E$32)))</f>
      </c>
      <c r="J45">
        <f>IF($A45="","",IF($D45="V01",cad!$C$33,IF($D45="V02",cad!$D$33,cad!$E$33)))</f>
      </c>
      <c r="K45">
        <f>IF($A45="","",IF($D45="V01",cad!$C$34,IF($D45="V02",cad!$D$34,cad!$E$34)))</f>
      </c>
      <c r="L45">
        <f>IF($A45="","",IF($D45="V01",cad!$C$35,IF($D45="V02",cad!$D$35,cad!$E$35)))</f>
      </c>
      <c r="M45">
        <f>IF($A45="","",IF($D45="V01",cad!$C$36,IF($D45="V02",cad!$D$36,cad!$E$36)))</f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>
        <f>IF($A46="","",IF($D46="V01",cad!$C$23,IF($D46="V02",cad!$D$23,cad!$E$23)))</f>
      </c>
      <c r="H46">
        <f>IF($A46="","",IF($D46="V01",cad!$C$24,IF($D46="V02",cad!$D$24,cad!$E$24)))</f>
      </c>
      <c r="I46">
        <f>IF($A46="","",IF($D46="V01",cad!$C$32,IF($D46="V02",cad!$D$32,cad!$E$32)))</f>
      </c>
      <c r="J46">
        <f>IF($A46="","",IF($D46="V01",cad!$C$33,IF($D46="V02",cad!$D$33,cad!$E$33)))</f>
      </c>
      <c r="K46">
        <f>IF($A46="","",IF($D46="V01",cad!$C$34,IF($D46="V02",cad!$D$34,cad!$E$34)))</f>
      </c>
      <c r="L46">
        <f>IF($A46="","",IF($D46="V01",cad!$C$35,IF($D46="V02",cad!$D$35,cad!$E$35)))</f>
      </c>
      <c r="M46">
        <f>IF($A46="","",IF($D46="V01",cad!$C$36,IF($D46="V02",cad!$D$36,cad!$E$36)))</f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>
        <f>IF($A47="","",IF($D47="V01",cad!$C$23,IF($D47="V02",cad!$D$23,cad!$E$23)))</f>
      </c>
      <c r="H47">
        <f>IF($A47="","",IF($D47="V01",cad!$C$24,IF($D47="V02",cad!$D$24,cad!$E$24)))</f>
      </c>
      <c r="I47">
        <f>IF($A47="","",IF($D47="V01",cad!$C$32,IF($D47="V02",cad!$D$32,cad!$E$32)))</f>
      </c>
      <c r="J47">
        <f>IF($A47="","",IF($D47="V01",cad!$C$33,IF($D47="V02",cad!$D$33,cad!$E$33)))</f>
      </c>
      <c r="K47">
        <f>IF($A47="","",IF($D47="V01",cad!$C$34,IF($D47="V02",cad!$D$34,cad!$E$34)))</f>
      </c>
      <c r="L47">
        <f>IF($A47="","",IF($D47="V01",cad!$C$35,IF($D47="V02",cad!$D$35,cad!$E$35)))</f>
      </c>
      <c r="M47">
        <f>IF($A47="","",IF($D47="V01",cad!$C$36,IF($D47="V02",cad!$D$36,cad!$E$36)))</f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>
        <f>IF($A48="","",IF($D48="V01",cad!$C$23,IF($D48="V02",cad!$D$23,cad!$E$23)))</f>
      </c>
      <c r="H48">
        <f>IF($A48="","",IF($D48="V01",cad!$C$24,IF($D48="V02",cad!$D$24,cad!$E$24)))</f>
      </c>
      <c r="I48">
        <f>IF($A48="","",IF($D48="V01",cad!$C$32,IF($D48="V02",cad!$D$32,cad!$E$32)))</f>
      </c>
      <c r="J48">
        <f>IF($A48="","",IF($D48="V01",cad!$C$33,IF($D48="V02",cad!$D$33,cad!$E$33)))</f>
      </c>
      <c r="K48">
        <f>IF($A48="","",IF($D48="V01",cad!$C$34,IF($D48="V02",cad!$D$34,cad!$E$34)))</f>
      </c>
      <c r="L48">
        <f>IF($A48="","",IF($D48="V01",cad!$C$35,IF($D48="V02",cad!$D$35,cad!$E$35)))</f>
      </c>
      <c r="M48">
        <f>IF($A48="","",IF($D48="V01",cad!$C$36,IF($D48="V02",cad!$D$36,cad!$E$36)))</f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>
        <f>IF($A49="","",IF($D49="V01",cad!$C$23,IF($D49="V02",cad!$D$23,cad!$E$23)))</f>
      </c>
      <c r="H49">
        <f>IF($A49="","",IF($D49="V01",cad!$C$24,IF($D49="V02",cad!$D$24,cad!$E$24)))</f>
      </c>
      <c r="I49">
        <f>IF($A49="","",IF($D49="V01",cad!$C$32,IF($D49="V02",cad!$D$32,cad!$E$32)))</f>
      </c>
      <c r="J49">
        <f>IF($A49="","",IF($D49="V01",cad!$C$33,IF($D49="V02",cad!$D$33,cad!$E$33)))</f>
      </c>
      <c r="K49">
        <f>IF($A49="","",IF($D49="V01",cad!$C$34,IF($D49="V02",cad!$D$34,cad!$E$34)))</f>
      </c>
      <c r="L49">
        <f>IF($A49="","",IF($D49="V01",cad!$C$35,IF($D49="V02",cad!$D$35,cad!$E$35)))</f>
      </c>
      <c r="M49">
        <f>IF($A49="","",IF($D49="V01",cad!$C$36,IF($D49="V02",cad!$D$36,cad!$E$36)))</f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>
        <f>IF($A50="","",IF($D50="V01",cad!$C$23,IF($D50="V02",cad!$D$23,cad!$E$23)))</f>
      </c>
      <c r="H50">
        <f>IF($A50="","",IF($D50="V01",cad!$C$24,IF($D50="V02",cad!$D$24,cad!$E$24)))</f>
      </c>
      <c r="I50">
        <f>IF($A50="","",IF($D50="V01",cad!$C$32,IF($D50="V02",cad!$D$32,cad!$E$32)))</f>
      </c>
      <c r="J50">
        <f>IF($A50="","",IF($D50="V01",cad!$C$33,IF($D50="V02",cad!$D$33,cad!$E$33)))</f>
      </c>
      <c r="K50">
        <f>IF($A50="","",IF($D50="V01",cad!$C$34,IF($D50="V02",cad!$D$34,cad!$E$34)))</f>
      </c>
      <c r="L50">
        <f>IF($A50="","",IF($D50="V01",cad!$C$35,IF($D50="V02",cad!$D$35,cad!$E$35)))</f>
      </c>
      <c r="M50">
        <f>IF($A50="","",IF($D50="V01",cad!$C$36,IF($D50="V02",cad!$D$36,cad!$E$36)))</f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>
        <f>IF($A51="","",IF($D51="V01",cad!$C$23,IF($D51="V02",cad!$D$23,cad!$E$23)))</f>
      </c>
      <c r="H51">
        <f>IF($A51="","",IF($D51="V01",cad!$C$24,IF($D51="V02",cad!$D$24,cad!$E$24)))</f>
      </c>
      <c r="I51">
        <f>IF($A51="","",IF($D51="V01",cad!$C$32,IF($D51="V02",cad!$D$32,cad!$E$32)))</f>
      </c>
      <c r="J51">
        <f>IF($A51="","",IF($D51="V01",cad!$C$33,IF($D51="V02",cad!$D$33,cad!$E$33)))</f>
      </c>
      <c r="K51">
        <f>IF($A51="","",IF($D51="V01",cad!$C$34,IF($D51="V02",cad!$D$34,cad!$E$34)))</f>
      </c>
      <c r="L51">
        <f>IF($A51="","",IF($D51="V01",cad!$C$35,IF($D51="V02",cad!$D$35,cad!$E$35)))</f>
      </c>
      <c r="M51">
        <f>IF($A51="","",IF($D51="V01",cad!$C$36,IF($D51="V02",cad!$D$36,cad!$E$36)))</f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>
        <f>IF($A52="","",IF($D52="V01",cad!$C$23,IF($D52="V02",cad!$D$23,cad!$E$23)))</f>
      </c>
      <c r="H52">
        <f>IF($A52="","",IF($D52="V01",cad!$C$24,IF($D52="V02",cad!$D$24,cad!$E$24)))</f>
      </c>
      <c r="I52">
        <f>IF($A52="","",IF($D52="V01",cad!$C$32,IF($D52="V02",cad!$D$32,cad!$E$32)))</f>
      </c>
      <c r="J52">
        <f>IF($A52="","",IF($D52="V01",cad!$C$33,IF($D52="V02",cad!$D$33,cad!$E$33)))</f>
      </c>
      <c r="K52">
        <f>IF($A52="","",IF($D52="V01",cad!$C$34,IF($D52="V02",cad!$D$34,cad!$E$34)))</f>
      </c>
      <c r="L52">
        <f>IF($A52="","",IF($D52="V01",cad!$C$35,IF($D52="V02",cad!$D$35,cad!$E$35)))</f>
      </c>
      <c r="M52">
        <f>IF($A52="","",IF($D52="V01",cad!$C$36,IF($D52="V02",cad!$D$36,cad!$E$36)))</f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>
        <f>IF($A53="","",IF($D53="V01",cad!$C$23,IF($D53="V02",cad!$D$23,cad!$E$23)))</f>
      </c>
      <c r="H53">
        <f>IF($A53="","",IF($D53="V01",cad!$C$24,IF($D53="V02",cad!$D$24,cad!$E$24)))</f>
      </c>
      <c r="I53">
        <f>IF($A53="","",IF($D53="V01",cad!$C$32,IF($D53="V02",cad!$D$32,cad!$E$32)))</f>
      </c>
      <c r="J53">
        <f>IF($A53="","",IF($D53="V01",cad!$C$33,IF($D53="V02",cad!$D$33,cad!$E$33)))</f>
      </c>
      <c r="K53">
        <f>IF($A53="","",IF($D53="V01",cad!$C$34,IF($D53="V02",cad!$D$34,cad!$E$34)))</f>
      </c>
      <c r="L53">
        <f>IF($A53="","",IF($D53="V01",cad!$C$35,IF($D53="V02",cad!$D$35,cad!$E$35)))</f>
      </c>
      <c r="M53">
        <f>IF($A53="","",IF($D53="V01",cad!$C$36,IF($D53="V02",cad!$D$36,cad!$E$36)))</f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>
        <f>IF($A54="","",IF($D54="V01",cad!$C$23,IF($D54="V02",cad!$D$23,cad!$E$23)))</f>
      </c>
      <c r="H54">
        <f>IF($A54="","",IF($D54="V01",cad!$C$24,IF($D54="V02",cad!$D$24,cad!$E$24)))</f>
      </c>
      <c r="I54">
        <f>IF($A54="","",IF($D54="V01",cad!$C$32,IF($D54="V02",cad!$D$32,cad!$E$32)))</f>
      </c>
      <c r="J54">
        <f>IF($A54="","",IF($D54="V01",cad!$C$33,IF($D54="V02",cad!$D$33,cad!$E$33)))</f>
      </c>
      <c r="K54">
        <f>IF($A54="","",IF($D54="V01",cad!$C$34,IF($D54="V02",cad!$D$34,cad!$E$34)))</f>
      </c>
      <c r="L54">
        <f>IF($A54="","",IF($D54="V01",cad!$C$35,IF($D54="V02",cad!$D$35,cad!$E$35)))</f>
      </c>
      <c r="M54">
        <f>IF($A54="","",IF($D54="V01",cad!$C$36,IF($D54="V02",cad!$D$36,cad!$E$36)))</f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>
        <f>IF($A55="","",IF($D55="V01",cad!$C$23,IF($D55="V02",cad!$D$23,cad!$E$23)))</f>
      </c>
      <c r="H55">
        <f>IF($A55="","",IF($D55="V01",cad!$C$24,IF($D55="V02",cad!$D$24,cad!$E$24)))</f>
      </c>
      <c r="I55">
        <f>IF($A55="","",IF($D55="V01",cad!$C$32,IF($D55="V02",cad!$D$32,cad!$E$32)))</f>
      </c>
      <c r="J55">
        <f>IF($A55="","",IF($D55="V01",cad!$C$33,IF($D55="V02",cad!$D$33,cad!$E$33)))</f>
      </c>
      <c r="K55">
        <f>IF($A55="","",IF($D55="V01",cad!$C$34,IF($D55="V02",cad!$D$34,cad!$E$34)))</f>
      </c>
      <c r="L55">
        <f>IF($A55="","",IF($D55="V01",cad!$C$35,IF($D55="V02",cad!$D$35,cad!$E$35)))</f>
      </c>
      <c r="M55">
        <f>IF($A55="","",IF($D55="V01",cad!$C$36,IF($D55="V02",cad!$D$36,cad!$E$36)))</f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>
        <f>IF($A56="","",IF($D56="V01",cad!$C$23,IF($D56="V02",cad!$D$23,cad!$E$23)))</f>
      </c>
      <c r="H56">
        <f>IF($A56="","",IF($D56="V01",cad!$C$24,IF($D56="V02",cad!$D$24,cad!$E$24)))</f>
      </c>
      <c r="I56">
        <f>IF($A56="","",IF($D56="V01",cad!$C$32,IF($D56="V02",cad!$D$32,cad!$E$32)))</f>
      </c>
      <c r="J56">
        <f>IF($A56="","",IF($D56="V01",cad!$C$33,IF($D56="V02",cad!$D$33,cad!$E$33)))</f>
      </c>
      <c r="K56">
        <f>IF($A56="","",IF($D56="V01",cad!$C$34,IF($D56="V02",cad!$D$34,cad!$E$34)))</f>
      </c>
      <c r="L56">
        <f>IF($A56="","",IF($D56="V01",cad!$C$35,IF($D56="V02",cad!$D$35,cad!$E$35)))</f>
      </c>
      <c r="M56">
        <f>IF($A56="","",IF($D56="V01",cad!$C$36,IF($D56="V02",cad!$D$36,cad!$E$36)))</f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>
        <f>IF($A57="","",IF($D57="V01",cad!$C$23,IF($D57="V02",cad!$D$23,cad!$E$23)))</f>
      </c>
      <c r="H57">
        <f>IF($A57="","",IF($D57="V01",cad!$C$24,IF($D57="V02",cad!$D$24,cad!$E$24)))</f>
      </c>
      <c r="I57">
        <f>IF($A57="","",IF($D57="V01",cad!$C$32,IF($D57="V02",cad!$D$32,cad!$E$32)))</f>
      </c>
      <c r="J57">
        <f>IF($A57="","",IF($D57="V01",cad!$C$33,IF($D57="V02",cad!$D$33,cad!$E$33)))</f>
      </c>
      <c r="K57">
        <f>IF($A57="","",IF($D57="V01",cad!$C$34,IF($D57="V02",cad!$D$34,cad!$E$34)))</f>
      </c>
      <c r="L57">
        <f>IF($A57="","",IF($D57="V01",cad!$C$35,IF($D57="V02",cad!$D$35,cad!$E$35)))</f>
      </c>
      <c r="M57">
        <f>IF($A57="","",IF($D57="V01",cad!$C$36,IF($D57="V02",cad!$D$36,cad!$E$36)))</f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>
        <f>IF($A58="","",IF($D58="V01",cad!$C$23,IF($D58="V02",cad!$D$23,cad!$E$23)))</f>
      </c>
      <c r="H58">
        <f>IF($A58="","",IF($D58="V01",cad!$C$24,IF($D58="V02",cad!$D$24,cad!$E$24)))</f>
      </c>
      <c r="I58">
        <f>IF($A58="","",IF($D58="V01",cad!$C$32,IF($D58="V02",cad!$D$32,cad!$E$32)))</f>
      </c>
      <c r="J58">
        <f>IF($A58="","",IF($D58="V01",cad!$C$33,IF($D58="V02",cad!$D$33,cad!$E$33)))</f>
      </c>
      <c r="K58">
        <f>IF($A58="","",IF($D58="V01",cad!$C$34,IF($D58="V02",cad!$D$34,cad!$E$34)))</f>
      </c>
      <c r="L58">
        <f>IF($A58="","",IF($D58="V01",cad!$C$35,IF($D58="V02",cad!$D$35,cad!$E$35)))</f>
      </c>
      <c r="M58">
        <f>IF($A58="","",IF($D58="V01",cad!$C$36,IF($D58="V02",cad!$D$36,cad!$E$36)))</f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>
        <f>IF($A59="","",IF($D59="V01",cad!$C$23,IF($D59="V02",cad!$D$23,cad!$E$23)))</f>
      </c>
      <c r="H59">
        <f>IF($A59="","",IF($D59="V01",cad!$C$24,IF($D59="V02",cad!$D$24,cad!$E$24)))</f>
      </c>
      <c r="I59">
        <f>IF($A59="","",IF($D59="V01",cad!$C$32,IF($D59="V02",cad!$D$32,cad!$E$32)))</f>
      </c>
      <c r="J59">
        <f>IF($A59="","",IF($D59="V01",cad!$C$33,IF($D59="V02",cad!$D$33,cad!$E$33)))</f>
      </c>
      <c r="K59">
        <f>IF($A59="","",IF($D59="V01",cad!$C$34,IF($D59="V02",cad!$D$34,cad!$E$34)))</f>
      </c>
      <c r="L59">
        <f>IF($A59="","",IF($D59="V01",cad!$C$35,IF($D59="V02",cad!$D$35,cad!$E$35)))</f>
      </c>
      <c r="M59">
        <f>IF($A59="","",IF($D59="V01",cad!$C$36,IF($D59="V02",cad!$D$36,cad!$E$36)))</f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>
        <f>IF($A60="","",IF($D60="V01",cad!$C$23,IF($D60="V02",cad!$D$23,cad!$E$23)))</f>
      </c>
      <c r="H60">
        <f>IF($A60="","",IF($D60="V01",cad!$C$24,IF($D60="V02",cad!$D$24,cad!$E$24)))</f>
      </c>
      <c r="I60">
        <f>IF($A60="","",IF($D60="V01",cad!$C$32,IF($D60="V02",cad!$D$32,cad!$E$32)))</f>
      </c>
      <c r="J60">
        <f>IF($A60="","",IF($D60="V01",cad!$C$33,IF($D60="V02",cad!$D$33,cad!$E$33)))</f>
      </c>
      <c r="K60">
        <f>IF($A60="","",IF($D60="V01",cad!$C$34,IF($D60="V02",cad!$D$34,cad!$E$34)))</f>
      </c>
      <c r="L60">
        <f>IF($A60="","",IF($D60="V01",cad!$C$35,IF($D60="V02",cad!$D$35,cad!$E$35)))</f>
      </c>
      <c r="M60">
        <f>IF($A60="","",IF($D60="V01",cad!$C$36,IF($D60="V02",cad!$D$36,cad!$E$36)))</f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>
        <f>IF($A61="","",IF($D61="V01",cad!$C$23,IF($D61="V02",cad!$D$23,cad!$E$23)))</f>
      </c>
      <c r="H61">
        <f>IF($A61="","",IF($D61="V01",cad!$C$24,IF($D61="V02",cad!$D$24,cad!$E$24)))</f>
      </c>
      <c r="I61">
        <f>IF($A61="","",IF($D61="V01",cad!$C$32,IF($D61="V02",cad!$D$32,cad!$E$32)))</f>
      </c>
      <c r="J61">
        <f>IF($A61="","",IF($D61="V01",cad!$C$33,IF($D61="V02",cad!$D$33,cad!$E$33)))</f>
      </c>
      <c r="K61">
        <f>IF($A61="","",IF($D61="V01",cad!$C$34,IF($D61="V02",cad!$D$34,cad!$E$34)))</f>
      </c>
      <c r="L61">
        <f>IF($A61="","",IF($D61="V01",cad!$C$35,IF($D61="V02",cad!$D$35,cad!$E$35)))</f>
      </c>
      <c r="M61">
        <f>IF($A61="","",IF($D61="V01",cad!$C$36,IF($D61="V02",cad!$D$36,cad!$E$36)))</f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>
        <f>IF($A62="","",IF($D62="V01",cad!$C$23,IF($D62="V02",cad!$D$23,cad!$E$23)))</f>
      </c>
      <c r="H62">
        <f>IF($A62="","",IF($D62="V01",cad!$C$24,IF($D62="V02",cad!$D$24,cad!$E$24)))</f>
      </c>
      <c r="I62">
        <f>IF($A62="","",IF($D62="V01",cad!$C$32,IF($D62="V02",cad!$D$32,cad!$E$32)))</f>
      </c>
      <c r="J62">
        <f>IF($A62="","",IF($D62="V01",cad!$C$33,IF($D62="V02",cad!$D$33,cad!$E$33)))</f>
      </c>
      <c r="K62">
        <f>IF($A62="","",IF($D62="V01",cad!$C$34,IF($D62="V02",cad!$D$34,cad!$E$34)))</f>
      </c>
      <c r="L62">
        <f>IF($A62="","",IF($D62="V01",cad!$C$35,IF($D62="V02",cad!$D$35,cad!$E$35)))</f>
      </c>
      <c r="M62">
        <f>IF($A62="","",IF($D62="V01",cad!$C$36,IF($D62="V02",cad!$D$36,cad!$E$36)))</f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>
        <f>IF($A63="","",IF($D63="V01",cad!$C$23,IF($D63="V02",cad!$D$23,cad!$E$23)))</f>
      </c>
      <c r="H63">
        <f>IF($A63="","",IF($D63="V01",cad!$C$24,IF($D63="V02",cad!$D$24,cad!$E$24)))</f>
      </c>
      <c r="I63">
        <f>IF($A63="","",IF($D63="V01",cad!$C$32,IF($D63="V02",cad!$D$32,cad!$E$32)))</f>
      </c>
      <c r="J63">
        <f>IF($A63="","",IF($D63="V01",cad!$C$33,IF($D63="V02",cad!$D$33,cad!$E$33)))</f>
      </c>
      <c r="K63">
        <f>IF($A63="","",IF($D63="V01",cad!$C$34,IF($D63="V02",cad!$D$34,cad!$E$34)))</f>
      </c>
      <c r="L63">
        <f>IF($A63="","",IF($D63="V01",cad!$C$35,IF($D63="V02",cad!$D$35,cad!$E$35)))</f>
      </c>
      <c r="M63">
        <f>IF($A63="","",IF($D63="V01",cad!$C$36,IF($D63="V02",cad!$D$36,cad!$E$36)))</f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>
        <f>IF($A64="","",IF($D64="V01",cad!$C$23,IF($D64="V02",cad!$D$23,cad!$E$23)))</f>
      </c>
      <c r="H64">
        <f>IF($A64="","",IF($D64="V01",cad!$C$24,IF($D64="V02",cad!$D$24,cad!$E$24)))</f>
      </c>
      <c r="I64">
        <f>IF($A64="","",IF($D64="V01",cad!$C$32,IF($D64="V02",cad!$D$32,cad!$E$32)))</f>
      </c>
      <c r="J64">
        <f>IF($A64="","",IF($D64="V01",cad!$C$33,IF($D64="V02",cad!$D$33,cad!$E$33)))</f>
      </c>
      <c r="K64">
        <f>IF($A64="","",IF($D64="V01",cad!$C$34,IF($D64="V02",cad!$D$34,cad!$E$34)))</f>
      </c>
      <c r="L64">
        <f>IF($A64="","",IF($D64="V01",cad!$C$35,IF($D64="V02",cad!$D$35,cad!$E$35)))</f>
      </c>
      <c r="M64">
        <f>IF($A64="","",IF($D64="V01",cad!$C$36,IF($D64="V02",cad!$D$36,cad!$E$36)))</f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>
        <f>IF($A65="","",IF($D65="V01",cad!$C$23,IF($D65="V02",cad!$D$23,cad!$E$23)))</f>
      </c>
      <c r="H65">
        <f>IF($A65="","",IF($D65="V01",cad!$C$24,IF($D65="V02",cad!$D$24,cad!$E$24)))</f>
      </c>
      <c r="I65">
        <f>IF($A65="","",IF($D65="V01",cad!$C$32,IF($D65="V02",cad!$D$32,cad!$E$32)))</f>
      </c>
      <c r="J65">
        <f>IF($A65="","",IF($D65="V01",cad!$C$33,IF($D65="V02",cad!$D$33,cad!$E$33)))</f>
      </c>
      <c r="K65">
        <f>IF($A65="","",IF($D65="V01",cad!$C$34,IF($D65="V02",cad!$D$34,cad!$E$34)))</f>
      </c>
      <c r="L65">
        <f>IF($A65="","",IF($D65="V01",cad!$C$35,IF($D65="V02",cad!$D$35,cad!$E$35)))</f>
      </c>
      <c r="M65">
        <f>IF($A65="","",IF($D65="V01",cad!$C$36,IF($D65="V02",cad!$D$36,cad!$E$36)))</f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>
        <f>IF($A66="","",IF($D66="V01",cad!$C$23,IF($D66="V02",cad!$D$23,cad!$E$23)))</f>
      </c>
      <c r="H66">
        <f>IF($A66="","",IF($D66="V01",cad!$C$24,IF($D66="V02",cad!$D$24,cad!$E$24)))</f>
      </c>
      <c r="I66">
        <f>IF($A66="","",IF($D66="V01",cad!$C$32,IF($D66="V02",cad!$D$32,cad!$E$32)))</f>
      </c>
      <c r="J66">
        <f>IF($A66="","",IF($D66="V01",cad!$C$33,IF($D66="V02",cad!$D$33,cad!$E$33)))</f>
      </c>
      <c r="K66">
        <f>IF($A66="","",IF($D66="V01",cad!$C$34,IF($D66="V02",cad!$D$34,cad!$E$34)))</f>
      </c>
      <c r="L66">
        <f>IF($A66="","",IF($D66="V01",cad!$C$35,IF($D66="V02",cad!$D$35,cad!$E$35)))</f>
      </c>
      <c r="M66">
        <f>IF($A66="","",IF($D66="V01",cad!$C$36,IF($D66="V02",cad!$D$36,cad!$E$36)))</f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>
        <f>IF($A67="","",IF($D67="V01",cad!$C$23,IF($D67="V02",cad!$D$23,cad!$E$23)))</f>
      </c>
      <c r="H67">
        <f>IF($A67="","",IF($D67="V01",cad!$C$24,IF($D67="V02",cad!$D$24,cad!$E$24)))</f>
      </c>
      <c r="I67">
        <f>IF($A67="","",IF($D67="V01",cad!$C$32,IF($D67="V02",cad!$D$32,cad!$E$32)))</f>
      </c>
      <c r="J67">
        <f>IF($A67="","",IF($D67="V01",cad!$C$33,IF($D67="V02",cad!$D$33,cad!$E$33)))</f>
      </c>
      <c r="K67">
        <f>IF($A67="","",IF($D67="V01",cad!$C$34,IF($D67="V02",cad!$D$34,cad!$E$34)))</f>
      </c>
      <c r="L67">
        <f>IF($A67="","",IF($D67="V01",cad!$C$35,IF($D67="V02",cad!$D$35,cad!$E$35)))</f>
      </c>
      <c r="M67">
        <f>IF($A67="","",IF($D67="V01",cad!$C$36,IF($D67="V02",cad!$D$36,cad!$E$36)))</f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>
        <f>IF($A68="","",IF($D68="V01",cad!$C$23,IF($D68="V02",cad!$D$23,cad!$E$23)))</f>
      </c>
      <c r="H68">
        <f>IF($A68="","",IF($D68="V01",cad!$C$24,IF($D68="V02",cad!$D$24,cad!$E$24)))</f>
      </c>
      <c r="I68">
        <f>IF($A68="","",IF($D68="V01",cad!$C$32,IF($D68="V02",cad!$D$32,cad!$E$32)))</f>
      </c>
      <c r="J68">
        <f>IF($A68="","",IF($D68="V01",cad!$C$33,IF($D68="V02",cad!$D$33,cad!$E$33)))</f>
      </c>
      <c r="K68">
        <f>IF($A68="","",IF($D68="V01",cad!$C$34,IF($D68="V02",cad!$D$34,cad!$E$34)))</f>
      </c>
      <c r="L68">
        <f>IF($A68="","",IF($D68="V01",cad!$C$35,IF($D68="V02",cad!$D$35,cad!$E$35)))</f>
      </c>
      <c r="M68">
        <f>IF($A68="","",IF($D68="V01",cad!$C$36,IF($D68="V02",cad!$D$36,cad!$E$36)))</f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>
        <f>IF($A69="","",IF($D69="V01",cad!$C$23,IF($D69="V02",cad!$D$23,cad!$E$23)))</f>
      </c>
      <c r="H69">
        <f>IF($A69="","",IF($D69="V01",cad!$C$24,IF($D69="V02",cad!$D$24,cad!$E$24)))</f>
      </c>
      <c r="I69">
        <f>IF($A69="","",IF($D69="V01",cad!$C$32,IF($D69="V02",cad!$D$32,cad!$E$32)))</f>
      </c>
      <c r="J69">
        <f>IF($A69="","",IF($D69="V01",cad!$C$33,IF($D69="V02",cad!$D$33,cad!$E$33)))</f>
      </c>
      <c r="K69">
        <f>IF($A69="","",IF($D69="V01",cad!$C$34,IF($D69="V02",cad!$D$34,cad!$E$34)))</f>
      </c>
      <c r="L69">
        <f>IF($A69="","",IF($D69="V01",cad!$C$35,IF($D69="V02",cad!$D$35,cad!$E$35)))</f>
      </c>
      <c r="M69">
        <f>IF($A69="","",IF($D69="V01",cad!$C$36,IF($D69="V02",cad!$D$36,cad!$E$36)))</f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>
        <f>IF($A70="","",IF($D70="V01",cad!$C$23,IF($D70="V02",cad!$D$23,cad!$E$23)))</f>
      </c>
      <c r="H70">
        <f>IF($A70="","",IF($D70="V01",cad!$C$24,IF($D70="V02",cad!$D$24,cad!$E$24)))</f>
      </c>
      <c r="I70">
        <f>IF($A70="","",IF($D70="V01",cad!$C$32,IF($D70="V02",cad!$D$32,cad!$E$32)))</f>
      </c>
      <c r="J70">
        <f>IF($A70="","",IF($D70="V01",cad!$C$33,IF($D70="V02",cad!$D$33,cad!$E$33)))</f>
      </c>
      <c r="K70">
        <f>IF($A70="","",IF($D70="V01",cad!$C$34,IF($D70="V02",cad!$D$34,cad!$E$34)))</f>
      </c>
      <c r="L70">
        <f>IF($A70="","",IF($D70="V01",cad!$C$35,IF($D70="V02",cad!$D$35,cad!$E$35)))</f>
      </c>
      <c r="M70">
        <f>IF($A70="","",IF($D70="V01",cad!$C$36,IF($D70="V02",cad!$D$36,cad!$E$36)))</f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>
        <f>IF($A71="","",IF($D71="V01",cad!$C$23,IF($D71="V02",cad!$D$23,cad!$E$23)))</f>
      </c>
      <c r="H71">
        <f>IF($A71="","",IF($D71="V01",cad!$C$24,IF($D71="V02",cad!$D$24,cad!$E$24)))</f>
      </c>
      <c r="I71">
        <f>IF($A71="","",IF($D71="V01",cad!$C$32,IF($D71="V02",cad!$D$32,cad!$E$32)))</f>
      </c>
      <c r="J71">
        <f>IF($A71="","",IF($D71="V01",cad!$C$33,IF($D71="V02",cad!$D$33,cad!$E$33)))</f>
      </c>
      <c r="K71">
        <f>IF($A71="","",IF($D71="V01",cad!$C$34,IF($D71="V02",cad!$D$34,cad!$E$34)))</f>
      </c>
      <c r="L71">
        <f>IF($A71="","",IF($D71="V01",cad!$C$35,IF($D71="V02",cad!$D$35,cad!$E$35)))</f>
      </c>
      <c r="M71">
        <f>IF($A71="","",IF($D71="V01",cad!$C$36,IF($D71="V02",cad!$D$36,cad!$E$36)))</f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>
        <f>IF($A72="","",IF($D72="V01",cad!$C$23,IF($D72="V02",cad!$D$23,cad!$E$23)))</f>
      </c>
      <c r="H72">
        <f>IF($A72="","",IF($D72="V01",cad!$C$24,IF($D72="V02",cad!$D$24,cad!$E$24)))</f>
      </c>
      <c r="I72">
        <f>IF($A72="","",IF($D72="V01",cad!$C$32,IF($D72="V02",cad!$D$32,cad!$E$32)))</f>
      </c>
      <c r="J72">
        <f>IF($A72="","",IF($D72="V01",cad!$C$33,IF($D72="V02",cad!$D$33,cad!$E$33)))</f>
      </c>
      <c r="K72">
        <f>IF($A72="","",IF($D72="V01",cad!$C$34,IF($D72="V02",cad!$D$34,cad!$E$34)))</f>
      </c>
      <c r="L72">
        <f>IF($A72="","",IF($D72="V01",cad!$C$35,IF($D72="V02",cad!$D$35,cad!$E$35)))</f>
      </c>
      <c r="M72">
        <f>IF($A72="","",IF($D72="V01",cad!$C$36,IF($D72="V02",cad!$D$36,cad!$E$36)))</f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>
        <f>IF($A73="","",IF($D73="V01",cad!$C$23,IF($D73="V02",cad!$D$23,cad!$E$23)))</f>
      </c>
      <c r="H73">
        <f>IF($A73="","",IF($D73="V01",cad!$C$24,IF($D73="V02",cad!$D$24,cad!$E$24)))</f>
      </c>
      <c r="I73">
        <f>IF($A73="","",IF($D73="V01",cad!$C$32,IF($D73="V02",cad!$D$32,cad!$E$32)))</f>
      </c>
      <c r="J73">
        <f>IF($A73="","",IF($D73="V01",cad!$C$33,IF($D73="V02",cad!$D$33,cad!$E$33)))</f>
      </c>
      <c r="K73">
        <f>IF($A73="","",IF($D73="V01",cad!$C$34,IF($D73="V02",cad!$D$34,cad!$E$34)))</f>
      </c>
      <c r="L73">
        <f>IF($A73="","",IF($D73="V01",cad!$C$35,IF($D73="V02",cad!$D$35,cad!$E$35)))</f>
      </c>
      <c r="M73">
        <f>IF($A73="","",IF($D73="V01",cad!$C$36,IF($D73="V02",cad!$D$36,cad!$E$36)))</f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>
        <f>IF($A74="","",IF($D74="V01",cad!$C$23,IF($D74="V02",cad!$D$23,cad!$E$23)))</f>
      </c>
      <c r="H74">
        <f>IF($A74="","",IF($D74="V01",cad!$C$24,IF($D74="V02",cad!$D$24,cad!$E$24)))</f>
      </c>
      <c r="I74">
        <f>IF($A74="","",IF($D74="V01",cad!$C$32,IF($D74="V02",cad!$D$32,cad!$E$32)))</f>
      </c>
      <c r="J74">
        <f>IF($A74="","",IF($D74="V01",cad!$C$33,IF($D74="V02",cad!$D$33,cad!$E$33)))</f>
      </c>
      <c r="K74">
        <f>IF($A74="","",IF($D74="V01",cad!$C$34,IF($D74="V02",cad!$D$34,cad!$E$34)))</f>
      </c>
      <c r="L74">
        <f>IF($A74="","",IF($D74="V01",cad!$C$35,IF($D74="V02",cad!$D$35,cad!$E$35)))</f>
      </c>
      <c r="M74">
        <f>IF($A74="","",IF($D74="V01",cad!$C$36,IF($D74="V02",cad!$D$36,cad!$E$36)))</f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>
        <f>IF($A75="","",IF($D75="V01",cad!$C$23,IF($D75="V02",cad!$D$23,cad!$E$23)))</f>
      </c>
      <c r="H75">
        <f>IF($A75="","",IF($D75="V01",cad!$C$24,IF($D75="V02",cad!$D$24,cad!$E$24)))</f>
      </c>
      <c r="I75">
        <f>IF($A75="","",IF($D75="V01",cad!$C$32,IF($D75="V02",cad!$D$32,cad!$E$32)))</f>
      </c>
      <c r="J75">
        <f>IF($A75="","",IF($D75="V01",cad!$C$33,IF($D75="V02",cad!$D$33,cad!$E$33)))</f>
      </c>
      <c r="K75">
        <f>IF($A75="","",IF($D75="V01",cad!$C$34,IF($D75="V02",cad!$D$34,cad!$E$34)))</f>
      </c>
      <c r="L75">
        <f>IF($A75="","",IF($D75="V01",cad!$C$35,IF($D75="V02",cad!$D$35,cad!$E$35)))</f>
      </c>
      <c r="M75">
        <f>IF($A75="","",IF($D75="V01",cad!$C$36,IF($D75="V02",cad!$D$36,cad!$E$36)))</f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>
        <f>IF($A76="","",IF($D76="V01",cad!$C$23,IF($D76="V02",cad!$D$23,cad!$E$23)))</f>
      </c>
      <c r="H76">
        <f>IF($A76="","",IF($D76="V01",cad!$C$24,IF($D76="V02",cad!$D$24,cad!$E$24)))</f>
      </c>
      <c r="I76">
        <f>IF($A76="","",IF($D76="V01",cad!$C$32,IF($D76="V02",cad!$D$32,cad!$E$32)))</f>
      </c>
      <c r="J76">
        <f>IF($A76="","",IF($D76="V01",cad!$C$33,IF($D76="V02",cad!$D$33,cad!$E$33)))</f>
      </c>
      <c r="K76">
        <f>IF($A76="","",IF($D76="V01",cad!$C$34,IF($D76="V02",cad!$D$34,cad!$E$34)))</f>
      </c>
      <c r="L76">
        <f>IF($A76="","",IF($D76="V01",cad!$C$35,IF($D76="V02",cad!$D$35,cad!$E$35)))</f>
      </c>
      <c r="M76">
        <f>IF($A76="","",IF($D76="V01",cad!$C$36,IF($D76="V02",cad!$D$36,cad!$E$36)))</f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>
        <f>IF($A77="","",IF($D77="V01",cad!$C$23,IF($D77="V02",cad!$D$23,cad!$E$23)))</f>
      </c>
      <c r="H77">
        <f>IF($A77="","",IF($D77="V01",cad!$C$24,IF($D77="V02",cad!$D$24,cad!$E$24)))</f>
      </c>
      <c r="I77">
        <f>IF($A77="","",IF($D77="V01",cad!$C$32,IF($D77="V02",cad!$D$32,cad!$E$32)))</f>
      </c>
      <c r="J77">
        <f>IF($A77="","",IF($D77="V01",cad!$C$33,IF($D77="V02",cad!$D$33,cad!$E$33)))</f>
      </c>
      <c r="K77">
        <f>IF($A77="","",IF($D77="V01",cad!$C$34,IF($D77="V02",cad!$D$34,cad!$E$34)))</f>
      </c>
      <c r="L77">
        <f>IF($A77="","",IF($D77="V01",cad!$C$35,IF($D77="V02",cad!$D$35,cad!$E$35)))</f>
      </c>
      <c r="M77">
        <f>IF($A77="","",IF($D77="V01",cad!$C$36,IF($D77="V02",cad!$D$36,cad!$E$36)))</f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>
        <f>IF($A78="","",IF($D78="V01",cad!$C$23,IF($D78="V02",cad!$D$23,cad!$E$23)))</f>
      </c>
      <c r="H78">
        <f>IF($A78="","",IF($D78="V01",cad!$C$24,IF($D78="V02",cad!$D$24,cad!$E$24)))</f>
      </c>
      <c r="I78">
        <f>IF($A78="","",IF($D78="V01",cad!$C$32,IF($D78="V02",cad!$D$32,cad!$E$32)))</f>
      </c>
      <c r="J78">
        <f>IF($A78="","",IF($D78="V01",cad!$C$33,IF($D78="V02",cad!$D$33,cad!$E$33)))</f>
      </c>
      <c r="K78">
        <f>IF($A78="","",IF($D78="V01",cad!$C$34,IF($D78="V02",cad!$D$34,cad!$E$34)))</f>
      </c>
      <c r="L78">
        <f>IF($A78="","",IF($D78="V01",cad!$C$35,IF($D78="V02",cad!$D$35,cad!$E$35)))</f>
      </c>
      <c r="M78">
        <f>IF($A78="","",IF($D78="V01",cad!$C$36,IF($D78="V02",cad!$D$36,cad!$E$36)))</f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>
        <f>IF($A79="","",IF($D79="V01",cad!$C$23,IF($D79="V02",cad!$D$23,cad!$E$23)))</f>
      </c>
      <c r="H79">
        <f>IF($A79="","",IF($D79="V01",cad!$C$24,IF($D79="V02",cad!$D$24,cad!$E$24)))</f>
      </c>
      <c r="I79">
        <f>IF($A79="","",IF($D79="V01",cad!$C$32,IF($D79="V02",cad!$D$32,cad!$E$32)))</f>
      </c>
      <c r="J79">
        <f>IF($A79="","",IF($D79="V01",cad!$C$33,IF($D79="V02",cad!$D$33,cad!$E$33)))</f>
      </c>
      <c r="K79">
        <f>IF($A79="","",IF($D79="V01",cad!$C$34,IF($D79="V02",cad!$D$34,cad!$E$34)))</f>
      </c>
      <c r="L79">
        <f>IF($A79="","",IF($D79="V01",cad!$C$35,IF($D79="V02",cad!$D$35,cad!$E$35)))</f>
      </c>
      <c r="M79">
        <f>IF($A79="","",IF($D79="V01",cad!$C$36,IF($D79="V02",cad!$D$36,cad!$E$36)))</f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>
        <f>IF($A80="","",IF($D80="V01",cad!$C$23,IF($D80="V02",cad!$D$23,cad!$E$23)))</f>
      </c>
      <c r="H80">
        <f>IF($A80="","",IF($D80="V01",cad!$C$24,IF($D80="V02",cad!$D$24,cad!$E$24)))</f>
      </c>
      <c r="I80">
        <f>IF($A80="","",IF($D80="V01",cad!$C$32,IF($D80="V02",cad!$D$32,cad!$E$32)))</f>
      </c>
      <c r="J80">
        <f>IF($A80="","",IF($D80="V01",cad!$C$33,IF($D80="V02",cad!$D$33,cad!$E$33)))</f>
      </c>
      <c r="K80">
        <f>IF($A80="","",IF($D80="V01",cad!$C$34,IF($D80="V02",cad!$D$34,cad!$E$34)))</f>
      </c>
      <c r="L80">
        <f>IF($A80="","",IF($D80="V01",cad!$C$35,IF($D80="V02",cad!$D$35,cad!$E$35)))</f>
      </c>
      <c r="M80">
        <f>IF($A80="","",IF($D80="V01",cad!$C$36,IF($D80="V02",cad!$D$36,cad!$E$36)))</f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>
        <f>IF($A81="","",IF($D81="V01",cad!$C$23,IF($D81="V02",cad!$D$23,cad!$E$23)))</f>
      </c>
      <c r="H81">
        <f>IF($A81="","",IF($D81="V01",cad!$C$24,IF($D81="V02",cad!$D$24,cad!$E$24)))</f>
      </c>
      <c r="I81">
        <f>IF($A81="","",IF($D81="V01",cad!$C$32,IF($D81="V02",cad!$D$32,cad!$E$32)))</f>
      </c>
      <c r="J81">
        <f>IF($A81="","",IF($D81="V01",cad!$C$33,IF($D81="V02",cad!$D$33,cad!$E$33)))</f>
      </c>
      <c r="K81">
        <f>IF($A81="","",IF($D81="V01",cad!$C$34,IF($D81="V02",cad!$D$34,cad!$E$34)))</f>
      </c>
      <c r="L81">
        <f>IF($A81="","",IF($D81="V01",cad!$C$35,IF($D81="V02",cad!$D$35,cad!$E$35)))</f>
      </c>
      <c r="M81">
        <f>IF($A81="","",IF($D81="V01",cad!$C$36,IF($D81="V02",cad!$D$36,cad!$E$36)))</f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>
        <f>IF($A82="","",IF($D82="V01",cad!$C$23,IF($D82="V02",cad!$D$23,cad!$E$23)))</f>
      </c>
      <c r="H82">
        <f>IF($A82="","",IF($D82="V01",cad!$C$24,IF($D82="V02",cad!$D$24,cad!$E$24)))</f>
      </c>
      <c r="I82">
        <f>IF($A82="","",IF($D82="V01",cad!$C$32,IF($D82="V02",cad!$D$32,cad!$E$32)))</f>
      </c>
      <c r="J82">
        <f>IF($A82="","",IF($D82="V01",cad!$C$33,IF($D82="V02",cad!$D$33,cad!$E$33)))</f>
      </c>
      <c r="K82">
        <f>IF($A82="","",IF($D82="V01",cad!$C$34,IF($D82="V02",cad!$D$34,cad!$E$34)))</f>
      </c>
      <c r="L82">
        <f>IF($A82="","",IF($D82="V01",cad!$C$35,IF($D82="V02",cad!$D$35,cad!$E$35)))</f>
      </c>
      <c r="M82">
        <f>IF($A82="","",IF($D82="V01",cad!$C$36,IF($D82="V02",cad!$D$36,cad!$E$36)))</f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>
        <f>IF($A83="","",IF($D83="V01",cad!$C$23,IF($D83="V02",cad!$D$23,cad!$E$23)))</f>
      </c>
      <c r="H83">
        <f>IF($A83="","",IF($D83="V01",cad!$C$24,IF($D83="V02",cad!$D$24,cad!$E$24)))</f>
      </c>
      <c r="I83">
        <f>IF($A83="","",IF($D83="V01",cad!$C$32,IF($D83="V02",cad!$D$32,cad!$E$32)))</f>
      </c>
      <c r="J83">
        <f>IF($A83="","",IF($D83="V01",cad!$C$33,IF($D83="V02",cad!$D$33,cad!$E$33)))</f>
      </c>
      <c r="K83">
        <f>IF($A83="","",IF($D83="V01",cad!$C$34,IF($D83="V02",cad!$D$34,cad!$E$34)))</f>
      </c>
      <c r="L83">
        <f>IF($A83="","",IF($D83="V01",cad!$C$35,IF($D83="V02",cad!$D$35,cad!$E$35)))</f>
      </c>
      <c r="M83">
        <f>IF($A83="","",IF($D83="V01",cad!$C$36,IF($D83="V02",cad!$D$36,cad!$E$36)))</f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>
        <f>IF($A84="","",IF($D84="V01",cad!$C$23,IF($D84="V02",cad!$D$23,cad!$E$23)))</f>
      </c>
      <c r="H84">
        <f>IF($A84="","",IF($D84="V01",cad!$C$24,IF($D84="V02",cad!$D$24,cad!$E$24)))</f>
      </c>
      <c r="I84">
        <f>IF($A84="","",IF($D84="V01",cad!$C$32,IF($D84="V02",cad!$D$32,cad!$E$32)))</f>
      </c>
      <c r="J84">
        <f>IF($A84="","",IF($D84="V01",cad!$C$33,IF($D84="V02",cad!$D$33,cad!$E$33)))</f>
      </c>
      <c r="K84">
        <f>IF($A84="","",IF($D84="V01",cad!$C$34,IF($D84="V02",cad!$D$34,cad!$E$34)))</f>
      </c>
      <c r="L84">
        <f>IF($A84="","",IF($D84="V01",cad!$C$35,IF($D84="V02",cad!$D$35,cad!$E$35)))</f>
      </c>
      <c r="M84">
        <f>IF($A84="","",IF($D84="V01",cad!$C$36,IF($D84="V02",cad!$D$36,cad!$E$36)))</f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>
        <f>IF($A85="","",IF($D85="V01",cad!$C$23,IF($D85="V02",cad!$D$23,cad!$E$23)))</f>
      </c>
      <c r="H85">
        <f>IF($A85="","",IF($D85="V01",cad!$C$24,IF($D85="V02",cad!$D$24,cad!$E$24)))</f>
      </c>
      <c r="I85">
        <f>IF($A85="","",IF($D85="V01",cad!$C$32,IF($D85="V02",cad!$D$32,cad!$E$32)))</f>
      </c>
      <c r="J85">
        <f>IF($A85="","",IF($D85="V01",cad!$C$33,IF($D85="V02",cad!$D$33,cad!$E$33)))</f>
      </c>
      <c r="K85">
        <f>IF($A85="","",IF($D85="V01",cad!$C$34,IF($D85="V02",cad!$D$34,cad!$E$34)))</f>
      </c>
      <c r="L85">
        <f>IF($A85="","",IF($D85="V01",cad!$C$35,IF($D85="V02",cad!$D$35,cad!$E$35)))</f>
      </c>
      <c r="M85">
        <f>IF($A85="","",IF($D85="V01",cad!$C$36,IF($D85="V02",cad!$D$36,cad!$E$36)))</f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>
        <f>IF($A86="","",IF($D86="V01",cad!$C$23,IF($D86="V02",cad!$D$23,cad!$E$23)))</f>
      </c>
      <c r="H86">
        <f>IF($A86="","",IF($D86="V01",cad!$C$24,IF($D86="V02",cad!$D$24,cad!$E$24)))</f>
      </c>
      <c r="I86">
        <f>IF($A86="","",IF($D86="V01",cad!$C$32,IF($D86="V02",cad!$D$32,cad!$E$32)))</f>
      </c>
      <c r="J86">
        <f>IF($A86="","",IF($D86="V01",cad!$C$33,IF($D86="V02",cad!$D$33,cad!$E$33)))</f>
      </c>
      <c r="K86">
        <f>IF($A86="","",IF($D86="V01",cad!$C$34,IF($D86="V02",cad!$D$34,cad!$E$34)))</f>
      </c>
      <c r="L86">
        <f>IF($A86="","",IF($D86="V01",cad!$C$35,IF($D86="V02",cad!$D$35,cad!$E$35)))</f>
      </c>
      <c r="M86">
        <f>IF($A86="","",IF($D86="V01",cad!$C$36,IF($D86="V02",cad!$D$36,cad!$E$36)))</f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>
        <f>IF($A87="","",IF($D87="V01",cad!$C$23,IF($D87="V02",cad!$D$23,cad!$E$23)))</f>
      </c>
      <c r="H87">
        <f>IF($A87="","",IF($D87="V01",cad!$C$24,IF($D87="V02",cad!$D$24,cad!$E$24)))</f>
      </c>
      <c r="I87">
        <f>IF($A87="","",IF($D87="V01",cad!$C$32,IF($D87="V02",cad!$D$32,cad!$E$32)))</f>
      </c>
      <c r="J87">
        <f>IF($A87="","",IF($D87="V01",cad!$C$33,IF($D87="V02",cad!$D$33,cad!$E$33)))</f>
      </c>
      <c r="K87">
        <f>IF($A87="","",IF($D87="V01",cad!$C$34,IF($D87="V02",cad!$D$34,cad!$E$34)))</f>
      </c>
      <c r="L87">
        <f>IF($A87="","",IF($D87="V01",cad!$C$35,IF($D87="V02",cad!$D$35,cad!$E$35)))</f>
      </c>
      <c r="M87">
        <f>IF($A87="","",IF($D87="V01",cad!$C$36,IF($D87="V02",cad!$D$36,cad!$E$36)))</f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>
        <f>IF($A88="","",IF($D88="V01",cad!$C$23,IF($D88="V02",cad!$D$23,cad!$E$23)))</f>
      </c>
      <c r="H88">
        <f>IF($A88="","",IF($D88="V01",cad!$C$24,IF($D88="V02",cad!$D$24,cad!$E$24)))</f>
      </c>
      <c r="I88">
        <f>IF($A88="","",IF($D88="V01",cad!$C$32,IF($D88="V02",cad!$D$32,cad!$E$32)))</f>
      </c>
      <c r="J88">
        <f>IF($A88="","",IF($D88="V01",cad!$C$33,IF($D88="V02",cad!$D$33,cad!$E$33)))</f>
      </c>
      <c r="K88">
        <f>IF($A88="","",IF($D88="V01",cad!$C$34,IF($D88="V02",cad!$D$34,cad!$E$34)))</f>
      </c>
      <c r="L88">
        <f>IF($A88="","",IF($D88="V01",cad!$C$35,IF($D88="V02",cad!$D$35,cad!$E$35)))</f>
      </c>
      <c r="M88">
        <f>IF($A88="","",IF($D88="V01",cad!$C$36,IF($D88="V02",cad!$D$36,cad!$E$36)))</f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>
        <f>IF($A89="","",IF($D89="V01",cad!$C$23,IF($D89="V02",cad!$D$23,cad!$E$23)))</f>
      </c>
      <c r="H89">
        <f>IF($A89="","",IF($D89="V01",cad!$C$24,IF($D89="V02",cad!$D$24,cad!$E$24)))</f>
      </c>
      <c r="I89">
        <f>IF($A89="","",IF($D89="V01",cad!$C$32,IF($D89="V02",cad!$D$32,cad!$E$32)))</f>
      </c>
      <c r="J89">
        <f>IF($A89="","",IF($D89="V01",cad!$C$33,IF($D89="V02",cad!$D$33,cad!$E$33)))</f>
      </c>
      <c r="K89">
        <f>IF($A89="","",IF($D89="V01",cad!$C$34,IF($D89="V02",cad!$D$34,cad!$E$34)))</f>
      </c>
      <c r="L89">
        <f>IF($A89="","",IF($D89="V01",cad!$C$35,IF($D89="V02",cad!$D$35,cad!$E$35)))</f>
      </c>
      <c r="M89">
        <f>IF($A89="","",IF($D89="V01",cad!$C$36,IF($D89="V02",cad!$D$36,cad!$E$36)))</f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>
        <f>IF($A90="","",IF($D90="V01",cad!$C$23,IF($D90="V02",cad!$D$23,cad!$E$23)))</f>
      </c>
      <c r="H90">
        <f>IF($A90="","",IF($D90="V01",cad!$C$24,IF($D90="V02",cad!$D$24,cad!$E$24)))</f>
      </c>
      <c r="I90">
        <f>IF($A90="","",IF($D90="V01",cad!$C$32,IF($D90="V02",cad!$D$32,cad!$E$32)))</f>
      </c>
      <c r="J90">
        <f>IF($A90="","",IF($D90="V01",cad!$C$33,IF($D90="V02",cad!$D$33,cad!$E$33)))</f>
      </c>
      <c r="K90">
        <f>IF($A90="","",IF($D90="V01",cad!$C$34,IF($D90="V02",cad!$D$34,cad!$E$34)))</f>
      </c>
      <c r="L90">
        <f>IF($A90="","",IF($D90="V01",cad!$C$35,IF($D90="V02",cad!$D$35,cad!$E$35)))</f>
      </c>
      <c r="M90">
        <f>IF($A90="","",IF($D90="V01",cad!$C$36,IF($D90="V02",cad!$D$36,cad!$E$36)))</f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>
        <f>IF($A91="","",IF($D91="V01",cad!$C$23,IF($D91="V02",cad!$D$23,cad!$E$23)))</f>
      </c>
      <c r="H91">
        <f>IF($A91="","",IF($D91="V01",cad!$C$24,IF($D91="V02",cad!$D$24,cad!$E$24)))</f>
      </c>
      <c r="I91">
        <f>IF($A91="","",IF($D91="V01",cad!$C$32,IF($D91="V02",cad!$D$32,cad!$E$32)))</f>
      </c>
      <c r="J91">
        <f>IF($A91="","",IF($D91="V01",cad!$C$33,IF($D91="V02",cad!$D$33,cad!$E$33)))</f>
      </c>
      <c r="K91">
        <f>IF($A91="","",IF($D91="V01",cad!$C$34,IF($D91="V02",cad!$D$34,cad!$E$34)))</f>
      </c>
      <c r="L91">
        <f>IF($A91="","",IF($D91="V01",cad!$C$35,IF($D91="V02",cad!$D$35,cad!$E$35)))</f>
      </c>
      <c r="M91">
        <f>IF($A91="","",IF($D91="V01",cad!$C$36,IF($D91="V02",cad!$D$36,cad!$E$36)))</f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>
        <f>IF($A92="","",IF($D92="V01",cad!$C$23,IF($D92="V02",cad!$D$23,cad!$E$23)))</f>
      </c>
      <c r="H92">
        <f>IF($A92="","",IF($D92="V01",cad!$C$24,IF($D92="V02",cad!$D$24,cad!$E$24)))</f>
      </c>
      <c r="I92">
        <f>IF($A92="","",IF($D92="V01",cad!$C$32,IF($D92="V02",cad!$D$32,cad!$E$32)))</f>
      </c>
      <c r="J92">
        <f>IF($A92="","",IF($D92="V01",cad!$C$33,IF($D92="V02",cad!$D$33,cad!$E$33)))</f>
      </c>
      <c r="K92">
        <f>IF($A92="","",IF($D92="V01",cad!$C$34,IF($D92="V02",cad!$D$34,cad!$E$34)))</f>
      </c>
      <c r="L92">
        <f>IF($A92="","",IF($D92="V01",cad!$C$35,IF($D92="V02",cad!$D$35,cad!$E$35)))</f>
      </c>
      <c r="M92">
        <f>IF($A92="","",IF($D92="V01",cad!$C$36,IF($D92="V02",cad!$D$36,cad!$E$36)))</f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>
        <f>IF($A93="","",IF($D93="V01",cad!$C$23,IF($D93="V02",cad!$D$23,cad!$E$23)))</f>
      </c>
      <c r="H93">
        <f>IF($A93="","",IF($D93="V01",cad!$C$24,IF($D93="V02",cad!$D$24,cad!$E$24)))</f>
      </c>
      <c r="I93">
        <f>IF($A93="","",IF($D93="V01",cad!$C$32,IF($D93="V02",cad!$D$32,cad!$E$32)))</f>
      </c>
      <c r="J93">
        <f>IF($A93="","",IF($D93="V01",cad!$C$33,IF($D93="V02",cad!$D$33,cad!$E$33)))</f>
      </c>
      <c r="K93">
        <f>IF($A93="","",IF($D93="V01",cad!$C$34,IF($D93="V02",cad!$D$34,cad!$E$34)))</f>
      </c>
      <c r="L93">
        <f>IF($A93="","",IF($D93="V01",cad!$C$35,IF($D93="V02",cad!$D$35,cad!$E$35)))</f>
      </c>
      <c r="M93">
        <f>IF($A93="","",IF($D93="V01",cad!$C$36,IF($D93="V02",cad!$D$36,cad!$E$36)))</f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>
        <f>IF($A94="","",IF($D94="V01",cad!$C$23,IF($D94="V02",cad!$D$23,cad!$E$23)))</f>
      </c>
      <c r="H94">
        <f>IF($A94="","",IF($D94="V01",cad!$C$24,IF($D94="V02",cad!$D$24,cad!$E$24)))</f>
      </c>
      <c r="I94">
        <f>IF($A94="","",IF($D94="V01",cad!$C$32,IF($D94="V02",cad!$D$32,cad!$E$32)))</f>
      </c>
      <c r="J94">
        <f>IF($A94="","",IF($D94="V01",cad!$C$33,IF($D94="V02",cad!$D$33,cad!$E$33)))</f>
      </c>
      <c r="K94">
        <f>IF($A94="","",IF($D94="V01",cad!$C$34,IF($D94="V02",cad!$D$34,cad!$E$34)))</f>
      </c>
      <c r="L94">
        <f>IF($A94="","",IF($D94="V01",cad!$C$35,IF($D94="V02",cad!$D$35,cad!$E$35)))</f>
      </c>
      <c r="M94">
        <f>IF($A94="","",IF($D94="V01",cad!$C$36,IF($D94="V02",cad!$D$36,cad!$E$36)))</f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>
        <f>IF($A95="","",IF($D95="V01",cad!$C$23,IF($D95="V02",cad!$D$23,cad!$E$23)))</f>
      </c>
      <c r="H95">
        <f>IF($A95="","",IF($D95="V01",cad!$C$24,IF($D95="V02",cad!$D$24,cad!$E$24)))</f>
      </c>
      <c r="I95">
        <f>IF($A95="","",IF($D95="V01",cad!$C$32,IF($D95="V02",cad!$D$32,cad!$E$32)))</f>
      </c>
      <c r="J95">
        <f>IF($A95="","",IF($D95="V01",cad!$C$33,IF($D95="V02",cad!$D$33,cad!$E$33)))</f>
      </c>
      <c r="K95">
        <f>IF($A95="","",IF($D95="V01",cad!$C$34,IF($D95="V02",cad!$D$34,cad!$E$34)))</f>
      </c>
      <c r="L95">
        <f>IF($A95="","",IF($D95="V01",cad!$C$35,IF($D95="V02",cad!$D$35,cad!$E$35)))</f>
      </c>
      <c r="M95">
        <f>IF($A95="","",IF($D95="V01",cad!$C$36,IF($D95="V02",cad!$D$36,cad!$E$36)))</f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>
        <f>IF($A96="","",IF($D96="V01",cad!$C$23,IF($D96="V02",cad!$D$23,cad!$E$23)))</f>
      </c>
      <c r="H96">
        <f>IF($A96="","",IF($D96="V01",cad!$C$24,IF($D96="V02",cad!$D$24,cad!$E$24)))</f>
      </c>
      <c r="I96">
        <f>IF($A96="","",IF($D96="V01",cad!$C$32,IF($D96="V02",cad!$D$32,cad!$E$32)))</f>
      </c>
      <c r="J96">
        <f>IF($A96="","",IF($D96="V01",cad!$C$33,IF($D96="V02",cad!$D$33,cad!$E$33)))</f>
      </c>
      <c r="K96">
        <f>IF($A96="","",IF($D96="V01",cad!$C$34,IF($D96="V02",cad!$D$34,cad!$E$34)))</f>
      </c>
      <c r="L96">
        <f>IF($A96="","",IF($D96="V01",cad!$C$35,IF($D96="V02",cad!$D$35,cad!$E$35)))</f>
      </c>
      <c r="M96">
        <f>IF($A96="","",IF($D96="V01",cad!$C$36,IF($D96="V02",cad!$D$36,cad!$E$36)))</f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>
        <f>IF($A97="","",IF($D97="V01",cad!$C$23,IF($D97="V02",cad!$D$23,cad!$E$23)))</f>
      </c>
      <c r="H97">
        <f>IF($A97="","",IF($D97="V01",cad!$C$24,IF($D97="V02",cad!$D$24,cad!$E$24)))</f>
      </c>
      <c r="I97">
        <f>IF($A97="","",IF($D97="V01",cad!$C$32,IF($D97="V02",cad!$D$32,cad!$E$32)))</f>
      </c>
      <c r="J97">
        <f>IF($A97="","",IF($D97="V01",cad!$C$33,IF($D97="V02",cad!$D$33,cad!$E$33)))</f>
      </c>
      <c r="K97">
        <f>IF($A97="","",IF($D97="V01",cad!$C$34,IF($D97="V02",cad!$D$34,cad!$E$34)))</f>
      </c>
      <c r="L97">
        <f>IF($A97="","",IF($D97="V01",cad!$C$35,IF($D97="V02",cad!$D$35,cad!$E$35)))</f>
      </c>
      <c r="M97">
        <f>IF($A97="","",IF($D97="V01",cad!$C$36,IF($D97="V02",cad!$D$36,cad!$E$36)))</f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>
        <f>IF($A98="","",IF($D98="V01",cad!$C$23,IF($D98="V02",cad!$D$23,cad!$E$23)))</f>
      </c>
      <c r="H98">
        <f>IF($A98="","",IF($D98="V01",cad!$C$24,IF($D98="V02",cad!$D$24,cad!$E$24)))</f>
      </c>
      <c r="I98">
        <f>IF($A98="","",IF($D98="V01",cad!$C$32,IF($D98="V02",cad!$D$32,cad!$E$32)))</f>
      </c>
      <c r="J98">
        <f>IF($A98="","",IF($D98="V01",cad!$C$33,IF($D98="V02",cad!$D$33,cad!$E$33)))</f>
      </c>
      <c r="K98">
        <f>IF($A98="","",IF($D98="V01",cad!$C$34,IF($D98="V02",cad!$D$34,cad!$E$34)))</f>
      </c>
      <c r="L98">
        <f>IF($A98="","",IF($D98="V01",cad!$C$35,IF($D98="V02",cad!$D$35,cad!$E$35)))</f>
      </c>
      <c r="M98">
        <f>IF($A98="","",IF($D98="V01",cad!$C$36,IF($D98="V02",cad!$D$36,cad!$E$36)))</f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>
        <f>IF($A99="","",IF($D99="V01",cad!$C$23,IF($D99="V02",cad!$D$23,cad!$E$23)))</f>
      </c>
      <c r="H99">
        <f>IF($A99="","",IF($D99="V01",cad!$C$24,IF($D99="V02",cad!$D$24,cad!$E$24)))</f>
      </c>
      <c r="I99">
        <f>IF($A99="","",IF($D99="V01",cad!$C$32,IF($D99="V02",cad!$D$32,cad!$E$32)))</f>
      </c>
      <c r="J99">
        <f>IF($A99="","",IF($D99="V01",cad!$C$33,IF($D99="V02",cad!$D$33,cad!$E$33)))</f>
      </c>
      <c r="K99">
        <f>IF($A99="","",IF($D99="V01",cad!$C$34,IF($D99="V02",cad!$D$34,cad!$E$34)))</f>
      </c>
      <c r="L99">
        <f>IF($A99="","",IF($D99="V01",cad!$C$35,IF($D99="V02",cad!$D$35,cad!$E$35)))</f>
      </c>
      <c r="M99">
        <f>IF($A99="","",IF($D99="V01",cad!$C$36,IF($D99="V02",cad!$D$36,cad!$E$36)))</f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>
        <f>IF($A100="","",IF($D100="V01",cad!$C$23,IF($D100="V02",cad!$D$23,cad!$E$23)))</f>
      </c>
      <c r="H100">
        <f>IF($A100="","",IF($D100="V01",cad!$C$24,IF($D100="V02",cad!$D$24,cad!$E$24)))</f>
      </c>
      <c r="I100">
        <f>IF($A100="","",IF($D100="V01",cad!$C$32,IF($D100="V02",cad!$D$32,cad!$E$32)))</f>
      </c>
      <c r="J100">
        <f>IF($A100="","",IF($D100="V01",cad!$C$33,IF($D100="V02",cad!$D$33,cad!$E$33)))</f>
      </c>
      <c r="K100">
        <f>IF($A100="","",IF($D100="V01",cad!$C$34,IF($D100="V02",cad!$D$34,cad!$E$34)))</f>
      </c>
      <c r="L100">
        <f>IF($A100="","",IF($D100="V01",cad!$C$35,IF($D100="V02",cad!$D$35,cad!$E$35)))</f>
      </c>
      <c r="M100">
        <f>IF($A100="","",IF($D100="V01",cad!$C$36,IF($D100="V02",cad!$D$36,cad!$E$36)))</f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>
        <f>IF($A101="","",IF($D101="V01",cad!$C$23,IF($D101="V02",cad!$D$23,cad!$E$23)))</f>
      </c>
      <c r="H101">
        <f>IF($A101="","",IF($D101="V01",cad!$C$24,IF($D101="V02",cad!$D$24,cad!$E$24)))</f>
      </c>
      <c r="I101">
        <f>IF($A101="","",IF($D101="V01",cad!$C$32,IF($D101="V02",cad!$D$32,cad!$E$32)))</f>
      </c>
      <c r="J101">
        <f>IF($A101="","",IF($D101="V01",cad!$C$33,IF($D101="V02",cad!$D$33,cad!$E$33)))</f>
      </c>
      <c r="K101">
        <f>IF($A101="","",IF($D101="V01",cad!$C$34,IF($D101="V02",cad!$D$34,cad!$E$34)))</f>
      </c>
      <c r="L101">
        <f>IF($A101="","",IF($D101="V01",cad!$C$35,IF($D101="V02",cad!$D$35,cad!$E$35)))</f>
      </c>
      <c r="M101">
        <f>IF($A101="","",IF($D101="V01",cad!$C$36,IF($D101="V02",cad!$D$36,cad!$E$36)))</f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>
        <f>IF($A102="","",IF($D102="V01",cad!$C$23,IF($D102="V02",cad!$D$23,cad!$E$23)))</f>
      </c>
      <c r="H102">
        <f>IF($A102="","",IF($D102="V01",cad!$C$24,IF($D102="V02",cad!$D$24,cad!$E$24)))</f>
      </c>
      <c r="I102">
        <f>IF($A102="","",IF($D102="V01",cad!$C$32,IF($D102="V02",cad!$D$32,cad!$E$32)))</f>
      </c>
      <c r="J102">
        <f>IF($A102="","",IF($D102="V01",cad!$C$33,IF($D102="V02",cad!$D$33,cad!$E$33)))</f>
      </c>
      <c r="K102">
        <f>IF($A102="","",IF($D102="V01",cad!$C$34,IF($D102="V02",cad!$D$34,cad!$E$34)))</f>
      </c>
      <c r="L102">
        <f>IF($A102="","",IF($D102="V01",cad!$C$35,IF($D102="V02",cad!$D$35,cad!$E$35)))</f>
      </c>
      <c r="M102">
        <f>IF($A102="","",IF($D102="V01",cad!$C$36,IF($D102="V02",cad!$D$36,cad!$E$36)))</f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>
        <f>IF($A103="","",IF($D103="V01",cad!$C$23,IF($D103="V02",cad!$D$23,cad!$E$23)))</f>
      </c>
      <c r="H103">
        <f>IF($A103="","",IF($D103="V01",cad!$C$24,IF($D103="V02",cad!$D$24,cad!$E$24)))</f>
      </c>
      <c r="I103">
        <f>IF($A103="","",IF($D103="V01",cad!$C$32,IF($D103="V02",cad!$D$32,cad!$E$32)))</f>
      </c>
      <c r="J103">
        <f>IF($A103="","",IF($D103="V01",cad!$C$33,IF($D103="V02",cad!$D$33,cad!$E$33)))</f>
      </c>
      <c r="K103">
        <f>IF($A103="","",IF($D103="V01",cad!$C$34,IF($D103="V02",cad!$D$34,cad!$E$34)))</f>
      </c>
      <c r="L103">
        <f>IF($A103="","",IF($D103="V01",cad!$C$35,IF($D103="V02",cad!$D$35,cad!$E$35)))</f>
      </c>
      <c r="M103">
        <f>IF($A103="","",IF($D103="V01",cad!$C$36,IF($D103="V02",cad!$D$36,cad!$E$36)))</f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>
        <f>IF($A104="","",IF($D104="V01",cad!$C$23,IF($D104="V02",cad!$D$23,cad!$E$23)))</f>
      </c>
      <c r="H104">
        <f>IF($A104="","",IF($D104="V01",cad!$C$24,IF($D104="V02",cad!$D$24,cad!$E$24)))</f>
      </c>
      <c r="I104">
        <f>IF($A104="","",IF($D104="V01",cad!$C$32,IF($D104="V02",cad!$D$32,cad!$E$32)))</f>
      </c>
      <c r="J104">
        <f>IF($A104="","",IF($D104="V01",cad!$C$33,IF($D104="V02",cad!$D$33,cad!$E$33)))</f>
      </c>
      <c r="K104">
        <f>IF($A104="","",IF($D104="V01",cad!$C$34,IF($D104="V02",cad!$D$34,cad!$E$34)))</f>
      </c>
      <c r="L104">
        <f>IF($A104="","",IF($D104="V01",cad!$C$35,IF($D104="V02",cad!$D$35,cad!$E$35)))</f>
      </c>
      <c r="M104">
        <f>IF($A104="","",IF($D104="V01",cad!$C$36,IF($D104="V02",cad!$D$36,cad!$E$36)))</f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>
        <f>IF($A105="","",IF($D105="V01",cad!$C$23,IF($D105="V02",cad!$D$23,cad!$E$23)))</f>
      </c>
      <c r="H105">
        <f>IF($A105="","",IF($D105="V01",cad!$C$24,IF($D105="V02",cad!$D$24,cad!$E$24)))</f>
      </c>
      <c r="I105">
        <f>IF($A105="","",IF($D105="V01",cad!$C$32,IF($D105="V02",cad!$D$32,cad!$E$32)))</f>
      </c>
      <c r="J105">
        <f>IF($A105="","",IF($D105="V01",cad!$C$33,IF($D105="V02",cad!$D$33,cad!$E$33)))</f>
      </c>
      <c r="K105">
        <f>IF($A105="","",IF($D105="V01",cad!$C$34,IF($D105="V02",cad!$D$34,cad!$E$34)))</f>
      </c>
      <c r="L105">
        <f>IF($A105="","",IF($D105="V01",cad!$C$35,IF($D105="V02",cad!$D$35,cad!$E$35)))</f>
      </c>
      <c r="M105">
        <f>IF($A105="","",IF($D105="V01",cad!$C$36,IF($D105="V02",cad!$D$36,cad!$E$36)))</f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>
        <f>IF($A106="","",IF($D106="V01",cad!$C$23,IF($D106="V02",cad!$D$23,cad!$E$23)))</f>
      </c>
      <c r="H106">
        <f>IF($A106="","",IF($D106="V01",cad!$C$24,IF($D106="V02",cad!$D$24,cad!$E$24)))</f>
      </c>
      <c r="I106">
        <f>IF($A106="","",IF($D106="V01",cad!$C$32,IF($D106="V02",cad!$D$32,cad!$E$32)))</f>
      </c>
      <c r="J106">
        <f>IF($A106="","",IF($D106="V01",cad!$C$33,IF($D106="V02",cad!$D$33,cad!$E$33)))</f>
      </c>
      <c r="K106">
        <f>IF($A106="","",IF($D106="V01",cad!$C$34,IF($D106="V02",cad!$D$34,cad!$E$34)))</f>
      </c>
      <c r="L106">
        <f>IF($A106="","",IF($D106="V01",cad!$C$35,IF($D106="V02",cad!$D$35,cad!$E$35)))</f>
      </c>
      <c r="M106">
        <f>IF($A106="","",IF($D106="V01",cad!$C$36,IF($D106="V02",cad!$D$36,cad!$E$36)))</f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>
        <f>IF($A107="","",IF($D107="V01",cad!$C$23,IF($D107="V02",cad!$D$23,cad!$E$23)))</f>
      </c>
      <c r="H107">
        <f>IF($A107="","",IF($D107="V01",cad!$C$24,IF($D107="V02",cad!$D$24,cad!$E$24)))</f>
      </c>
      <c r="I107">
        <f>IF($A107="","",IF($D107="V01",cad!$C$32,IF($D107="V02",cad!$D$32,cad!$E$32)))</f>
      </c>
      <c r="J107">
        <f>IF($A107="","",IF($D107="V01",cad!$C$33,IF($D107="V02",cad!$D$33,cad!$E$33)))</f>
      </c>
      <c r="K107">
        <f>IF($A107="","",IF($D107="V01",cad!$C$34,IF($D107="V02",cad!$D$34,cad!$E$34)))</f>
      </c>
      <c r="L107">
        <f>IF($A107="","",IF($D107="V01",cad!$C$35,IF($D107="V02",cad!$D$35,cad!$E$35)))</f>
      </c>
      <c r="M107">
        <f>IF($A107="","",IF($D107="V01",cad!$C$36,IF($D107="V02",cad!$D$36,cad!$E$36)))</f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>
        <f>IF($A108="","",IF($D108="V01",cad!$C$23,IF($D108="V02",cad!$D$23,cad!$E$23)))</f>
      </c>
      <c r="H108">
        <f>IF($A108="","",IF($D108="V01",cad!$C$24,IF($D108="V02",cad!$D$24,cad!$E$24)))</f>
      </c>
      <c r="I108">
        <f>IF($A108="","",IF($D108="V01",cad!$C$32,IF($D108="V02",cad!$D$32,cad!$E$32)))</f>
      </c>
      <c r="J108">
        <f>IF($A108="","",IF($D108="V01",cad!$C$33,IF($D108="V02",cad!$D$33,cad!$E$33)))</f>
      </c>
      <c r="K108">
        <f>IF($A108="","",IF($D108="V01",cad!$C$34,IF($D108="V02",cad!$D$34,cad!$E$34)))</f>
      </c>
      <c r="L108">
        <f>IF($A108="","",IF($D108="V01",cad!$C$35,IF($D108="V02",cad!$D$35,cad!$E$35)))</f>
      </c>
      <c r="M108">
        <f>IF($A108="","",IF($D108="V01",cad!$C$36,IF($D108="V02",cad!$D$36,cad!$E$36)))</f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>
        <f>IF($A109="","",IF($D109="V01",cad!$C$23,IF($D109="V02",cad!$D$23,cad!$E$23)))</f>
      </c>
      <c r="H109">
        <f>IF($A109="","",IF($D109="V01",cad!$C$24,IF($D109="V02",cad!$D$24,cad!$E$24)))</f>
      </c>
      <c r="I109">
        <f>IF($A109="","",IF($D109="V01",cad!$C$32,IF($D109="V02",cad!$D$32,cad!$E$32)))</f>
      </c>
      <c r="J109">
        <f>IF($A109="","",IF($D109="V01",cad!$C$33,IF($D109="V02",cad!$D$33,cad!$E$33)))</f>
      </c>
      <c r="K109">
        <f>IF($A109="","",IF($D109="V01",cad!$C$34,IF($D109="V02",cad!$D$34,cad!$E$34)))</f>
      </c>
      <c r="L109">
        <f>IF($A109="","",IF($D109="V01",cad!$C$35,IF($D109="V02",cad!$D$35,cad!$E$35)))</f>
      </c>
      <c r="M109">
        <f>IF($A109="","",IF($D109="V01",cad!$C$36,IF($D109="V02",cad!$D$36,cad!$E$36)))</f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>
        <f>IF($A110="","",IF($D110="V01",cad!$C$23,IF($D110="V02",cad!$D$23,cad!$E$23)))</f>
      </c>
      <c r="H110">
        <f>IF($A110="","",IF($D110="V01",cad!$C$24,IF($D110="V02",cad!$D$24,cad!$E$24)))</f>
      </c>
      <c r="I110">
        <f>IF($A110="","",IF($D110="V01",cad!$C$32,IF($D110="V02",cad!$D$32,cad!$E$32)))</f>
      </c>
      <c r="J110">
        <f>IF($A110="","",IF($D110="V01",cad!$C$33,IF($D110="V02",cad!$D$33,cad!$E$33)))</f>
      </c>
      <c r="K110">
        <f>IF($A110="","",IF($D110="V01",cad!$C$34,IF($D110="V02",cad!$D$34,cad!$E$34)))</f>
      </c>
      <c r="L110">
        <f>IF($A110="","",IF($D110="V01",cad!$C$35,IF($D110="V02",cad!$D$35,cad!$E$35)))</f>
      </c>
      <c r="M110">
        <f>IF($A110="","",IF($D110="V01",cad!$C$36,IF($D110="V02",cad!$D$36,cad!$E$36)))</f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>
        <f>IF($A111="","",IF($D111="V01",cad!$C$23,IF($D111="V02",cad!$D$23,cad!$E$23)))</f>
      </c>
      <c r="H111">
        <f>IF($A111="","",IF($D111="V01",cad!$C$24,IF($D111="V02",cad!$D$24,cad!$E$24)))</f>
      </c>
      <c r="I111">
        <f>IF($A111="","",IF($D111="V01",cad!$C$32,IF($D111="V02",cad!$D$32,cad!$E$32)))</f>
      </c>
      <c r="J111">
        <f>IF($A111="","",IF($D111="V01",cad!$C$33,IF($D111="V02",cad!$D$33,cad!$E$33)))</f>
      </c>
      <c r="K111">
        <f>IF($A111="","",IF($D111="V01",cad!$C$34,IF($D111="V02",cad!$D$34,cad!$E$34)))</f>
      </c>
      <c r="L111">
        <f>IF($A111="","",IF($D111="V01",cad!$C$35,IF($D111="V02",cad!$D$35,cad!$E$35)))</f>
      </c>
      <c r="M111">
        <f>IF($A111="","",IF($D111="V01",cad!$C$36,IF($D111="V02",cad!$D$36,cad!$E$36)))</f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>
        <f>IF($A112="","",IF($D112="V01",cad!$C$23,IF($D112="V02",cad!$D$23,cad!$E$23)))</f>
      </c>
      <c r="H112">
        <f>IF($A112="","",IF($D112="V01",cad!$C$24,IF($D112="V02",cad!$D$24,cad!$E$24)))</f>
      </c>
      <c r="I112">
        <f>IF($A112="","",IF($D112="V01",cad!$C$32,IF($D112="V02",cad!$D$32,cad!$E$32)))</f>
      </c>
      <c r="J112">
        <f>IF($A112="","",IF($D112="V01",cad!$C$33,IF($D112="V02",cad!$D$33,cad!$E$33)))</f>
      </c>
      <c r="K112">
        <f>IF($A112="","",IF($D112="V01",cad!$C$34,IF($D112="V02",cad!$D$34,cad!$E$34)))</f>
      </c>
      <c r="L112">
        <f>IF($A112="","",IF($D112="V01",cad!$C$35,IF($D112="V02",cad!$D$35,cad!$E$35)))</f>
      </c>
      <c r="M112">
        <f>IF($A112="","",IF($D112="V01",cad!$C$36,IF($D112="V02",cad!$D$36,cad!$E$36)))</f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>
        <f>IF($A113="","",IF($D113="V01",cad!$C$23,IF($D113="V02",cad!$D$23,cad!$E$23)))</f>
      </c>
      <c r="H113">
        <f>IF($A113="","",IF($D113="V01",cad!$C$24,IF($D113="V02",cad!$D$24,cad!$E$24)))</f>
      </c>
      <c r="I113">
        <f>IF($A113="","",IF($D113="V01",cad!$C$32,IF($D113="V02",cad!$D$32,cad!$E$32)))</f>
      </c>
      <c r="J113">
        <f>IF($A113="","",IF($D113="V01",cad!$C$33,IF($D113="V02",cad!$D$33,cad!$E$33)))</f>
      </c>
      <c r="K113">
        <f>IF($A113="","",IF($D113="V01",cad!$C$34,IF($D113="V02",cad!$D$34,cad!$E$34)))</f>
      </c>
      <c r="L113">
        <f>IF($A113="","",IF($D113="V01",cad!$C$35,IF($D113="V02",cad!$D$35,cad!$E$35)))</f>
      </c>
      <c r="M113">
        <f>IF($A113="","",IF($D113="V01",cad!$C$36,IF($D113="V02",cad!$D$36,cad!$E$36)))</f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>
        <f>IF($A114="","",IF($D114="V01",cad!$C$23,IF($D114="V02",cad!$D$23,cad!$E$23)))</f>
      </c>
      <c r="H114">
        <f>IF($A114="","",IF($D114="V01",cad!$C$24,IF($D114="V02",cad!$D$24,cad!$E$24)))</f>
      </c>
      <c r="I114">
        <f>IF($A114="","",IF($D114="V01",cad!$C$32,IF($D114="V02",cad!$D$32,cad!$E$32)))</f>
      </c>
      <c r="J114">
        <f>IF($A114="","",IF($D114="V01",cad!$C$33,IF($D114="V02",cad!$D$33,cad!$E$33)))</f>
      </c>
      <c r="K114">
        <f>IF($A114="","",IF($D114="V01",cad!$C$34,IF($D114="V02",cad!$D$34,cad!$E$34)))</f>
      </c>
      <c r="L114">
        <f>IF($A114="","",IF($D114="V01",cad!$C$35,IF($D114="V02",cad!$D$35,cad!$E$35)))</f>
      </c>
      <c r="M114">
        <f>IF($A114="","",IF($D114="V01",cad!$C$36,IF($D114="V02",cad!$D$36,cad!$E$36)))</f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>
        <f>IF($A115="","",IF($D115="V01",cad!$C$23,IF($D115="V02",cad!$D$23,cad!$E$23)))</f>
      </c>
      <c r="H115">
        <f>IF($A115="","",IF($D115="V01",cad!$C$24,IF($D115="V02",cad!$D$24,cad!$E$24)))</f>
      </c>
      <c r="I115">
        <f>IF($A115="","",IF($D115="V01",cad!$C$32,IF($D115="V02",cad!$D$32,cad!$E$32)))</f>
      </c>
      <c r="J115">
        <f>IF($A115="","",IF($D115="V01",cad!$C$33,IF($D115="V02",cad!$D$33,cad!$E$33)))</f>
      </c>
      <c r="K115">
        <f>IF($A115="","",IF($D115="V01",cad!$C$34,IF($D115="V02",cad!$D$34,cad!$E$34)))</f>
      </c>
      <c r="L115">
        <f>IF($A115="","",IF($D115="V01",cad!$C$35,IF($D115="V02",cad!$D$35,cad!$E$35)))</f>
      </c>
      <c r="M115">
        <f>IF($A115="","",IF($D115="V01",cad!$C$36,IF($D115="V02",cad!$D$36,cad!$E$36)))</f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>
        <f>IF($A116="","",IF($D116="V01",cad!$C$23,IF($D116="V02",cad!$D$23,cad!$E$23)))</f>
      </c>
      <c r="H116">
        <f>IF($A116="","",IF($D116="V01",cad!$C$24,IF($D116="V02",cad!$D$24,cad!$E$24)))</f>
      </c>
      <c r="I116">
        <f>IF($A116="","",IF($D116="V01",cad!$C$32,IF($D116="V02",cad!$D$32,cad!$E$32)))</f>
      </c>
      <c r="J116">
        <f>IF($A116="","",IF($D116="V01",cad!$C$33,IF($D116="V02",cad!$D$33,cad!$E$33)))</f>
      </c>
      <c r="K116">
        <f>IF($A116="","",IF($D116="V01",cad!$C$34,IF($D116="V02",cad!$D$34,cad!$E$34)))</f>
      </c>
      <c r="L116">
        <f>IF($A116="","",IF($D116="V01",cad!$C$35,IF($D116="V02",cad!$D$35,cad!$E$35)))</f>
      </c>
      <c r="M116">
        <f>IF($A116="","",IF($D116="V01",cad!$C$36,IF($D116="V02",cad!$D$36,cad!$E$36)))</f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>
        <f>IF($A117="","",IF($D117="V01",cad!$C$23,IF($D117="V02",cad!$D$23,cad!$E$23)))</f>
      </c>
      <c r="H117">
        <f>IF($A117="","",IF($D117="V01",cad!$C$24,IF($D117="V02",cad!$D$24,cad!$E$24)))</f>
      </c>
      <c r="I117">
        <f>IF($A117="","",IF($D117="V01",cad!$C$32,IF($D117="V02",cad!$D$32,cad!$E$32)))</f>
      </c>
      <c r="J117">
        <f>IF($A117="","",IF($D117="V01",cad!$C$33,IF($D117="V02",cad!$D$33,cad!$E$33)))</f>
      </c>
      <c r="K117">
        <f>IF($A117="","",IF($D117="V01",cad!$C$34,IF($D117="V02",cad!$D$34,cad!$E$34)))</f>
      </c>
      <c r="L117">
        <f>IF($A117="","",IF($D117="V01",cad!$C$35,IF($D117="V02",cad!$D$35,cad!$E$35)))</f>
      </c>
      <c r="M117">
        <f>IF($A117="","",IF($D117="V01",cad!$C$36,IF($D117="V02",cad!$D$36,cad!$E$36)))</f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>
        <f>IF($A118="","",IF($D118="V01",cad!$C$23,IF($D118="V02",cad!$D$23,cad!$E$23)))</f>
      </c>
      <c r="H118">
        <f>IF($A118="","",IF($D118="V01",cad!$C$24,IF($D118="V02",cad!$D$24,cad!$E$24)))</f>
      </c>
      <c r="I118">
        <f>IF($A118="","",IF($D118="V01",cad!$C$32,IF($D118="V02",cad!$D$32,cad!$E$32)))</f>
      </c>
      <c r="J118">
        <f>IF($A118="","",IF($D118="V01",cad!$C$33,IF($D118="V02",cad!$D$33,cad!$E$33)))</f>
      </c>
      <c r="K118">
        <f>IF($A118="","",IF($D118="V01",cad!$C$34,IF($D118="V02",cad!$D$34,cad!$E$34)))</f>
      </c>
      <c r="L118">
        <f>IF($A118="","",IF($D118="V01",cad!$C$35,IF($D118="V02",cad!$D$35,cad!$E$35)))</f>
      </c>
      <c r="M118">
        <f>IF($A118="","",IF($D118="V01",cad!$C$36,IF($D118="V02",cad!$D$36,cad!$E$36)))</f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>
        <f>IF($A119="","",IF($D119="V01",cad!$C$23,IF($D119="V02",cad!$D$23,cad!$E$23)))</f>
      </c>
      <c r="H119">
        <f>IF($A119="","",IF($D119="V01",cad!$C$24,IF($D119="V02",cad!$D$24,cad!$E$24)))</f>
      </c>
      <c r="I119">
        <f>IF($A119="","",IF($D119="V01",cad!$C$32,IF($D119="V02",cad!$D$32,cad!$E$32)))</f>
      </c>
      <c r="J119">
        <f>IF($A119="","",IF($D119="V01",cad!$C$33,IF($D119="V02",cad!$D$33,cad!$E$33)))</f>
      </c>
      <c r="K119">
        <f>IF($A119="","",IF($D119="V01",cad!$C$34,IF($D119="V02",cad!$D$34,cad!$E$34)))</f>
      </c>
      <c r="L119">
        <f>IF($A119="","",IF($D119="V01",cad!$C$35,IF($D119="V02",cad!$D$35,cad!$E$35)))</f>
      </c>
      <c r="M119">
        <f>IF($A119="","",IF($D119="V01",cad!$C$36,IF($D119="V02",cad!$D$36,cad!$E$36)))</f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>
        <f>IF($A120="","",IF($D120="V01",cad!$C$23,IF($D120="V02",cad!$D$23,cad!$E$23)))</f>
      </c>
      <c r="H120">
        <f>IF($A120="","",IF($D120="V01",cad!$C$24,IF($D120="V02",cad!$D$24,cad!$E$24)))</f>
      </c>
      <c r="I120">
        <f>IF($A120="","",IF($D120="V01",cad!$C$32,IF($D120="V02",cad!$D$32,cad!$E$32)))</f>
      </c>
      <c r="J120">
        <f>IF($A120="","",IF($D120="V01",cad!$C$33,IF($D120="V02",cad!$D$33,cad!$E$33)))</f>
      </c>
      <c r="K120">
        <f>IF($A120="","",IF($D120="V01",cad!$C$34,IF($D120="V02",cad!$D$34,cad!$E$34)))</f>
      </c>
      <c r="L120">
        <f>IF($A120="","",IF($D120="V01",cad!$C$35,IF($D120="V02",cad!$D$35,cad!$E$35)))</f>
      </c>
      <c r="M120">
        <f>IF($A120="","",IF($D120="V01",cad!$C$36,IF($D120="V02",cad!$D$36,cad!$E$36)))</f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>
        <f>IF($A121="","",IF($D121="V01",cad!$C$23,IF($D121="V02",cad!$D$23,cad!$E$23)))</f>
      </c>
      <c r="H121">
        <f>IF($A121="","",IF($D121="V01",cad!$C$24,IF($D121="V02",cad!$D$24,cad!$E$24)))</f>
      </c>
      <c r="I121">
        <f>IF($A121="","",IF($D121="V01",cad!$C$32,IF($D121="V02",cad!$D$32,cad!$E$32)))</f>
      </c>
      <c r="J121">
        <f>IF($A121="","",IF($D121="V01",cad!$C$33,IF($D121="V02",cad!$D$33,cad!$E$33)))</f>
      </c>
      <c r="K121">
        <f>IF($A121="","",IF($D121="V01",cad!$C$34,IF($D121="V02",cad!$D$34,cad!$E$34)))</f>
      </c>
      <c r="L121">
        <f>IF($A121="","",IF($D121="V01",cad!$C$35,IF($D121="V02",cad!$D$35,cad!$E$35)))</f>
      </c>
      <c r="M121">
        <f>IF($A121="","",IF($D121="V01",cad!$C$36,IF($D121="V02",cad!$D$36,cad!$E$36)))</f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>
        <f>IF($A122="","",IF($D122="V01",cad!$C$23,IF($D122="V02",cad!$D$23,cad!$E$23)))</f>
      </c>
      <c r="H122">
        <f>IF($A122="","",IF($D122="V01",cad!$C$24,IF($D122="V02",cad!$D$24,cad!$E$24)))</f>
      </c>
      <c r="I122">
        <f>IF($A122="","",IF($D122="V01",cad!$C$32,IF($D122="V02",cad!$D$32,cad!$E$32)))</f>
      </c>
      <c r="J122">
        <f>IF($A122="","",IF($D122="V01",cad!$C$33,IF($D122="V02",cad!$D$33,cad!$E$33)))</f>
      </c>
      <c r="K122">
        <f>IF($A122="","",IF($D122="V01",cad!$C$34,IF($D122="V02",cad!$D$34,cad!$E$34)))</f>
      </c>
      <c r="L122">
        <f>IF($A122="","",IF($D122="V01",cad!$C$35,IF($D122="V02",cad!$D$35,cad!$E$35)))</f>
      </c>
      <c r="M122">
        <f>IF($A122="","",IF($D122="V01",cad!$C$36,IF($D122="V02",cad!$D$36,cad!$E$36)))</f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>
        <f>IF($A123="","",IF($D123="V01",cad!$C$23,IF($D123="V02",cad!$D$23,cad!$E$23)))</f>
      </c>
      <c r="H123">
        <f>IF($A123="","",IF($D123="V01",cad!$C$24,IF($D123="V02",cad!$D$24,cad!$E$24)))</f>
      </c>
      <c r="I123">
        <f>IF($A123="","",IF($D123="V01",cad!$C$32,IF($D123="V02",cad!$D$32,cad!$E$32)))</f>
      </c>
      <c r="J123">
        <f>IF($A123="","",IF($D123="V01",cad!$C$33,IF($D123="V02",cad!$D$33,cad!$E$33)))</f>
      </c>
      <c r="K123">
        <f>IF($A123="","",IF($D123="V01",cad!$C$34,IF($D123="V02",cad!$D$34,cad!$E$34)))</f>
      </c>
      <c r="L123">
        <f>IF($A123="","",IF($D123="V01",cad!$C$35,IF($D123="V02",cad!$D$35,cad!$E$35)))</f>
      </c>
      <c r="M123">
        <f>IF($A123="","",IF($D123="V01",cad!$C$36,IF($D123="V02",cad!$D$36,cad!$E$36)))</f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>
        <f>IF($A124="","",IF($D124="V01",cad!$C$23,IF($D124="V02",cad!$D$23,cad!$E$23)))</f>
      </c>
      <c r="H124">
        <f>IF($A124="","",IF($D124="V01",cad!$C$24,IF($D124="V02",cad!$D$24,cad!$E$24)))</f>
      </c>
      <c r="I124">
        <f>IF($A124="","",IF($D124="V01",cad!$C$32,IF($D124="V02",cad!$D$32,cad!$E$32)))</f>
      </c>
      <c r="J124">
        <f>IF($A124="","",IF($D124="V01",cad!$C$33,IF($D124="V02",cad!$D$33,cad!$E$33)))</f>
      </c>
      <c r="K124">
        <f>IF($A124="","",IF($D124="V01",cad!$C$34,IF($D124="V02",cad!$D$34,cad!$E$34)))</f>
      </c>
      <c r="L124">
        <f>IF($A124="","",IF($D124="V01",cad!$C$35,IF($D124="V02",cad!$D$35,cad!$E$35)))</f>
      </c>
      <c r="M124">
        <f>IF($A124="","",IF($D124="V01",cad!$C$36,IF($D124="V02",cad!$D$36,cad!$E$36)))</f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>
        <f>IF($A125="","",IF($D125="V01",cad!$C$23,IF($D125="V02",cad!$D$23,cad!$E$23)))</f>
      </c>
      <c r="H125">
        <f>IF($A125="","",IF($D125="V01",cad!$C$24,IF($D125="V02",cad!$D$24,cad!$E$24)))</f>
      </c>
      <c r="I125">
        <f>IF($A125="","",IF($D125="V01",cad!$C$32,IF($D125="V02",cad!$D$32,cad!$E$32)))</f>
      </c>
      <c r="J125">
        <f>IF($A125="","",IF($D125="V01",cad!$C$33,IF($D125="V02",cad!$D$33,cad!$E$33)))</f>
      </c>
      <c r="K125">
        <f>IF($A125="","",IF($D125="V01",cad!$C$34,IF($D125="V02",cad!$D$34,cad!$E$34)))</f>
      </c>
      <c r="L125">
        <f>IF($A125="","",IF($D125="V01",cad!$C$35,IF($D125="V02",cad!$D$35,cad!$E$35)))</f>
      </c>
      <c r="M125">
        <f>IF($A125="","",IF($D125="V01",cad!$C$36,IF($D125="V02",cad!$D$36,cad!$E$36)))</f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>
        <f>IF($A126="","",IF($D126="V01",cad!$C$23,IF($D126="V02",cad!$D$23,cad!$E$23)))</f>
      </c>
      <c r="H126">
        <f>IF($A126="","",IF($D126="V01",cad!$C$24,IF($D126="V02",cad!$D$24,cad!$E$24)))</f>
      </c>
      <c r="I126">
        <f>IF($A126="","",IF($D126="V01",cad!$C$32,IF($D126="V02",cad!$D$32,cad!$E$32)))</f>
      </c>
      <c r="J126">
        <f>IF($A126="","",IF($D126="V01",cad!$C$33,IF($D126="V02",cad!$D$33,cad!$E$33)))</f>
      </c>
      <c r="K126">
        <f>IF($A126="","",IF($D126="V01",cad!$C$34,IF($D126="V02",cad!$D$34,cad!$E$34)))</f>
      </c>
      <c r="L126">
        <f>IF($A126="","",IF($D126="V01",cad!$C$35,IF($D126="V02",cad!$D$35,cad!$E$35)))</f>
      </c>
      <c r="M126">
        <f>IF($A126="","",IF($D126="V01",cad!$C$36,IF($D126="V02",cad!$D$36,cad!$E$36)))</f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>
        <f>IF($A127="","",IF($D127="V01",cad!$C$23,IF($D127="V02",cad!$D$23,cad!$E$23)))</f>
      </c>
      <c r="H127">
        <f>IF($A127="","",IF($D127="V01",cad!$C$24,IF($D127="V02",cad!$D$24,cad!$E$24)))</f>
      </c>
      <c r="I127">
        <f>IF($A127="","",IF($D127="V01",cad!$C$32,IF($D127="V02",cad!$D$32,cad!$E$32)))</f>
      </c>
      <c r="J127">
        <f>IF($A127="","",IF($D127="V01",cad!$C$33,IF($D127="V02",cad!$D$33,cad!$E$33)))</f>
      </c>
      <c r="K127">
        <f>IF($A127="","",IF($D127="V01",cad!$C$34,IF($D127="V02",cad!$D$34,cad!$E$34)))</f>
      </c>
      <c r="L127">
        <f>IF($A127="","",IF($D127="V01",cad!$C$35,IF($D127="V02",cad!$D$35,cad!$E$35)))</f>
      </c>
      <c r="M127">
        <f>IF($A127="","",IF($D127="V01",cad!$C$36,IF($D127="V02",cad!$D$36,cad!$E$36)))</f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>
        <f>IF($A128="","",IF($D128="V01",cad!$C$23,IF($D128="V02",cad!$D$23,cad!$E$23)))</f>
      </c>
      <c r="H128">
        <f>IF($A128="","",IF($D128="V01",cad!$C$24,IF($D128="V02",cad!$D$24,cad!$E$24)))</f>
      </c>
      <c r="I128">
        <f>IF($A128="","",IF($D128="V01",cad!$C$32,IF($D128="V02",cad!$D$32,cad!$E$32)))</f>
      </c>
      <c r="J128">
        <f>IF($A128="","",IF($D128="V01",cad!$C$33,IF($D128="V02",cad!$D$33,cad!$E$33)))</f>
      </c>
      <c r="K128">
        <f>IF($A128="","",IF($D128="V01",cad!$C$34,IF($D128="V02",cad!$D$34,cad!$E$34)))</f>
      </c>
      <c r="L128">
        <f>IF($A128="","",IF($D128="V01",cad!$C$35,IF($D128="V02",cad!$D$35,cad!$E$35)))</f>
      </c>
      <c r="M128">
        <f>IF($A128="","",IF($D128="V01",cad!$C$36,IF($D128="V02",cad!$D$36,cad!$E$36)))</f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>
        <f>IF($A129="","",IF($D129="V01",cad!$C$23,IF($D129="V02",cad!$D$23,cad!$E$23)))</f>
      </c>
      <c r="H129">
        <f>IF($A129="","",IF($D129="V01",cad!$C$24,IF($D129="V02",cad!$D$24,cad!$E$24)))</f>
      </c>
      <c r="I129">
        <f>IF($A129="","",IF($D129="V01",cad!$C$32,IF($D129="V02",cad!$D$32,cad!$E$32)))</f>
      </c>
      <c r="J129">
        <f>IF($A129="","",IF($D129="V01",cad!$C$33,IF($D129="V02",cad!$D$33,cad!$E$33)))</f>
      </c>
      <c r="K129">
        <f>IF($A129="","",IF($D129="V01",cad!$C$34,IF($D129="V02",cad!$D$34,cad!$E$34)))</f>
      </c>
      <c r="L129">
        <f>IF($A129="","",IF($D129="V01",cad!$C$35,IF($D129="V02",cad!$D$35,cad!$E$35)))</f>
      </c>
      <c r="M129">
        <f>IF($A129="","",IF($D129="V01",cad!$C$36,IF($D129="V02",cad!$D$36,cad!$E$36)))</f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>
        <f>IF($A130="","",IF($D130="V01",cad!$C$23,IF($D130="V02",cad!$D$23,cad!$E$23)))</f>
      </c>
      <c r="H130">
        <f>IF($A130="","",IF($D130="V01",cad!$C$24,IF($D130="V02",cad!$D$24,cad!$E$24)))</f>
      </c>
      <c r="I130">
        <f>IF($A130="","",IF($D130="V01",cad!$C$32,IF($D130="V02",cad!$D$32,cad!$E$32)))</f>
      </c>
      <c r="J130">
        <f>IF($A130="","",IF($D130="V01",cad!$C$33,IF($D130="V02",cad!$D$33,cad!$E$33)))</f>
      </c>
      <c r="K130">
        <f>IF($A130="","",IF($D130="V01",cad!$C$34,IF($D130="V02",cad!$D$34,cad!$E$34)))</f>
      </c>
      <c r="L130">
        <f>IF($A130="","",IF($D130="V01",cad!$C$35,IF($D130="V02",cad!$D$35,cad!$E$35)))</f>
      </c>
      <c r="M130">
        <f>IF($A130="","",IF($D130="V01",cad!$C$36,IF($D130="V02",cad!$D$36,cad!$E$36)))</f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>
        <f>IF($A131="","",IF($D131="V01",cad!$C$23,IF($D131="V02",cad!$D$23,cad!$E$23)))</f>
      </c>
      <c r="H131">
        <f>IF($A131="","",IF($D131="V01",cad!$C$24,IF($D131="V02",cad!$D$24,cad!$E$24)))</f>
      </c>
      <c r="I131">
        <f>IF($A131="","",IF($D131="V01",cad!$C$32,IF($D131="V02",cad!$D$32,cad!$E$32)))</f>
      </c>
      <c r="J131">
        <f>IF($A131="","",IF($D131="V01",cad!$C$33,IF($D131="V02",cad!$D$33,cad!$E$33)))</f>
      </c>
      <c r="K131">
        <f>IF($A131="","",IF($D131="V01",cad!$C$34,IF($D131="V02",cad!$D$34,cad!$E$34)))</f>
      </c>
      <c r="L131">
        <f>IF($A131="","",IF($D131="V01",cad!$C$35,IF($D131="V02",cad!$D$35,cad!$E$35)))</f>
      </c>
      <c r="M131">
        <f>IF($A131="","",IF($D131="V01",cad!$C$36,IF($D131="V02",cad!$D$36,cad!$E$36)))</f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>
        <f>IF($A132="","",IF($D132="V01",cad!$C$23,IF($D132="V02",cad!$D$23,cad!$E$23)))</f>
      </c>
      <c r="H132">
        <f>IF($A132="","",IF($D132="V01",cad!$C$24,IF($D132="V02",cad!$D$24,cad!$E$24)))</f>
      </c>
      <c r="I132">
        <f>IF($A132="","",IF($D132="V01",cad!$C$32,IF($D132="V02",cad!$D$32,cad!$E$32)))</f>
      </c>
      <c r="J132">
        <f>IF($A132="","",IF($D132="V01",cad!$C$33,IF($D132="V02",cad!$D$33,cad!$E$33)))</f>
      </c>
      <c r="K132">
        <f>IF($A132="","",IF($D132="V01",cad!$C$34,IF($D132="V02",cad!$D$34,cad!$E$34)))</f>
      </c>
      <c r="L132">
        <f>IF($A132="","",IF($D132="V01",cad!$C$35,IF($D132="V02",cad!$D$35,cad!$E$35)))</f>
      </c>
      <c r="M132">
        <f>IF($A132="","",IF($D132="V01",cad!$C$36,IF($D132="V02",cad!$D$36,cad!$E$36)))</f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>
        <f>IF($A133="","",IF($D133="V01",cad!$C$23,IF($D133="V02",cad!$D$23,cad!$E$23)))</f>
      </c>
      <c r="H133">
        <f>IF($A133="","",IF($D133="V01",cad!$C$24,IF($D133="V02",cad!$D$24,cad!$E$24)))</f>
      </c>
      <c r="I133">
        <f>IF($A133="","",IF($D133="V01",cad!$C$32,IF($D133="V02",cad!$D$32,cad!$E$32)))</f>
      </c>
      <c r="J133">
        <f>IF($A133="","",IF($D133="V01",cad!$C$33,IF($D133="V02",cad!$D$33,cad!$E$33)))</f>
      </c>
      <c r="K133">
        <f>IF($A133="","",IF($D133="V01",cad!$C$34,IF($D133="V02",cad!$D$34,cad!$E$34)))</f>
      </c>
      <c r="L133">
        <f>IF($A133="","",IF($D133="V01",cad!$C$35,IF($D133="V02",cad!$D$35,cad!$E$35)))</f>
      </c>
      <c r="M133">
        <f>IF($A133="","",IF($D133="V01",cad!$C$36,IF($D133="V02",cad!$D$36,cad!$E$36)))</f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>
        <f>IF($A134="","",IF($D134="V01",cad!$C$23,IF($D134="V02",cad!$D$23,cad!$E$23)))</f>
      </c>
      <c r="H134">
        <f>IF($A134="","",IF($D134="V01",cad!$C$24,IF($D134="V02",cad!$D$24,cad!$E$24)))</f>
      </c>
      <c r="I134">
        <f>IF($A134="","",IF($D134="V01",cad!$C$32,IF($D134="V02",cad!$D$32,cad!$E$32)))</f>
      </c>
      <c r="J134">
        <f>IF($A134="","",IF($D134="V01",cad!$C$33,IF($D134="V02",cad!$D$33,cad!$E$33)))</f>
      </c>
      <c r="K134">
        <f>IF($A134="","",IF($D134="V01",cad!$C$34,IF($D134="V02",cad!$D$34,cad!$E$34)))</f>
      </c>
      <c r="L134">
        <f>IF($A134="","",IF($D134="V01",cad!$C$35,IF($D134="V02",cad!$D$35,cad!$E$35)))</f>
      </c>
      <c r="M134">
        <f>IF($A134="","",IF($D134="V01",cad!$C$36,IF($D134="V02",cad!$D$36,cad!$E$36)))</f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>
        <f>IF($A135="","",IF($D135="V01",cad!$C$23,IF($D135="V02",cad!$D$23,cad!$E$23)))</f>
      </c>
      <c r="H135">
        <f>IF($A135="","",IF($D135="V01",cad!$C$24,IF($D135="V02",cad!$D$24,cad!$E$24)))</f>
      </c>
      <c r="I135">
        <f>IF($A135="","",IF($D135="V01",cad!$C$32,IF($D135="V02",cad!$D$32,cad!$E$32)))</f>
      </c>
      <c r="J135">
        <f>IF($A135="","",IF($D135="V01",cad!$C$33,IF($D135="V02",cad!$D$33,cad!$E$33)))</f>
      </c>
      <c r="K135">
        <f>IF($A135="","",IF($D135="V01",cad!$C$34,IF($D135="V02",cad!$D$34,cad!$E$34)))</f>
      </c>
      <c r="L135">
        <f>IF($A135="","",IF($D135="V01",cad!$C$35,IF($D135="V02",cad!$D$35,cad!$E$35)))</f>
      </c>
      <c r="M135">
        <f>IF($A135="","",IF($D135="V01",cad!$C$36,IF($D135="V02",cad!$D$36,cad!$E$36)))</f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>
        <f>IF($A136="","",IF($D136="V01",cad!$C$23,IF($D136="V02",cad!$D$23,cad!$E$23)))</f>
      </c>
      <c r="H136">
        <f>IF($A136="","",IF($D136="V01",cad!$C$24,IF($D136="V02",cad!$D$24,cad!$E$24)))</f>
      </c>
      <c r="I136">
        <f>IF($A136="","",IF($D136="V01",cad!$C$32,IF($D136="V02",cad!$D$32,cad!$E$32)))</f>
      </c>
      <c r="J136">
        <f>IF($A136="","",IF($D136="V01",cad!$C$33,IF($D136="V02",cad!$D$33,cad!$E$33)))</f>
      </c>
      <c r="K136">
        <f>IF($A136="","",IF($D136="V01",cad!$C$34,IF($D136="V02",cad!$D$34,cad!$E$34)))</f>
      </c>
      <c r="L136">
        <f>IF($A136="","",IF($D136="V01",cad!$C$35,IF($D136="V02",cad!$D$35,cad!$E$35)))</f>
      </c>
      <c r="M136">
        <f>IF($A136="","",IF($D136="V01",cad!$C$36,IF($D136="V02",cad!$D$36,cad!$E$36)))</f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>
        <f>IF($A137="","",IF($D137="V01",cad!$C$23,IF($D137="V02",cad!$D$23,cad!$E$23)))</f>
      </c>
      <c r="H137">
        <f>IF($A137="","",IF($D137="V01",cad!$C$24,IF($D137="V02",cad!$D$24,cad!$E$24)))</f>
      </c>
      <c r="I137">
        <f>IF($A137="","",IF($D137="V01",cad!$C$32,IF($D137="V02",cad!$D$32,cad!$E$32)))</f>
      </c>
      <c r="J137">
        <f>IF($A137="","",IF($D137="V01",cad!$C$33,IF($D137="V02",cad!$D$33,cad!$E$33)))</f>
      </c>
      <c r="K137">
        <f>IF($A137="","",IF($D137="V01",cad!$C$34,IF($D137="V02",cad!$D$34,cad!$E$34)))</f>
      </c>
      <c r="L137">
        <f>IF($A137="","",IF($D137="V01",cad!$C$35,IF($D137="V02",cad!$D$35,cad!$E$35)))</f>
      </c>
      <c r="M137">
        <f>IF($A137="","",IF($D137="V01",cad!$C$36,IF($D137="V02",cad!$D$36,cad!$E$36)))</f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>
        <f>IF($A138="","",IF($D138="V01",cad!$C$23,IF($D138="V02",cad!$D$23,cad!$E$23)))</f>
      </c>
      <c r="H138">
        <f>IF($A138="","",IF($D138="V01",cad!$C$24,IF($D138="V02",cad!$D$24,cad!$E$24)))</f>
      </c>
      <c r="I138">
        <f>IF($A138="","",IF($D138="V01",cad!$C$32,IF($D138="V02",cad!$D$32,cad!$E$32)))</f>
      </c>
      <c r="J138">
        <f>IF($A138="","",IF($D138="V01",cad!$C$33,IF($D138="V02",cad!$D$33,cad!$E$33)))</f>
      </c>
      <c r="K138">
        <f>IF($A138="","",IF($D138="V01",cad!$C$34,IF($D138="V02",cad!$D$34,cad!$E$34)))</f>
      </c>
      <c r="L138">
        <f>IF($A138="","",IF($D138="V01",cad!$C$35,IF($D138="V02",cad!$D$35,cad!$E$35)))</f>
      </c>
      <c r="M138">
        <f>IF($A138="","",IF($D138="V01",cad!$C$36,IF($D138="V02",cad!$D$36,cad!$E$36)))</f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>
        <f>IF($A139="","",IF($D139="V01",cad!$C$23,IF($D139="V02",cad!$D$23,cad!$E$23)))</f>
      </c>
      <c r="H139">
        <f>IF($A139="","",IF($D139="V01",cad!$C$24,IF($D139="V02",cad!$D$24,cad!$E$24)))</f>
      </c>
      <c r="I139">
        <f>IF($A139="","",IF($D139="V01",cad!$C$32,IF($D139="V02",cad!$D$32,cad!$E$32)))</f>
      </c>
      <c r="J139">
        <f>IF($A139="","",IF($D139="V01",cad!$C$33,IF($D139="V02",cad!$D$33,cad!$E$33)))</f>
      </c>
      <c r="K139">
        <f>IF($A139="","",IF($D139="V01",cad!$C$34,IF($D139="V02",cad!$D$34,cad!$E$34)))</f>
      </c>
      <c r="L139">
        <f>IF($A139="","",IF($D139="V01",cad!$C$35,IF($D139="V02",cad!$D$35,cad!$E$35)))</f>
      </c>
      <c r="M139">
        <f>IF($A139="","",IF($D139="V01",cad!$C$36,IF($D139="V02",cad!$D$36,cad!$E$36)))</f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>
        <f>IF($A140="","",IF($D140="V01",cad!$C$23,IF($D140="V02",cad!$D$23,cad!$E$23)))</f>
      </c>
      <c r="H140">
        <f>IF($A140="","",IF($D140="V01",cad!$C$24,IF($D140="V02",cad!$D$24,cad!$E$24)))</f>
      </c>
      <c r="I140">
        <f>IF($A140="","",IF($D140="V01",cad!$C$32,IF($D140="V02",cad!$D$32,cad!$E$32)))</f>
      </c>
      <c r="J140">
        <f>IF($A140="","",IF($D140="V01",cad!$C$33,IF($D140="V02",cad!$D$33,cad!$E$33)))</f>
      </c>
      <c r="K140">
        <f>IF($A140="","",IF($D140="V01",cad!$C$34,IF($D140="V02",cad!$D$34,cad!$E$34)))</f>
      </c>
      <c r="L140">
        <f>IF($A140="","",IF($D140="V01",cad!$C$35,IF($D140="V02",cad!$D$35,cad!$E$35)))</f>
      </c>
      <c r="M140">
        <f>IF($A140="","",IF($D140="V01",cad!$C$36,IF($D140="V02",cad!$D$36,cad!$E$36)))</f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>
        <f>IF($A141="","",IF($D141="V01",cad!$C$23,IF($D141="V02",cad!$D$23,cad!$E$23)))</f>
      </c>
      <c r="H141">
        <f>IF($A141="","",IF($D141="V01",cad!$C$24,IF($D141="V02",cad!$D$24,cad!$E$24)))</f>
      </c>
      <c r="I141">
        <f>IF($A141="","",IF($D141="V01",cad!$C$32,IF($D141="V02",cad!$D$32,cad!$E$32)))</f>
      </c>
      <c r="J141">
        <f>IF($A141="","",IF($D141="V01",cad!$C$33,IF($D141="V02",cad!$D$33,cad!$E$33)))</f>
      </c>
      <c r="K141">
        <f>IF($A141="","",IF($D141="V01",cad!$C$34,IF($D141="V02",cad!$D$34,cad!$E$34)))</f>
      </c>
      <c r="L141">
        <f>IF($A141="","",IF($D141="V01",cad!$C$35,IF($D141="V02",cad!$D$35,cad!$E$35)))</f>
      </c>
      <c r="M141">
        <f>IF($A141="","",IF($D141="V01",cad!$C$36,IF($D141="V02",cad!$D$36,cad!$E$36)))</f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>
        <f>IF($A142="","",IF($D142="V01",cad!$C$23,IF($D142="V02",cad!$D$23,cad!$E$23)))</f>
      </c>
      <c r="H142">
        <f>IF($A142="","",IF($D142="V01",cad!$C$24,IF($D142="V02",cad!$D$24,cad!$E$24)))</f>
      </c>
      <c r="I142">
        <f>IF($A142="","",IF($D142="V01",cad!$C$32,IF($D142="V02",cad!$D$32,cad!$E$32)))</f>
      </c>
      <c r="J142">
        <f>IF($A142="","",IF($D142="V01",cad!$C$33,IF($D142="V02",cad!$D$33,cad!$E$33)))</f>
      </c>
      <c r="K142">
        <f>IF($A142="","",IF($D142="V01",cad!$C$34,IF($D142="V02",cad!$D$34,cad!$E$34)))</f>
      </c>
      <c r="L142">
        <f>IF($A142="","",IF($D142="V01",cad!$C$35,IF($D142="V02",cad!$D$35,cad!$E$35)))</f>
      </c>
      <c r="M142">
        <f>IF($A142="","",IF($D142="V01",cad!$C$36,IF($D142="V02",cad!$D$36,cad!$E$36)))</f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>
        <f>IF($A143="","",IF($D143="V01",cad!$C$23,IF($D143="V02",cad!$D$23,cad!$E$23)))</f>
      </c>
      <c r="H143">
        <f>IF($A143="","",IF($D143="V01",cad!$C$24,IF($D143="V02",cad!$D$24,cad!$E$24)))</f>
      </c>
      <c r="I143">
        <f>IF($A143="","",IF($D143="V01",cad!$C$32,IF($D143="V02",cad!$D$32,cad!$E$32)))</f>
      </c>
      <c r="J143">
        <f>IF($A143="","",IF($D143="V01",cad!$C$33,IF($D143="V02",cad!$D$33,cad!$E$33)))</f>
      </c>
      <c r="K143">
        <f>IF($A143="","",IF($D143="V01",cad!$C$34,IF($D143="V02",cad!$D$34,cad!$E$34)))</f>
      </c>
      <c r="L143">
        <f>IF($A143="","",IF($D143="V01",cad!$C$35,IF($D143="V02",cad!$D$35,cad!$E$35)))</f>
      </c>
      <c r="M143">
        <f>IF($A143="","",IF($D143="V01",cad!$C$36,IF($D143="V02",cad!$D$36,cad!$E$36)))</f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>
        <f>IF($A144="","",IF($D144="V01",cad!$C$23,IF($D144="V02",cad!$D$23,cad!$E$23)))</f>
      </c>
      <c r="H144">
        <f>IF($A144="","",IF($D144="V01",cad!$C$24,IF($D144="V02",cad!$D$24,cad!$E$24)))</f>
      </c>
      <c r="I144">
        <f>IF($A144="","",IF($D144="V01",cad!$C$32,IF($D144="V02",cad!$D$32,cad!$E$32)))</f>
      </c>
      <c r="J144">
        <f>IF($A144="","",IF($D144="V01",cad!$C$33,IF($D144="V02",cad!$D$33,cad!$E$33)))</f>
      </c>
      <c r="K144">
        <f>IF($A144="","",IF($D144="V01",cad!$C$34,IF($D144="V02",cad!$D$34,cad!$E$34)))</f>
      </c>
      <c r="L144">
        <f>IF($A144="","",IF($D144="V01",cad!$C$35,IF($D144="V02",cad!$D$35,cad!$E$35)))</f>
      </c>
      <c r="M144">
        <f>IF($A144="","",IF($D144="V01",cad!$C$36,IF($D144="V02",cad!$D$36,cad!$E$36)))</f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>
        <f>IF($A145="","",IF($D145="V01",cad!$C$23,IF($D145="V02",cad!$D$23,cad!$E$23)))</f>
      </c>
      <c r="H145">
        <f>IF($A145="","",IF($D145="V01",cad!$C$24,IF($D145="V02",cad!$D$24,cad!$E$24)))</f>
      </c>
      <c r="I145">
        <f>IF($A145="","",IF($D145="V01",cad!$C$32,IF($D145="V02",cad!$D$32,cad!$E$32)))</f>
      </c>
      <c r="J145">
        <f>IF($A145="","",IF($D145="V01",cad!$C$33,IF($D145="V02",cad!$D$33,cad!$E$33)))</f>
      </c>
      <c r="K145">
        <f>IF($A145="","",IF($D145="V01",cad!$C$34,IF($D145="V02",cad!$D$34,cad!$E$34)))</f>
      </c>
      <c r="L145">
        <f>IF($A145="","",IF($D145="V01",cad!$C$35,IF($D145="V02",cad!$D$35,cad!$E$35)))</f>
      </c>
      <c r="M145">
        <f>IF($A145="","",IF($D145="V01",cad!$C$36,IF($D145="V02",cad!$D$36,cad!$E$36)))</f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>
        <f>IF($A146="","",IF($D146="V01",cad!$C$23,IF($D146="V02",cad!$D$23,cad!$E$23)))</f>
      </c>
      <c r="H146">
        <f>IF($A146="","",IF($D146="V01",cad!$C$24,IF($D146="V02",cad!$D$24,cad!$E$24)))</f>
      </c>
      <c r="I146">
        <f>IF($A146="","",IF($D146="V01",cad!$C$32,IF($D146="V02",cad!$D$32,cad!$E$32)))</f>
      </c>
      <c r="J146">
        <f>IF($A146="","",IF($D146="V01",cad!$C$33,IF($D146="V02",cad!$D$33,cad!$E$33)))</f>
      </c>
      <c r="K146">
        <f>IF($A146="","",IF($D146="V01",cad!$C$34,IF($D146="V02",cad!$D$34,cad!$E$34)))</f>
      </c>
      <c r="L146">
        <f>IF($A146="","",IF($D146="V01",cad!$C$35,IF($D146="V02",cad!$D$35,cad!$E$35)))</f>
      </c>
      <c r="M146">
        <f>IF($A146="","",IF($D146="V01",cad!$C$36,IF($D146="V02",cad!$D$36,cad!$E$36)))</f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>
        <f>IF($A147="","",IF($D147="V01",cad!$C$23,IF($D147="V02",cad!$D$23,cad!$E$23)))</f>
      </c>
      <c r="H147">
        <f>IF($A147="","",IF($D147="V01",cad!$C$24,IF($D147="V02",cad!$D$24,cad!$E$24)))</f>
      </c>
      <c r="I147">
        <f>IF($A147="","",IF($D147="V01",cad!$C$32,IF($D147="V02",cad!$D$32,cad!$E$32)))</f>
      </c>
      <c r="J147">
        <f>IF($A147="","",IF($D147="V01",cad!$C$33,IF($D147="V02",cad!$D$33,cad!$E$33)))</f>
      </c>
      <c r="K147">
        <f>IF($A147="","",IF($D147="V01",cad!$C$34,IF($D147="V02",cad!$D$34,cad!$E$34)))</f>
      </c>
      <c r="L147">
        <f>IF($A147="","",IF($D147="V01",cad!$C$35,IF($D147="V02",cad!$D$35,cad!$E$35)))</f>
      </c>
      <c r="M147">
        <f>IF($A147="","",IF($D147="V01",cad!$C$36,IF($D147="V02",cad!$D$36,cad!$E$36)))</f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>
        <f>IF($A148="","",IF($D148="V01",cad!$C$23,IF($D148="V02",cad!$D$23,cad!$E$23)))</f>
      </c>
      <c r="H148">
        <f>IF($A148="","",IF($D148="V01",cad!$C$24,IF($D148="V02",cad!$D$24,cad!$E$24)))</f>
      </c>
      <c r="I148">
        <f>IF($A148="","",IF($D148="V01",cad!$C$32,IF($D148="V02",cad!$D$32,cad!$E$32)))</f>
      </c>
      <c r="J148">
        <f>IF($A148="","",IF($D148="V01",cad!$C$33,IF($D148="V02",cad!$D$33,cad!$E$33)))</f>
      </c>
      <c r="K148">
        <f>IF($A148="","",IF($D148="V01",cad!$C$34,IF($D148="V02",cad!$D$34,cad!$E$34)))</f>
      </c>
      <c r="L148">
        <f>IF($A148="","",IF($D148="V01",cad!$C$35,IF($D148="V02",cad!$D$35,cad!$E$35)))</f>
      </c>
      <c r="M148">
        <f>IF($A148="","",IF($D148="V01",cad!$C$36,IF($D148="V02",cad!$D$36,cad!$E$36)))</f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>
        <f>IF($A149="","",IF($D149="V01",cad!$C$23,IF($D149="V02",cad!$D$23,cad!$E$23)))</f>
      </c>
      <c r="H149">
        <f>IF($A149="","",IF($D149="V01",cad!$C$24,IF($D149="V02",cad!$D$24,cad!$E$24)))</f>
      </c>
      <c r="I149">
        <f>IF($A149="","",IF($D149="V01",cad!$C$32,IF($D149="V02",cad!$D$32,cad!$E$32)))</f>
      </c>
      <c r="J149">
        <f>IF($A149="","",IF($D149="V01",cad!$C$33,IF($D149="V02",cad!$D$33,cad!$E$33)))</f>
      </c>
      <c r="K149">
        <f>IF($A149="","",IF($D149="V01",cad!$C$34,IF($D149="V02",cad!$D$34,cad!$E$34)))</f>
      </c>
      <c r="L149">
        <f>IF($A149="","",IF($D149="V01",cad!$C$35,IF($D149="V02",cad!$D$35,cad!$E$35)))</f>
      </c>
      <c r="M149">
        <f>IF($A149="","",IF($D149="V01",cad!$C$36,IF($D149="V02",cad!$D$36,cad!$E$36)))</f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>
        <f>IF($A150="","",IF($D150="V01",cad!$C$23,IF($D150="V02",cad!$D$23,cad!$E$23)))</f>
      </c>
      <c r="H150">
        <f>IF($A150="","",IF($D150="V01",cad!$C$24,IF($D150="V02",cad!$D$24,cad!$E$24)))</f>
      </c>
      <c r="I150">
        <f>IF($A150="","",IF($D150="V01",cad!$C$32,IF($D150="V02",cad!$D$32,cad!$E$32)))</f>
      </c>
      <c r="J150">
        <f>IF($A150="","",IF($D150="V01",cad!$C$33,IF($D150="V02",cad!$D$33,cad!$E$33)))</f>
      </c>
      <c r="K150">
        <f>IF($A150="","",IF($D150="V01",cad!$C$34,IF($D150="V02",cad!$D$34,cad!$E$34)))</f>
      </c>
      <c r="L150">
        <f>IF($A150="","",IF($D150="V01",cad!$C$35,IF($D150="V02",cad!$D$35,cad!$E$35)))</f>
      </c>
      <c r="M150">
        <f>IF($A150="","",IF($D150="V01",cad!$C$36,IF($D150="V02",cad!$D$36,cad!$E$36)))</f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>
        <f>IF($A151="","",IF($D151="V01",cad!$C$23,IF($D151="V02",cad!$D$23,cad!$E$23)))</f>
      </c>
      <c r="H151">
        <f>IF($A151="","",IF($D151="V01",cad!$C$24,IF($D151="V02",cad!$D$24,cad!$E$24)))</f>
      </c>
      <c r="I151">
        <f>IF($A151="","",IF($D151="V01",cad!$C$32,IF($D151="V02",cad!$D$32,cad!$E$32)))</f>
      </c>
      <c r="J151">
        <f>IF($A151="","",IF($D151="V01",cad!$C$33,IF($D151="V02",cad!$D$33,cad!$E$33)))</f>
      </c>
      <c r="K151">
        <f>IF($A151="","",IF($D151="V01",cad!$C$34,IF($D151="V02",cad!$D$34,cad!$E$34)))</f>
      </c>
      <c r="L151">
        <f>IF($A151="","",IF($D151="V01",cad!$C$35,IF($D151="V02",cad!$D$35,cad!$E$35)))</f>
      </c>
      <c r="M151">
        <f>IF($A151="","",IF($D151="V01",cad!$C$36,IF($D151="V02",cad!$D$36,cad!$E$36)))</f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>
        <f>IF($A152="","",IF($D152="V01",cad!$C$23,IF($D152="V02",cad!$D$23,cad!$E$23)))</f>
      </c>
      <c r="H152">
        <f>IF($A152="","",IF($D152="V01",cad!$C$24,IF($D152="V02",cad!$D$24,cad!$E$24)))</f>
      </c>
      <c r="I152">
        <f>IF($A152="","",IF($D152="V01",cad!$C$32,IF($D152="V02",cad!$D$32,cad!$E$32)))</f>
      </c>
      <c r="J152">
        <f>IF($A152="","",IF($D152="V01",cad!$C$33,IF($D152="V02",cad!$D$33,cad!$E$33)))</f>
      </c>
      <c r="K152">
        <f>IF($A152="","",IF($D152="V01",cad!$C$34,IF($D152="V02",cad!$D$34,cad!$E$34)))</f>
      </c>
      <c r="L152">
        <f>IF($A152="","",IF($D152="V01",cad!$C$35,IF($D152="V02",cad!$D$35,cad!$E$35)))</f>
      </c>
      <c r="M152">
        <f>IF($A152="","",IF($D152="V01",cad!$C$36,IF($D152="V02",cad!$D$36,cad!$E$36)))</f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>
        <f>IF($A153="","",IF($D153="V01",cad!$C$23,IF($D153="V02",cad!$D$23,cad!$E$23)))</f>
      </c>
      <c r="H153">
        <f>IF($A153="","",IF($D153="V01",cad!$C$24,IF($D153="V02",cad!$D$24,cad!$E$24)))</f>
      </c>
      <c r="I153">
        <f>IF($A153="","",IF($D153="V01",cad!$C$32,IF($D153="V02",cad!$D$32,cad!$E$32)))</f>
      </c>
      <c r="J153">
        <f>IF($A153="","",IF($D153="V01",cad!$C$33,IF($D153="V02",cad!$D$33,cad!$E$33)))</f>
      </c>
      <c r="K153">
        <f>IF($A153="","",IF($D153="V01",cad!$C$34,IF($D153="V02",cad!$D$34,cad!$E$34)))</f>
      </c>
      <c r="L153">
        <f>IF($A153="","",IF($D153="V01",cad!$C$35,IF($D153="V02",cad!$D$35,cad!$E$35)))</f>
      </c>
      <c r="M153">
        <f>IF($A153="","",IF($D153="V01",cad!$C$36,IF($D153="V02",cad!$D$36,cad!$E$36)))</f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>
        <f>IF($A154="","",IF($D154="V01",cad!$C$23,IF($D154="V02",cad!$D$23,cad!$E$23)))</f>
      </c>
      <c r="H154">
        <f>IF($A154="","",IF($D154="V01",cad!$C$24,IF($D154="V02",cad!$D$24,cad!$E$24)))</f>
      </c>
      <c r="I154">
        <f>IF($A154="","",IF($D154="V01",cad!$C$32,IF($D154="V02",cad!$D$32,cad!$E$32)))</f>
      </c>
      <c r="J154">
        <f>IF($A154="","",IF($D154="V01",cad!$C$33,IF($D154="V02",cad!$D$33,cad!$E$33)))</f>
      </c>
      <c r="K154">
        <f>IF($A154="","",IF($D154="V01",cad!$C$34,IF($D154="V02",cad!$D$34,cad!$E$34)))</f>
      </c>
      <c r="L154">
        <f>IF($A154="","",IF($D154="V01",cad!$C$35,IF($D154="V02",cad!$D$35,cad!$E$35)))</f>
      </c>
      <c r="M154">
        <f>IF($A154="","",IF($D154="V01",cad!$C$36,IF($D154="V02",cad!$D$36,cad!$E$36)))</f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>
        <f>IF($A155="","",IF($D155="V01",cad!$C$23,IF($D155="V02",cad!$D$23,cad!$E$23)))</f>
      </c>
      <c r="H155">
        <f>IF($A155="","",IF($D155="V01",cad!$C$24,IF($D155="V02",cad!$D$24,cad!$E$24)))</f>
      </c>
      <c r="I155">
        <f>IF($A155="","",IF($D155="V01",cad!$C$32,IF($D155="V02",cad!$D$32,cad!$E$32)))</f>
      </c>
      <c r="J155">
        <f>IF($A155="","",IF($D155="V01",cad!$C$33,IF($D155="V02",cad!$D$33,cad!$E$33)))</f>
      </c>
      <c r="K155">
        <f>IF($A155="","",IF($D155="V01",cad!$C$34,IF($D155="V02",cad!$D$34,cad!$E$34)))</f>
      </c>
      <c r="L155">
        <f>IF($A155="","",IF($D155="V01",cad!$C$35,IF($D155="V02",cad!$D$35,cad!$E$35)))</f>
      </c>
      <c r="M155">
        <f>IF($A155="","",IF($D155="V01",cad!$C$36,IF($D155="V02",cad!$D$36,cad!$E$36)))</f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>
        <f>IF($A156="","",IF($D156="V01",cad!$C$23,IF($D156="V02",cad!$D$23,cad!$E$23)))</f>
      </c>
      <c r="H156">
        <f>IF($A156="","",IF($D156="V01",cad!$C$24,IF($D156="V02",cad!$D$24,cad!$E$24)))</f>
      </c>
      <c r="I156">
        <f>IF($A156="","",IF($D156="V01",cad!$C$32,IF($D156="V02",cad!$D$32,cad!$E$32)))</f>
      </c>
      <c r="J156">
        <f>IF($A156="","",IF($D156="V01",cad!$C$33,IF($D156="V02",cad!$D$33,cad!$E$33)))</f>
      </c>
      <c r="K156">
        <f>IF($A156="","",IF($D156="V01",cad!$C$34,IF($D156="V02",cad!$D$34,cad!$E$34)))</f>
      </c>
      <c r="L156">
        <f>IF($A156="","",IF($D156="V01",cad!$C$35,IF($D156="V02",cad!$D$35,cad!$E$35)))</f>
      </c>
      <c r="M156">
        <f>IF($A156="","",IF($D156="V01",cad!$C$36,IF($D156="V02",cad!$D$36,cad!$E$36)))</f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>
        <f>IF($A157="","",IF($D157="V01",cad!$C$23,IF($D157="V02",cad!$D$23,cad!$E$23)))</f>
      </c>
      <c r="H157">
        <f>IF($A157="","",IF($D157="V01",cad!$C$24,IF($D157="V02",cad!$D$24,cad!$E$24)))</f>
      </c>
      <c r="I157">
        <f>IF($A157="","",IF($D157="V01",cad!$C$32,IF($D157="V02",cad!$D$32,cad!$E$32)))</f>
      </c>
      <c r="J157">
        <f>IF($A157="","",IF($D157="V01",cad!$C$33,IF($D157="V02",cad!$D$33,cad!$E$33)))</f>
      </c>
      <c r="K157">
        <f>IF($A157="","",IF($D157="V01",cad!$C$34,IF($D157="V02",cad!$D$34,cad!$E$34)))</f>
      </c>
      <c r="L157">
        <f>IF($A157="","",IF($D157="V01",cad!$C$35,IF($D157="V02",cad!$D$35,cad!$E$35)))</f>
      </c>
      <c r="M157">
        <f>IF($A157="","",IF($D157="V01",cad!$C$36,IF($D157="V02",cad!$D$36,cad!$E$36)))</f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>
        <f>IF($A158="","",IF($D158="V01",cad!$C$23,IF($D158="V02",cad!$D$23,cad!$E$23)))</f>
      </c>
      <c r="H158">
        <f>IF($A158="","",IF($D158="V01",cad!$C$24,IF($D158="V02",cad!$D$24,cad!$E$24)))</f>
      </c>
      <c r="I158">
        <f>IF($A158="","",IF($D158="V01",cad!$C$32,IF($D158="V02",cad!$D$32,cad!$E$32)))</f>
      </c>
      <c r="J158">
        <f>IF($A158="","",IF($D158="V01",cad!$C$33,IF($D158="V02",cad!$D$33,cad!$E$33)))</f>
      </c>
      <c r="K158">
        <f>IF($A158="","",IF($D158="V01",cad!$C$34,IF($D158="V02",cad!$D$34,cad!$E$34)))</f>
      </c>
      <c r="L158">
        <f>IF($A158="","",IF($D158="V01",cad!$C$35,IF($D158="V02",cad!$D$35,cad!$E$35)))</f>
      </c>
      <c r="M158">
        <f>IF($A158="","",IF($D158="V01",cad!$C$36,IF($D158="V02",cad!$D$36,cad!$E$36)))</f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>
        <f>IF($A159="","",IF($D159="V01",cad!$C$23,IF($D159="V02",cad!$D$23,cad!$E$23)))</f>
      </c>
      <c r="H159">
        <f>IF($A159="","",IF($D159="V01",cad!$C$24,IF($D159="V02",cad!$D$24,cad!$E$24)))</f>
      </c>
      <c r="I159">
        <f>IF($A159="","",IF($D159="V01",cad!$C$32,IF($D159="V02",cad!$D$32,cad!$E$32)))</f>
      </c>
      <c r="J159">
        <f>IF($A159="","",IF($D159="V01",cad!$C$33,IF($D159="V02",cad!$D$33,cad!$E$33)))</f>
      </c>
      <c r="K159">
        <f>IF($A159="","",IF($D159="V01",cad!$C$34,IF($D159="V02",cad!$D$34,cad!$E$34)))</f>
      </c>
      <c r="L159">
        <f>IF($A159="","",IF($D159="V01",cad!$C$35,IF($D159="V02",cad!$D$35,cad!$E$35)))</f>
      </c>
      <c r="M159">
        <f>IF($A159="","",IF($D159="V01",cad!$C$36,IF($D159="V02",cad!$D$36,cad!$E$36)))</f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>
        <f>IF($A160="","",IF($D160="V01",cad!$C$23,IF($D160="V02",cad!$D$23,cad!$E$23)))</f>
      </c>
      <c r="H160">
        <f>IF($A160="","",IF($D160="V01",cad!$C$24,IF($D160="V02",cad!$D$24,cad!$E$24)))</f>
      </c>
      <c r="I160">
        <f>IF($A160="","",IF($D160="V01",cad!$C$32,IF($D160="V02",cad!$D$32,cad!$E$32)))</f>
      </c>
      <c r="J160">
        <f>IF($A160="","",IF($D160="V01",cad!$C$33,IF($D160="V02",cad!$D$33,cad!$E$33)))</f>
      </c>
      <c r="K160">
        <f>IF($A160="","",IF($D160="V01",cad!$C$34,IF($D160="V02",cad!$D$34,cad!$E$34)))</f>
      </c>
      <c r="L160">
        <f>IF($A160="","",IF($D160="V01",cad!$C$35,IF($D160="V02",cad!$D$35,cad!$E$35)))</f>
      </c>
      <c r="M160">
        <f>IF($A160="","",IF($D160="V01",cad!$C$36,IF($D160="V02",cad!$D$36,cad!$E$36)))</f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>
        <f>IF($A161="","",IF($D161="V01",cad!$C$23,IF($D161="V02",cad!$D$23,cad!$E$23)))</f>
      </c>
      <c r="H161">
        <f>IF($A161="","",IF($D161="V01",cad!$C$24,IF($D161="V02",cad!$D$24,cad!$E$24)))</f>
      </c>
      <c r="I161">
        <f>IF($A161="","",IF($D161="V01",cad!$C$32,IF($D161="V02",cad!$D$32,cad!$E$32)))</f>
      </c>
      <c r="J161">
        <f>IF($A161="","",IF($D161="V01",cad!$C$33,IF($D161="V02",cad!$D$33,cad!$E$33)))</f>
      </c>
      <c r="K161">
        <f>IF($A161="","",IF($D161="V01",cad!$C$34,IF($D161="V02",cad!$D$34,cad!$E$34)))</f>
      </c>
      <c r="L161">
        <f>IF($A161="","",IF($D161="V01",cad!$C$35,IF($D161="V02",cad!$D$35,cad!$E$35)))</f>
      </c>
      <c r="M161">
        <f>IF($A161="","",IF($D161="V01",cad!$C$36,IF($D161="V02",cad!$D$36,cad!$E$36)))</f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>
        <f>IF($A162="","",IF($D162="V01",cad!$C$23,IF($D162="V02",cad!$D$23,cad!$E$23)))</f>
      </c>
      <c r="H162">
        <f>IF($A162="","",IF($D162="V01",cad!$C$24,IF($D162="V02",cad!$D$24,cad!$E$24)))</f>
      </c>
      <c r="I162">
        <f>IF($A162="","",IF($D162="V01",cad!$C$32,IF($D162="V02",cad!$D$32,cad!$E$32)))</f>
      </c>
      <c r="J162">
        <f>IF($A162="","",IF($D162="V01",cad!$C$33,IF($D162="V02",cad!$D$33,cad!$E$33)))</f>
      </c>
      <c r="K162">
        <f>IF($A162="","",IF($D162="V01",cad!$C$34,IF($D162="V02",cad!$D$34,cad!$E$34)))</f>
      </c>
      <c r="L162">
        <f>IF($A162="","",IF($D162="V01",cad!$C$35,IF($D162="V02",cad!$D$35,cad!$E$35)))</f>
      </c>
      <c r="M162">
        <f>IF($A162="","",IF($D162="V01",cad!$C$36,IF($D162="V02",cad!$D$36,cad!$E$36)))</f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>
        <f>IF($A163="","",IF($D163="V01",cad!$C$23,IF($D163="V02",cad!$D$23,cad!$E$23)))</f>
      </c>
      <c r="H163">
        <f>IF($A163="","",IF($D163="V01",cad!$C$24,IF($D163="V02",cad!$D$24,cad!$E$24)))</f>
      </c>
      <c r="I163">
        <f>IF($A163="","",IF($D163="V01",cad!$C$32,IF($D163="V02",cad!$D$32,cad!$E$32)))</f>
      </c>
      <c r="J163">
        <f>IF($A163="","",IF($D163="V01",cad!$C$33,IF($D163="V02",cad!$D$33,cad!$E$33)))</f>
      </c>
      <c r="K163">
        <f>IF($A163="","",IF($D163="V01",cad!$C$34,IF($D163="V02",cad!$D$34,cad!$E$34)))</f>
      </c>
      <c r="L163">
        <f>IF($A163="","",IF($D163="V01",cad!$C$35,IF($D163="V02",cad!$D$35,cad!$E$35)))</f>
      </c>
      <c r="M163">
        <f>IF($A163="","",IF($D163="V01",cad!$C$36,IF($D163="V02",cad!$D$36,cad!$E$36)))</f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>
        <f>IF($A164="","",IF($D164="V01",cad!$C$23,IF($D164="V02",cad!$D$23,cad!$E$23)))</f>
      </c>
      <c r="H164">
        <f>IF($A164="","",IF($D164="V01",cad!$C$24,IF($D164="V02",cad!$D$24,cad!$E$24)))</f>
      </c>
      <c r="I164">
        <f>IF($A164="","",IF($D164="V01",cad!$C$32,IF($D164="V02",cad!$D$32,cad!$E$32)))</f>
      </c>
      <c r="J164">
        <f>IF($A164="","",IF($D164="V01",cad!$C$33,IF($D164="V02",cad!$D$33,cad!$E$33)))</f>
      </c>
      <c r="K164">
        <f>IF($A164="","",IF($D164="V01",cad!$C$34,IF($D164="V02",cad!$D$34,cad!$E$34)))</f>
      </c>
      <c r="L164">
        <f>IF($A164="","",IF($D164="V01",cad!$C$35,IF($D164="V02",cad!$D$35,cad!$E$35)))</f>
      </c>
      <c r="M164">
        <f>IF($A164="","",IF($D164="V01",cad!$C$36,IF($D164="V02",cad!$D$36,cad!$E$36)))</f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>
        <f>IF($A165="","",IF($D165="V01",cad!$C$23,IF($D165="V02",cad!$D$23,cad!$E$23)))</f>
      </c>
      <c r="H165">
        <f>IF($A165="","",IF($D165="V01",cad!$C$24,IF($D165="V02",cad!$D$24,cad!$E$24)))</f>
      </c>
      <c r="I165">
        <f>IF($A165="","",IF($D165="V01",cad!$C$32,IF($D165="V02",cad!$D$32,cad!$E$32)))</f>
      </c>
      <c r="J165">
        <f>IF($A165="","",IF($D165="V01",cad!$C$33,IF($D165="V02",cad!$D$33,cad!$E$33)))</f>
      </c>
      <c r="K165">
        <f>IF($A165="","",IF($D165="V01",cad!$C$34,IF($D165="V02",cad!$D$34,cad!$E$34)))</f>
      </c>
      <c r="L165">
        <f>IF($A165="","",IF($D165="V01",cad!$C$35,IF($D165="V02",cad!$D$35,cad!$E$35)))</f>
      </c>
      <c r="M165">
        <f>IF($A165="","",IF($D165="V01",cad!$C$36,IF($D165="V02",cad!$D$36,cad!$E$36)))</f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>
        <f>IF($A166="","",IF($D166="V01",cad!$C$23,IF($D166="V02",cad!$D$23,cad!$E$23)))</f>
      </c>
      <c r="H166">
        <f>IF($A166="","",IF($D166="V01",cad!$C$24,IF($D166="V02",cad!$D$24,cad!$E$24)))</f>
      </c>
      <c r="I166">
        <f>IF($A166="","",IF($D166="V01",cad!$C$32,IF($D166="V02",cad!$D$32,cad!$E$32)))</f>
      </c>
      <c r="J166">
        <f>IF($A166="","",IF($D166="V01",cad!$C$33,IF($D166="V02",cad!$D$33,cad!$E$33)))</f>
      </c>
      <c r="K166">
        <f>IF($A166="","",IF($D166="V01",cad!$C$34,IF($D166="V02",cad!$D$34,cad!$E$34)))</f>
      </c>
      <c r="L166">
        <f>IF($A166="","",IF($D166="V01",cad!$C$35,IF($D166="V02",cad!$D$35,cad!$E$35)))</f>
      </c>
      <c r="M166">
        <f>IF($A166="","",IF($D166="V01",cad!$C$36,IF($D166="V02",cad!$D$36,cad!$E$36)))</f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>
        <f>IF($A167="","",IF($D167="V01",cad!$C$23,IF($D167="V02",cad!$D$23,cad!$E$23)))</f>
      </c>
      <c r="H167">
        <f>IF($A167="","",IF($D167="V01",cad!$C$24,IF($D167="V02",cad!$D$24,cad!$E$24)))</f>
      </c>
      <c r="I167">
        <f>IF($A167="","",IF($D167="V01",cad!$C$32,IF($D167="V02",cad!$D$32,cad!$E$32)))</f>
      </c>
      <c r="J167">
        <f>IF($A167="","",IF($D167="V01",cad!$C$33,IF($D167="V02",cad!$D$33,cad!$E$33)))</f>
      </c>
      <c r="K167">
        <f>IF($A167="","",IF($D167="V01",cad!$C$34,IF($D167="V02",cad!$D$34,cad!$E$34)))</f>
      </c>
      <c r="L167">
        <f>IF($A167="","",IF($D167="V01",cad!$C$35,IF($D167="V02",cad!$D$35,cad!$E$35)))</f>
      </c>
      <c r="M167">
        <f>IF($A167="","",IF($D167="V01",cad!$C$36,IF($D167="V02",cad!$D$36,cad!$E$36)))</f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>
        <f>IF($A168="","",IF($D168="V01",cad!$C$23,IF($D168="V02",cad!$D$23,cad!$E$23)))</f>
      </c>
      <c r="H168">
        <f>IF($A168="","",IF($D168="V01",cad!$C$24,IF($D168="V02",cad!$D$24,cad!$E$24)))</f>
      </c>
      <c r="I168">
        <f>IF($A168="","",IF($D168="V01",cad!$C$32,IF($D168="V02",cad!$D$32,cad!$E$32)))</f>
      </c>
      <c r="J168">
        <f>IF($A168="","",IF($D168="V01",cad!$C$33,IF($D168="V02",cad!$D$33,cad!$E$33)))</f>
      </c>
      <c r="K168">
        <f>IF($A168="","",IF($D168="V01",cad!$C$34,IF($D168="V02",cad!$D$34,cad!$E$34)))</f>
      </c>
      <c r="L168">
        <f>IF($A168="","",IF($D168="V01",cad!$C$35,IF($D168="V02",cad!$D$35,cad!$E$35)))</f>
      </c>
      <c r="M168">
        <f>IF($A168="","",IF($D168="V01",cad!$C$36,IF($D168="V02",cad!$D$36,cad!$E$36)))</f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>
        <f>IF($A169="","",IF($D169="V01",cad!$C$23,IF($D169="V02",cad!$D$23,cad!$E$23)))</f>
      </c>
      <c r="H169">
        <f>IF($A169="","",IF($D169="V01",cad!$C$24,IF($D169="V02",cad!$D$24,cad!$E$24)))</f>
      </c>
      <c r="I169">
        <f>IF($A169="","",IF($D169="V01",cad!$C$32,IF($D169="V02",cad!$D$32,cad!$E$32)))</f>
      </c>
      <c r="J169">
        <f>IF($A169="","",IF($D169="V01",cad!$C$33,IF($D169="V02",cad!$D$33,cad!$E$33)))</f>
      </c>
      <c r="K169">
        <f>IF($A169="","",IF($D169="V01",cad!$C$34,IF($D169="V02",cad!$D$34,cad!$E$34)))</f>
      </c>
      <c r="L169">
        <f>IF($A169="","",IF($D169="V01",cad!$C$35,IF($D169="V02",cad!$D$35,cad!$E$35)))</f>
      </c>
      <c r="M169">
        <f>IF($A169="","",IF($D169="V01",cad!$C$36,IF($D169="V02",cad!$D$36,cad!$E$36)))</f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>
        <f>IF($A170="","",IF($D170="V01",cad!$C$23,IF($D170="V02",cad!$D$23,cad!$E$23)))</f>
      </c>
      <c r="H170">
        <f>IF($A170="","",IF($D170="V01",cad!$C$24,IF($D170="V02",cad!$D$24,cad!$E$24)))</f>
      </c>
      <c r="I170">
        <f>IF($A170="","",IF($D170="V01",cad!$C$32,IF($D170="V02",cad!$D$32,cad!$E$32)))</f>
      </c>
      <c r="J170">
        <f>IF($A170="","",IF($D170="V01",cad!$C$33,IF($D170="V02",cad!$D$33,cad!$E$33)))</f>
      </c>
      <c r="K170">
        <f>IF($A170="","",IF($D170="V01",cad!$C$34,IF($D170="V02",cad!$D$34,cad!$E$34)))</f>
      </c>
      <c r="L170">
        <f>IF($A170="","",IF($D170="V01",cad!$C$35,IF($D170="V02",cad!$D$35,cad!$E$35)))</f>
      </c>
      <c r="M170">
        <f>IF($A170="","",IF($D170="V01",cad!$C$36,IF($D170="V02",cad!$D$36,cad!$E$36)))</f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>
        <f>IF($A171="","",IF($D171="V01",cad!$C$23,IF($D171="V02",cad!$D$23,cad!$E$23)))</f>
      </c>
      <c r="H171">
        <f>IF($A171="","",IF($D171="V01",cad!$C$24,IF($D171="V02",cad!$D$24,cad!$E$24)))</f>
      </c>
      <c r="I171">
        <f>IF($A171="","",IF($D171="V01",cad!$C$32,IF($D171="V02",cad!$D$32,cad!$E$32)))</f>
      </c>
      <c r="J171">
        <f>IF($A171="","",IF($D171="V01",cad!$C$33,IF($D171="V02",cad!$D$33,cad!$E$33)))</f>
      </c>
      <c r="K171">
        <f>IF($A171="","",IF($D171="V01",cad!$C$34,IF($D171="V02",cad!$D$34,cad!$E$34)))</f>
      </c>
      <c r="L171">
        <f>IF($A171="","",IF($D171="V01",cad!$C$35,IF($D171="V02",cad!$D$35,cad!$E$35)))</f>
      </c>
      <c r="M171">
        <f>IF($A171="","",IF($D171="V01",cad!$C$36,IF($D171="V02",cad!$D$36,cad!$E$36)))</f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>
        <f>IF($A172="","",IF($D172="V01",cad!$C$23,IF($D172="V02",cad!$D$23,cad!$E$23)))</f>
      </c>
      <c r="H172">
        <f>IF($A172="","",IF($D172="V01",cad!$C$24,IF($D172="V02",cad!$D$24,cad!$E$24)))</f>
      </c>
      <c r="I172">
        <f>IF($A172="","",IF($D172="V01",cad!$C$32,IF($D172="V02",cad!$D$32,cad!$E$32)))</f>
      </c>
      <c r="J172">
        <f>IF($A172="","",IF($D172="V01",cad!$C$33,IF($D172="V02",cad!$D$33,cad!$E$33)))</f>
      </c>
      <c r="K172">
        <f>IF($A172="","",IF($D172="V01",cad!$C$34,IF($D172="V02",cad!$D$34,cad!$E$34)))</f>
      </c>
      <c r="L172">
        <f>IF($A172="","",IF($D172="V01",cad!$C$35,IF($D172="V02",cad!$D$35,cad!$E$35)))</f>
      </c>
      <c r="M172">
        <f>IF($A172="","",IF($D172="V01",cad!$C$36,IF($D172="V02",cad!$D$36,cad!$E$36)))</f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>
        <f>IF($A173="","",IF($D173="V01",cad!$C$23,IF($D173="V02",cad!$D$23,cad!$E$23)))</f>
      </c>
      <c r="H173">
        <f>IF($A173="","",IF($D173="V01",cad!$C$24,IF($D173="V02",cad!$D$24,cad!$E$24)))</f>
      </c>
      <c r="I173">
        <f>IF($A173="","",IF($D173="V01",cad!$C$32,IF($D173="V02",cad!$D$32,cad!$E$32)))</f>
      </c>
      <c r="J173">
        <f>IF($A173="","",IF($D173="V01",cad!$C$33,IF($D173="V02",cad!$D$33,cad!$E$33)))</f>
      </c>
      <c r="K173">
        <f>IF($A173="","",IF($D173="V01",cad!$C$34,IF($D173="V02",cad!$D$34,cad!$E$34)))</f>
      </c>
      <c r="L173">
        <f>IF($A173="","",IF($D173="V01",cad!$C$35,IF($D173="V02",cad!$D$35,cad!$E$35)))</f>
      </c>
      <c r="M173">
        <f>IF($A173="","",IF($D173="V01",cad!$C$36,IF($D173="V02",cad!$D$36,cad!$E$36)))</f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>
        <f>IF($A174="","",IF($D174="V01",cad!$C$23,IF($D174="V02",cad!$D$23,cad!$E$23)))</f>
      </c>
      <c r="H174">
        <f>IF($A174="","",IF($D174="V01",cad!$C$24,IF($D174="V02",cad!$D$24,cad!$E$24)))</f>
      </c>
      <c r="I174">
        <f>IF($A174="","",IF($D174="V01",cad!$C$32,IF($D174="V02",cad!$D$32,cad!$E$32)))</f>
      </c>
      <c r="J174">
        <f>IF($A174="","",IF($D174="V01",cad!$C$33,IF($D174="V02",cad!$D$33,cad!$E$33)))</f>
      </c>
      <c r="K174">
        <f>IF($A174="","",IF($D174="V01",cad!$C$34,IF($D174="V02",cad!$D$34,cad!$E$34)))</f>
      </c>
      <c r="L174">
        <f>IF($A174="","",IF($D174="V01",cad!$C$35,IF($D174="V02",cad!$D$35,cad!$E$35)))</f>
      </c>
      <c r="M174">
        <f>IF($A174="","",IF($D174="V01",cad!$C$36,IF($D174="V02",cad!$D$36,cad!$E$36)))</f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>
        <f>IF($A175="","",IF($D175="V01",cad!$C$23,IF($D175="V02",cad!$D$23,cad!$E$23)))</f>
      </c>
      <c r="H175">
        <f>IF($A175="","",IF($D175="V01",cad!$C$24,IF($D175="V02",cad!$D$24,cad!$E$24)))</f>
      </c>
      <c r="I175">
        <f>IF($A175="","",IF($D175="V01",cad!$C$32,IF($D175="V02",cad!$D$32,cad!$E$32)))</f>
      </c>
      <c r="J175">
        <f>IF($A175="","",IF($D175="V01",cad!$C$33,IF($D175="V02",cad!$D$33,cad!$E$33)))</f>
      </c>
      <c r="K175">
        <f>IF($A175="","",IF($D175="V01",cad!$C$34,IF($D175="V02",cad!$D$34,cad!$E$34)))</f>
      </c>
      <c r="L175">
        <f>IF($A175="","",IF($D175="V01",cad!$C$35,IF($D175="V02",cad!$D$35,cad!$E$35)))</f>
      </c>
      <c r="M175">
        <f>IF($A175="","",IF($D175="V01",cad!$C$36,IF($D175="V02",cad!$D$36,cad!$E$36)))</f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>
        <f>IF($A176="","",IF($D176="V01",cad!$C$23,IF($D176="V02",cad!$D$23,cad!$E$23)))</f>
      </c>
      <c r="H176">
        <f>IF($A176="","",IF($D176="V01",cad!$C$24,IF($D176="V02",cad!$D$24,cad!$E$24)))</f>
      </c>
      <c r="I176">
        <f>IF($A176="","",IF($D176="V01",cad!$C$32,IF($D176="V02",cad!$D$32,cad!$E$32)))</f>
      </c>
      <c r="J176">
        <f>IF($A176="","",IF($D176="V01",cad!$C$33,IF($D176="V02",cad!$D$33,cad!$E$33)))</f>
      </c>
      <c r="K176">
        <f>IF($A176="","",IF($D176="V01",cad!$C$34,IF($D176="V02",cad!$D$34,cad!$E$34)))</f>
      </c>
      <c r="L176">
        <f>IF($A176="","",IF($D176="V01",cad!$C$35,IF($D176="V02",cad!$D$35,cad!$E$35)))</f>
      </c>
      <c r="M176">
        <f>IF($A176="","",IF($D176="V01",cad!$C$36,IF($D176="V02",cad!$D$36,cad!$E$36)))</f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>
        <f>IF($A177="","",IF($D177="V01",cad!$C$23,IF($D177="V02",cad!$D$23,cad!$E$23)))</f>
      </c>
      <c r="H177">
        <f>IF($A177="","",IF($D177="V01",cad!$C$24,IF($D177="V02",cad!$D$24,cad!$E$24)))</f>
      </c>
      <c r="I177">
        <f>IF($A177="","",IF($D177="V01",cad!$C$32,IF($D177="V02",cad!$D$32,cad!$E$32)))</f>
      </c>
      <c r="J177">
        <f>IF($A177="","",IF($D177="V01",cad!$C$33,IF($D177="V02",cad!$D$33,cad!$E$33)))</f>
      </c>
      <c r="K177">
        <f>IF($A177="","",IF($D177="V01",cad!$C$34,IF($D177="V02",cad!$D$34,cad!$E$34)))</f>
      </c>
      <c r="L177">
        <f>IF($A177="","",IF($D177="V01",cad!$C$35,IF($D177="V02",cad!$D$35,cad!$E$35)))</f>
      </c>
      <c r="M177">
        <f>IF($A177="","",IF($D177="V01",cad!$C$36,IF($D177="V02",cad!$D$36,cad!$E$36)))</f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>
        <f>IF($A178="","",IF($D178="V01",cad!$C$23,IF($D178="V02",cad!$D$23,cad!$E$23)))</f>
      </c>
      <c r="H178">
        <f>IF($A178="","",IF($D178="V01",cad!$C$24,IF($D178="V02",cad!$D$24,cad!$E$24)))</f>
      </c>
      <c r="I178">
        <f>IF($A178="","",IF($D178="V01",cad!$C$32,IF($D178="V02",cad!$D$32,cad!$E$32)))</f>
      </c>
      <c r="J178">
        <f>IF($A178="","",IF($D178="V01",cad!$C$33,IF($D178="V02",cad!$D$33,cad!$E$33)))</f>
      </c>
      <c r="K178">
        <f>IF($A178="","",IF($D178="V01",cad!$C$34,IF($D178="V02",cad!$D$34,cad!$E$34)))</f>
      </c>
      <c r="L178">
        <f>IF($A178="","",IF($D178="V01",cad!$C$35,IF($D178="V02",cad!$D$35,cad!$E$35)))</f>
      </c>
      <c r="M178">
        <f>IF($A178="","",IF($D178="V01",cad!$C$36,IF($D178="V02",cad!$D$36,cad!$E$36)))</f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>
        <f>IF($A179="","",IF($D179="V01",cad!$C$23,IF($D179="V02",cad!$D$23,cad!$E$23)))</f>
      </c>
      <c r="H179">
        <f>IF($A179="","",IF($D179="V01",cad!$C$24,IF($D179="V02",cad!$D$24,cad!$E$24)))</f>
      </c>
      <c r="I179">
        <f>IF($A179="","",IF($D179="V01",cad!$C$32,IF($D179="V02",cad!$D$32,cad!$E$32)))</f>
      </c>
      <c r="J179">
        <f>IF($A179="","",IF($D179="V01",cad!$C$33,IF($D179="V02",cad!$D$33,cad!$E$33)))</f>
      </c>
      <c r="K179">
        <f>IF($A179="","",IF($D179="V01",cad!$C$34,IF($D179="V02",cad!$D$34,cad!$E$34)))</f>
      </c>
      <c r="L179">
        <f>IF($A179="","",IF($D179="V01",cad!$C$35,IF($D179="V02",cad!$D$35,cad!$E$35)))</f>
      </c>
      <c r="M179">
        <f>IF($A179="","",IF($D179="V01",cad!$C$36,IF($D179="V02",cad!$D$36,cad!$E$36)))</f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>
        <f>IF($A180="","",IF($D180="V01",cad!$C$23,IF($D180="V02",cad!$D$23,cad!$E$23)))</f>
      </c>
      <c r="H180">
        <f>IF($A180="","",IF($D180="V01",cad!$C$24,IF($D180="V02",cad!$D$24,cad!$E$24)))</f>
      </c>
      <c r="I180">
        <f>IF($A180="","",IF($D180="V01",cad!$C$32,IF($D180="V02",cad!$D$32,cad!$E$32)))</f>
      </c>
      <c r="J180">
        <f>IF($A180="","",IF($D180="V01",cad!$C$33,IF($D180="V02",cad!$D$33,cad!$E$33)))</f>
      </c>
      <c r="K180">
        <f>IF($A180="","",IF($D180="V01",cad!$C$34,IF($D180="V02",cad!$D$34,cad!$E$34)))</f>
      </c>
      <c r="L180">
        <f>IF($A180="","",IF($D180="V01",cad!$C$35,IF($D180="V02",cad!$D$35,cad!$E$35)))</f>
      </c>
      <c r="M180">
        <f>IF($A180="","",IF($D180="V01",cad!$C$36,IF($D180="V02",cad!$D$36,cad!$E$36)))</f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>
        <f>IF($A181="","",IF($D181="V01",cad!$C$23,IF($D181="V02",cad!$D$23,cad!$E$23)))</f>
      </c>
      <c r="H181">
        <f>IF($A181="","",IF($D181="V01",cad!$C$24,IF($D181="V02",cad!$D$24,cad!$E$24)))</f>
      </c>
      <c r="I181">
        <f>IF($A181="","",IF($D181="V01",cad!$C$32,IF($D181="V02",cad!$D$32,cad!$E$32)))</f>
      </c>
      <c r="J181">
        <f>IF($A181="","",IF($D181="V01",cad!$C$33,IF($D181="V02",cad!$D$33,cad!$E$33)))</f>
      </c>
      <c r="K181">
        <f>IF($A181="","",IF($D181="V01",cad!$C$34,IF($D181="V02",cad!$D$34,cad!$E$34)))</f>
      </c>
      <c r="L181">
        <f>IF($A181="","",IF($D181="V01",cad!$C$35,IF($D181="V02",cad!$D$35,cad!$E$35)))</f>
      </c>
      <c r="M181">
        <f>IF($A181="","",IF($D181="V01",cad!$C$36,IF($D181="V02",cad!$D$36,cad!$E$36)))</f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>
        <f>IF($A182="","",IF($D182="V01",cad!$C$23,IF($D182="V02",cad!$D$23,cad!$E$23)))</f>
      </c>
      <c r="H182">
        <f>IF($A182="","",IF($D182="V01",cad!$C$24,IF($D182="V02",cad!$D$24,cad!$E$24)))</f>
      </c>
      <c r="I182">
        <f>IF($A182="","",IF($D182="V01",cad!$C$32,IF($D182="V02",cad!$D$32,cad!$E$32)))</f>
      </c>
      <c r="J182">
        <f>IF($A182="","",IF($D182="V01",cad!$C$33,IF($D182="V02",cad!$D$33,cad!$E$33)))</f>
      </c>
      <c r="K182">
        <f>IF($A182="","",IF($D182="V01",cad!$C$34,IF($D182="V02",cad!$D$34,cad!$E$34)))</f>
      </c>
      <c r="L182">
        <f>IF($A182="","",IF($D182="V01",cad!$C$35,IF($D182="V02",cad!$D$35,cad!$E$35)))</f>
      </c>
      <c r="M182">
        <f>IF($A182="","",IF($D182="V01",cad!$C$36,IF($D182="V02",cad!$D$36,cad!$E$36)))</f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>
        <f>IF($A183="","",IF($D183="V01",cad!$C$23,IF($D183="V02",cad!$D$23,cad!$E$23)))</f>
      </c>
      <c r="H183">
        <f>IF($A183="","",IF($D183="V01",cad!$C$24,IF($D183="V02",cad!$D$24,cad!$E$24)))</f>
      </c>
      <c r="I183">
        <f>IF($A183="","",IF($D183="V01",cad!$C$32,IF($D183="V02",cad!$D$32,cad!$E$32)))</f>
      </c>
      <c r="J183">
        <f>IF($A183="","",IF($D183="V01",cad!$C$33,IF($D183="V02",cad!$D$33,cad!$E$33)))</f>
      </c>
      <c r="K183">
        <f>IF($A183="","",IF($D183="V01",cad!$C$34,IF($D183="V02",cad!$D$34,cad!$E$34)))</f>
      </c>
      <c r="L183">
        <f>IF($A183="","",IF($D183="V01",cad!$C$35,IF($D183="V02",cad!$D$35,cad!$E$35)))</f>
      </c>
      <c r="M183">
        <f>IF($A183="","",IF($D183="V01",cad!$C$36,IF($D183="V02",cad!$D$36,cad!$E$36)))</f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>
        <f>IF($A184="","",IF($D184="V01",cad!$C$23,IF($D184="V02",cad!$D$23,cad!$E$23)))</f>
      </c>
      <c r="H184">
        <f>IF($A184="","",IF($D184="V01",cad!$C$24,IF($D184="V02",cad!$D$24,cad!$E$24)))</f>
      </c>
      <c r="I184">
        <f>IF($A184="","",IF($D184="V01",cad!$C$32,IF($D184="V02",cad!$D$32,cad!$E$32)))</f>
      </c>
      <c r="J184">
        <f>IF($A184="","",IF($D184="V01",cad!$C$33,IF($D184="V02",cad!$D$33,cad!$E$33)))</f>
      </c>
      <c r="K184">
        <f>IF($A184="","",IF($D184="V01",cad!$C$34,IF($D184="V02",cad!$D$34,cad!$E$34)))</f>
      </c>
      <c r="L184">
        <f>IF($A184="","",IF($D184="V01",cad!$C$35,IF($D184="V02",cad!$D$35,cad!$E$35)))</f>
      </c>
      <c r="M184">
        <f>IF($A184="","",IF($D184="V01",cad!$C$36,IF($D184="V02",cad!$D$36,cad!$E$36)))</f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>
        <f>IF($A185="","",IF($D185="V01",cad!$C$23,IF($D185="V02",cad!$D$23,cad!$E$23)))</f>
      </c>
      <c r="H185">
        <f>IF($A185="","",IF($D185="V01",cad!$C$24,IF($D185="V02",cad!$D$24,cad!$E$24)))</f>
      </c>
      <c r="I185">
        <f>IF($A185="","",IF($D185="V01",cad!$C$32,IF($D185="V02",cad!$D$32,cad!$E$32)))</f>
      </c>
      <c r="J185">
        <f>IF($A185="","",IF($D185="V01",cad!$C$33,IF($D185="V02",cad!$D$33,cad!$E$33)))</f>
      </c>
      <c r="K185">
        <f>IF($A185="","",IF($D185="V01",cad!$C$34,IF($D185="V02",cad!$D$34,cad!$E$34)))</f>
      </c>
      <c r="L185">
        <f>IF($A185="","",IF($D185="V01",cad!$C$35,IF($D185="V02",cad!$D$35,cad!$E$35)))</f>
      </c>
      <c r="M185">
        <f>IF($A185="","",IF($D185="V01",cad!$C$36,IF($D185="V02",cad!$D$36,cad!$E$36)))</f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>
        <f>IF($A186="","",IF($D186="V01",cad!$C$23,IF($D186="V02",cad!$D$23,cad!$E$23)))</f>
      </c>
      <c r="H186">
        <f>IF($A186="","",IF($D186="V01",cad!$C$24,IF($D186="V02",cad!$D$24,cad!$E$24)))</f>
      </c>
      <c r="I186">
        <f>IF($A186="","",IF($D186="V01",cad!$C$32,IF($D186="V02",cad!$D$32,cad!$E$32)))</f>
      </c>
      <c r="J186">
        <f>IF($A186="","",IF($D186="V01",cad!$C$33,IF($D186="V02",cad!$D$33,cad!$E$33)))</f>
      </c>
      <c r="K186">
        <f>IF($A186="","",IF($D186="V01",cad!$C$34,IF($D186="V02",cad!$D$34,cad!$E$34)))</f>
      </c>
      <c r="L186">
        <f>IF($A186="","",IF($D186="V01",cad!$C$35,IF($D186="V02",cad!$D$35,cad!$E$35)))</f>
      </c>
      <c r="M186">
        <f>IF($A186="","",IF($D186="V01",cad!$C$36,IF($D186="V02",cad!$D$36,cad!$E$36)))</f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>
        <f>IF($A187="","",IF($D187="V01",cad!$C$23,IF($D187="V02",cad!$D$23,cad!$E$23)))</f>
      </c>
      <c r="H187">
        <f>IF($A187="","",IF($D187="V01",cad!$C$24,IF($D187="V02",cad!$D$24,cad!$E$24)))</f>
      </c>
      <c r="I187">
        <f>IF($A187="","",IF($D187="V01",cad!$C$32,IF($D187="V02",cad!$D$32,cad!$E$32)))</f>
      </c>
      <c r="J187">
        <f>IF($A187="","",IF($D187="V01",cad!$C$33,IF($D187="V02",cad!$D$33,cad!$E$33)))</f>
      </c>
      <c r="K187">
        <f>IF($A187="","",IF($D187="V01",cad!$C$34,IF($D187="V02",cad!$D$34,cad!$E$34)))</f>
      </c>
      <c r="L187">
        <f>IF($A187="","",IF($D187="V01",cad!$C$35,IF($D187="V02",cad!$D$35,cad!$E$35)))</f>
      </c>
      <c r="M187">
        <f>IF($A187="","",IF($D187="V01",cad!$C$36,IF($D187="V02",cad!$D$36,cad!$E$36)))</f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>
        <f>IF($A188="","",IF($D188="V01",cad!$C$23,IF($D188="V02",cad!$D$23,cad!$E$23)))</f>
      </c>
      <c r="H188">
        <f>IF($A188="","",IF($D188="V01",cad!$C$24,IF($D188="V02",cad!$D$24,cad!$E$24)))</f>
      </c>
      <c r="I188">
        <f>IF($A188="","",IF($D188="V01",cad!$C$32,IF($D188="V02",cad!$D$32,cad!$E$32)))</f>
      </c>
      <c r="J188">
        <f>IF($A188="","",IF($D188="V01",cad!$C$33,IF($D188="V02",cad!$D$33,cad!$E$33)))</f>
      </c>
      <c r="K188">
        <f>IF($A188="","",IF($D188="V01",cad!$C$34,IF($D188="V02",cad!$D$34,cad!$E$34)))</f>
      </c>
      <c r="L188">
        <f>IF($A188="","",IF($D188="V01",cad!$C$35,IF($D188="V02",cad!$D$35,cad!$E$35)))</f>
      </c>
      <c r="M188">
        <f>IF($A188="","",IF($D188="V01",cad!$C$36,IF($D188="V02",cad!$D$36,cad!$E$36)))</f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>
        <f>IF($A189="","",IF($D189="V01",cad!$C$23,IF($D189="V02",cad!$D$23,cad!$E$23)))</f>
      </c>
      <c r="H189">
        <f>IF($A189="","",IF($D189="V01",cad!$C$24,IF($D189="V02",cad!$D$24,cad!$E$24)))</f>
      </c>
      <c r="I189">
        <f>IF($A189="","",IF($D189="V01",cad!$C$32,IF($D189="V02",cad!$D$32,cad!$E$32)))</f>
      </c>
      <c r="J189">
        <f>IF($A189="","",IF($D189="V01",cad!$C$33,IF($D189="V02",cad!$D$33,cad!$E$33)))</f>
      </c>
      <c r="K189">
        <f>IF($A189="","",IF($D189="V01",cad!$C$34,IF($D189="V02",cad!$D$34,cad!$E$34)))</f>
      </c>
      <c r="L189">
        <f>IF($A189="","",IF($D189="V01",cad!$C$35,IF($D189="V02",cad!$D$35,cad!$E$35)))</f>
      </c>
      <c r="M189">
        <f>IF($A189="","",IF($D189="V01",cad!$C$36,IF($D189="V02",cad!$D$36,cad!$E$36)))</f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>
        <f>IF($A190="","",IF($D190="V01",cad!$C$23,IF($D190="V02",cad!$D$23,cad!$E$23)))</f>
      </c>
      <c r="H190">
        <f>IF($A190="","",IF($D190="V01",cad!$C$24,IF($D190="V02",cad!$D$24,cad!$E$24)))</f>
      </c>
      <c r="I190">
        <f>IF($A190="","",IF($D190="V01",cad!$C$32,IF($D190="V02",cad!$D$32,cad!$E$32)))</f>
      </c>
      <c r="J190">
        <f>IF($A190="","",IF($D190="V01",cad!$C$33,IF($D190="V02",cad!$D$33,cad!$E$33)))</f>
      </c>
      <c r="K190">
        <f>IF($A190="","",IF($D190="V01",cad!$C$34,IF($D190="V02",cad!$D$34,cad!$E$34)))</f>
      </c>
      <c r="L190">
        <f>IF($A190="","",IF($D190="V01",cad!$C$35,IF($D190="V02",cad!$D$35,cad!$E$35)))</f>
      </c>
      <c r="M190">
        <f>IF($A190="","",IF($D190="V01",cad!$C$36,IF($D190="V02",cad!$D$36,cad!$E$36)))</f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>
        <f>IF($A191="","",IF($D191="V01",cad!$C$23,IF($D191="V02",cad!$D$23,cad!$E$23)))</f>
      </c>
      <c r="H191">
        <f>IF($A191="","",IF($D191="V01",cad!$C$24,IF($D191="V02",cad!$D$24,cad!$E$24)))</f>
      </c>
      <c r="I191">
        <f>IF($A191="","",IF($D191="V01",cad!$C$32,IF($D191="V02",cad!$D$32,cad!$E$32)))</f>
      </c>
      <c r="J191">
        <f>IF($A191="","",IF($D191="V01",cad!$C$33,IF($D191="V02",cad!$D$33,cad!$E$33)))</f>
      </c>
      <c r="K191">
        <f>IF($A191="","",IF($D191="V01",cad!$C$34,IF($D191="V02",cad!$D$34,cad!$E$34)))</f>
      </c>
      <c r="L191">
        <f>IF($A191="","",IF($D191="V01",cad!$C$35,IF($D191="V02",cad!$D$35,cad!$E$35)))</f>
      </c>
      <c r="M191">
        <f>IF($A191="","",IF($D191="V01",cad!$C$36,IF($D191="V02",cad!$D$36,cad!$E$36)))</f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>
        <f>IF($A192="","",IF($D192="V01",cad!$C$23,IF($D192="V02",cad!$D$23,cad!$E$23)))</f>
      </c>
      <c r="H192">
        <f>IF($A192="","",IF($D192="V01",cad!$C$24,IF($D192="V02",cad!$D$24,cad!$E$24)))</f>
      </c>
      <c r="I192">
        <f>IF($A192="","",IF($D192="V01",cad!$C$32,IF($D192="V02",cad!$D$32,cad!$E$32)))</f>
      </c>
      <c r="J192">
        <f>IF($A192="","",IF($D192="V01",cad!$C$33,IF($D192="V02",cad!$D$33,cad!$E$33)))</f>
      </c>
      <c r="K192">
        <f>IF($A192="","",IF($D192="V01",cad!$C$34,IF($D192="V02",cad!$D$34,cad!$E$34)))</f>
      </c>
      <c r="L192">
        <f>IF($A192="","",IF($D192="V01",cad!$C$35,IF($D192="V02",cad!$D$35,cad!$E$35)))</f>
      </c>
      <c r="M192">
        <f>IF($A192="","",IF($D192="V01",cad!$C$36,IF($D192="V02",cad!$D$36,cad!$E$36)))</f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>
        <f>IF($A193="","",IF($D193="V01",cad!$C$23,IF($D193="V02",cad!$D$23,cad!$E$23)))</f>
      </c>
      <c r="H193">
        <f>IF($A193="","",IF($D193="V01",cad!$C$24,IF($D193="V02",cad!$D$24,cad!$E$24)))</f>
      </c>
      <c r="I193">
        <f>IF($A193="","",IF($D193="V01",cad!$C$32,IF($D193="V02",cad!$D$32,cad!$E$32)))</f>
      </c>
      <c r="J193">
        <f>IF($A193="","",IF($D193="V01",cad!$C$33,IF($D193="V02",cad!$D$33,cad!$E$33)))</f>
      </c>
      <c r="K193">
        <f>IF($A193="","",IF($D193="V01",cad!$C$34,IF($D193="V02",cad!$D$34,cad!$E$34)))</f>
      </c>
      <c r="L193">
        <f>IF($A193="","",IF($D193="V01",cad!$C$35,IF($D193="V02",cad!$D$35,cad!$E$35)))</f>
      </c>
      <c r="M193">
        <f>IF($A193="","",IF($D193="V01",cad!$C$36,IF($D193="V02",cad!$D$36,cad!$E$36)))</f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>
        <f>IF($A194="","",IF($D194="V01",cad!$C$23,IF($D194="V02",cad!$D$23,cad!$E$23)))</f>
      </c>
      <c r="H194">
        <f>IF($A194="","",IF($D194="V01",cad!$C$24,IF($D194="V02",cad!$D$24,cad!$E$24)))</f>
      </c>
      <c r="I194">
        <f>IF($A194="","",IF($D194="V01",cad!$C$32,IF($D194="V02",cad!$D$32,cad!$E$32)))</f>
      </c>
      <c r="J194">
        <f>IF($A194="","",IF($D194="V01",cad!$C$33,IF($D194="V02",cad!$D$33,cad!$E$33)))</f>
      </c>
      <c r="K194">
        <f>IF($A194="","",IF($D194="V01",cad!$C$34,IF($D194="V02",cad!$D$34,cad!$E$34)))</f>
      </c>
      <c r="L194">
        <f>IF($A194="","",IF($D194="V01",cad!$C$35,IF($D194="V02",cad!$D$35,cad!$E$35)))</f>
      </c>
      <c r="M194">
        <f>IF($A194="","",IF($D194="V01",cad!$C$36,IF($D194="V02",cad!$D$36,cad!$E$36)))</f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>
        <f>IF($A195="","",IF($D195="V01",cad!$C$23,IF($D195="V02",cad!$D$23,cad!$E$23)))</f>
      </c>
      <c r="H195">
        <f>IF($A195="","",IF($D195="V01",cad!$C$24,IF($D195="V02",cad!$D$24,cad!$E$24)))</f>
      </c>
      <c r="I195">
        <f>IF($A195="","",IF($D195="V01",cad!$C$32,IF($D195="V02",cad!$D$32,cad!$E$32)))</f>
      </c>
      <c r="J195">
        <f>IF($A195="","",IF($D195="V01",cad!$C$33,IF($D195="V02",cad!$D$33,cad!$E$33)))</f>
      </c>
      <c r="K195">
        <f>IF($A195="","",IF($D195="V01",cad!$C$34,IF($D195="V02",cad!$D$34,cad!$E$34)))</f>
      </c>
      <c r="L195">
        <f>IF($A195="","",IF($D195="V01",cad!$C$35,IF($D195="V02",cad!$D$35,cad!$E$35)))</f>
      </c>
      <c r="M195">
        <f>IF($A195="","",IF($D195="V01",cad!$C$36,IF($D195="V02",cad!$D$36,cad!$E$36)))</f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>
        <f>IF($A196="","",IF($D196="V01",cad!$C$23,IF($D196="V02",cad!$D$23,cad!$E$23)))</f>
      </c>
      <c r="H196">
        <f>IF($A196="","",IF($D196="V01",cad!$C$24,IF($D196="V02",cad!$D$24,cad!$E$24)))</f>
      </c>
      <c r="I196">
        <f>IF($A196="","",IF($D196="V01",cad!$C$32,IF($D196="V02",cad!$D$32,cad!$E$32)))</f>
      </c>
      <c r="J196">
        <f>IF($A196="","",IF($D196="V01",cad!$C$33,IF($D196="V02",cad!$D$33,cad!$E$33)))</f>
      </c>
      <c r="K196">
        <f>IF($A196="","",IF($D196="V01",cad!$C$34,IF($D196="V02",cad!$D$34,cad!$E$34)))</f>
      </c>
      <c r="L196">
        <f>IF($A196="","",IF($D196="V01",cad!$C$35,IF($D196="V02",cad!$D$35,cad!$E$35)))</f>
      </c>
      <c r="M196">
        <f>IF($A196="","",IF($D196="V01",cad!$C$36,IF($D196="V02",cad!$D$36,cad!$E$36)))</f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>
        <f>IF($A197="","",IF($D197="V01",cad!$C$23,IF($D197="V02",cad!$D$23,cad!$E$23)))</f>
      </c>
      <c r="H197">
        <f>IF($A197="","",IF($D197="V01",cad!$C$24,IF($D197="V02",cad!$D$24,cad!$E$24)))</f>
      </c>
      <c r="I197">
        <f>IF($A197="","",IF($D197="V01",cad!$C$32,IF($D197="V02",cad!$D$32,cad!$E$32)))</f>
      </c>
      <c r="J197">
        <f>IF($A197="","",IF($D197="V01",cad!$C$33,IF($D197="V02",cad!$D$33,cad!$E$33)))</f>
      </c>
      <c r="K197">
        <f>IF($A197="","",IF($D197="V01",cad!$C$34,IF($D197="V02",cad!$D$34,cad!$E$34)))</f>
      </c>
      <c r="L197">
        <f>IF($A197="","",IF($D197="V01",cad!$C$35,IF($D197="V02",cad!$D$35,cad!$E$35)))</f>
      </c>
      <c r="M197">
        <f>IF($A197="","",IF($D197="V01",cad!$C$36,IF($D197="V02",cad!$D$36,cad!$E$36)))</f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>
        <f>IF($A198="","",IF($D198="V01",cad!$C$23,IF($D198="V02",cad!$D$23,cad!$E$23)))</f>
      </c>
      <c r="H198">
        <f>IF($A198="","",IF($D198="V01",cad!$C$24,IF($D198="V02",cad!$D$24,cad!$E$24)))</f>
      </c>
      <c r="I198">
        <f>IF($A198="","",IF($D198="V01",cad!$C$32,IF($D198="V02",cad!$D$32,cad!$E$32)))</f>
      </c>
      <c r="J198">
        <f>IF($A198="","",IF($D198="V01",cad!$C$33,IF($D198="V02",cad!$D$33,cad!$E$33)))</f>
      </c>
      <c r="K198">
        <f>IF($A198="","",IF($D198="V01",cad!$C$34,IF($D198="V02",cad!$D$34,cad!$E$34)))</f>
      </c>
      <c r="L198">
        <f>IF($A198="","",IF($D198="V01",cad!$C$35,IF($D198="V02",cad!$D$35,cad!$E$35)))</f>
      </c>
      <c r="M198">
        <f>IF($A198="","",IF($D198="V01",cad!$C$36,IF($D198="V02",cad!$D$36,cad!$E$36)))</f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>
        <f>IF($A199="","",IF($D199="V01",cad!$C$23,IF($D199="V02",cad!$D$23,cad!$E$23)))</f>
      </c>
      <c r="H199">
        <f>IF($A199="","",IF($D199="V01",cad!$C$24,IF($D199="V02",cad!$D$24,cad!$E$24)))</f>
      </c>
      <c r="I199">
        <f>IF($A199="","",IF($D199="V01",cad!$C$32,IF($D199="V02",cad!$D$32,cad!$E$32)))</f>
      </c>
      <c r="J199">
        <f>IF($A199="","",IF($D199="V01",cad!$C$33,IF($D199="V02",cad!$D$33,cad!$E$33)))</f>
      </c>
      <c r="K199">
        <f>IF($A199="","",IF($D199="V01",cad!$C$34,IF($D199="V02",cad!$D$34,cad!$E$34)))</f>
      </c>
      <c r="L199">
        <f>IF($A199="","",IF($D199="V01",cad!$C$35,IF($D199="V02",cad!$D$35,cad!$E$35)))</f>
      </c>
      <c r="M199">
        <f>IF($A199="","",IF($D199="V01",cad!$C$36,IF($D199="V02",cad!$D$36,cad!$E$36)))</f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>
        <f>IF($A200="","",IF($D200="V01",cad!$C$23,IF($D200="V02",cad!$D$23,cad!$E$23)))</f>
      </c>
      <c r="H200">
        <f>IF($A200="","",IF($D200="V01",cad!$C$24,IF($D200="V02",cad!$D$24,cad!$E$24)))</f>
      </c>
      <c r="I200">
        <f>IF($A200="","",IF($D200="V01",cad!$C$32,IF($D200="V02",cad!$D$32,cad!$E$32)))</f>
      </c>
      <c r="J200">
        <f>IF($A200="","",IF($D200="V01",cad!$C$33,IF($D200="V02",cad!$D$33,cad!$E$33)))</f>
      </c>
      <c r="K200">
        <f>IF($A200="","",IF($D200="V01",cad!$C$34,IF($D200="V02",cad!$D$34,cad!$E$34)))</f>
      </c>
      <c r="L200">
        <f>IF($A200="","",IF($D200="V01",cad!$C$35,IF($D200="V02",cad!$D$35,cad!$E$35)))</f>
      </c>
      <c r="M200">
        <f>IF($A200="","",IF($D200="V01",cad!$C$36,IF($D200="V02",cad!$D$36,cad!$E$36)))</f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>
        <f>IF($A201="","",IF($D201="V01",cad!$C$23,IF($D201="V02",cad!$D$23,cad!$E$23)))</f>
      </c>
      <c r="H201">
        <f>IF($A201="","",IF($D201="V01",cad!$C$24,IF($D201="V02",cad!$D$24,cad!$E$24)))</f>
      </c>
      <c r="I201">
        <f>IF($A201="","",IF($D201="V01",cad!$C$32,IF($D201="V02",cad!$D$32,cad!$E$32)))</f>
      </c>
      <c r="J201">
        <f>IF($A201="","",IF($D201="V01",cad!$C$33,IF($D201="V02",cad!$D$33,cad!$E$33)))</f>
      </c>
      <c r="K201">
        <f>IF($A201="","",IF($D201="V01",cad!$C$34,IF($D201="V02",cad!$D$34,cad!$E$34)))</f>
      </c>
      <c r="L201">
        <f>IF($A201="","",IF($D201="V01",cad!$C$35,IF($D201="V02",cad!$D$35,cad!$E$35)))</f>
      </c>
      <c r="M201">
        <f>IF($A201="","",IF($D201="V01",cad!$C$36,IF($D201="V02",cad!$D$36,cad!$E$36)))</f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>
        <f>IF($A202="","",IF($D202="V01",cad!$C$23,IF($D202="V02",cad!$D$23,cad!$E$23)))</f>
      </c>
      <c r="H202">
        <f>IF($A202="","",IF($D202="V01",cad!$C$24,IF($D202="V02",cad!$D$24,cad!$E$24)))</f>
      </c>
      <c r="I202">
        <f>IF($A202="","",IF($D202="V01",cad!$C$32,IF($D202="V02",cad!$D$32,cad!$E$32)))</f>
      </c>
      <c r="J202">
        <f>IF($A202="","",IF($D202="V01",cad!$C$33,IF($D202="V02",cad!$D$33,cad!$E$33)))</f>
      </c>
      <c r="K202">
        <f>IF($A202="","",IF($D202="V01",cad!$C$34,IF($D202="V02",cad!$D$34,cad!$E$34)))</f>
      </c>
      <c r="L202">
        <f>IF($A202="","",IF($D202="V01",cad!$C$35,IF($D202="V02",cad!$D$35,cad!$E$35)))</f>
      </c>
      <c r="M202">
        <f>IF($A202="","",IF($D202="V01",cad!$C$36,IF($D202="V02",cad!$D$36,cad!$E$36)))</f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>
        <f>IF($A203="","",IF($D203="V01",cad!$C$23,IF($D203="V02",cad!$D$23,cad!$E$23)))</f>
      </c>
      <c r="H203">
        <f>IF($A203="","",IF($D203="V01",cad!$C$24,IF($D203="V02",cad!$D$24,cad!$E$24)))</f>
      </c>
      <c r="I203">
        <f>IF($A203="","",IF($D203="V01",cad!$C$32,IF($D203="V02",cad!$D$32,cad!$E$32)))</f>
      </c>
      <c r="J203">
        <f>IF($A203="","",IF($D203="V01",cad!$C$33,IF($D203="V02",cad!$D$33,cad!$E$33)))</f>
      </c>
      <c r="K203">
        <f>IF($A203="","",IF($D203="V01",cad!$C$34,IF($D203="V02",cad!$D$34,cad!$E$34)))</f>
      </c>
      <c r="L203">
        <f>IF($A203="","",IF($D203="V01",cad!$C$35,IF($D203="V02",cad!$D$35,cad!$E$35)))</f>
      </c>
      <c r="M203">
        <f>IF($A203="","",IF($D203="V01",cad!$C$36,IF($D203="V02",cad!$D$36,cad!$E$36)))</f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>
        <f>IF($A204="","",IF($D204="V01",cad!$C$23,IF($D204="V02",cad!$D$23,cad!$E$23)))</f>
      </c>
      <c r="H204">
        <f>IF($A204="","",IF($D204="V01",cad!$C$24,IF($D204="V02",cad!$D$24,cad!$E$24)))</f>
      </c>
      <c r="I204">
        <f>IF($A204="","",IF($D204="V01",cad!$C$32,IF($D204="V02",cad!$D$32,cad!$E$32)))</f>
      </c>
      <c r="J204">
        <f>IF($A204="","",IF($D204="V01",cad!$C$33,IF($D204="V02",cad!$D$33,cad!$E$33)))</f>
      </c>
      <c r="K204">
        <f>IF($A204="","",IF($D204="V01",cad!$C$34,IF($D204="V02",cad!$D$34,cad!$E$34)))</f>
      </c>
      <c r="L204">
        <f>IF($A204="","",IF($D204="V01",cad!$C$35,IF($D204="V02",cad!$D$35,cad!$E$35)))</f>
      </c>
      <c r="M204">
        <f>IF($A204="","",IF($D204="V01",cad!$C$36,IF($D204="V02",cad!$D$36,cad!$E$36)))</f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>
        <f>IF($A205="","",IF($D205="V01",cad!$C$23,IF($D205="V02",cad!$D$23,cad!$E$23)))</f>
      </c>
      <c r="H205">
        <f>IF($A205="","",IF($D205="V01",cad!$C$24,IF($D205="V02",cad!$D$24,cad!$E$24)))</f>
      </c>
      <c r="I205">
        <f>IF($A205="","",IF($D205="V01",cad!$C$32,IF($D205="V02",cad!$D$32,cad!$E$32)))</f>
      </c>
      <c r="J205">
        <f>IF($A205="","",IF($D205="V01",cad!$C$33,IF($D205="V02",cad!$D$33,cad!$E$33)))</f>
      </c>
      <c r="K205">
        <f>IF($A205="","",IF($D205="V01",cad!$C$34,IF($D205="V02",cad!$D$34,cad!$E$34)))</f>
      </c>
      <c r="L205">
        <f>IF($A205="","",IF($D205="V01",cad!$C$35,IF($D205="V02",cad!$D$35,cad!$E$35)))</f>
      </c>
      <c r="M205">
        <f>IF($A205="","",IF($D205="V01",cad!$C$36,IF($D205="V02",cad!$D$36,cad!$E$36)))</f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>
        <f>IF($A206="","",IF($D206="V01",cad!$C$23,IF($D206="V02",cad!$D$23,cad!$E$23)))</f>
      </c>
      <c r="H206">
        <f>IF($A206="","",IF($D206="V01",cad!$C$24,IF($D206="V02",cad!$D$24,cad!$E$24)))</f>
      </c>
      <c r="I206">
        <f>IF($A206="","",IF($D206="V01",cad!$C$32,IF($D206="V02",cad!$D$32,cad!$E$32)))</f>
      </c>
      <c r="J206">
        <f>IF($A206="","",IF($D206="V01",cad!$C$33,IF($D206="V02",cad!$D$33,cad!$E$33)))</f>
      </c>
      <c r="K206">
        <f>IF($A206="","",IF($D206="V01",cad!$C$34,IF($D206="V02",cad!$D$34,cad!$E$34)))</f>
      </c>
      <c r="L206">
        <f>IF($A206="","",IF($D206="V01",cad!$C$35,IF($D206="V02",cad!$D$35,cad!$E$35)))</f>
      </c>
      <c r="M206">
        <f>IF($A206="","",IF($D206="V01",cad!$C$36,IF($D206="V02",cad!$D$36,cad!$E$36)))</f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>
        <f>IF($A207="","",IF($D207="V01",cad!$C$23,IF($D207="V02",cad!$D$23,cad!$E$23)))</f>
      </c>
      <c r="H207">
        <f>IF($A207="","",IF($D207="V01",cad!$C$24,IF($D207="V02",cad!$D$24,cad!$E$24)))</f>
      </c>
      <c r="I207">
        <f>IF($A207="","",IF($D207="V01",cad!$C$32,IF($D207="V02",cad!$D$32,cad!$E$32)))</f>
      </c>
      <c r="J207">
        <f>IF($A207="","",IF($D207="V01",cad!$C$33,IF($D207="V02",cad!$D$33,cad!$E$33)))</f>
      </c>
      <c r="K207">
        <f>IF($A207="","",IF($D207="V01",cad!$C$34,IF($D207="V02",cad!$D$34,cad!$E$34)))</f>
      </c>
      <c r="L207">
        <f>IF($A207="","",IF($D207="V01",cad!$C$35,IF($D207="V02",cad!$D$35,cad!$E$35)))</f>
      </c>
      <c r="M207">
        <f>IF($A207="","",IF($D207="V01",cad!$C$36,IF($D207="V02",cad!$D$36,cad!$E$36)))</f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>
        <f>IF($A208="","",IF($D208="V01",cad!$C$23,IF($D208="V02",cad!$D$23,cad!$E$23)))</f>
      </c>
      <c r="H208">
        <f>IF($A208="","",IF($D208="V01",cad!$C$24,IF($D208="V02",cad!$D$24,cad!$E$24)))</f>
      </c>
      <c r="I208">
        <f>IF($A208="","",IF($D208="V01",cad!$C$32,IF($D208="V02",cad!$D$32,cad!$E$32)))</f>
      </c>
      <c r="J208">
        <f>IF($A208="","",IF($D208="V01",cad!$C$33,IF($D208="V02",cad!$D$33,cad!$E$33)))</f>
      </c>
      <c r="K208">
        <f>IF($A208="","",IF($D208="V01",cad!$C$34,IF($D208="V02",cad!$D$34,cad!$E$34)))</f>
      </c>
      <c r="L208">
        <f>IF($A208="","",IF($D208="V01",cad!$C$35,IF($D208="V02",cad!$D$35,cad!$E$35)))</f>
      </c>
      <c r="M208">
        <f>IF($A208="","",IF($D208="V01",cad!$C$36,IF($D208="V02",cad!$D$36,cad!$E$36)))</f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>
        <f>IF($A209="","",IF($D209="V01",cad!$C$23,IF($D209="V02",cad!$D$23,cad!$E$23)))</f>
      </c>
      <c r="H209">
        <f>IF($A209="","",IF($D209="V01",cad!$C$24,IF($D209="V02",cad!$D$24,cad!$E$24)))</f>
      </c>
      <c r="I209">
        <f>IF($A209="","",IF($D209="V01",cad!$C$32,IF($D209="V02",cad!$D$32,cad!$E$32)))</f>
      </c>
      <c r="J209">
        <f>IF($A209="","",IF($D209="V01",cad!$C$33,IF($D209="V02",cad!$D$33,cad!$E$33)))</f>
      </c>
      <c r="K209">
        <f>IF($A209="","",IF($D209="V01",cad!$C$34,IF($D209="V02",cad!$D$34,cad!$E$34)))</f>
      </c>
      <c r="L209">
        <f>IF($A209="","",IF($D209="V01",cad!$C$35,IF($D209="V02",cad!$D$35,cad!$E$35)))</f>
      </c>
      <c r="M209">
        <f>IF($A209="","",IF($D209="V01",cad!$C$36,IF($D209="V02",cad!$D$36,cad!$E$36)))</f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>
        <f>IF($A210="","",IF($D210="V01",cad!$C$23,IF($D210="V02",cad!$D$23,cad!$E$23)))</f>
      </c>
      <c r="H210">
        <f>IF($A210="","",IF($D210="V01",cad!$C$24,IF($D210="V02",cad!$D$24,cad!$E$24)))</f>
      </c>
      <c r="I210">
        <f>IF($A210="","",IF($D210="V01",cad!$C$32,IF($D210="V02",cad!$D$32,cad!$E$32)))</f>
      </c>
      <c r="J210">
        <f>IF($A210="","",IF($D210="V01",cad!$C$33,IF($D210="V02",cad!$D$33,cad!$E$33)))</f>
      </c>
      <c r="K210">
        <f>IF($A210="","",IF($D210="V01",cad!$C$34,IF($D210="V02",cad!$D$34,cad!$E$34)))</f>
      </c>
      <c r="L210">
        <f>IF($A210="","",IF($D210="V01",cad!$C$35,IF($D210="V02",cad!$D$35,cad!$E$35)))</f>
      </c>
      <c r="M210">
        <f>IF($A210="","",IF($D210="V01",cad!$C$36,IF($D210="V02",cad!$D$36,cad!$E$36)))</f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>
        <f>IF($A211="","",IF($D211="V01",cad!$C$23,IF($D211="V02",cad!$D$23,cad!$E$23)))</f>
      </c>
      <c r="H211">
        <f>IF($A211="","",IF($D211="V01",cad!$C$24,IF($D211="V02",cad!$D$24,cad!$E$24)))</f>
      </c>
      <c r="I211">
        <f>IF($A211="","",IF($D211="V01",cad!$C$32,IF($D211="V02",cad!$D$32,cad!$E$32)))</f>
      </c>
      <c r="J211">
        <f>IF($A211="","",IF($D211="V01",cad!$C$33,IF($D211="V02",cad!$D$33,cad!$E$33)))</f>
      </c>
      <c r="K211">
        <f>IF($A211="","",IF($D211="V01",cad!$C$34,IF($D211="V02",cad!$D$34,cad!$E$34)))</f>
      </c>
      <c r="L211">
        <f>IF($A211="","",IF($D211="V01",cad!$C$35,IF($D211="V02",cad!$D$35,cad!$E$35)))</f>
      </c>
      <c r="M211">
        <f>IF($A211="","",IF($D211="V01",cad!$C$36,IF($D211="V02",cad!$D$36,cad!$E$36)))</f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>
        <f>IF($A212="","",IF($D212="V01",cad!$C$23,IF($D212="V02",cad!$D$23,cad!$E$23)))</f>
      </c>
      <c r="H212">
        <f>IF($A212="","",IF($D212="V01",cad!$C$24,IF($D212="V02",cad!$D$24,cad!$E$24)))</f>
      </c>
      <c r="I212">
        <f>IF($A212="","",IF($D212="V01",cad!$C$32,IF($D212="V02",cad!$D$32,cad!$E$32)))</f>
      </c>
      <c r="J212">
        <f>IF($A212="","",IF($D212="V01",cad!$C$33,IF($D212="V02",cad!$D$33,cad!$E$33)))</f>
      </c>
      <c r="K212">
        <f>IF($A212="","",IF($D212="V01",cad!$C$34,IF($D212="V02",cad!$D$34,cad!$E$34)))</f>
      </c>
      <c r="L212">
        <f>IF($A212="","",IF($D212="V01",cad!$C$35,IF($D212="V02",cad!$D$35,cad!$E$35)))</f>
      </c>
      <c r="M212">
        <f>IF($A212="","",IF($D212="V01",cad!$C$36,IF($D212="V02",cad!$D$36,cad!$E$36)))</f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>
        <f>IF($A213="","",IF($D213="V01",cad!$C$23,IF($D213="V02",cad!$D$23,cad!$E$23)))</f>
      </c>
      <c r="H213">
        <f>IF($A213="","",IF($D213="V01",cad!$C$24,IF($D213="V02",cad!$D$24,cad!$E$24)))</f>
      </c>
      <c r="I213">
        <f>IF($A213="","",IF($D213="V01",cad!$C$32,IF($D213="V02",cad!$D$32,cad!$E$32)))</f>
      </c>
      <c r="J213">
        <f>IF($A213="","",IF($D213="V01",cad!$C$33,IF($D213="V02",cad!$D$33,cad!$E$33)))</f>
      </c>
      <c r="K213">
        <f>IF($A213="","",IF($D213="V01",cad!$C$34,IF($D213="V02",cad!$D$34,cad!$E$34)))</f>
      </c>
      <c r="L213">
        <f>IF($A213="","",IF($D213="V01",cad!$C$35,IF($D213="V02",cad!$D$35,cad!$E$35)))</f>
      </c>
      <c r="M213">
        <f>IF($A213="","",IF($D213="V01",cad!$C$36,IF($D213="V02",cad!$D$36,cad!$E$36)))</f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>
        <f>IF($A214="","",IF($D214="V01",cad!$C$23,IF($D214="V02",cad!$D$23,cad!$E$23)))</f>
      </c>
      <c r="H214">
        <f>IF($A214="","",IF($D214="V01",cad!$C$24,IF($D214="V02",cad!$D$24,cad!$E$24)))</f>
      </c>
      <c r="I214">
        <f>IF($A214="","",IF($D214="V01",cad!$C$32,IF($D214="V02",cad!$D$32,cad!$E$32)))</f>
      </c>
      <c r="J214">
        <f>IF($A214="","",IF($D214="V01",cad!$C$33,IF($D214="V02",cad!$D$33,cad!$E$33)))</f>
      </c>
      <c r="K214">
        <f>IF($A214="","",IF($D214="V01",cad!$C$34,IF($D214="V02",cad!$D$34,cad!$E$34)))</f>
      </c>
      <c r="L214">
        <f>IF($A214="","",IF($D214="V01",cad!$C$35,IF($D214="V02",cad!$D$35,cad!$E$35)))</f>
      </c>
      <c r="M214">
        <f>IF($A214="","",IF($D214="V01",cad!$C$36,IF($D214="V02",cad!$D$36,cad!$E$36)))</f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>
        <f>IF($A215="","",IF($D215="V01",cad!$C$23,IF($D215="V02",cad!$D$23,cad!$E$23)))</f>
      </c>
      <c r="H215">
        <f>IF($A215="","",IF($D215="V01",cad!$C$24,IF($D215="V02",cad!$D$24,cad!$E$24)))</f>
      </c>
      <c r="I215">
        <f>IF($A215="","",IF($D215="V01",cad!$C$32,IF($D215="V02",cad!$D$32,cad!$E$32)))</f>
      </c>
      <c r="J215">
        <f>IF($A215="","",IF($D215="V01",cad!$C$33,IF($D215="V02",cad!$D$33,cad!$E$33)))</f>
      </c>
      <c r="K215">
        <f>IF($A215="","",IF($D215="V01",cad!$C$34,IF($D215="V02",cad!$D$34,cad!$E$34)))</f>
      </c>
      <c r="L215">
        <f>IF($A215="","",IF($D215="V01",cad!$C$35,IF($D215="V02",cad!$D$35,cad!$E$35)))</f>
      </c>
      <c r="M215">
        <f>IF($A215="","",IF($D215="V01",cad!$C$36,IF($D215="V02",cad!$D$36,cad!$E$36)))</f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>
        <f>IF($A216="","",IF($D216="V01",cad!$C$23,IF($D216="V02",cad!$D$23,cad!$E$23)))</f>
      </c>
      <c r="H216">
        <f>IF($A216="","",IF($D216="V01",cad!$C$24,IF($D216="V02",cad!$D$24,cad!$E$24)))</f>
      </c>
      <c r="I216">
        <f>IF($A216="","",IF($D216="V01",cad!$C$32,IF($D216="V02",cad!$D$32,cad!$E$32)))</f>
      </c>
      <c r="J216">
        <f>IF($A216="","",IF($D216="V01",cad!$C$33,IF($D216="V02",cad!$D$33,cad!$E$33)))</f>
      </c>
      <c r="K216">
        <f>IF($A216="","",IF($D216="V01",cad!$C$34,IF($D216="V02",cad!$D$34,cad!$E$34)))</f>
      </c>
      <c r="L216">
        <f>IF($A216="","",IF($D216="V01",cad!$C$35,IF($D216="V02",cad!$D$35,cad!$E$35)))</f>
      </c>
      <c r="M216">
        <f>IF($A216="","",IF($D216="V01",cad!$C$36,IF($D216="V02",cad!$D$36,cad!$E$36)))</f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>
        <f>IF($A217="","",IF($D217="V01",cad!$C$23,IF($D217="V02",cad!$D$23,cad!$E$23)))</f>
      </c>
      <c r="H217">
        <f>IF($A217="","",IF($D217="V01",cad!$C$24,IF($D217="V02",cad!$D$24,cad!$E$24)))</f>
      </c>
      <c r="I217">
        <f>IF($A217="","",IF($D217="V01",cad!$C$32,IF($D217="V02",cad!$D$32,cad!$E$32)))</f>
      </c>
      <c r="J217">
        <f>IF($A217="","",IF($D217="V01",cad!$C$33,IF($D217="V02",cad!$D$33,cad!$E$33)))</f>
      </c>
      <c r="K217">
        <f>IF($A217="","",IF($D217="V01",cad!$C$34,IF($D217="V02",cad!$D$34,cad!$E$34)))</f>
      </c>
      <c r="L217">
        <f>IF($A217="","",IF($D217="V01",cad!$C$35,IF($D217="V02",cad!$D$35,cad!$E$35)))</f>
      </c>
      <c r="M217">
        <f>IF($A217="","",IF($D217="V01",cad!$C$36,IF($D217="V02",cad!$D$36,cad!$E$36)))</f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>
        <f>IF($A218="","",IF($D218="V01",cad!$C$23,IF($D218="V02",cad!$D$23,cad!$E$23)))</f>
      </c>
      <c r="H218">
        <f>IF($A218="","",IF($D218="V01",cad!$C$24,IF($D218="V02",cad!$D$24,cad!$E$24)))</f>
      </c>
      <c r="I218">
        <f>IF($A218="","",IF($D218="V01",cad!$C$32,IF($D218="V02",cad!$D$32,cad!$E$32)))</f>
      </c>
      <c r="J218">
        <f>IF($A218="","",IF($D218="V01",cad!$C$33,IF($D218="V02",cad!$D$33,cad!$E$33)))</f>
      </c>
      <c r="K218">
        <f>IF($A218="","",IF($D218="V01",cad!$C$34,IF($D218="V02",cad!$D$34,cad!$E$34)))</f>
      </c>
      <c r="L218">
        <f>IF($A218="","",IF($D218="V01",cad!$C$35,IF($D218="V02",cad!$D$35,cad!$E$35)))</f>
      </c>
      <c r="M218">
        <f>IF($A218="","",IF($D218="V01",cad!$C$36,IF($D218="V02",cad!$D$36,cad!$E$36)))</f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>
        <f>IF($A219="","",IF($D219="V01",cad!$C$23,IF($D219="V02",cad!$D$23,cad!$E$23)))</f>
      </c>
      <c r="H219">
        <f>IF($A219="","",IF($D219="V01",cad!$C$24,IF($D219="V02",cad!$D$24,cad!$E$24)))</f>
      </c>
      <c r="I219">
        <f>IF($A219="","",IF($D219="V01",cad!$C$32,IF($D219="V02",cad!$D$32,cad!$E$32)))</f>
      </c>
      <c r="J219">
        <f>IF($A219="","",IF($D219="V01",cad!$C$33,IF($D219="V02",cad!$D$33,cad!$E$33)))</f>
      </c>
      <c r="K219">
        <f>IF($A219="","",IF($D219="V01",cad!$C$34,IF($D219="V02",cad!$D$34,cad!$E$34)))</f>
      </c>
      <c r="L219">
        <f>IF($A219="","",IF($D219="V01",cad!$C$35,IF($D219="V02",cad!$D$35,cad!$E$35)))</f>
      </c>
      <c r="M219">
        <f>IF($A219="","",IF($D219="V01",cad!$C$36,IF($D219="V02",cad!$D$36,cad!$E$36)))</f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>
        <f>IF($A220="","",IF($D220="V01",cad!$C$23,IF($D220="V02",cad!$D$23,cad!$E$23)))</f>
      </c>
      <c r="H220">
        <f>IF($A220="","",IF($D220="V01",cad!$C$24,IF($D220="V02",cad!$D$24,cad!$E$24)))</f>
      </c>
      <c r="I220">
        <f>IF($A220="","",IF($D220="V01",cad!$C$32,IF($D220="V02",cad!$D$32,cad!$E$32)))</f>
      </c>
      <c r="J220">
        <f>IF($A220="","",IF($D220="V01",cad!$C$33,IF($D220="V02",cad!$D$33,cad!$E$33)))</f>
      </c>
      <c r="K220">
        <f>IF($A220="","",IF($D220="V01",cad!$C$34,IF($D220="V02",cad!$D$34,cad!$E$34)))</f>
      </c>
      <c r="L220">
        <f>IF($A220="","",IF($D220="V01",cad!$C$35,IF($D220="V02",cad!$D$35,cad!$E$35)))</f>
      </c>
      <c r="M220">
        <f>IF($A220="","",IF($D220="V01",cad!$C$36,IF($D220="V02",cad!$D$36,cad!$E$36)))</f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>
        <f>IF($A221="","",IF($D221="V01",cad!$C$23,IF($D221="V02",cad!$D$23,cad!$E$23)))</f>
      </c>
      <c r="H221">
        <f>IF($A221="","",IF($D221="V01",cad!$C$24,IF($D221="V02",cad!$D$24,cad!$E$24)))</f>
      </c>
      <c r="I221">
        <f>IF($A221="","",IF($D221="V01",cad!$C$32,IF($D221="V02",cad!$D$32,cad!$E$32)))</f>
      </c>
      <c r="J221">
        <f>IF($A221="","",IF($D221="V01",cad!$C$33,IF($D221="V02",cad!$D$33,cad!$E$33)))</f>
      </c>
      <c r="K221">
        <f>IF($A221="","",IF($D221="V01",cad!$C$34,IF($D221="V02",cad!$D$34,cad!$E$34)))</f>
      </c>
      <c r="L221">
        <f>IF($A221="","",IF($D221="V01",cad!$C$35,IF($D221="V02",cad!$D$35,cad!$E$35)))</f>
      </c>
      <c r="M221">
        <f>IF($A221="","",IF($D221="V01",cad!$C$36,IF($D221="V02",cad!$D$36,cad!$E$36)))</f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>
        <f>IF($A222="","",IF($D222="V01",cad!$C$23,IF($D222="V02",cad!$D$23,cad!$E$23)))</f>
      </c>
      <c r="H222">
        <f>IF($A222="","",IF($D222="V01",cad!$C$24,IF($D222="V02",cad!$D$24,cad!$E$24)))</f>
      </c>
      <c r="I222">
        <f>IF($A222="","",IF($D222="V01",cad!$C$32,IF($D222="V02",cad!$D$32,cad!$E$32)))</f>
      </c>
      <c r="J222">
        <f>IF($A222="","",IF($D222="V01",cad!$C$33,IF($D222="V02",cad!$D$33,cad!$E$33)))</f>
      </c>
      <c r="K222">
        <f>IF($A222="","",IF($D222="V01",cad!$C$34,IF($D222="V02",cad!$D$34,cad!$E$34)))</f>
      </c>
      <c r="L222">
        <f>IF($A222="","",IF($D222="V01",cad!$C$35,IF($D222="V02",cad!$D$35,cad!$E$35)))</f>
      </c>
      <c r="M222">
        <f>IF($A222="","",IF($D222="V01",cad!$C$36,IF($D222="V02",cad!$D$36,cad!$E$36)))</f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>
        <f>IF($A223="","",IF($D223="V01",cad!$C$23,IF($D223="V02",cad!$D$23,cad!$E$23)))</f>
      </c>
      <c r="H223">
        <f>IF($A223="","",IF($D223="V01",cad!$C$24,IF($D223="V02",cad!$D$24,cad!$E$24)))</f>
      </c>
      <c r="I223">
        <f>IF($A223="","",IF($D223="V01",cad!$C$32,IF($D223="V02",cad!$D$32,cad!$E$32)))</f>
      </c>
      <c r="J223">
        <f>IF($A223="","",IF($D223="V01",cad!$C$33,IF($D223="V02",cad!$D$33,cad!$E$33)))</f>
      </c>
      <c r="K223">
        <f>IF($A223="","",IF($D223="V01",cad!$C$34,IF($D223="V02",cad!$D$34,cad!$E$34)))</f>
      </c>
      <c r="L223">
        <f>IF($A223="","",IF($D223="V01",cad!$C$35,IF($D223="V02",cad!$D$35,cad!$E$35)))</f>
      </c>
      <c r="M223">
        <f>IF($A223="","",IF($D223="V01",cad!$C$36,IF($D223="V02",cad!$D$36,cad!$E$36)))</f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>
        <f>IF($A224="","",IF($D224="V01",cad!$C$23,IF($D224="V02",cad!$D$23,cad!$E$23)))</f>
      </c>
      <c r="H224">
        <f>IF($A224="","",IF($D224="V01",cad!$C$24,IF($D224="V02",cad!$D$24,cad!$E$24)))</f>
      </c>
      <c r="I224">
        <f>IF($A224="","",IF($D224="V01",cad!$C$32,IF($D224="V02",cad!$D$32,cad!$E$32)))</f>
      </c>
      <c r="J224">
        <f>IF($A224="","",IF($D224="V01",cad!$C$33,IF($D224="V02",cad!$D$33,cad!$E$33)))</f>
      </c>
      <c r="K224">
        <f>IF($A224="","",IF($D224="V01",cad!$C$34,IF($D224="V02",cad!$D$34,cad!$E$34)))</f>
      </c>
      <c r="L224">
        <f>IF($A224="","",IF($D224="V01",cad!$C$35,IF($D224="V02",cad!$D$35,cad!$E$35)))</f>
      </c>
      <c r="M224">
        <f>IF($A224="","",IF($D224="V01",cad!$C$36,IF($D224="V02",cad!$D$36,cad!$E$36)))</f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>
        <f>IF($A225="","",IF($D225="V01",cad!$C$23,IF($D225="V02",cad!$D$23,cad!$E$23)))</f>
      </c>
      <c r="H225">
        <f>IF($A225="","",IF($D225="V01",cad!$C$24,IF($D225="V02",cad!$D$24,cad!$E$24)))</f>
      </c>
      <c r="I225">
        <f>IF($A225="","",IF($D225="V01",cad!$C$32,IF($D225="V02",cad!$D$32,cad!$E$32)))</f>
      </c>
      <c r="J225">
        <f>IF($A225="","",IF($D225="V01",cad!$C$33,IF($D225="V02",cad!$D$33,cad!$E$33)))</f>
      </c>
      <c r="K225">
        <f>IF($A225="","",IF($D225="V01",cad!$C$34,IF($D225="V02",cad!$D$34,cad!$E$34)))</f>
      </c>
      <c r="L225">
        <f>IF($A225="","",IF($D225="V01",cad!$C$35,IF($D225="V02",cad!$D$35,cad!$E$35)))</f>
      </c>
      <c r="M225">
        <f>IF($A225="","",IF($D225="V01",cad!$C$36,IF($D225="V02",cad!$D$36,cad!$E$36)))</f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>
        <f>IF($A226="","",IF($D226="V01",cad!$C$23,IF($D226="V02",cad!$D$23,cad!$E$23)))</f>
      </c>
      <c r="H226">
        <f>IF($A226="","",IF($D226="V01",cad!$C$24,IF($D226="V02",cad!$D$24,cad!$E$24)))</f>
      </c>
      <c r="I226">
        <f>IF($A226="","",IF($D226="V01",cad!$C$32,IF($D226="V02",cad!$D$32,cad!$E$32)))</f>
      </c>
      <c r="J226">
        <f>IF($A226="","",IF($D226="V01",cad!$C$33,IF($D226="V02",cad!$D$33,cad!$E$33)))</f>
      </c>
      <c r="K226">
        <f>IF($A226="","",IF($D226="V01",cad!$C$34,IF($D226="V02",cad!$D$34,cad!$E$34)))</f>
      </c>
      <c r="L226">
        <f>IF($A226="","",IF($D226="V01",cad!$C$35,IF($D226="V02",cad!$D$35,cad!$E$35)))</f>
      </c>
      <c r="M226">
        <f>IF($A226="","",IF($D226="V01",cad!$C$36,IF($D226="V02",cad!$D$36,cad!$E$36)))</f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>
        <f>IF($A227="","",IF($D227="V01",cad!$C$23,IF($D227="V02",cad!$D$23,cad!$E$23)))</f>
      </c>
      <c r="H227">
        <f>IF($A227="","",IF($D227="V01",cad!$C$24,IF($D227="V02",cad!$D$24,cad!$E$24)))</f>
      </c>
      <c r="I227">
        <f>IF($A227="","",IF($D227="V01",cad!$C$32,IF($D227="V02",cad!$D$32,cad!$E$32)))</f>
      </c>
      <c r="J227">
        <f>IF($A227="","",IF($D227="V01",cad!$C$33,IF($D227="V02",cad!$D$33,cad!$E$33)))</f>
      </c>
      <c r="K227">
        <f>IF($A227="","",IF($D227="V01",cad!$C$34,IF($D227="V02",cad!$D$34,cad!$E$34)))</f>
      </c>
      <c r="L227">
        <f>IF($A227="","",IF($D227="V01",cad!$C$35,IF($D227="V02",cad!$D$35,cad!$E$35)))</f>
      </c>
      <c r="M227">
        <f>IF($A227="","",IF($D227="V01",cad!$C$36,IF($D227="V02",cad!$D$36,cad!$E$36)))</f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>
        <f>IF($A228="","",IF($D228="V01",cad!$C$23,IF($D228="V02",cad!$D$23,cad!$E$23)))</f>
      </c>
      <c r="H228">
        <f>IF($A228="","",IF($D228="V01",cad!$C$24,IF($D228="V02",cad!$D$24,cad!$E$24)))</f>
      </c>
      <c r="I228">
        <f>IF($A228="","",IF($D228="V01",cad!$C$32,IF($D228="V02",cad!$D$32,cad!$E$32)))</f>
      </c>
      <c r="J228">
        <f>IF($A228="","",IF($D228="V01",cad!$C$33,IF($D228="V02",cad!$D$33,cad!$E$33)))</f>
      </c>
      <c r="K228">
        <f>IF($A228="","",IF($D228="V01",cad!$C$34,IF($D228="V02",cad!$D$34,cad!$E$34)))</f>
      </c>
      <c r="L228">
        <f>IF($A228="","",IF($D228="V01",cad!$C$35,IF($D228="V02",cad!$D$35,cad!$E$35)))</f>
      </c>
      <c r="M228">
        <f>IF($A228="","",IF($D228="V01",cad!$C$36,IF($D228="V02",cad!$D$36,cad!$E$36)))</f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>
        <f>IF($A229="","",IF($D229="V01",cad!$C$23,IF($D229="V02",cad!$D$23,cad!$E$23)))</f>
      </c>
      <c r="H229">
        <f>IF($A229="","",IF($D229="V01",cad!$C$24,IF($D229="V02",cad!$D$24,cad!$E$24)))</f>
      </c>
      <c r="I229">
        <f>IF($A229="","",IF($D229="V01",cad!$C$32,IF($D229="V02",cad!$D$32,cad!$E$32)))</f>
      </c>
      <c r="J229">
        <f>IF($A229="","",IF($D229="V01",cad!$C$33,IF($D229="V02",cad!$D$33,cad!$E$33)))</f>
      </c>
      <c r="K229">
        <f>IF($A229="","",IF($D229="V01",cad!$C$34,IF($D229="V02",cad!$D$34,cad!$E$34)))</f>
      </c>
      <c r="L229">
        <f>IF($A229="","",IF($D229="V01",cad!$C$35,IF($D229="V02",cad!$D$35,cad!$E$35)))</f>
      </c>
      <c r="M229">
        <f>IF($A229="","",IF($D229="V01",cad!$C$36,IF($D229="V02",cad!$D$36,cad!$E$36)))</f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>
        <f>IF($A230="","",IF($D230="V01",cad!$C$23,IF($D230="V02",cad!$D$23,cad!$E$23)))</f>
      </c>
      <c r="H230">
        <f>IF($A230="","",IF($D230="V01",cad!$C$24,IF($D230="V02",cad!$D$24,cad!$E$24)))</f>
      </c>
      <c r="I230">
        <f>IF($A230="","",IF($D230="V01",cad!$C$32,IF($D230="V02",cad!$D$32,cad!$E$32)))</f>
      </c>
      <c r="J230">
        <f>IF($A230="","",IF($D230="V01",cad!$C$33,IF($D230="V02",cad!$D$33,cad!$E$33)))</f>
      </c>
      <c r="K230">
        <f>IF($A230="","",IF($D230="V01",cad!$C$34,IF($D230="V02",cad!$D$34,cad!$E$34)))</f>
      </c>
      <c r="L230">
        <f>IF($A230="","",IF($D230="V01",cad!$C$35,IF($D230="V02",cad!$D$35,cad!$E$35)))</f>
      </c>
      <c r="M230">
        <f>IF($A230="","",IF($D230="V01",cad!$C$36,IF($D230="V02",cad!$D$36,cad!$E$36)))</f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>
        <f>IF($A231="","",IF($D231="V01",cad!$C$23,IF($D231="V02",cad!$D$23,cad!$E$23)))</f>
      </c>
      <c r="H231">
        <f>IF($A231="","",IF($D231="V01",cad!$C$24,IF($D231="V02",cad!$D$24,cad!$E$24)))</f>
      </c>
      <c r="I231">
        <f>IF($A231="","",IF($D231="V01",cad!$C$32,IF($D231="V02",cad!$D$32,cad!$E$32)))</f>
      </c>
      <c r="J231">
        <f>IF($A231="","",IF($D231="V01",cad!$C$33,IF($D231="V02",cad!$D$33,cad!$E$33)))</f>
      </c>
      <c r="K231">
        <f>IF($A231="","",IF($D231="V01",cad!$C$34,IF($D231="V02",cad!$D$34,cad!$E$34)))</f>
      </c>
      <c r="L231">
        <f>IF($A231="","",IF($D231="V01",cad!$C$35,IF($D231="V02",cad!$D$35,cad!$E$35)))</f>
      </c>
      <c r="M231">
        <f>IF($A231="","",IF($D231="V01",cad!$C$36,IF($D231="V02",cad!$D$36,cad!$E$36)))</f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>
        <f>IF($A232="","",IF($D232="V01",cad!$C$23,IF($D232="V02",cad!$D$23,cad!$E$23)))</f>
      </c>
      <c r="H232">
        <f>IF($A232="","",IF($D232="V01",cad!$C$24,IF($D232="V02",cad!$D$24,cad!$E$24)))</f>
      </c>
      <c r="I232">
        <f>IF($A232="","",IF($D232="V01",cad!$C$32,IF($D232="V02",cad!$D$32,cad!$E$32)))</f>
      </c>
      <c r="J232">
        <f>IF($A232="","",IF($D232="V01",cad!$C$33,IF($D232="V02",cad!$D$33,cad!$E$33)))</f>
      </c>
      <c r="K232">
        <f>IF($A232="","",IF($D232="V01",cad!$C$34,IF($D232="V02",cad!$D$34,cad!$E$34)))</f>
      </c>
      <c r="L232">
        <f>IF($A232="","",IF($D232="V01",cad!$C$35,IF($D232="V02",cad!$D$35,cad!$E$35)))</f>
      </c>
      <c r="M232">
        <f>IF($A232="","",IF($D232="V01",cad!$C$36,IF($D232="V02",cad!$D$36,cad!$E$36)))</f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>
        <f>IF($A233="","",IF($D233="V01",cad!$C$23,IF($D233="V02",cad!$D$23,cad!$E$23)))</f>
      </c>
      <c r="H233">
        <f>IF($A233="","",IF($D233="V01",cad!$C$24,IF($D233="V02",cad!$D$24,cad!$E$24)))</f>
      </c>
      <c r="I233">
        <f>IF($A233="","",IF($D233="V01",cad!$C$32,IF($D233="V02",cad!$D$32,cad!$E$32)))</f>
      </c>
      <c r="J233">
        <f>IF($A233="","",IF($D233="V01",cad!$C$33,IF($D233="V02",cad!$D$33,cad!$E$33)))</f>
      </c>
      <c r="K233">
        <f>IF($A233="","",IF($D233="V01",cad!$C$34,IF($D233="V02",cad!$D$34,cad!$E$34)))</f>
      </c>
      <c r="L233">
        <f>IF($A233="","",IF($D233="V01",cad!$C$35,IF($D233="V02",cad!$D$35,cad!$E$35)))</f>
      </c>
      <c r="M233">
        <f>IF($A233="","",IF($D233="V01",cad!$C$36,IF($D233="V02",cad!$D$36,cad!$E$36)))</f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>
        <f>IF($A234="","",IF($D234="V01",cad!$C$23,IF($D234="V02",cad!$D$23,cad!$E$23)))</f>
      </c>
      <c r="H234">
        <f>IF($A234="","",IF($D234="V01",cad!$C$24,IF($D234="V02",cad!$D$24,cad!$E$24)))</f>
      </c>
      <c r="I234">
        <f>IF($A234="","",IF($D234="V01",cad!$C$32,IF($D234="V02",cad!$D$32,cad!$E$32)))</f>
      </c>
      <c r="J234">
        <f>IF($A234="","",IF($D234="V01",cad!$C$33,IF($D234="V02",cad!$D$33,cad!$E$33)))</f>
      </c>
      <c r="K234">
        <f>IF($A234="","",IF($D234="V01",cad!$C$34,IF($D234="V02",cad!$D$34,cad!$E$34)))</f>
      </c>
      <c r="L234">
        <f>IF($A234="","",IF($D234="V01",cad!$C$35,IF($D234="V02",cad!$D$35,cad!$E$35)))</f>
      </c>
      <c r="M234">
        <f>IF($A234="","",IF($D234="V01",cad!$C$36,IF($D234="V02",cad!$D$36,cad!$E$36)))</f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>
        <f>IF($A235="","",IF($D235="V01",cad!$C$23,IF($D235="V02",cad!$D$23,cad!$E$23)))</f>
      </c>
      <c r="H235">
        <f>IF($A235="","",IF($D235="V01",cad!$C$24,IF($D235="V02",cad!$D$24,cad!$E$24)))</f>
      </c>
      <c r="I235">
        <f>IF($A235="","",IF($D235="V01",cad!$C$32,IF($D235="V02",cad!$D$32,cad!$E$32)))</f>
      </c>
      <c r="J235">
        <f>IF($A235="","",IF($D235="V01",cad!$C$33,IF($D235="V02",cad!$D$33,cad!$E$33)))</f>
      </c>
      <c r="K235">
        <f>IF($A235="","",IF($D235="V01",cad!$C$34,IF($D235="V02",cad!$D$34,cad!$E$34)))</f>
      </c>
      <c r="L235">
        <f>IF($A235="","",IF($D235="V01",cad!$C$35,IF($D235="V02",cad!$D$35,cad!$E$35)))</f>
      </c>
      <c r="M235">
        <f>IF($A235="","",IF($D235="V01",cad!$C$36,IF($D235="V02",cad!$D$36,cad!$E$36)))</f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>
        <f>IF($A236="","",IF($D236="V01",cad!$C$23,IF($D236="V02",cad!$D$23,cad!$E$23)))</f>
      </c>
      <c r="H236">
        <f>IF($A236="","",IF($D236="V01",cad!$C$24,IF($D236="V02",cad!$D$24,cad!$E$24)))</f>
      </c>
      <c r="I236">
        <f>IF($A236="","",IF($D236="V01",cad!$C$32,IF($D236="V02",cad!$D$32,cad!$E$32)))</f>
      </c>
      <c r="J236">
        <f>IF($A236="","",IF($D236="V01",cad!$C$33,IF($D236="V02",cad!$D$33,cad!$E$33)))</f>
      </c>
      <c r="K236">
        <f>IF($A236="","",IF($D236="V01",cad!$C$34,IF($D236="V02",cad!$D$34,cad!$E$34)))</f>
      </c>
      <c r="L236">
        <f>IF($A236="","",IF($D236="V01",cad!$C$35,IF($D236="V02",cad!$D$35,cad!$E$35)))</f>
      </c>
      <c r="M236">
        <f>IF($A236="","",IF($D236="V01",cad!$C$36,IF($D236="V02",cad!$D$36,cad!$E$36)))</f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>
        <f>IF($A237="","",IF($D237="V01",cad!$C$23,IF($D237="V02",cad!$D$23,cad!$E$23)))</f>
      </c>
      <c r="H237">
        <f>IF($A237="","",IF($D237="V01",cad!$C$24,IF($D237="V02",cad!$D$24,cad!$E$24)))</f>
      </c>
      <c r="I237">
        <f>IF($A237="","",IF($D237="V01",cad!$C$32,IF($D237="V02",cad!$D$32,cad!$E$32)))</f>
      </c>
      <c r="J237">
        <f>IF($A237="","",IF($D237="V01",cad!$C$33,IF($D237="V02",cad!$D$33,cad!$E$33)))</f>
      </c>
      <c r="K237">
        <f>IF($A237="","",IF($D237="V01",cad!$C$34,IF($D237="V02",cad!$D$34,cad!$E$34)))</f>
      </c>
      <c r="L237">
        <f>IF($A237="","",IF($D237="V01",cad!$C$35,IF($D237="V02",cad!$D$35,cad!$E$35)))</f>
      </c>
      <c r="M237">
        <f>IF($A237="","",IF($D237="V01",cad!$C$36,IF($D237="V02",cad!$D$36,cad!$E$36)))</f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>
        <f>IF($A238="","",IF($D238="V01",cad!$C$23,IF($D238="V02",cad!$D$23,cad!$E$23)))</f>
      </c>
      <c r="H238">
        <f>IF($A238="","",IF($D238="V01",cad!$C$24,IF($D238="V02",cad!$D$24,cad!$E$24)))</f>
      </c>
      <c r="I238">
        <f>IF($A238="","",IF($D238="V01",cad!$C$32,IF($D238="V02",cad!$D$32,cad!$E$32)))</f>
      </c>
      <c r="J238">
        <f>IF($A238="","",IF($D238="V01",cad!$C$33,IF($D238="V02",cad!$D$33,cad!$E$33)))</f>
      </c>
      <c r="K238">
        <f>IF($A238="","",IF($D238="V01",cad!$C$34,IF($D238="V02",cad!$D$34,cad!$E$34)))</f>
      </c>
      <c r="L238">
        <f>IF($A238="","",IF($D238="V01",cad!$C$35,IF($D238="V02",cad!$D$35,cad!$E$35)))</f>
      </c>
      <c r="M238">
        <f>IF($A238="","",IF($D238="V01",cad!$C$36,IF($D238="V02",cad!$D$36,cad!$E$36)))</f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>
        <f>IF($A239="","",IF($D239="V01",cad!$C$23,IF($D239="V02",cad!$D$23,cad!$E$23)))</f>
      </c>
      <c r="H239">
        <f>IF($A239="","",IF($D239="V01",cad!$C$24,IF($D239="V02",cad!$D$24,cad!$E$24)))</f>
      </c>
      <c r="I239">
        <f>IF($A239="","",IF($D239="V01",cad!$C$32,IF($D239="V02",cad!$D$32,cad!$E$32)))</f>
      </c>
      <c r="J239">
        <f>IF($A239="","",IF($D239="V01",cad!$C$33,IF($D239="V02",cad!$D$33,cad!$E$33)))</f>
      </c>
      <c r="K239">
        <f>IF($A239="","",IF($D239="V01",cad!$C$34,IF($D239="V02",cad!$D$34,cad!$E$34)))</f>
      </c>
      <c r="L239">
        <f>IF($A239="","",IF($D239="V01",cad!$C$35,IF($D239="V02",cad!$D$35,cad!$E$35)))</f>
      </c>
      <c r="M239">
        <f>IF($A239="","",IF($D239="V01",cad!$C$36,IF($D239="V02",cad!$D$36,cad!$E$36)))</f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>
        <f>IF($A240="","",IF($D240="V01",cad!$C$23,IF($D240="V02",cad!$D$23,cad!$E$23)))</f>
      </c>
      <c r="H240">
        <f>IF($A240="","",IF($D240="V01",cad!$C$24,IF($D240="V02",cad!$D$24,cad!$E$24)))</f>
      </c>
      <c r="I240">
        <f>IF($A240="","",IF($D240="V01",cad!$C$32,IF($D240="V02",cad!$D$32,cad!$E$32)))</f>
      </c>
      <c r="J240">
        <f>IF($A240="","",IF($D240="V01",cad!$C$33,IF($D240="V02",cad!$D$33,cad!$E$33)))</f>
      </c>
      <c r="K240">
        <f>IF($A240="","",IF($D240="V01",cad!$C$34,IF($D240="V02",cad!$D$34,cad!$E$34)))</f>
      </c>
      <c r="L240">
        <f>IF($A240="","",IF($D240="V01",cad!$C$35,IF($D240="V02",cad!$D$35,cad!$E$35)))</f>
      </c>
      <c r="M240">
        <f>IF($A240="","",IF($D240="V01",cad!$C$36,IF($D240="V02",cad!$D$36,cad!$E$36)))</f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>
        <f>IF($A241="","",IF($D241="V01",cad!$C$23,IF($D241="V02",cad!$D$23,cad!$E$23)))</f>
      </c>
      <c r="H241">
        <f>IF($A241="","",IF($D241="V01",cad!$C$24,IF($D241="V02",cad!$D$24,cad!$E$24)))</f>
      </c>
      <c r="I241">
        <f>IF($A241="","",IF($D241="V01",cad!$C$32,IF($D241="V02",cad!$D$32,cad!$E$32)))</f>
      </c>
      <c r="J241">
        <f>IF($A241="","",IF($D241="V01",cad!$C$33,IF($D241="V02",cad!$D$33,cad!$E$33)))</f>
      </c>
      <c r="K241">
        <f>IF($A241="","",IF($D241="V01",cad!$C$34,IF($D241="V02",cad!$D$34,cad!$E$34)))</f>
      </c>
      <c r="L241">
        <f>IF($A241="","",IF($D241="V01",cad!$C$35,IF($D241="V02",cad!$D$35,cad!$E$35)))</f>
      </c>
      <c r="M241">
        <f>IF($A241="","",IF($D241="V01",cad!$C$36,IF($D241="V02",cad!$D$36,cad!$E$36)))</f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>
        <f>IF($A242="","",IF($D242="V01",cad!$C$23,IF($D242="V02",cad!$D$23,cad!$E$23)))</f>
      </c>
      <c r="H242">
        <f>IF($A242="","",IF($D242="V01",cad!$C$24,IF($D242="V02",cad!$D$24,cad!$E$24)))</f>
      </c>
      <c r="I242">
        <f>IF($A242="","",IF($D242="V01",cad!$C$32,IF($D242="V02",cad!$D$32,cad!$E$32)))</f>
      </c>
      <c r="J242">
        <f>IF($A242="","",IF($D242="V01",cad!$C$33,IF($D242="V02",cad!$D$33,cad!$E$33)))</f>
      </c>
      <c r="K242">
        <f>IF($A242="","",IF($D242="V01",cad!$C$34,IF($D242="V02",cad!$D$34,cad!$E$34)))</f>
      </c>
      <c r="L242">
        <f>IF($A242="","",IF($D242="V01",cad!$C$35,IF($D242="V02",cad!$D$35,cad!$E$35)))</f>
      </c>
      <c r="M242">
        <f>IF($A242="","",IF($D242="V01",cad!$C$36,IF($D242="V02",cad!$D$36,cad!$E$36)))</f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>
        <f>IF($A243="","",IF($D243="V01",cad!$C$23,IF($D243="V02",cad!$D$23,cad!$E$23)))</f>
      </c>
      <c r="H243">
        <f>IF($A243="","",IF($D243="V01",cad!$C$24,IF($D243="V02",cad!$D$24,cad!$E$24)))</f>
      </c>
      <c r="I243">
        <f>IF($A243="","",IF($D243="V01",cad!$C$32,IF($D243="V02",cad!$D$32,cad!$E$32)))</f>
      </c>
      <c r="J243">
        <f>IF($A243="","",IF($D243="V01",cad!$C$33,IF($D243="V02",cad!$D$33,cad!$E$33)))</f>
      </c>
      <c r="K243">
        <f>IF($A243="","",IF($D243="V01",cad!$C$34,IF($D243="V02",cad!$D$34,cad!$E$34)))</f>
      </c>
      <c r="L243">
        <f>IF($A243="","",IF($D243="V01",cad!$C$35,IF($D243="V02",cad!$D$35,cad!$E$35)))</f>
      </c>
      <c r="M243">
        <f>IF($A243="","",IF($D243="V01",cad!$C$36,IF($D243="V02",cad!$D$36,cad!$E$36)))</f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>
        <f>IF($A244="","",IF($D244="V01",cad!$C$23,IF($D244="V02",cad!$D$23,cad!$E$23)))</f>
      </c>
      <c r="H244">
        <f>IF($A244="","",IF($D244="V01",cad!$C$24,IF($D244="V02",cad!$D$24,cad!$E$24)))</f>
      </c>
      <c r="I244">
        <f>IF($A244="","",IF($D244="V01",cad!$C$32,IF($D244="V02",cad!$D$32,cad!$E$32)))</f>
      </c>
      <c r="J244">
        <f>IF($A244="","",IF($D244="V01",cad!$C$33,IF($D244="V02",cad!$D$33,cad!$E$33)))</f>
      </c>
      <c r="K244">
        <f>IF($A244="","",IF($D244="V01",cad!$C$34,IF($D244="V02",cad!$D$34,cad!$E$34)))</f>
      </c>
      <c r="L244">
        <f>IF($A244="","",IF($D244="V01",cad!$C$35,IF($D244="V02",cad!$D$35,cad!$E$35)))</f>
      </c>
      <c r="M244">
        <f>IF($A244="","",IF($D244="V01",cad!$C$36,IF($D244="V02",cad!$D$36,cad!$E$36)))</f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>
        <f>IF($A245="","",IF($D245="V01",cad!$C$23,IF($D245="V02",cad!$D$23,cad!$E$23)))</f>
      </c>
      <c r="H245">
        <f>IF($A245="","",IF($D245="V01",cad!$C$24,IF($D245="V02",cad!$D$24,cad!$E$24)))</f>
      </c>
      <c r="I245">
        <f>IF($A245="","",IF($D245="V01",cad!$C$32,IF($D245="V02",cad!$D$32,cad!$E$32)))</f>
      </c>
      <c r="J245">
        <f>IF($A245="","",IF($D245="V01",cad!$C$33,IF($D245="V02",cad!$D$33,cad!$E$33)))</f>
      </c>
      <c r="K245">
        <f>IF($A245="","",IF($D245="V01",cad!$C$34,IF($D245="V02",cad!$D$34,cad!$E$34)))</f>
      </c>
      <c r="L245">
        <f>IF($A245="","",IF($D245="V01",cad!$C$35,IF($D245="V02",cad!$D$35,cad!$E$35)))</f>
      </c>
      <c r="M245">
        <f>IF($A245="","",IF($D245="V01",cad!$C$36,IF($D245="V02",cad!$D$36,cad!$E$36)))</f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>
        <f>IF($A246="","",IF($D246="V01",cad!$C$23,IF($D246="V02",cad!$D$23,cad!$E$23)))</f>
      </c>
      <c r="H246">
        <f>IF($A246="","",IF($D246="V01",cad!$C$24,IF($D246="V02",cad!$D$24,cad!$E$24)))</f>
      </c>
      <c r="I246">
        <f>IF($A246="","",IF($D246="V01",cad!$C$32,IF($D246="V02",cad!$D$32,cad!$E$32)))</f>
      </c>
      <c r="J246">
        <f>IF($A246="","",IF($D246="V01",cad!$C$33,IF($D246="V02",cad!$D$33,cad!$E$33)))</f>
      </c>
      <c r="K246">
        <f>IF($A246="","",IF($D246="V01",cad!$C$34,IF($D246="V02",cad!$D$34,cad!$E$34)))</f>
      </c>
      <c r="L246">
        <f>IF($A246="","",IF($D246="V01",cad!$C$35,IF($D246="V02",cad!$D$35,cad!$E$35)))</f>
      </c>
      <c r="M246">
        <f>IF($A246="","",IF($D246="V01",cad!$C$36,IF($D246="V02",cad!$D$36,cad!$E$36)))</f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>
        <f>IF($A247="","",IF($D247="V01",cad!$C$23,IF($D247="V02",cad!$D$23,cad!$E$23)))</f>
      </c>
      <c r="H247">
        <f>IF($A247="","",IF($D247="V01",cad!$C$24,IF($D247="V02",cad!$D$24,cad!$E$24)))</f>
      </c>
      <c r="I247">
        <f>IF($A247="","",IF($D247="V01",cad!$C$32,IF($D247="V02",cad!$D$32,cad!$E$32)))</f>
      </c>
      <c r="J247">
        <f>IF($A247="","",IF($D247="V01",cad!$C$33,IF($D247="V02",cad!$D$33,cad!$E$33)))</f>
      </c>
      <c r="K247">
        <f>IF($A247="","",IF($D247="V01",cad!$C$34,IF($D247="V02",cad!$D$34,cad!$E$34)))</f>
      </c>
      <c r="L247">
        <f>IF($A247="","",IF($D247="V01",cad!$C$35,IF($D247="V02",cad!$D$35,cad!$E$35)))</f>
      </c>
      <c r="M247">
        <f>IF($A247="","",IF($D247="V01",cad!$C$36,IF($D247="V02",cad!$D$36,cad!$E$36)))</f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>
        <f>IF($A248="","",IF($D248="V01",cad!$C$23,IF($D248="V02",cad!$D$23,cad!$E$23)))</f>
      </c>
      <c r="H248">
        <f>IF($A248="","",IF($D248="V01",cad!$C$24,IF($D248="V02",cad!$D$24,cad!$E$24)))</f>
      </c>
      <c r="I248">
        <f>IF($A248="","",IF($D248="V01",cad!$C$32,IF($D248="V02",cad!$D$32,cad!$E$32)))</f>
      </c>
      <c r="J248">
        <f>IF($A248="","",IF($D248="V01",cad!$C$33,IF($D248="V02",cad!$D$33,cad!$E$33)))</f>
      </c>
      <c r="K248">
        <f>IF($A248="","",IF($D248="V01",cad!$C$34,IF($D248="V02",cad!$D$34,cad!$E$34)))</f>
      </c>
      <c r="L248">
        <f>IF($A248="","",IF($D248="V01",cad!$C$35,IF($D248="V02",cad!$D$35,cad!$E$35)))</f>
      </c>
      <c r="M248">
        <f>IF($A248="","",IF($D248="V01",cad!$C$36,IF($D248="V02",cad!$D$36,cad!$E$36)))</f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>
        <f>IF($A249="","",IF($D249="V01",cad!$C$23,IF($D249="V02",cad!$D$23,cad!$E$23)))</f>
      </c>
      <c r="H249">
        <f>IF($A249="","",IF($D249="V01",cad!$C$24,IF($D249="V02",cad!$D$24,cad!$E$24)))</f>
      </c>
      <c r="I249">
        <f>IF($A249="","",IF($D249="V01",cad!$C$32,IF($D249="V02",cad!$D$32,cad!$E$32)))</f>
      </c>
      <c r="J249">
        <f>IF($A249="","",IF($D249="V01",cad!$C$33,IF($D249="V02",cad!$D$33,cad!$E$33)))</f>
      </c>
      <c r="K249">
        <f>IF($A249="","",IF($D249="V01",cad!$C$34,IF($D249="V02",cad!$D$34,cad!$E$34)))</f>
      </c>
      <c r="L249">
        <f>IF($A249="","",IF($D249="V01",cad!$C$35,IF($D249="V02",cad!$D$35,cad!$E$35)))</f>
      </c>
      <c r="M249">
        <f>IF($A249="","",IF($D249="V01",cad!$C$36,IF($D249="V02",cad!$D$36,cad!$E$36)))</f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>
        <f>IF($A250="","",IF($D250="V01",cad!$C$23,IF($D250="V02",cad!$D$23,cad!$E$23)))</f>
      </c>
      <c r="H250">
        <f>IF($A250="","",IF($D250="V01",cad!$C$24,IF($D250="V02",cad!$D$24,cad!$E$24)))</f>
      </c>
      <c r="I250">
        <f>IF($A250="","",IF($D250="V01",cad!$C$32,IF($D250="V02",cad!$D$32,cad!$E$32)))</f>
      </c>
      <c r="J250">
        <f>IF($A250="","",IF($D250="V01",cad!$C$33,IF($D250="V02",cad!$D$33,cad!$E$33)))</f>
      </c>
      <c r="K250">
        <f>IF($A250="","",IF($D250="V01",cad!$C$34,IF($D250="V02",cad!$D$34,cad!$E$34)))</f>
      </c>
      <c r="L250">
        <f>IF($A250="","",IF($D250="V01",cad!$C$35,IF($D250="V02",cad!$D$35,cad!$E$35)))</f>
      </c>
      <c r="M250">
        <f>IF($A250="","",IF($D250="V01",cad!$C$36,IF($D250="V02",cad!$D$36,cad!$E$36)))</f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>
        <f>IF($A251="","",IF($D251="V01",cad!$C$23,IF($D251="V02",cad!$D$23,cad!$E$23)))</f>
      </c>
      <c r="H251">
        <f>IF($A251="","",IF($D251="V01",cad!$C$24,IF($D251="V02",cad!$D$24,cad!$E$24)))</f>
      </c>
      <c r="I251">
        <f>IF($A251="","",IF($D251="V01",cad!$C$32,IF($D251="V02",cad!$D$32,cad!$E$32)))</f>
      </c>
      <c r="J251">
        <f>IF($A251="","",IF($D251="V01",cad!$C$33,IF($D251="V02",cad!$D$33,cad!$E$33)))</f>
      </c>
      <c r="K251">
        <f>IF($A251="","",IF($D251="V01",cad!$C$34,IF($D251="V02",cad!$D$34,cad!$E$34)))</f>
      </c>
      <c r="L251">
        <f>IF($A251="","",IF($D251="V01",cad!$C$35,IF($D251="V02",cad!$D$35,cad!$E$35)))</f>
      </c>
      <c r="M251">
        <f>IF($A251="","",IF($D251="V01",cad!$C$36,IF($D251="V02",cad!$D$36,cad!$E$36)))</f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>
        <f>IF($A252="","",IF($D252="V01",cad!$C$23,IF($D252="V02",cad!$D$23,cad!$E$23)))</f>
      </c>
      <c r="H252">
        <f>IF($A252="","",IF($D252="V01",cad!$C$24,IF($D252="V02",cad!$D$24,cad!$E$24)))</f>
      </c>
      <c r="I252">
        <f>IF($A252="","",IF($D252="V01",cad!$C$32,IF($D252="V02",cad!$D$32,cad!$E$32)))</f>
      </c>
      <c r="J252">
        <f>IF($A252="","",IF($D252="V01",cad!$C$33,IF($D252="V02",cad!$D$33,cad!$E$33)))</f>
      </c>
      <c r="K252">
        <f>IF($A252="","",IF($D252="V01",cad!$C$34,IF($D252="V02",cad!$D$34,cad!$E$34)))</f>
      </c>
      <c r="L252">
        <f>IF($A252="","",IF($D252="V01",cad!$C$35,IF($D252="V02",cad!$D$35,cad!$E$35)))</f>
      </c>
      <c r="M252">
        <f>IF($A252="","",IF($D252="V01",cad!$C$36,IF($D252="V02",cad!$D$36,cad!$E$36)))</f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>
        <f>IF($A253="","",IF($D253="V01",cad!$C$23,IF($D253="V02",cad!$D$23,cad!$E$23)))</f>
      </c>
      <c r="H253">
        <f>IF($A253="","",IF($D253="V01",cad!$C$24,IF($D253="V02",cad!$D$24,cad!$E$24)))</f>
      </c>
      <c r="I253">
        <f>IF($A253="","",IF($D253="V01",cad!$C$32,IF($D253="V02",cad!$D$32,cad!$E$32)))</f>
      </c>
      <c r="J253">
        <f>IF($A253="","",IF($D253="V01",cad!$C$33,IF($D253="V02",cad!$D$33,cad!$E$33)))</f>
      </c>
      <c r="K253">
        <f>IF($A253="","",IF($D253="V01",cad!$C$34,IF($D253="V02",cad!$D$34,cad!$E$34)))</f>
      </c>
      <c r="L253">
        <f>IF($A253="","",IF($D253="V01",cad!$C$35,IF($D253="V02",cad!$D$35,cad!$E$35)))</f>
      </c>
      <c r="M253">
        <f>IF($A253="","",IF($D253="V01",cad!$C$36,IF($D253="V02",cad!$D$36,cad!$E$36)))</f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>
        <f>IF($A254="","",IF($D254="V01",cad!$C$23,IF($D254="V02",cad!$D$23,cad!$E$23)))</f>
      </c>
      <c r="H254">
        <f>IF($A254="","",IF($D254="V01",cad!$C$24,IF($D254="V02",cad!$D$24,cad!$E$24)))</f>
      </c>
      <c r="I254">
        <f>IF($A254="","",IF($D254="V01",cad!$C$32,IF($D254="V02",cad!$D$32,cad!$E$32)))</f>
      </c>
      <c r="J254">
        <f>IF($A254="","",IF($D254="V01",cad!$C$33,IF($D254="V02",cad!$D$33,cad!$E$33)))</f>
      </c>
      <c r="K254">
        <f>IF($A254="","",IF($D254="V01",cad!$C$34,IF($D254="V02",cad!$D$34,cad!$E$34)))</f>
      </c>
      <c r="L254">
        <f>IF($A254="","",IF($D254="V01",cad!$C$35,IF($D254="V02",cad!$D$35,cad!$E$35)))</f>
      </c>
      <c r="M254">
        <f>IF($A254="","",IF($D254="V01",cad!$C$36,IF($D254="V02",cad!$D$36,cad!$E$36)))</f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>
        <f>IF($A255="","",IF($D255="V01",cad!$C$23,IF($D255="V02",cad!$D$23,cad!$E$23)))</f>
      </c>
      <c r="H255">
        <f>IF($A255="","",IF($D255="V01",cad!$C$24,IF($D255="V02",cad!$D$24,cad!$E$24)))</f>
      </c>
      <c r="I255">
        <f>IF($A255="","",IF($D255="V01",cad!$C$32,IF($D255="V02",cad!$D$32,cad!$E$32)))</f>
      </c>
      <c r="J255">
        <f>IF($A255="","",IF($D255="V01",cad!$C$33,IF($D255="V02",cad!$D$33,cad!$E$33)))</f>
      </c>
      <c r="K255">
        <f>IF($A255="","",IF($D255="V01",cad!$C$34,IF($D255="V02",cad!$D$34,cad!$E$34)))</f>
      </c>
      <c r="L255">
        <f>IF($A255="","",IF($D255="V01",cad!$C$35,IF($D255="V02",cad!$D$35,cad!$E$35)))</f>
      </c>
      <c r="M255">
        <f>IF($A255="","",IF($D255="V01",cad!$C$36,IF($D255="V02",cad!$D$36,cad!$E$36)))</f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>
        <f>IF($A256="","",IF($D256="V01",cad!$C$23,IF($D256="V02",cad!$D$23,cad!$E$23)))</f>
      </c>
      <c r="H256">
        <f>IF($A256="","",IF($D256="V01",cad!$C$24,IF($D256="V02",cad!$D$24,cad!$E$24)))</f>
      </c>
      <c r="I256">
        <f>IF($A256="","",IF($D256="V01",cad!$C$32,IF($D256="V02",cad!$D$32,cad!$E$32)))</f>
      </c>
      <c r="J256">
        <f>IF($A256="","",IF($D256="V01",cad!$C$33,IF($D256="V02",cad!$D$33,cad!$E$33)))</f>
      </c>
      <c r="K256">
        <f>IF($A256="","",IF($D256="V01",cad!$C$34,IF($D256="V02",cad!$D$34,cad!$E$34)))</f>
      </c>
      <c r="L256">
        <f>IF($A256="","",IF($D256="V01",cad!$C$35,IF($D256="V02",cad!$D$35,cad!$E$35)))</f>
      </c>
      <c r="M256">
        <f>IF($A256="","",IF($D256="V01",cad!$C$36,IF($D256="V02",cad!$D$36,cad!$E$36)))</f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>
        <f>IF($A257="","",IF($D257="V01",cad!$C$23,IF($D257="V02",cad!$D$23,cad!$E$23)))</f>
      </c>
      <c r="H257">
        <f>IF($A257="","",IF($D257="V01",cad!$C$24,IF($D257="V02",cad!$D$24,cad!$E$24)))</f>
      </c>
      <c r="I257">
        <f>IF($A257="","",IF($D257="V01",cad!$C$32,IF($D257="V02",cad!$D$32,cad!$E$32)))</f>
      </c>
      <c r="J257">
        <f>IF($A257="","",IF($D257="V01",cad!$C$33,IF($D257="V02",cad!$D$33,cad!$E$33)))</f>
      </c>
      <c r="K257">
        <f>IF($A257="","",IF($D257="V01",cad!$C$34,IF($D257="V02",cad!$D$34,cad!$E$34)))</f>
      </c>
      <c r="L257">
        <f>IF($A257="","",IF($D257="V01",cad!$C$35,IF($D257="V02",cad!$D$35,cad!$E$35)))</f>
      </c>
      <c r="M257">
        <f>IF($A257="","",IF($D257="V01",cad!$C$36,IF($D257="V02",cad!$D$36,cad!$E$36)))</f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>
        <f>IF($A258="","",IF($D258="V01",cad!$C$23,IF($D258="V02",cad!$D$23,cad!$E$23)))</f>
      </c>
      <c r="H258">
        <f>IF($A258="","",IF($D258="V01",cad!$C$24,IF($D258="V02",cad!$D$24,cad!$E$24)))</f>
      </c>
      <c r="I258">
        <f>IF($A258="","",IF($D258="V01",cad!$C$32,IF($D258="V02",cad!$D$32,cad!$E$32)))</f>
      </c>
      <c r="J258">
        <f>IF($A258="","",IF($D258="V01",cad!$C$33,IF($D258="V02",cad!$D$33,cad!$E$33)))</f>
      </c>
      <c r="K258">
        <f>IF($A258="","",IF($D258="V01",cad!$C$34,IF($D258="V02",cad!$D$34,cad!$E$34)))</f>
      </c>
      <c r="L258">
        <f>IF($A258="","",IF($D258="V01",cad!$C$35,IF($D258="V02",cad!$D$35,cad!$E$35)))</f>
      </c>
      <c r="M258">
        <f>IF($A258="","",IF($D258="V01",cad!$C$36,IF($D258="V02",cad!$D$36,cad!$E$36)))</f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>
        <f>IF($A259="","",IF($D259="V01",cad!$C$23,IF($D259="V02",cad!$D$23,cad!$E$23)))</f>
      </c>
      <c r="H259">
        <f>IF($A259="","",IF($D259="V01",cad!$C$24,IF($D259="V02",cad!$D$24,cad!$E$24)))</f>
      </c>
      <c r="I259">
        <f>IF($A259="","",IF($D259="V01",cad!$C$32,IF($D259="V02",cad!$D$32,cad!$E$32)))</f>
      </c>
      <c r="J259">
        <f>IF($A259="","",IF($D259="V01",cad!$C$33,IF($D259="V02",cad!$D$33,cad!$E$33)))</f>
      </c>
      <c r="K259">
        <f>IF($A259="","",IF($D259="V01",cad!$C$34,IF($D259="V02",cad!$D$34,cad!$E$34)))</f>
      </c>
      <c r="L259">
        <f>IF($A259="","",IF($D259="V01",cad!$C$35,IF($D259="V02",cad!$D$35,cad!$E$35)))</f>
      </c>
      <c r="M259">
        <f>IF($A259="","",IF($D259="V01",cad!$C$36,IF($D259="V02",cad!$D$36,cad!$E$36)))</f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>
        <f>IF($A260="","",IF($D260="V01",cad!$C$23,IF($D260="V02",cad!$D$23,cad!$E$23)))</f>
      </c>
      <c r="H260">
        <f>IF($A260="","",IF($D260="V01",cad!$C$24,IF($D260="V02",cad!$D$24,cad!$E$24)))</f>
      </c>
      <c r="I260">
        <f>IF($A260="","",IF($D260="V01",cad!$C$32,IF($D260="V02",cad!$D$32,cad!$E$32)))</f>
      </c>
      <c r="J260">
        <f>IF($A260="","",IF($D260="V01",cad!$C$33,IF($D260="V02",cad!$D$33,cad!$E$33)))</f>
      </c>
      <c r="K260">
        <f>IF($A260="","",IF($D260="V01",cad!$C$34,IF($D260="V02",cad!$D$34,cad!$E$34)))</f>
      </c>
      <c r="L260">
        <f>IF($A260="","",IF($D260="V01",cad!$C$35,IF($D260="V02",cad!$D$35,cad!$E$35)))</f>
      </c>
      <c r="M260">
        <f>IF($A260="","",IF($D260="V01",cad!$C$36,IF($D260="V02",cad!$D$36,cad!$E$36)))</f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>
        <f>IF($A261="","",IF($D261="V01",cad!$C$23,IF($D261="V02",cad!$D$23,cad!$E$23)))</f>
      </c>
      <c r="H261">
        <f>IF($A261="","",IF($D261="V01",cad!$C$24,IF($D261="V02",cad!$D$24,cad!$E$24)))</f>
      </c>
      <c r="I261">
        <f>IF($A261="","",IF($D261="V01",cad!$C$32,IF($D261="V02",cad!$D$32,cad!$E$32)))</f>
      </c>
      <c r="J261">
        <f>IF($A261="","",IF($D261="V01",cad!$C$33,IF($D261="V02",cad!$D$33,cad!$E$33)))</f>
      </c>
      <c r="K261">
        <f>IF($A261="","",IF($D261="V01",cad!$C$34,IF($D261="V02",cad!$D$34,cad!$E$34)))</f>
      </c>
      <c r="L261">
        <f>IF($A261="","",IF($D261="V01",cad!$C$35,IF($D261="V02",cad!$D$35,cad!$E$35)))</f>
      </c>
      <c r="M261">
        <f>IF($A261="","",IF($D261="V01",cad!$C$36,IF($D261="V02",cad!$D$36,cad!$E$36)))</f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>
        <f>IF($A262="","",IF($D262="V01",cad!$C$23,IF($D262="V02",cad!$D$23,cad!$E$23)))</f>
      </c>
      <c r="H262">
        <f>IF($A262="","",IF($D262="V01",cad!$C$24,IF($D262="V02",cad!$D$24,cad!$E$24)))</f>
      </c>
      <c r="I262">
        <f>IF($A262="","",IF($D262="V01",cad!$C$32,IF($D262="V02",cad!$D$32,cad!$E$32)))</f>
      </c>
      <c r="J262">
        <f>IF($A262="","",IF($D262="V01",cad!$C$33,IF($D262="V02",cad!$D$33,cad!$E$33)))</f>
      </c>
      <c r="K262">
        <f>IF($A262="","",IF($D262="V01",cad!$C$34,IF($D262="V02",cad!$D$34,cad!$E$34)))</f>
      </c>
      <c r="L262">
        <f>IF($A262="","",IF($D262="V01",cad!$C$35,IF($D262="V02",cad!$D$35,cad!$E$35)))</f>
      </c>
      <c r="M262">
        <f>IF($A262="","",IF($D262="V01",cad!$C$36,IF($D262="V02",cad!$D$36,cad!$E$36)))</f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>
        <f>IF($A263="","",IF($D263="V01",cad!$C$23,IF($D263="V02",cad!$D$23,cad!$E$23)))</f>
      </c>
      <c r="H263">
        <f>IF($A263="","",IF($D263="V01",cad!$C$24,IF($D263="V02",cad!$D$24,cad!$E$24)))</f>
      </c>
      <c r="I263">
        <f>IF($A263="","",IF($D263="V01",cad!$C$32,IF($D263="V02",cad!$D$32,cad!$E$32)))</f>
      </c>
      <c r="J263">
        <f>IF($A263="","",IF($D263="V01",cad!$C$33,IF($D263="V02",cad!$D$33,cad!$E$33)))</f>
      </c>
      <c r="K263">
        <f>IF($A263="","",IF($D263="V01",cad!$C$34,IF($D263="V02",cad!$D$34,cad!$E$34)))</f>
      </c>
      <c r="L263">
        <f>IF($A263="","",IF($D263="V01",cad!$C$35,IF($D263="V02",cad!$D$35,cad!$E$35)))</f>
      </c>
      <c r="M263">
        <f>IF($A263="","",IF($D263="V01",cad!$C$36,IF($D263="V02",cad!$D$36,cad!$E$36)))</f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>
        <f>IF($A264="","",IF($D264="V01",cad!$C$23,IF($D264="V02",cad!$D$23,cad!$E$23)))</f>
      </c>
      <c r="H264">
        <f>IF($A264="","",IF($D264="V01",cad!$C$24,IF($D264="V02",cad!$D$24,cad!$E$24)))</f>
      </c>
      <c r="I264">
        <f>IF($A264="","",IF($D264="V01",cad!$C$32,IF($D264="V02",cad!$D$32,cad!$E$32)))</f>
      </c>
      <c r="J264">
        <f>IF($A264="","",IF($D264="V01",cad!$C$33,IF($D264="V02",cad!$D$33,cad!$E$33)))</f>
      </c>
      <c r="K264">
        <f>IF($A264="","",IF($D264="V01",cad!$C$34,IF($D264="V02",cad!$D$34,cad!$E$34)))</f>
      </c>
      <c r="L264">
        <f>IF($A264="","",IF($D264="V01",cad!$C$35,IF($D264="V02",cad!$D$35,cad!$E$35)))</f>
      </c>
      <c r="M264">
        <f>IF($A264="","",IF($D264="V01",cad!$C$36,IF($D264="V02",cad!$D$36,cad!$E$36)))</f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>
        <f>IF($A265="","",IF($D265="V01",cad!$C$23,IF($D265="V02",cad!$D$23,cad!$E$23)))</f>
      </c>
      <c r="H265">
        <f>IF($A265="","",IF($D265="V01",cad!$C$24,IF($D265="V02",cad!$D$24,cad!$E$24)))</f>
      </c>
      <c r="I265">
        <f>IF($A265="","",IF($D265="V01",cad!$C$32,IF($D265="V02",cad!$D$32,cad!$E$32)))</f>
      </c>
      <c r="J265">
        <f>IF($A265="","",IF($D265="V01",cad!$C$33,IF($D265="V02",cad!$D$33,cad!$E$33)))</f>
      </c>
      <c r="K265">
        <f>IF($A265="","",IF($D265="V01",cad!$C$34,IF($D265="V02",cad!$D$34,cad!$E$34)))</f>
      </c>
      <c r="L265">
        <f>IF($A265="","",IF($D265="V01",cad!$C$35,IF($D265="V02",cad!$D$35,cad!$E$35)))</f>
      </c>
      <c r="M265">
        <f>IF($A265="","",IF($D265="V01",cad!$C$36,IF($D265="V02",cad!$D$36,cad!$E$36)))</f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>
        <f>IF($A266="","",IF($D266="V01",cad!$C$23,IF($D266="V02",cad!$D$23,cad!$E$23)))</f>
      </c>
      <c r="H266">
        <f>IF($A266="","",IF($D266="V01",cad!$C$24,IF($D266="V02",cad!$D$24,cad!$E$24)))</f>
      </c>
      <c r="I266">
        <f>IF($A266="","",IF($D266="V01",cad!$C$32,IF($D266="V02",cad!$D$32,cad!$E$32)))</f>
      </c>
      <c r="J266">
        <f>IF($A266="","",IF($D266="V01",cad!$C$33,IF($D266="V02",cad!$D$33,cad!$E$33)))</f>
      </c>
      <c r="K266">
        <f>IF($A266="","",IF($D266="V01",cad!$C$34,IF($D266="V02",cad!$D$34,cad!$E$34)))</f>
      </c>
      <c r="L266">
        <f>IF($A266="","",IF($D266="V01",cad!$C$35,IF($D266="V02",cad!$D$35,cad!$E$35)))</f>
      </c>
      <c r="M266">
        <f>IF($A266="","",IF($D266="V01",cad!$C$36,IF($D266="V02",cad!$D$36,cad!$E$36)))</f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>
        <f>IF($A267="","",IF($D267="V01",cad!$C$23,IF($D267="V02",cad!$D$23,cad!$E$23)))</f>
      </c>
      <c r="H267">
        <f>IF($A267="","",IF($D267="V01",cad!$C$24,IF($D267="V02",cad!$D$24,cad!$E$24)))</f>
      </c>
      <c r="I267">
        <f>IF($A267="","",IF($D267="V01",cad!$C$32,IF($D267="V02",cad!$D$32,cad!$E$32)))</f>
      </c>
      <c r="J267">
        <f>IF($A267="","",IF($D267="V01",cad!$C$33,IF($D267="V02",cad!$D$33,cad!$E$33)))</f>
      </c>
      <c r="K267">
        <f>IF($A267="","",IF($D267="V01",cad!$C$34,IF($D267="V02",cad!$D$34,cad!$E$34)))</f>
      </c>
      <c r="L267">
        <f>IF($A267="","",IF($D267="V01",cad!$C$35,IF($D267="V02",cad!$D$35,cad!$E$35)))</f>
      </c>
      <c r="M267">
        <f>IF($A267="","",IF($D267="V01",cad!$C$36,IF($D267="V02",cad!$D$36,cad!$E$36)))</f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>
        <f>IF($A268="","",IF($D268="V01",cad!$C$23,IF($D268="V02",cad!$D$23,cad!$E$23)))</f>
      </c>
      <c r="H268">
        <f>IF($A268="","",IF($D268="V01",cad!$C$24,IF($D268="V02",cad!$D$24,cad!$E$24)))</f>
      </c>
      <c r="I268">
        <f>IF($A268="","",IF($D268="V01",cad!$C$32,IF($D268="V02",cad!$D$32,cad!$E$32)))</f>
      </c>
      <c r="J268">
        <f>IF($A268="","",IF($D268="V01",cad!$C$33,IF($D268="V02",cad!$D$33,cad!$E$33)))</f>
      </c>
      <c r="K268">
        <f>IF($A268="","",IF($D268="V01",cad!$C$34,IF($D268="V02",cad!$D$34,cad!$E$34)))</f>
      </c>
      <c r="L268">
        <f>IF($A268="","",IF($D268="V01",cad!$C$35,IF($D268="V02",cad!$D$35,cad!$E$35)))</f>
      </c>
      <c r="M268">
        <f>IF($A268="","",IF($D268="V01",cad!$C$36,IF($D268="V02",cad!$D$36,cad!$E$36)))</f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>
        <f>IF($A269="","",IF($D269="V01",cad!$C$23,IF($D269="V02",cad!$D$23,cad!$E$23)))</f>
      </c>
      <c r="H269">
        <f>IF($A269="","",IF($D269="V01",cad!$C$24,IF($D269="V02",cad!$D$24,cad!$E$24)))</f>
      </c>
      <c r="I269">
        <f>IF($A269="","",IF($D269="V01",cad!$C$32,IF($D269="V02",cad!$D$32,cad!$E$32)))</f>
      </c>
      <c r="J269">
        <f>IF($A269="","",IF($D269="V01",cad!$C$33,IF($D269="V02",cad!$D$33,cad!$E$33)))</f>
      </c>
      <c r="K269">
        <f>IF($A269="","",IF($D269="V01",cad!$C$34,IF($D269="V02",cad!$D$34,cad!$E$34)))</f>
      </c>
      <c r="L269">
        <f>IF($A269="","",IF($D269="V01",cad!$C$35,IF($D269="V02",cad!$D$35,cad!$E$35)))</f>
      </c>
      <c r="M269">
        <f>IF($A269="","",IF($D269="V01",cad!$C$36,IF($D269="V02",cad!$D$36,cad!$E$36)))</f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>
        <f>IF($A270="","",IF($D270="V01",cad!$C$23,IF($D270="V02",cad!$D$23,cad!$E$23)))</f>
      </c>
      <c r="H270">
        <f>IF($A270="","",IF($D270="V01",cad!$C$24,IF($D270="V02",cad!$D$24,cad!$E$24)))</f>
      </c>
      <c r="I270">
        <f>IF($A270="","",IF($D270="V01",cad!$C$32,IF($D270="V02",cad!$D$32,cad!$E$32)))</f>
      </c>
      <c r="J270">
        <f>IF($A270="","",IF($D270="V01",cad!$C$33,IF($D270="V02",cad!$D$33,cad!$E$33)))</f>
      </c>
      <c r="K270">
        <f>IF($A270="","",IF($D270="V01",cad!$C$34,IF($D270="V02",cad!$D$34,cad!$E$34)))</f>
      </c>
      <c r="L270">
        <f>IF($A270="","",IF($D270="V01",cad!$C$35,IF($D270="V02",cad!$D$35,cad!$E$35)))</f>
      </c>
      <c r="M270">
        <f>IF($A270="","",IF($D270="V01",cad!$C$36,IF($D270="V02",cad!$D$36,cad!$E$36)))</f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>
        <f>IF($A271="","",IF($D271="V01",cad!$C$23,IF($D271="V02",cad!$D$23,cad!$E$23)))</f>
      </c>
      <c r="H271">
        <f>IF($A271="","",IF($D271="V01",cad!$C$24,IF($D271="V02",cad!$D$24,cad!$E$24)))</f>
      </c>
      <c r="I271">
        <f>IF($A271="","",IF($D271="V01",cad!$C$32,IF($D271="V02",cad!$D$32,cad!$E$32)))</f>
      </c>
      <c r="J271">
        <f>IF($A271="","",IF($D271="V01",cad!$C$33,IF($D271="V02",cad!$D$33,cad!$E$33)))</f>
      </c>
      <c r="K271">
        <f>IF($A271="","",IF($D271="V01",cad!$C$34,IF($D271="V02",cad!$D$34,cad!$E$34)))</f>
      </c>
      <c r="L271">
        <f>IF($A271="","",IF($D271="V01",cad!$C$35,IF($D271="V02",cad!$D$35,cad!$E$35)))</f>
      </c>
      <c r="M271">
        <f>IF($A271="","",IF($D271="V01",cad!$C$36,IF($D271="V02",cad!$D$36,cad!$E$36)))</f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>
        <f>IF($A272="","",IF($D272="V01",cad!$C$23,IF($D272="V02",cad!$D$23,cad!$E$23)))</f>
      </c>
      <c r="H272">
        <f>IF($A272="","",IF($D272="V01",cad!$C$24,IF($D272="V02",cad!$D$24,cad!$E$24)))</f>
      </c>
      <c r="I272">
        <f>IF($A272="","",IF($D272="V01",cad!$C$32,IF($D272="V02",cad!$D$32,cad!$E$32)))</f>
      </c>
      <c r="J272">
        <f>IF($A272="","",IF($D272="V01",cad!$C$33,IF($D272="V02",cad!$D$33,cad!$E$33)))</f>
      </c>
      <c r="K272">
        <f>IF($A272="","",IF($D272="V01",cad!$C$34,IF($D272="V02",cad!$D$34,cad!$E$34)))</f>
      </c>
      <c r="L272">
        <f>IF($A272="","",IF($D272="V01",cad!$C$35,IF($D272="V02",cad!$D$35,cad!$E$35)))</f>
      </c>
      <c r="M272">
        <f>IF($A272="","",IF($D272="V01",cad!$C$36,IF($D272="V02",cad!$D$36,cad!$E$36)))</f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>
        <f>IF($A273="","",IF($D273="V01",cad!$C$23,IF($D273="V02",cad!$D$23,cad!$E$23)))</f>
      </c>
      <c r="H273">
        <f>IF($A273="","",IF($D273="V01",cad!$C$24,IF($D273="V02",cad!$D$24,cad!$E$24)))</f>
      </c>
      <c r="I273">
        <f>IF($A273="","",IF($D273="V01",cad!$C$32,IF($D273="V02",cad!$D$32,cad!$E$32)))</f>
      </c>
      <c r="J273">
        <f>IF($A273="","",IF($D273="V01",cad!$C$33,IF($D273="V02",cad!$D$33,cad!$E$33)))</f>
      </c>
      <c r="K273">
        <f>IF($A273="","",IF($D273="V01",cad!$C$34,IF($D273="V02",cad!$D$34,cad!$E$34)))</f>
      </c>
      <c r="L273">
        <f>IF($A273="","",IF($D273="V01",cad!$C$35,IF($D273="V02",cad!$D$35,cad!$E$35)))</f>
      </c>
      <c r="M273">
        <f>IF($A273="","",IF($D273="V01",cad!$C$36,IF($D273="V02",cad!$D$36,cad!$E$36)))</f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>
        <f>IF($A274="","",IF($D274="V01",cad!$C$23,IF($D274="V02",cad!$D$23,cad!$E$23)))</f>
      </c>
      <c r="H274">
        <f>IF($A274="","",IF($D274="V01",cad!$C$24,IF($D274="V02",cad!$D$24,cad!$E$24)))</f>
      </c>
      <c r="I274">
        <f>IF($A274="","",IF($D274="V01",cad!$C$32,IF($D274="V02",cad!$D$32,cad!$E$32)))</f>
      </c>
      <c r="J274">
        <f>IF($A274="","",IF($D274="V01",cad!$C$33,IF($D274="V02",cad!$D$33,cad!$E$33)))</f>
      </c>
      <c r="K274">
        <f>IF($A274="","",IF($D274="V01",cad!$C$34,IF($D274="V02",cad!$D$34,cad!$E$34)))</f>
      </c>
      <c r="L274">
        <f>IF($A274="","",IF($D274="V01",cad!$C$35,IF($D274="V02",cad!$D$35,cad!$E$35)))</f>
      </c>
      <c r="M274">
        <f>IF($A274="","",IF($D274="V01",cad!$C$36,IF($D274="V02",cad!$D$36,cad!$E$36)))</f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>
        <f>IF($A275="","",IF($D275="V01",cad!$C$23,IF($D275="V02",cad!$D$23,cad!$E$23)))</f>
      </c>
      <c r="H275">
        <f>IF($A275="","",IF($D275="V01",cad!$C$24,IF($D275="V02",cad!$D$24,cad!$E$24)))</f>
      </c>
      <c r="I275">
        <f>IF($A275="","",IF($D275="V01",cad!$C$32,IF($D275="V02",cad!$D$32,cad!$E$32)))</f>
      </c>
      <c r="J275">
        <f>IF($A275="","",IF($D275="V01",cad!$C$33,IF($D275="V02",cad!$D$33,cad!$E$33)))</f>
      </c>
      <c r="K275">
        <f>IF($A275="","",IF($D275="V01",cad!$C$34,IF($D275="V02",cad!$D$34,cad!$E$34)))</f>
      </c>
      <c r="L275">
        <f>IF($A275="","",IF($D275="V01",cad!$C$35,IF($D275="V02",cad!$D$35,cad!$E$35)))</f>
      </c>
      <c r="M275">
        <f>IF($A275="","",IF($D275="V01",cad!$C$36,IF($D275="V02",cad!$D$36,cad!$E$36)))</f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>
        <f>IF($A276="","",IF($D276="V01",cad!$C$23,IF($D276="V02",cad!$D$23,cad!$E$23)))</f>
      </c>
      <c r="H276">
        <f>IF($A276="","",IF($D276="V01",cad!$C$24,IF($D276="V02",cad!$D$24,cad!$E$24)))</f>
      </c>
      <c r="I276">
        <f>IF($A276="","",IF($D276="V01",cad!$C$32,IF($D276="V02",cad!$D$32,cad!$E$32)))</f>
      </c>
      <c r="J276">
        <f>IF($A276="","",IF($D276="V01",cad!$C$33,IF($D276="V02",cad!$D$33,cad!$E$33)))</f>
      </c>
      <c r="K276">
        <f>IF($A276="","",IF($D276="V01",cad!$C$34,IF($D276="V02",cad!$D$34,cad!$E$34)))</f>
      </c>
      <c r="L276">
        <f>IF($A276="","",IF($D276="V01",cad!$C$35,IF($D276="V02",cad!$D$35,cad!$E$35)))</f>
      </c>
      <c r="M276">
        <f>IF($A276="","",IF($D276="V01",cad!$C$36,IF($D276="V02",cad!$D$36,cad!$E$36)))</f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>
        <f>IF($A277="","",IF($D277="V01",cad!$C$23,IF($D277="V02",cad!$D$23,cad!$E$23)))</f>
      </c>
      <c r="H277">
        <f>IF($A277="","",IF($D277="V01",cad!$C$24,IF($D277="V02",cad!$D$24,cad!$E$24)))</f>
      </c>
      <c r="I277">
        <f>IF($A277="","",IF($D277="V01",cad!$C$32,IF($D277="V02",cad!$D$32,cad!$E$32)))</f>
      </c>
      <c r="J277">
        <f>IF($A277="","",IF($D277="V01",cad!$C$33,IF($D277="V02",cad!$D$33,cad!$E$33)))</f>
      </c>
      <c r="K277">
        <f>IF($A277="","",IF($D277="V01",cad!$C$34,IF($D277="V02",cad!$D$34,cad!$E$34)))</f>
      </c>
      <c r="L277">
        <f>IF($A277="","",IF($D277="V01",cad!$C$35,IF($D277="V02",cad!$D$35,cad!$E$35)))</f>
      </c>
      <c r="M277">
        <f>IF($A277="","",IF($D277="V01",cad!$C$36,IF($D277="V02",cad!$D$36,cad!$E$36)))</f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>
        <f>IF($A278="","",IF($D278="V01",cad!$C$23,IF($D278="V02",cad!$D$23,cad!$E$23)))</f>
      </c>
      <c r="H278">
        <f>IF($A278="","",IF($D278="V01",cad!$C$24,IF($D278="V02",cad!$D$24,cad!$E$24)))</f>
      </c>
      <c r="I278">
        <f>IF($A278="","",IF($D278="V01",cad!$C$32,IF($D278="V02",cad!$D$32,cad!$E$32)))</f>
      </c>
      <c r="J278">
        <f>IF($A278="","",IF($D278="V01",cad!$C$33,IF($D278="V02",cad!$D$33,cad!$E$33)))</f>
      </c>
      <c r="K278">
        <f>IF($A278="","",IF($D278="V01",cad!$C$34,IF($D278="V02",cad!$D$34,cad!$E$34)))</f>
      </c>
      <c r="L278">
        <f>IF($A278="","",IF($D278="V01",cad!$C$35,IF($D278="V02",cad!$D$35,cad!$E$35)))</f>
      </c>
      <c r="M278">
        <f>IF($A278="","",IF($D278="V01",cad!$C$36,IF($D278="V02",cad!$D$36,cad!$E$36)))</f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>
        <f>IF($A279="","",IF($D279="V01",cad!$C$23,IF($D279="V02",cad!$D$23,cad!$E$23)))</f>
      </c>
      <c r="H279">
        <f>IF($A279="","",IF($D279="V01",cad!$C$24,IF($D279="V02",cad!$D$24,cad!$E$24)))</f>
      </c>
      <c r="I279">
        <f>IF($A279="","",IF($D279="V01",cad!$C$32,IF($D279="V02",cad!$D$32,cad!$E$32)))</f>
      </c>
      <c r="J279">
        <f>IF($A279="","",IF($D279="V01",cad!$C$33,IF($D279="V02",cad!$D$33,cad!$E$33)))</f>
      </c>
      <c r="K279">
        <f>IF($A279="","",IF($D279="V01",cad!$C$34,IF($D279="V02",cad!$D$34,cad!$E$34)))</f>
      </c>
      <c r="L279">
        <f>IF($A279="","",IF($D279="V01",cad!$C$35,IF($D279="V02",cad!$D$35,cad!$E$35)))</f>
      </c>
      <c r="M279">
        <f>IF($A279="","",IF($D279="V01",cad!$C$36,IF($D279="V02",cad!$D$36,cad!$E$36)))</f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>
        <f>IF($A280="","",IF($D280="V01",cad!$C$23,IF($D280="V02",cad!$D$23,cad!$E$23)))</f>
      </c>
      <c r="H280">
        <f>IF($A280="","",IF($D280="V01",cad!$C$24,IF($D280="V02",cad!$D$24,cad!$E$24)))</f>
      </c>
      <c r="I280">
        <f>IF($A280="","",IF($D280="V01",cad!$C$32,IF($D280="V02",cad!$D$32,cad!$E$32)))</f>
      </c>
      <c r="J280">
        <f>IF($A280="","",IF($D280="V01",cad!$C$33,IF($D280="V02",cad!$D$33,cad!$E$33)))</f>
      </c>
      <c r="K280">
        <f>IF($A280="","",IF($D280="V01",cad!$C$34,IF($D280="V02",cad!$D$34,cad!$E$34)))</f>
      </c>
      <c r="L280">
        <f>IF($A280="","",IF($D280="V01",cad!$C$35,IF($D280="V02",cad!$D$35,cad!$E$35)))</f>
      </c>
      <c r="M280">
        <f>IF($A280="","",IF($D280="V01",cad!$C$36,IF($D280="V02",cad!$D$36,cad!$E$36)))</f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>
        <f>IF($A281="","",IF($D281="V01",cad!$C$23,IF($D281="V02",cad!$D$23,cad!$E$23)))</f>
      </c>
      <c r="H281">
        <f>IF($A281="","",IF($D281="V01",cad!$C$24,IF($D281="V02",cad!$D$24,cad!$E$24)))</f>
      </c>
      <c r="I281">
        <f>IF($A281="","",IF($D281="V01",cad!$C$32,IF($D281="V02",cad!$D$32,cad!$E$32)))</f>
      </c>
      <c r="J281">
        <f>IF($A281="","",IF($D281="V01",cad!$C$33,IF($D281="V02",cad!$D$33,cad!$E$33)))</f>
      </c>
      <c r="K281">
        <f>IF($A281="","",IF($D281="V01",cad!$C$34,IF($D281="V02",cad!$D$34,cad!$E$34)))</f>
      </c>
      <c r="L281">
        <f>IF($A281="","",IF($D281="V01",cad!$C$35,IF($D281="V02",cad!$D$35,cad!$E$35)))</f>
      </c>
      <c r="M281">
        <f>IF($A281="","",IF($D281="V01",cad!$C$36,IF($D281="V02",cad!$D$36,cad!$E$36)))</f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>
        <f>IF($A282="","",IF($D282="V01",cad!$C$23,IF($D282="V02",cad!$D$23,cad!$E$23)))</f>
      </c>
      <c r="H282">
        <f>IF($A282="","",IF($D282="V01",cad!$C$24,IF($D282="V02",cad!$D$24,cad!$E$24)))</f>
      </c>
      <c r="I282">
        <f>IF($A282="","",IF($D282="V01",cad!$C$32,IF($D282="V02",cad!$D$32,cad!$E$32)))</f>
      </c>
      <c r="J282">
        <f>IF($A282="","",IF($D282="V01",cad!$C$33,IF($D282="V02",cad!$D$33,cad!$E$33)))</f>
      </c>
      <c r="K282">
        <f>IF($A282="","",IF($D282="V01",cad!$C$34,IF($D282="V02",cad!$D$34,cad!$E$34)))</f>
      </c>
      <c r="L282">
        <f>IF($A282="","",IF($D282="V01",cad!$C$35,IF($D282="V02",cad!$D$35,cad!$E$35)))</f>
      </c>
      <c r="M282">
        <f>IF($A282="","",IF($D282="V01",cad!$C$36,IF($D282="V02",cad!$D$36,cad!$E$36)))</f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>
        <f>IF($A283="","",IF($D283="V01",cad!$C$23,IF($D283="V02",cad!$D$23,cad!$E$23)))</f>
      </c>
      <c r="H283">
        <f>IF($A283="","",IF($D283="V01",cad!$C$24,IF($D283="V02",cad!$D$24,cad!$E$24)))</f>
      </c>
      <c r="I283">
        <f>IF($A283="","",IF($D283="V01",cad!$C$32,IF($D283="V02",cad!$D$32,cad!$E$32)))</f>
      </c>
      <c r="J283">
        <f>IF($A283="","",IF($D283="V01",cad!$C$33,IF($D283="V02",cad!$D$33,cad!$E$33)))</f>
      </c>
      <c r="K283">
        <f>IF($A283="","",IF($D283="V01",cad!$C$34,IF($D283="V02",cad!$D$34,cad!$E$34)))</f>
      </c>
      <c r="L283">
        <f>IF($A283="","",IF($D283="V01",cad!$C$35,IF($D283="V02",cad!$D$35,cad!$E$35)))</f>
      </c>
      <c r="M283">
        <f>IF($A283="","",IF($D283="V01",cad!$C$36,IF($D283="V02",cad!$D$36,cad!$E$36)))</f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>
        <f>IF($A284="","",IF($D284="V01",cad!$C$23,IF($D284="V02",cad!$D$23,cad!$E$23)))</f>
      </c>
      <c r="H284">
        <f>IF($A284="","",IF($D284="V01",cad!$C$24,IF($D284="V02",cad!$D$24,cad!$E$24)))</f>
      </c>
      <c r="I284">
        <f>IF($A284="","",IF($D284="V01",cad!$C$32,IF($D284="V02",cad!$D$32,cad!$E$32)))</f>
      </c>
      <c r="J284">
        <f>IF($A284="","",IF($D284="V01",cad!$C$33,IF($D284="V02",cad!$D$33,cad!$E$33)))</f>
      </c>
      <c r="K284">
        <f>IF($A284="","",IF($D284="V01",cad!$C$34,IF($D284="V02",cad!$D$34,cad!$E$34)))</f>
      </c>
      <c r="L284">
        <f>IF($A284="","",IF($D284="V01",cad!$C$35,IF($D284="V02",cad!$D$35,cad!$E$35)))</f>
      </c>
      <c r="M284">
        <f>IF($A284="","",IF($D284="V01",cad!$C$36,IF($D284="V02",cad!$D$36,cad!$E$36)))</f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>
        <f>IF($A285="","",IF($D285="V01",cad!$C$23,IF($D285="V02",cad!$D$23,cad!$E$23)))</f>
      </c>
      <c r="H285">
        <f>IF($A285="","",IF($D285="V01",cad!$C$24,IF($D285="V02",cad!$D$24,cad!$E$24)))</f>
      </c>
      <c r="I285">
        <f>IF($A285="","",IF($D285="V01",cad!$C$32,IF($D285="V02",cad!$D$32,cad!$E$32)))</f>
      </c>
      <c r="J285">
        <f>IF($A285="","",IF($D285="V01",cad!$C$33,IF($D285="V02",cad!$D$33,cad!$E$33)))</f>
      </c>
      <c r="K285">
        <f>IF($A285="","",IF($D285="V01",cad!$C$34,IF($D285="V02",cad!$D$34,cad!$E$34)))</f>
      </c>
      <c r="L285">
        <f>IF($A285="","",IF($D285="V01",cad!$C$35,IF($D285="V02",cad!$D$35,cad!$E$35)))</f>
      </c>
      <c r="M285">
        <f>IF($A285="","",IF($D285="V01",cad!$C$36,IF($D285="V02",cad!$D$36,cad!$E$36)))</f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>
        <f>IF($A286="","",IF($D286="V01",cad!$C$23,IF($D286="V02",cad!$D$23,cad!$E$23)))</f>
      </c>
      <c r="H286">
        <f>IF($A286="","",IF($D286="V01",cad!$C$24,IF($D286="V02",cad!$D$24,cad!$E$24)))</f>
      </c>
      <c r="I286">
        <f>IF($A286="","",IF($D286="V01",cad!$C$32,IF($D286="V02",cad!$D$32,cad!$E$32)))</f>
      </c>
      <c r="J286">
        <f>IF($A286="","",IF($D286="V01",cad!$C$33,IF($D286="V02",cad!$D$33,cad!$E$33)))</f>
      </c>
      <c r="K286">
        <f>IF($A286="","",IF($D286="V01",cad!$C$34,IF($D286="V02",cad!$D$34,cad!$E$34)))</f>
      </c>
      <c r="L286">
        <f>IF($A286="","",IF($D286="V01",cad!$C$35,IF($D286="V02",cad!$D$35,cad!$E$35)))</f>
      </c>
      <c r="M286">
        <f>IF($A286="","",IF($D286="V01",cad!$C$36,IF($D286="V02",cad!$D$36,cad!$E$36)))</f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>
        <f>IF($A287="","",IF($D287="V01",cad!$C$23,IF($D287="V02",cad!$D$23,cad!$E$23)))</f>
      </c>
      <c r="H287">
        <f>IF($A287="","",IF($D287="V01",cad!$C$24,IF($D287="V02",cad!$D$24,cad!$E$24)))</f>
      </c>
      <c r="I287">
        <f>IF($A287="","",IF($D287="V01",cad!$C$32,IF($D287="V02",cad!$D$32,cad!$E$32)))</f>
      </c>
      <c r="J287">
        <f>IF($A287="","",IF($D287="V01",cad!$C$33,IF($D287="V02",cad!$D$33,cad!$E$33)))</f>
      </c>
      <c r="K287">
        <f>IF($A287="","",IF($D287="V01",cad!$C$34,IF($D287="V02",cad!$D$34,cad!$E$34)))</f>
      </c>
      <c r="L287">
        <f>IF($A287="","",IF($D287="V01",cad!$C$35,IF($D287="V02",cad!$D$35,cad!$E$35)))</f>
      </c>
      <c r="M287">
        <f>IF($A287="","",IF($D287="V01",cad!$C$36,IF($D287="V02",cad!$D$36,cad!$E$36)))</f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>
        <f>IF($A288="","",IF($D288="V01",cad!$C$23,IF($D288="V02",cad!$D$23,cad!$E$23)))</f>
      </c>
      <c r="H288">
        <f>IF($A288="","",IF($D288="V01",cad!$C$24,IF($D288="V02",cad!$D$24,cad!$E$24)))</f>
      </c>
      <c r="I288">
        <f>IF($A288="","",IF($D288="V01",cad!$C$32,IF($D288="V02",cad!$D$32,cad!$E$32)))</f>
      </c>
      <c r="J288">
        <f>IF($A288="","",IF($D288="V01",cad!$C$33,IF($D288="V02",cad!$D$33,cad!$E$33)))</f>
      </c>
      <c r="K288">
        <f>IF($A288="","",IF($D288="V01",cad!$C$34,IF($D288="V02",cad!$D$34,cad!$E$34)))</f>
      </c>
      <c r="L288">
        <f>IF($A288="","",IF($D288="V01",cad!$C$35,IF($D288="V02",cad!$D$35,cad!$E$35)))</f>
      </c>
      <c r="M288">
        <f>IF($A288="","",IF($D288="V01",cad!$C$36,IF($D288="V02",cad!$D$36,cad!$E$36)))</f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>
        <f>IF($A289="","",IF($D289="V01",cad!$C$23,IF($D289="V02",cad!$D$23,cad!$E$23)))</f>
      </c>
      <c r="H289">
        <f>IF($A289="","",IF($D289="V01",cad!$C$24,IF($D289="V02",cad!$D$24,cad!$E$24)))</f>
      </c>
      <c r="I289">
        <f>IF($A289="","",IF($D289="V01",cad!$C$32,IF($D289="V02",cad!$D$32,cad!$E$32)))</f>
      </c>
      <c r="J289">
        <f>IF($A289="","",IF($D289="V01",cad!$C$33,IF($D289="V02",cad!$D$33,cad!$E$33)))</f>
      </c>
      <c r="K289">
        <f>IF($A289="","",IF($D289="V01",cad!$C$34,IF($D289="V02",cad!$D$34,cad!$E$34)))</f>
      </c>
      <c r="L289">
        <f>IF($A289="","",IF($D289="V01",cad!$C$35,IF($D289="V02",cad!$D$35,cad!$E$35)))</f>
      </c>
      <c r="M289">
        <f>IF($A289="","",IF($D289="V01",cad!$C$36,IF($D289="V02",cad!$D$36,cad!$E$36)))</f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>
        <f>IF($A290="","",IF($D290="V01",cad!$C$23,IF($D290="V02",cad!$D$23,cad!$E$23)))</f>
      </c>
      <c r="H290">
        <f>IF($A290="","",IF($D290="V01",cad!$C$24,IF($D290="V02",cad!$D$24,cad!$E$24)))</f>
      </c>
      <c r="I290">
        <f>IF($A290="","",IF($D290="V01",cad!$C$32,IF($D290="V02",cad!$D$32,cad!$E$32)))</f>
      </c>
      <c r="J290">
        <f>IF($A290="","",IF($D290="V01",cad!$C$33,IF($D290="V02",cad!$D$33,cad!$E$33)))</f>
      </c>
      <c r="K290">
        <f>IF($A290="","",IF($D290="V01",cad!$C$34,IF($D290="V02",cad!$D$34,cad!$E$34)))</f>
      </c>
      <c r="L290">
        <f>IF($A290="","",IF($D290="V01",cad!$C$35,IF($D290="V02",cad!$D$35,cad!$E$35)))</f>
      </c>
      <c r="M290">
        <f>IF($A290="","",IF($D290="V01",cad!$C$36,IF($D290="V02",cad!$D$36,cad!$E$36)))</f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>
        <f>IF($A291="","",IF($D291="V01",cad!$C$23,IF($D291="V02",cad!$D$23,cad!$E$23)))</f>
      </c>
      <c r="H291">
        <f>IF($A291="","",IF($D291="V01",cad!$C$24,IF($D291="V02",cad!$D$24,cad!$E$24)))</f>
      </c>
      <c r="I291">
        <f>IF($A291="","",IF($D291="V01",cad!$C$32,IF($D291="V02",cad!$D$32,cad!$E$32)))</f>
      </c>
      <c r="J291">
        <f>IF($A291="","",IF($D291="V01",cad!$C$33,IF($D291="V02",cad!$D$33,cad!$E$33)))</f>
      </c>
      <c r="K291">
        <f>IF($A291="","",IF($D291="V01",cad!$C$34,IF($D291="V02",cad!$D$34,cad!$E$34)))</f>
      </c>
      <c r="L291">
        <f>IF($A291="","",IF($D291="V01",cad!$C$35,IF($D291="V02",cad!$D$35,cad!$E$35)))</f>
      </c>
      <c r="M291">
        <f>IF($A291="","",IF($D291="V01",cad!$C$36,IF($D291="V02",cad!$D$36,cad!$E$36)))</f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>
        <f>IF($A292="","",IF($D292="V01",cad!$C$23,IF($D292="V02",cad!$D$23,cad!$E$23)))</f>
      </c>
      <c r="H292">
        <f>IF($A292="","",IF($D292="V01",cad!$C$24,IF($D292="V02",cad!$D$24,cad!$E$24)))</f>
      </c>
      <c r="I292">
        <f>IF($A292="","",IF($D292="V01",cad!$C$32,IF($D292="V02",cad!$D$32,cad!$E$32)))</f>
      </c>
      <c r="J292">
        <f>IF($A292="","",IF($D292="V01",cad!$C$33,IF($D292="V02",cad!$D$33,cad!$E$33)))</f>
      </c>
      <c r="K292">
        <f>IF($A292="","",IF($D292="V01",cad!$C$34,IF($D292="V02",cad!$D$34,cad!$E$34)))</f>
      </c>
      <c r="L292">
        <f>IF($A292="","",IF($D292="V01",cad!$C$35,IF($D292="V02",cad!$D$35,cad!$E$35)))</f>
      </c>
      <c r="M292">
        <f>IF($A292="","",IF($D292="V01",cad!$C$36,IF($D292="V02",cad!$D$36,cad!$E$36)))</f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>
        <f>IF($A293="","",IF($D293="V01",cad!$C$23,IF($D293="V02",cad!$D$23,cad!$E$23)))</f>
      </c>
      <c r="H293">
        <f>IF($A293="","",IF($D293="V01",cad!$C$24,IF($D293="V02",cad!$D$24,cad!$E$24)))</f>
      </c>
      <c r="I293">
        <f>IF($A293="","",IF($D293="V01",cad!$C$32,IF($D293="V02",cad!$D$32,cad!$E$32)))</f>
      </c>
      <c r="J293">
        <f>IF($A293="","",IF($D293="V01",cad!$C$33,IF($D293="V02",cad!$D$33,cad!$E$33)))</f>
      </c>
      <c r="K293">
        <f>IF($A293="","",IF($D293="V01",cad!$C$34,IF($D293="V02",cad!$D$34,cad!$E$34)))</f>
      </c>
      <c r="L293">
        <f>IF($A293="","",IF($D293="V01",cad!$C$35,IF($D293="V02",cad!$D$35,cad!$E$35)))</f>
      </c>
      <c r="M293">
        <f>IF($A293="","",IF($D293="V01",cad!$C$36,IF($D293="V02",cad!$D$36,cad!$E$36)))</f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>
        <f>IF($A294="","",IF($D294="V01",cad!$C$23,IF($D294="V02",cad!$D$23,cad!$E$23)))</f>
      </c>
      <c r="H294">
        <f>IF($A294="","",IF($D294="V01",cad!$C$24,IF($D294="V02",cad!$D$24,cad!$E$24)))</f>
      </c>
      <c r="I294">
        <f>IF($A294="","",IF($D294="V01",cad!$C$32,IF($D294="V02",cad!$D$32,cad!$E$32)))</f>
      </c>
      <c r="J294">
        <f>IF($A294="","",IF($D294="V01",cad!$C$33,IF($D294="V02",cad!$D$33,cad!$E$33)))</f>
      </c>
      <c r="K294">
        <f>IF($A294="","",IF($D294="V01",cad!$C$34,IF($D294="V02",cad!$D$34,cad!$E$34)))</f>
      </c>
      <c r="L294">
        <f>IF($A294="","",IF($D294="V01",cad!$C$35,IF($D294="V02",cad!$D$35,cad!$E$35)))</f>
      </c>
      <c r="M294">
        <f>IF($A294="","",IF($D294="V01",cad!$C$36,IF($D294="V02",cad!$D$36,cad!$E$36)))</f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>
        <f>IF($A295="","",IF($D295="V01",cad!$C$23,IF($D295="V02",cad!$D$23,cad!$E$23)))</f>
      </c>
      <c r="H295">
        <f>IF($A295="","",IF($D295="V01",cad!$C$24,IF($D295="V02",cad!$D$24,cad!$E$24)))</f>
      </c>
      <c r="I295">
        <f>IF($A295="","",IF($D295="V01",cad!$C$32,IF($D295="V02",cad!$D$32,cad!$E$32)))</f>
      </c>
      <c r="J295">
        <f>IF($A295="","",IF($D295="V01",cad!$C$33,IF($D295="V02",cad!$D$33,cad!$E$33)))</f>
      </c>
      <c r="K295">
        <f>IF($A295="","",IF($D295="V01",cad!$C$34,IF($D295="V02",cad!$D$34,cad!$E$34)))</f>
      </c>
      <c r="L295">
        <f>IF($A295="","",IF($D295="V01",cad!$C$35,IF($D295="V02",cad!$D$35,cad!$E$35)))</f>
      </c>
      <c r="M295">
        <f>IF($A295="","",IF($D295="V01",cad!$C$36,IF($D295="V02",cad!$D$36,cad!$E$36)))</f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>
        <f>IF($A296="","",IF($D296="V01",cad!$C$23,IF($D296="V02",cad!$D$23,cad!$E$23)))</f>
      </c>
      <c r="H296">
        <f>IF($A296="","",IF($D296="V01",cad!$C$24,IF($D296="V02",cad!$D$24,cad!$E$24)))</f>
      </c>
      <c r="I296">
        <f>IF($A296="","",IF($D296="V01",cad!$C$32,IF($D296="V02",cad!$D$32,cad!$E$32)))</f>
      </c>
      <c r="J296">
        <f>IF($A296="","",IF($D296="V01",cad!$C$33,IF($D296="V02",cad!$D$33,cad!$E$33)))</f>
      </c>
      <c r="K296">
        <f>IF($A296="","",IF($D296="V01",cad!$C$34,IF($D296="V02",cad!$D$34,cad!$E$34)))</f>
      </c>
      <c r="L296">
        <f>IF($A296="","",IF($D296="V01",cad!$C$35,IF($D296="V02",cad!$D$35,cad!$E$35)))</f>
      </c>
      <c r="M296">
        <f>IF($A296="","",IF($D296="V01",cad!$C$36,IF($D296="V02",cad!$D$36,cad!$E$36)))</f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>
        <f>IF($A297="","",IF($D297="V01",cad!$C$23,IF($D297="V02",cad!$D$23,cad!$E$23)))</f>
      </c>
      <c r="H297">
        <f>IF($A297="","",IF($D297="V01",cad!$C$24,IF($D297="V02",cad!$D$24,cad!$E$24)))</f>
      </c>
      <c r="I297">
        <f>IF($A297="","",IF($D297="V01",cad!$C$32,IF($D297="V02",cad!$D$32,cad!$E$32)))</f>
      </c>
      <c r="J297">
        <f>IF($A297="","",IF($D297="V01",cad!$C$33,IF($D297="V02",cad!$D$33,cad!$E$33)))</f>
      </c>
      <c r="K297">
        <f>IF($A297="","",IF($D297="V01",cad!$C$34,IF($D297="V02",cad!$D$34,cad!$E$34)))</f>
      </c>
      <c r="L297">
        <f>IF($A297="","",IF($D297="V01",cad!$C$35,IF($D297="V02",cad!$D$35,cad!$E$35)))</f>
      </c>
      <c r="M297">
        <f>IF($A297="","",IF($D297="V01",cad!$C$36,IF($D297="V02",cad!$D$36,cad!$E$36)))</f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>
        <f>IF($A298="","",IF($D298="V01",cad!$C$23,IF($D298="V02",cad!$D$23,cad!$E$23)))</f>
      </c>
      <c r="H298">
        <f>IF($A298="","",IF($D298="V01",cad!$C$24,IF($D298="V02",cad!$D$24,cad!$E$24)))</f>
      </c>
      <c r="I298">
        <f>IF($A298="","",IF($D298="V01",cad!$C$32,IF($D298="V02",cad!$D$32,cad!$E$32)))</f>
      </c>
      <c r="J298">
        <f>IF($A298="","",IF($D298="V01",cad!$C$33,IF($D298="V02",cad!$D$33,cad!$E$33)))</f>
      </c>
      <c r="K298">
        <f>IF($A298="","",IF($D298="V01",cad!$C$34,IF($D298="V02",cad!$D$34,cad!$E$34)))</f>
      </c>
      <c r="L298">
        <f>IF($A298="","",IF($D298="V01",cad!$C$35,IF($D298="V02",cad!$D$35,cad!$E$35)))</f>
      </c>
      <c r="M298">
        <f>IF($A298="","",IF($D298="V01",cad!$C$36,IF($D298="V02",cad!$D$36,cad!$E$36)))</f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>
        <f>IF($A299="","",IF($D299="V01",cad!$C$23,IF($D299="V02",cad!$D$23,cad!$E$23)))</f>
      </c>
      <c r="H299">
        <f>IF($A299="","",IF($D299="V01",cad!$C$24,IF($D299="V02",cad!$D$24,cad!$E$24)))</f>
      </c>
      <c r="I299">
        <f>IF($A299="","",IF($D299="V01",cad!$C$32,IF($D299="V02",cad!$D$32,cad!$E$32)))</f>
      </c>
      <c r="J299">
        <f>IF($A299="","",IF($D299="V01",cad!$C$33,IF($D299="V02",cad!$D$33,cad!$E$33)))</f>
      </c>
      <c r="K299">
        <f>IF($A299="","",IF($D299="V01",cad!$C$34,IF($D299="V02",cad!$D$34,cad!$E$34)))</f>
      </c>
      <c r="L299">
        <f>IF($A299="","",IF($D299="V01",cad!$C$35,IF($D299="V02",cad!$D$35,cad!$E$35)))</f>
      </c>
      <c r="M299">
        <f>IF($A299="","",IF($D299="V01",cad!$C$36,IF($D299="V02",cad!$D$36,cad!$E$36)))</f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>
        <f>IF($A300="","",IF($D300="V01",cad!$C$23,IF($D300="V02",cad!$D$23,cad!$E$23)))</f>
      </c>
      <c r="H300">
        <f>IF($A300="","",IF($D300="V01",cad!$C$24,IF($D300="V02",cad!$D$24,cad!$E$24)))</f>
      </c>
      <c r="I300">
        <f>IF($A300="","",IF($D300="V01",cad!$C$32,IF($D300="V02",cad!$D$32,cad!$E$32)))</f>
      </c>
      <c r="J300">
        <f>IF($A300="","",IF($D300="V01",cad!$C$33,IF($D300="V02",cad!$D$33,cad!$E$33)))</f>
      </c>
      <c r="K300">
        <f>IF($A300="","",IF($D300="V01",cad!$C$34,IF($D300="V02",cad!$D$34,cad!$E$34)))</f>
      </c>
      <c r="L300">
        <f>IF($A300="","",IF($D300="V01",cad!$C$35,IF($D300="V02",cad!$D$35,cad!$E$35)))</f>
      </c>
      <c r="M300">
        <f>IF($A300="","",IF($D300="V01",cad!$C$36,IF($D300="V02",cad!$D$36,cad!$E$36)))</f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>
        <f>IF($A301="","",IF($D301="V01",cad!$C$23,IF($D301="V02",cad!$D$23,cad!$E$23)))</f>
      </c>
      <c r="H301">
        <f>IF($A301="","",IF($D301="V01",cad!$C$24,IF($D301="V02",cad!$D$24,cad!$E$24)))</f>
      </c>
      <c r="I301">
        <f>IF($A301="","",IF($D301="V01",cad!$C$32,IF($D301="V02",cad!$D$32,cad!$E$32)))</f>
      </c>
      <c r="J301">
        <f>IF($A301="","",IF($D301="V01",cad!$C$33,IF($D301="V02",cad!$D$33,cad!$E$33)))</f>
      </c>
      <c r="K301">
        <f>IF($A301="","",IF($D301="V01",cad!$C$34,IF($D301="V02",cad!$D$34,cad!$E$34)))</f>
      </c>
      <c r="L301">
        <f>IF($A301="","",IF($D301="V01",cad!$C$35,IF($D301="V02",cad!$D$35,cad!$E$35)))</f>
      </c>
      <c r="M301">
        <f>IF($A301="","",IF($D301="V01",cad!$C$36,IF($D301="V02",cad!$D$36,cad!$E$36)))</f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>
        <f>IF($A302="","",IF($D302="V01",cad!$C$23,IF($D302="V02",cad!$D$23,cad!$E$23)))</f>
      </c>
      <c r="H302">
        <f>IF($A302="","",IF($D302="V01",cad!$C$24,IF($D302="V02",cad!$D$24,cad!$E$24)))</f>
      </c>
      <c r="I302">
        <f>IF($A302="","",IF($D302="V01",cad!$C$32,IF($D302="V02",cad!$D$32,cad!$E$32)))</f>
      </c>
      <c r="J302">
        <f>IF($A302="","",IF($D302="V01",cad!$C$33,IF($D302="V02",cad!$D$33,cad!$E$33)))</f>
      </c>
      <c r="K302">
        <f>IF($A302="","",IF($D302="V01",cad!$C$34,IF($D302="V02",cad!$D$34,cad!$E$34)))</f>
      </c>
      <c r="L302">
        <f>IF($A302="","",IF($D302="V01",cad!$C$35,IF($D302="V02",cad!$D$35,cad!$E$35)))</f>
      </c>
      <c r="M302">
        <f>IF($A302="","",IF($D302="V01",cad!$C$36,IF($D302="V02",cad!$D$36,cad!$E$36)))</f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>
        <f>IF($A303="","",IF($D303="V01",cad!$C$23,IF($D303="V02",cad!$D$23,cad!$E$23)))</f>
      </c>
      <c r="H303">
        <f>IF($A303="","",IF($D303="V01",cad!$C$24,IF($D303="V02",cad!$D$24,cad!$E$24)))</f>
      </c>
      <c r="I303">
        <f>IF($A303="","",IF($D303="V01",cad!$C$32,IF($D303="V02",cad!$D$32,cad!$E$32)))</f>
      </c>
      <c r="J303">
        <f>IF($A303="","",IF($D303="V01",cad!$C$33,IF($D303="V02",cad!$D$33,cad!$E$33)))</f>
      </c>
      <c r="K303">
        <f>IF($A303="","",IF($D303="V01",cad!$C$34,IF($D303="V02",cad!$D$34,cad!$E$34)))</f>
      </c>
      <c r="L303">
        <f>IF($A303="","",IF($D303="V01",cad!$C$35,IF($D303="V02",cad!$D$35,cad!$E$35)))</f>
      </c>
      <c r="M303">
        <f>IF($A303="","",IF($D303="V01",cad!$C$36,IF($D303="V02",cad!$D$36,cad!$E$36)))</f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>
        <f>IF($A304="","",IF($D304="V01",cad!$C$23,IF($D304="V02",cad!$D$23,cad!$E$23)))</f>
      </c>
      <c r="H304">
        <f>IF($A304="","",IF($D304="V01",cad!$C$24,IF($D304="V02",cad!$D$24,cad!$E$24)))</f>
      </c>
      <c r="I304">
        <f>IF($A304="","",IF($D304="V01",cad!$C$32,IF($D304="V02",cad!$D$32,cad!$E$32)))</f>
      </c>
      <c r="J304">
        <f>IF($A304="","",IF($D304="V01",cad!$C$33,IF($D304="V02",cad!$D$33,cad!$E$33)))</f>
      </c>
      <c r="K304">
        <f>IF($A304="","",IF($D304="V01",cad!$C$34,IF($D304="V02",cad!$D$34,cad!$E$34)))</f>
      </c>
      <c r="L304">
        <f>IF($A304="","",IF($D304="V01",cad!$C$35,IF($D304="V02",cad!$D$35,cad!$E$35)))</f>
      </c>
      <c r="M304">
        <f>IF($A304="","",IF($D304="V01",cad!$C$36,IF($D304="V02",cad!$D$36,cad!$E$36)))</f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>
        <f>IF($A305="","",IF($D305="V01",cad!$C$23,IF($D305="V02",cad!$D$23,cad!$E$23)))</f>
      </c>
      <c r="H305">
        <f>IF($A305="","",IF($D305="V01",cad!$C$24,IF($D305="V02",cad!$D$24,cad!$E$24)))</f>
      </c>
      <c r="I305">
        <f>IF($A305="","",IF($D305="V01",cad!$C$32,IF($D305="V02",cad!$D$32,cad!$E$32)))</f>
      </c>
      <c r="J305">
        <f>IF($A305="","",IF($D305="V01",cad!$C$33,IF($D305="V02",cad!$D$33,cad!$E$33)))</f>
      </c>
      <c r="K305">
        <f>IF($A305="","",IF($D305="V01",cad!$C$34,IF($D305="V02",cad!$D$34,cad!$E$34)))</f>
      </c>
      <c r="L305">
        <f>IF($A305="","",IF($D305="V01",cad!$C$35,IF($D305="V02",cad!$D$35,cad!$E$35)))</f>
      </c>
      <c r="M305">
        <f>IF($A305="","",IF($D305="V01",cad!$C$36,IF($D305="V02",cad!$D$36,cad!$E$36)))</f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>
        <f>IF($A306="","",IF($D306="V01",cad!$C$23,IF($D306="V02",cad!$D$23,cad!$E$23)))</f>
      </c>
      <c r="H306">
        <f>IF($A306="","",IF($D306="V01",cad!$C$24,IF($D306="V02",cad!$D$24,cad!$E$24)))</f>
      </c>
      <c r="I306">
        <f>IF($A306="","",IF($D306="V01",cad!$C$32,IF($D306="V02",cad!$D$32,cad!$E$32)))</f>
      </c>
      <c r="J306">
        <f>IF($A306="","",IF($D306="V01",cad!$C$33,IF($D306="V02",cad!$D$33,cad!$E$33)))</f>
      </c>
      <c r="K306">
        <f>IF($A306="","",IF($D306="V01",cad!$C$34,IF($D306="V02",cad!$D$34,cad!$E$34)))</f>
      </c>
      <c r="L306">
        <f>IF($A306="","",IF($D306="V01",cad!$C$35,IF($D306="V02",cad!$D$35,cad!$E$35)))</f>
      </c>
      <c r="M306">
        <f>IF($A306="","",IF($D306="V01",cad!$C$36,IF($D306="V02",cad!$D$36,cad!$E$36)))</f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>
        <f>IF($A307="","",IF($D307="V01",cad!$C$23,IF($D307="V02",cad!$D$23,cad!$E$23)))</f>
      </c>
      <c r="H307">
        <f>IF($A307="","",IF($D307="V01",cad!$C$24,IF($D307="V02",cad!$D$24,cad!$E$24)))</f>
      </c>
      <c r="I307">
        <f>IF($A307="","",IF($D307="V01",cad!$C$32,IF($D307="V02",cad!$D$32,cad!$E$32)))</f>
      </c>
      <c r="J307">
        <f>IF($A307="","",IF($D307="V01",cad!$C$33,IF($D307="V02",cad!$D$33,cad!$E$33)))</f>
      </c>
      <c r="K307">
        <f>IF($A307="","",IF($D307="V01",cad!$C$34,IF($D307="V02",cad!$D$34,cad!$E$34)))</f>
      </c>
      <c r="L307">
        <f>IF($A307="","",IF($D307="V01",cad!$C$35,IF($D307="V02",cad!$D$35,cad!$E$35)))</f>
      </c>
      <c r="M307">
        <f>IF($A307="","",IF($D307="V01",cad!$C$36,IF($D307="V02",cad!$D$36,cad!$E$36)))</f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>
        <f>IF($A308="","",IF($D308="V01",cad!$C$23,IF($D308="V02",cad!$D$23,cad!$E$23)))</f>
      </c>
      <c r="H308">
        <f>IF($A308="","",IF($D308="V01",cad!$C$24,IF($D308="V02",cad!$D$24,cad!$E$24)))</f>
      </c>
      <c r="I308">
        <f>IF($A308="","",IF($D308="V01",cad!$C$32,IF($D308="V02",cad!$D$32,cad!$E$32)))</f>
      </c>
      <c r="J308">
        <f>IF($A308="","",IF($D308="V01",cad!$C$33,IF($D308="V02",cad!$D$33,cad!$E$33)))</f>
      </c>
      <c r="K308">
        <f>IF($A308="","",IF($D308="V01",cad!$C$34,IF($D308="V02",cad!$D$34,cad!$E$34)))</f>
      </c>
      <c r="L308">
        <f>IF($A308="","",IF($D308="V01",cad!$C$35,IF($D308="V02",cad!$D$35,cad!$E$35)))</f>
      </c>
      <c r="M308">
        <f>IF($A308="","",IF($D308="V01",cad!$C$36,IF($D308="V02",cad!$D$36,cad!$E$36)))</f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>
        <f>IF($A309="","",IF($D309="V01",cad!$C$23,IF($D309="V02",cad!$D$23,cad!$E$23)))</f>
      </c>
      <c r="H309">
        <f>IF($A309="","",IF($D309="V01",cad!$C$24,IF($D309="V02",cad!$D$24,cad!$E$24)))</f>
      </c>
      <c r="I309">
        <f>IF($A309="","",IF($D309="V01",cad!$C$32,IF($D309="V02",cad!$D$32,cad!$E$32)))</f>
      </c>
      <c r="J309">
        <f>IF($A309="","",IF($D309="V01",cad!$C$33,IF($D309="V02",cad!$D$33,cad!$E$33)))</f>
      </c>
      <c r="K309">
        <f>IF($A309="","",IF($D309="V01",cad!$C$34,IF($D309="V02",cad!$D$34,cad!$E$34)))</f>
      </c>
      <c r="L309">
        <f>IF($A309="","",IF($D309="V01",cad!$C$35,IF($D309="V02",cad!$D$35,cad!$E$35)))</f>
      </c>
      <c r="M309">
        <f>IF($A309="","",IF($D309="V01",cad!$C$36,IF($D309="V02",cad!$D$36,cad!$E$36)))</f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>
        <f>IF($A310="","",IF($D310="V01",cad!$C$23,IF($D310="V02",cad!$D$23,cad!$E$23)))</f>
      </c>
      <c r="H310">
        <f>IF($A310="","",IF($D310="V01",cad!$C$24,IF($D310="V02",cad!$D$24,cad!$E$24)))</f>
      </c>
      <c r="I310">
        <f>IF($A310="","",IF($D310="V01",cad!$C$32,IF($D310="V02",cad!$D$32,cad!$E$32)))</f>
      </c>
      <c r="J310">
        <f>IF($A310="","",IF($D310="V01",cad!$C$33,IF($D310="V02",cad!$D$33,cad!$E$33)))</f>
      </c>
      <c r="K310">
        <f>IF($A310="","",IF($D310="V01",cad!$C$34,IF($D310="V02",cad!$D$34,cad!$E$34)))</f>
      </c>
      <c r="L310">
        <f>IF($A310="","",IF($D310="V01",cad!$C$35,IF($D310="V02",cad!$D$35,cad!$E$35)))</f>
      </c>
      <c r="M310">
        <f>IF($A310="","",IF($D310="V01",cad!$C$36,IF($D310="V02",cad!$D$36,cad!$E$36)))</f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>
        <f>IF($A311="","",IF($D311="V01",cad!$C$23,IF($D311="V02",cad!$D$23,cad!$E$23)))</f>
      </c>
      <c r="H311">
        <f>IF($A311="","",IF($D311="V01",cad!$C$24,IF($D311="V02",cad!$D$24,cad!$E$24)))</f>
      </c>
      <c r="I311">
        <f>IF($A311="","",IF($D311="V01",cad!$C$32,IF($D311="V02",cad!$D$32,cad!$E$32)))</f>
      </c>
      <c r="J311">
        <f>IF($A311="","",IF($D311="V01",cad!$C$33,IF($D311="V02",cad!$D$33,cad!$E$33)))</f>
      </c>
      <c r="K311">
        <f>IF($A311="","",IF($D311="V01",cad!$C$34,IF($D311="V02",cad!$D$34,cad!$E$34)))</f>
      </c>
      <c r="L311">
        <f>IF($A311="","",IF($D311="V01",cad!$C$35,IF($D311="V02",cad!$D$35,cad!$E$35)))</f>
      </c>
      <c r="M311">
        <f>IF($A311="","",IF($D311="V01",cad!$C$36,IF($D311="V02",cad!$D$36,cad!$E$36)))</f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>
        <f>IF($A312="","",IF($D312="V01",cad!$C$23,IF($D312="V02",cad!$D$23,cad!$E$23)))</f>
      </c>
      <c r="H312">
        <f>IF($A312="","",IF($D312="V01",cad!$C$24,IF($D312="V02",cad!$D$24,cad!$E$24)))</f>
      </c>
      <c r="I312">
        <f>IF($A312="","",IF($D312="V01",cad!$C$32,IF($D312="V02",cad!$D$32,cad!$E$32)))</f>
      </c>
      <c r="J312">
        <f>IF($A312="","",IF($D312="V01",cad!$C$33,IF($D312="V02",cad!$D$33,cad!$E$33)))</f>
      </c>
      <c r="K312">
        <f>IF($A312="","",IF($D312="V01",cad!$C$34,IF($D312="V02",cad!$D$34,cad!$E$34)))</f>
      </c>
      <c r="L312">
        <f>IF($A312="","",IF($D312="V01",cad!$C$35,IF($D312="V02",cad!$D$35,cad!$E$35)))</f>
      </c>
      <c r="M312">
        <f>IF($A312="","",IF($D312="V01",cad!$C$36,IF($D312="V02",cad!$D$36,cad!$E$36)))</f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>
        <f>IF($A313="","",IF($D313="V01",cad!$C$23,IF($D313="V02",cad!$D$23,cad!$E$23)))</f>
      </c>
      <c r="H313">
        <f>IF($A313="","",IF($D313="V01",cad!$C$24,IF($D313="V02",cad!$D$24,cad!$E$24)))</f>
      </c>
      <c r="I313">
        <f>IF($A313="","",IF($D313="V01",cad!$C$32,IF($D313="V02",cad!$D$32,cad!$E$32)))</f>
      </c>
      <c r="J313">
        <f>IF($A313="","",IF($D313="V01",cad!$C$33,IF($D313="V02",cad!$D$33,cad!$E$33)))</f>
      </c>
      <c r="K313">
        <f>IF($A313="","",IF($D313="V01",cad!$C$34,IF($D313="V02",cad!$D$34,cad!$E$34)))</f>
      </c>
      <c r="L313">
        <f>IF($A313="","",IF($D313="V01",cad!$C$35,IF($D313="V02",cad!$D$35,cad!$E$35)))</f>
      </c>
      <c r="M313">
        <f>IF($A313="","",IF($D313="V01",cad!$C$36,IF($D313="V02",cad!$D$36,cad!$E$36)))</f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>
        <f>IF($A314="","",IF($D314="V01",cad!$C$23,IF($D314="V02",cad!$D$23,cad!$E$23)))</f>
      </c>
      <c r="H314">
        <f>IF($A314="","",IF($D314="V01",cad!$C$24,IF($D314="V02",cad!$D$24,cad!$E$24)))</f>
      </c>
      <c r="I314">
        <f>IF($A314="","",IF($D314="V01",cad!$C$32,IF($D314="V02",cad!$D$32,cad!$E$32)))</f>
      </c>
      <c r="J314">
        <f>IF($A314="","",IF($D314="V01",cad!$C$33,IF($D314="V02",cad!$D$33,cad!$E$33)))</f>
      </c>
      <c r="K314">
        <f>IF($A314="","",IF($D314="V01",cad!$C$34,IF($D314="V02",cad!$D$34,cad!$E$34)))</f>
      </c>
      <c r="L314">
        <f>IF($A314="","",IF($D314="V01",cad!$C$35,IF($D314="V02",cad!$D$35,cad!$E$35)))</f>
      </c>
      <c r="M314">
        <f>IF($A314="","",IF($D314="V01",cad!$C$36,IF($D314="V02",cad!$D$36,cad!$E$36)))</f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>
        <f>IF($A315="","",IF($D315="V01",cad!$C$23,IF($D315="V02",cad!$D$23,cad!$E$23)))</f>
      </c>
      <c r="H315">
        <f>IF($A315="","",IF($D315="V01",cad!$C$24,IF($D315="V02",cad!$D$24,cad!$E$24)))</f>
      </c>
      <c r="I315">
        <f>IF($A315="","",IF($D315="V01",cad!$C$32,IF($D315="V02",cad!$D$32,cad!$E$32)))</f>
      </c>
      <c r="J315">
        <f>IF($A315="","",IF($D315="V01",cad!$C$33,IF($D315="V02",cad!$D$33,cad!$E$33)))</f>
      </c>
      <c r="K315">
        <f>IF($A315="","",IF($D315="V01",cad!$C$34,IF($D315="V02",cad!$D$34,cad!$E$34)))</f>
      </c>
      <c r="L315">
        <f>IF($A315="","",IF($D315="V01",cad!$C$35,IF($D315="V02",cad!$D$35,cad!$E$35)))</f>
      </c>
      <c r="M315">
        <f>IF($A315="","",IF($D315="V01",cad!$C$36,IF($D315="V02",cad!$D$36,cad!$E$36)))</f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>
        <f>IF($A316="","",IF($D316="V01",cad!$C$23,IF($D316="V02",cad!$D$23,cad!$E$23)))</f>
      </c>
      <c r="H316">
        <f>IF($A316="","",IF($D316="V01",cad!$C$24,IF($D316="V02",cad!$D$24,cad!$E$24)))</f>
      </c>
      <c r="I316">
        <f>IF($A316="","",IF($D316="V01",cad!$C$32,IF($D316="V02",cad!$D$32,cad!$E$32)))</f>
      </c>
      <c r="J316">
        <f>IF($A316="","",IF($D316="V01",cad!$C$33,IF($D316="V02",cad!$D$33,cad!$E$33)))</f>
      </c>
      <c r="K316">
        <f>IF($A316="","",IF($D316="V01",cad!$C$34,IF($D316="V02",cad!$D$34,cad!$E$34)))</f>
      </c>
      <c r="L316">
        <f>IF($A316="","",IF($D316="V01",cad!$C$35,IF($D316="V02",cad!$D$35,cad!$E$35)))</f>
      </c>
      <c r="M316">
        <f>IF($A316="","",IF($D316="V01",cad!$C$36,IF($D316="V02",cad!$D$36,cad!$E$36)))</f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>
        <f>IF($A317="","",IF($D317="V01",cad!$C$23,IF($D317="V02",cad!$D$23,cad!$E$23)))</f>
      </c>
      <c r="H317">
        <f>IF($A317="","",IF($D317="V01",cad!$C$24,IF($D317="V02",cad!$D$24,cad!$E$24)))</f>
      </c>
      <c r="I317">
        <f>IF($A317="","",IF($D317="V01",cad!$C$32,IF($D317="V02",cad!$D$32,cad!$E$32)))</f>
      </c>
      <c r="J317">
        <f>IF($A317="","",IF($D317="V01",cad!$C$33,IF($D317="V02",cad!$D$33,cad!$E$33)))</f>
      </c>
      <c r="K317">
        <f>IF($A317="","",IF($D317="V01",cad!$C$34,IF($D317="V02",cad!$D$34,cad!$E$34)))</f>
      </c>
      <c r="L317">
        <f>IF($A317="","",IF($D317="V01",cad!$C$35,IF($D317="V02",cad!$D$35,cad!$E$35)))</f>
      </c>
      <c r="M317">
        <f>IF($A317="","",IF($D317="V01",cad!$C$36,IF($D317="V02",cad!$D$36,cad!$E$36)))</f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>
        <f>IF($A318="","",IF($D318="V01",cad!$C$23,IF($D318="V02",cad!$D$23,cad!$E$23)))</f>
      </c>
      <c r="H318">
        <f>IF($A318="","",IF($D318="V01",cad!$C$24,IF($D318="V02",cad!$D$24,cad!$E$24)))</f>
      </c>
      <c r="I318">
        <f>IF($A318="","",IF($D318="V01",cad!$C$32,IF($D318="V02",cad!$D$32,cad!$E$32)))</f>
      </c>
      <c r="J318">
        <f>IF($A318="","",IF($D318="V01",cad!$C$33,IF($D318="V02",cad!$D$33,cad!$E$33)))</f>
      </c>
      <c r="K318">
        <f>IF($A318="","",IF($D318="V01",cad!$C$34,IF($D318="V02",cad!$D$34,cad!$E$34)))</f>
      </c>
      <c r="L318">
        <f>IF($A318="","",IF($D318="V01",cad!$C$35,IF($D318="V02",cad!$D$35,cad!$E$35)))</f>
      </c>
      <c r="M318">
        <f>IF($A318="","",IF($D318="V01",cad!$C$36,IF($D318="V02",cad!$D$36,cad!$E$36)))</f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>
        <f>IF($A319="","",IF($D319="V01",cad!$C$23,IF($D319="V02",cad!$D$23,cad!$E$23)))</f>
      </c>
      <c r="H319">
        <f>IF($A319="","",IF($D319="V01",cad!$C$24,IF($D319="V02",cad!$D$24,cad!$E$24)))</f>
      </c>
      <c r="I319">
        <f>IF($A319="","",IF($D319="V01",cad!$C$32,IF($D319="V02",cad!$D$32,cad!$E$32)))</f>
      </c>
      <c r="J319">
        <f>IF($A319="","",IF($D319="V01",cad!$C$33,IF($D319="V02",cad!$D$33,cad!$E$33)))</f>
      </c>
      <c r="K319">
        <f>IF($A319="","",IF($D319="V01",cad!$C$34,IF($D319="V02",cad!$D$34,cad!$E$34)))</f>
      </c>
      <c r="L319">
        <f>IF($A319="","",IF($D319="V01",cad!$C$35,IF($D319="V02",cad!$D$35,cad!$E$35)))</f>
      </c>
      <c r="M319">
        <f>IF($A319="","",IF($D319="V01",cad!$C$36,IF($D319="V02",cad!$D$36,cad!$E$36)))</f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>
        <f>IF($A320="","",IF($D320="V01",cad!$C$23,IF($D320="V02",cad!$D$23,cad!$E$23)))</f>
      </c>
      <c r="H320">
        <f>IF($A320="","",IF($D320="V01",cad!$C$24,IF($D320="V02",cad!$D$24,cad!$E$24)))</f>
      </c>
      <c r="I320">
        <f>IF($A320="","",IF($D320="V01",cad!$C$32,IF($D320="V02",cad!$D$32,cad!$E$32)))</f>
      </c>
      <c r="J320">
        <f>IF($A320="","",IF($D320="V01",cad!$C$33,IF($D320="V02",cad!$D$33,cad!$E$33)))</f>
      </c>
      <c r="K320">
        <f>IF($A320="","",IF($D320="V01",cad!$C$34,IF($D320="V02",cad!$D$34,cad!$E$34)))</f>
      </c>
      <c r="L320">
        <f>IF($A320="","",IF($D320="V01",cad!$C$35,IF($D320="V02",cad!$D$35,cad!$E$35)))</f>
      </c>
      <c r="M320">
        <f>IF($A320="","",IF($D320="V01",cad!$C$36,IF($D320="V02",cad!$D$36,cad!$E$36)))</f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>
        <f>IF($A321="","",IF($D321="V01",cad!$C$23,IF($D321="V02",cad!$D$23,cad!$E$23)))</f>
      </c>
      <c r="H321">
        <f>IF($A321="","",IF($D321="V01",cad!$C$24,IF($D321="V02",cad!$D$24,cad!$E$24)))</f>
      </c>
      <c r="I321">
        <f>IF($A321="","",IF($D321="V01",cad!$C$32,IF($D321="V02",cad!$D$32,cad!$E$32)))</f>
      </c>
      <c r="J321">
        <f>IF($A321="","",IF($D321="V01",cad!$C$33,IF($D321="V02",cad!$D$33,cad!$E$33)))</f>
      </c>
      <c r="K321">
        <f>IF($A321="","",IF($D321="V01",cad!$C$34,IF($D321="V02",cad!$D$34,cad!$E$34)))</f>
      </c>
      <c r="L321">
        <f>IF($A321="","",IF($D321="V01",cad!$C$35,IF($D321="V02",cad!$D$35,cad!$E$35)))</f>
      </c>
      <c r="M321">
        <f>IF($A321="","",IF($D321="V01",cad!$C$36,IF($D321="V02",cad!$D$36,cad!$E$36)))</f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>
        <f>IF($A322="","",IF($D322="V01",cad!$C$23,IF($D322="V02",cad!$D$23,cad!$E$23)))</f>
      </c>
      <c r="H322">
        <f>IF($A322="","",IF($D322="V01",cad!$C$24,IF($D322="V02",cad!$D$24,cad!$E$24)))</f>
      </c>
      <c r="I322">
        <f>IF($A322="","",IF($D322="V01",cad!$C$32,IF($D322="V02",cad!$D$32,cad!$E$32)))</f>
      </c>
      <c r="J322">
        <f>IF($A322="","",IF($D322="V01",cad!$C$33,IF($D322="V02",cad!$D$33,cad!$E$33)))</f>
      </c>
      <c r="K322">
        <f>IF($A322="","",IF($D322="V01",cad!$C$34,IF($D322="V02",cad!$D$34,cad!$E$34)))</f>
      </c>
      <c r="L322">
        <f>IF($A322="","",IF($D322="V01",cad!$C$35,IF($D322="V02",cad!$D$35,cad!$E$35)))</f>
      </c>
      <c r="M322">
        <f>IF($A322="","",IF($D322="V01",cad!$C$36,IF($D322="V02",cad!$D$36,cad!$E$36)))</f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>
        <f>IF($A323="","",IF($D323="V01",cad!$C$23,IF($D323="V02",cad!$D$23,cad!$E$23)))</f>
      </c>
      <c r="H323">
        <f>IF($A323="","",IF($D323="V01",cad!$C$24,IF($D323="V02",cad!$D$24,cad!$E$24)))</f>
      </c>
      <c r="I323">
        <f>IF($A323="","",IF($D323="V01",cad!$C$32,IF($D323="V02",cad!$D$32,cad!$E$32)))</f>
      </c>
      <c r="J323">
        <f>IF($A323="","",IF($D323="V01",cad!$C$33,IF($D323="V02",cad!$D$33,cad!$E$33)))</f>
      </c>
      <c r="K323">
        <f>IF($A323="","",IF($D323="V01",cad!$C$34,IF($D323="V02",cad!$D$34,cad!$E$34)))</f>
      </c>
      <c r="L323">
        <f>IF($A323="","",IF($D323="V01",cad!$C$35,IF($D323="V02",cad!$D$35,cad!$E$35)))</f>
      </c>
      <c r="M323">
        <f>IF($A323="","",IF($D323="V01",cad!$C$36,IF($D323="V02",cad!$D$36,cad!$E$36)))</f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>
        <f>IF($A324="","",IF($D324="V01",cad!$C$23,IF($D324="V02",cad!$D$23,cad!$E$23)))</f>
      </c>
      <c r="H324">
        <f>IF($A324="","",IF($D324="V01",cad!$C$24,IF($D324="V02",cad!$D$24,cad!$E$24)))</f>
      </c>
      <c r="I324">
        <f>IF($A324="","",IF($D324="V01",cad!$C$32,IF($D324="V02",cad!$D$32,cad!$E$32)))</f>
      </c>
      <c r="J324">
        <f>IF($A324="","",IF($D324="V01",cad!$C$33,IF($D324="V02",cad!$D$33,cad!$E$33)))</f>
      </c>
      <c r="K324">
        <f>IF($A324="","",IF($D324="V01",cad!$C$34,IF($D324="V02",cad!$D$34,cad!$E$34)))</f>
      </c>
      <c r="L324">
        <f>IF($A324="","",IF($D324="V01",cad!$C$35,IF($D324="V02",cad!$D$35,cad!$E$35)))</f>
      </c>
      <c r="M324">
        <f>IF($A324="","",IF($D324="V01",cad!$C$36,IF($D324="V02",cad!$D$36,cad!$E$36)))</f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>
        <f>IF($A325="","",IF($D325="V01",cad!$C$23,IF($D325="V02",cad!$D$23,cad!$E$23)))</f>
      </c>
      <c r="H325">
        <f>IF($A325="","",IF($D325="V01",cad!$C$24,IF($D325="V02",cad!$D$24,cad!$E$24)))</f>
      </c>
      <c r="I325">
        <f>IF($A325="","",IF($D325="V01",cad!$C$32,IF($D325="V02",cad!$D$32,cad!$E$32)))</f>
      </c>
      <c r="J325">
        <f>IF($A325="","",IF($D325="V01",cad!$C$33,IF($D325="V02",cad!$D$33,cad!$E$33)))</f>
      </c>
      <c r="K325">
        <f>IF($A325="","",IF($D325="V01",cad!$C$34,IF($D325="V02",cad!$D$34,cad!$E$34)))</f>
      </c>
      <c r="L325">
        <f>IF($A325="","",IF($D325="V01",cad!$C$35,IF($D325="V02",cad!$D$35,cad!$E$35)))</f>
      </c>
      <c r="M325">
        <f>IF($A325="","",IF($D325="V01",cad!$C$36,IF($D325="V02",cad!$D$36,cad!$E$36)))</f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>
        <f>IF($A326="","",IF($D326="V01",cad!$C$23,IF($D326="V02",cad!$D$23,cad!$E$23)))</f>
      </c>
      <c r="H326">
        <f>IF($A326="","",IF($D326="V01",cad!$C$24,IF($D326="V02",cad!$D$24,cad!$E$24)))</f>
      </c>
      <c r="I326">
        <f>IF($A326="","",IF($D326="V01",cad!$C$32,IF($D326="V02",cad!$D$32,cad!$E$32)))</f>
      </c>
      <c r="J326">
        <f>IF($A326="","",IF($D326="V01",cad!$C$33,IF($D326="V02",cad!$D$33,cad!$E$33)))</f>
      </c>
      <c r="K326">
        <f>IF($A326="","",IF($D326="V01",cad!$C$34,IF($D326="V02",cad!$D$34,cad!$E$34)))</f>
      </c>
      <c r="L326">
        <f>IF($A326="","",IF($D326="V01",cad!$C$35,IF($D326="V02",cad!$D$35,cad!$E$35)))</f>
      </c>
      <c r="M326">
        <f>IF($A326="","",IF($D326="V01",cad!$C$36,IF($D326="V02",cad!$D$36,cad!$E$36)))</f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>
        <f>IF($A327="","",IF($D327="V01",cad!$C$23,IF($D327="V02",cad!$D$23,cad!$E$23)))</f>
      </c>
      <c r="H327">
        <f>IF($A327="","",IF($D327="V01",cad!$C$24,IF($D327="V02",cad!$D$24,cad!$E$24)))</f>
      </c>
      <c r="I327">
        <f>IF($A327="","",IF($D327="V01",cad!$C$32,IF($D327="V02",cad!$D$32,cad!$E$32)))</f>
      </c>
      <c r="J327">
        <f>IF($A327="","",IF($D327="V01",cad!$C$33,IF($D327="V02",cad!$D$33,cad!$E$33)))</f>
      </c>
      <c r="K327">
        <f>IF($A327="","",IF($D327="V01",cad!$C$34,IF($D327="V02",cad!$D$34,cad!$E$34)))</f>
      </c>
      <c r="L327">
        <f>IF($A327="","",IF($D327="V01",cad!$C$35,IF($D327="V02",cad!$D$35,cad!$E$35)))</f>
      </c>
      <c r="M327">
        <f>IF($A327="","",IF($D327="V01",cad!$C$36,IF($D327="V02",cad!$D$36,cad!$E$36)))</f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>
        <f>IF($A328="","",IF($D328="V01",cad!$C$23,IF($D328="V02",cad!$D$23,cad!$E$23)))</f>
      </c>
      <c r="H328">
        <f>IF($A328="","",IF($D328="V01",cad!$C$24,IF($D328="V02",cad!$D$24,cad!$E$24)))</f>
      </c>
      <c r="I328">
        <f>IF($A328="","",IF($D328="V01",cad!$C$32,IF($D328="V02",cad!$D$32,cad!$E$32)))</f>
      </c>
      <c r="J328">
        <f>IF($A328="","",IF($D328="V01",cad!$C$33,IF($D328="V02",cad!$D$33,cad!$E$33)))</f>
      </c>
      <c r="K328">
        <f>IF($A328="","",IF($D328="V01",cad!$C$34,IF($D328="V02",cad!$D$34,cad!$E$34)))</f>
      </c>
      <c r="L328">
        <f>IF($A328="","",IF($D328="V01",cad!$C$35,IF($D328="V02",cad!$D$35,cad!$E$35)))</f>
      </c>
      <c r="M328">
        <f>IF($A328="","",IF($D328="V01",cad!$C$36,IF($D328="V02",cad!$D$36,cad!$E$36)))</f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>
        <f>IF($A329="","",IF($D329="V01",cad!$C$23,IF($D329="V02",cad!$D$23,cad!$E$23)))</f>
      </c>
      <c r="H329">
        <f>IF($A329="","",IF($D329="V01",cad!$C$24,IF($D329="V02",cad!$D$24,cad!$E$24)))</f>
      </c>
      <c r="I329">
        <f>IF($A329="","",IF($D329="V01",cad!$C$32,IF($D329="V02",cad!$D$32,cad!$E$32)))</f>
      </c>
      <c r="J329">
        <f>IF($A329="","",IF($D329="V01",cad!$C$33,IF($D329="V02",cad!$D$33,cad!$E$33)))</f>
      </c>
      <c r="K329">
        <f>IF($A329="","",IF($D329="V01",cad!$C$34,IF($D329="V02",cad!$D$34,cad!$E$34)))</f>
      </c>
      <c r="L329">
        <f>IF($A329="","",IF($D329="V01",cad!$C$35,IF($D329="V02",cad!$D$35,cad!$E$35)))</f>
      </c>
      <c r="M329">
        <f>IF($A329="","",IF($D329="V01",cad!$C$36,IF($D329="V02",cad!$D$36,cad!$E$36)))</f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>
        <f>IF($A330="","",IF($D330="V01",cad!$C$23,IF($D330="V02",cad!$D$23,cad!$E$23)))</f>
      </c>
      <c r="H330">
        <f>IF($A330="","",IF($D330="V01",cad!$C$24,IF($D330="V02",cad!$D$24,cad!$E$24)))</f>
      </c>
      <c r="I330">
        <f>IF($A330="","",IF($D330="V01",cad!$C$32,IF($D330="V02",cad!$D$32,cad!$E$32)))</f>
      </c>
      <c r="J330">
        <f>IF($A330="","",IF($D330="V01",cad!$C$33,IF($D330="V02",cad!$D$33,cad!$E$33)))</f>
      </c>
      <c r="K330">
        <f>IF($A330="","",IF($D330="V01",cad!$C$34,IF($D330="V02",cad!$D$34,cad!$E$34)))</f>
      </c>
      <c r="L330">
        <f>IF($A330="","",IF($D330="V01",cad!$C$35,IF($D330="V02",cad!$D$35,cad!$E$35)))</f>
      </c>
      <c r="M330">
        <f>IF($A330="","",IF($D330="V01",cad!$C$36,IF($D330="V02",cad!$D$36,cad!$E$36)))</f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>
        <f>IF($A331="","",IF($D331="V01",cad!$C$23,IF($D331="V02",cad!$D$23,cad!$E$23)))</f>
      </c>
      <c r="H331">
        <f>IF($A331="","",IF($D331="V01",cad!$C$24,IF($D331="V02",cad!$D$24,cad!$E$24)))</f>
      </c>
      <c r="I331">
        <f>IF($A331="","",IF($D331="V01",cad!$C$32,IF($D331="V02",cad!$D$32,cad!$E$32)))</f>
      </c>
      <c r="J331">
        <f>IF($A331="","",IF($D331="V01",cad!$C$33,IF($D331="V02",cad!$D$33,cad!$E$33)))</f>
      </c>
      <c r="K331">
        <f>IF($A331="","",IF($D331="V01",cad!$C$34,IF($D331="V02",cad!$D$34,cad!$E$34)))</f>
      </c>
      <c r="L331">
        <f>IF($A331="","",IF($D331="V01",cad!$C$35,IF($D331="V02",cad!$D$35,cad!$E$35)))</f>
      </c>
      <c r="M331">
        <f>IF($A331="","",IF($D331="V01",cad!$C$36,IF($D331="V02",cad!$D$36,cad!$E$36)))</f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>
        <f>IF($A332="","",IF($D332="V01",cad!$C$23,IF($D332="V02",cad!$D$23,cad!$E$23)))</f>
      </c>
      <c r="H332">
        <f>IF($A332="","",IF($D332="V01",cad!$C$24,IF($D332="V02",cad!$D$24,cad!$E$24)))</f>
      </c>
      <c r="I332">
        <f>IF($A332="","",IF($D332="V01",cad!$C$32,IF($D332="V02",cad!$D$32,cad!$E$32)))</f>
      </c>
      <c r="J332">
        <f>IF($A332="","",IF($D332="V01",cad!$C$33,IF($D332="V02",cad!$D$33,cad!$E$33)))</f>
      </c>
      <c r="K332">
        <f>IF($A332="","",IF($D332="V01",cad!$C$34,IF($D332="V02",cad!$D$34,cad!$E$34)))</f>
      </c>
      <c r="L332">
        <f>IF($A332="","",IF($D332="V01",cad!$C$35,IF($D332="V02",cad!$D$35,cad!$E$35)))</f>
      </c>
      <c r="M332">
        <f>IF($A332="","",IF($D332="V01",cad!$C$36,IF($D332="V02",cad!$D$36,cad!$E$36)))</f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>
        <f>IF($A333="","",IF($D333="V01",cad!$C$23,IF($D333="V02",cad!$D$23,cad!$E$23)))</f>
      </c>
      <c r="H333">
        <f>IF($A333="","",IF($D333="V01",cad!$C$24,IF($D333="V02",cad!$D$24,cad!$E$24)))</f>
      </c>
      <c r="I333">
        <f>IF($A333="","",IF($D333="V01",cad!$C$32,IF($D333="V02",cad!$D$32,cad!$E$32)))</f>
      </c>
      <c r="J333">
        <f>IF($A333="","",IF($D333="V01",cad!$C$33,IF($D333="V02",cad!$D$33,cad!$E$33)))</f>
      </c>
      <c r="K333">
        <f>IF($A333="","",IF($D333="V01",cad!$C$34,IF($D333="V02",cad!$D$34,cad!$E$34)))</f>
      </c>
      <c r="L333">
        <f>IF($A333="","",IF($D333="V01",cad!$C$35,IF($D333="V02",cad!$D$35,cad!$E$35)))</f>
      </c>
      <c r="M333">
        <f>IF($A333="","",IF($D333="V01",cad!$C$36,IF($D333="V02",cad!$D$36,cad!$E$36)))</f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>
        <f>IF($A334="","",IF($D334="V01",cad!$C$23,IF($D334="V02",cad!$D$23,cad!$E$23)))</f>
      </c>
      <c r="H334">
        <f>IF($A334="","",IF($D334="V01",cad!$C$24,IF($D334="V02",cad!$D$24,cad!$E$24)))</f>
      </c>
      <c r="I334">
        <f>IF($A334="","",IF($D334="V01",cad!$C$32,IF($D334="V02",cad!$D$32,cad!$E$32)))</f>
      </c>
      <c r="J334">
        <f>IF($A334="","",IF($D334="V01",cad!$C$33,IF($D334="V02",cad!$D$33,cad!$E$33)))</f>
      </c>
      <c r="K334">
        <f>IF($A334="","",IF($D334="V01",cad!$C$34,IF($D334="V02",cad!$D$34,cad!$E$34)))</f>
      </c>
      <c r="L334">
        <f>IF($A334="","",IF($D334="V01",cad!$C$35,IF($D334="V02",cad!$D$35,cad!$E$35)))</f>
      </c>
      <c r="M334">
        <f>IF($A334="","",IF($D334="V01",cad!$C$36,IF($D334="V02",cad!$D$36,cad!$E$36)))</f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>
        <f>IF($A335="","",IF($D335="V01",cad!$C$23,IF($D335="V02",cad!$D$23,cad!$E$23)))</f>
      </c>
      <c r="H335">
        <f>IF($A335="","",IF($D335="V01",cad!$C$24,IF($D335="V02",cad!$D$24,cad!$E$24)))</f>
      </c>
      <c r="I335">
        <f>IF($A335="","",IF($D335="V01",cad!$C$32,IF($D335="V02",cad!$D$32,cad!$E$32)))</f>
      </c>
      <c r="J335">
        <f>IF($A335="","",IF($D335="V01",cad!$C$33,IF($D335="V02",cad!$D$33,cad!$E$33)))</f>
      </c>
      <c r="K335">
        <f>IF($A335="","",IF($D335="V01",cad!$C$34,IF($D335="V02",cad!$D$34,cad!$E$34)))</f>
      </c>
      <c r="L335">
        <f>IF($A335="","",IF($D335="V01",cad!$C$35,IF($D335="V02",cad!$D$35,cad!$E$35)))</f>
      </c>
      <c r="M335">
        <f>IF($A335="","",IF($D335="V01",cad!$C$36,IF($D335="V02",cad!$D$36,cad!$E$36)))</f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>
        <f>IF($A336="","",IF($D336="V01",cad!$C$23,IF($D336="V02",cad!$D$23,cad!$E$23)))</f>
      </c>
      <c r="H336">
        <f>IF($A336="","",IF($D336="V01",cad!$C$24,IF($D336="V02",cad!$D$24,cad!$E$24)))</f>
      </c>
      <c r="I336">
        <f>IF($A336="","",IF($D336="V01",cad!$C$32,IF($D336="V02",cad!$D$32,cad!$E$32)))</f>
      </c>
      <c r="J336">
        <f>IF($A336="","",IF($D336="V01",cad!$C$33,IF($D336="V02",cad!$D$33,cad!$E$33)))</f>
      </c>
      <c r="K336">
        <f>IF($A336="","",IF($D336="V01",cad!$C$34,IF($D336="V02",cad!$D$34,cad!$E$34)))</f>
      </c>
      <c r="L336">
        <f>IF($A336="","",IF($D336="V01",cad!$C$35,IF($D336="V02",cad!$D$35,cad!$E$35)))</f>
      </c>
      <c r="M336">
        <f>IF($A336="","",IF($D336="V01",cad!$C$36,IF($D336="V02",cad!$D$36,cad!$E$36)))</f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>
        <f>IF($A337="","",IF($D337="V01",cad!$C$23,IF($D337="V02",cad!$D$23,cad!$E$23)))</f>
      </c>
      <c r="H337">
        <f>IF($A337="","",IF($D337="V01",cad!$C$24,IF($D337="V02",cad!$D$24,cad!$E$24)))</f>
      </c>
      <c r="I337">
        <f>IF($A337="","",IF($D337="V01",cad!$C$32,IF($D337="V02",cad!$D$32,cad!$E$32)))</f>
      </c>
      <c r="J337">
        <f>IF($A337="","",IF($D337="V01",cad!$C$33,IF($D337="V02",cad!$D$33,cad!$E$33)))</f>
      </c>
      <c r="K337">
        <f>IF($A337="","",IF($D337="V01",cad!$C$34,IF($D337="V02",cad!$D$34,cad!$E$34)))</f>
      </c>
      <c r="L337">
        <f>IF($A337="","",IF($D337="V01",cad!$C$35,IF($D337="V02",cad!$D$35,cad!$E$35)))</f>
      </c>
      <c r="M337">
        <f>IF($A337="","",IF($D337="V01",cad!$C$36,IF($D337="V02",cad!$D$36,cad!$E$36)))</f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>
        <f>IF($A338="","",IF($D338="V01",cad!$C$23,IF($D338="V02",cad!$D$23,cad!$E$23)))</f>
      </c>
      <c r="H338">
        <f>IF($A338="","",IF($D338="V01",cad!$C$24,IF($D338="V02",cad!$D$24,cad!$E$24)))</f>
      </c>
      <c r="I338">
        <f>IF($A338="","",IF($D338="V01",cad!$C$32,IF($D338="V02",cad!$D$32,cad!$E$32)))</f>
      </c>
      <c r="J338">
        <f>IF($A338="","",IF($D338="V01",cad!$C$33,IF($D338="V02",cad!$D$33,cad!$E$33)))</f>
      </c>
      <c r="K338">
        <f>IF($A338="","",IF($D338="V01",cad!$C$34,IF($D338="V02",cad!$D$34,cad!$E$34)))</f>
      </c>
      <c r="L338">
        <f>IF($A338="","",IF($D338="V01",cad!$C$35,IF($D338="V02",cad!$D$35,cad!$E$35)))</f>
      </c>
      <c r="M338">
        <f>IF($A338="","",IF($D338="V01",cad!$C$36,IF($D338="V02",cad!$D$36,cad!$E$36)))</f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>
        <f>IF($A339="","",IF($D339="V01",cad!$C$23,IF($D339="V02",cad!$D$23,cad!$E$23)))</f>
      </c>
      <c r="H339">
        <f>IF($A339="","",IF($D339="V01",cad!$C$24,IF($D339="V02",cad!$D$24,cad!$E$24)))</f>
      </c>
      <c r="I339">
        <f>IF($A339="","",IF($D339="V01",cad!$C$32,IF($D339="V02",cad!$D$32,cad!$E$32)))</f>
      </c>
      <c r="J339">
        <f>IF($A339="","",IF($D339="V01",cad!$C$33,IF($D339="V02",cad!$D$33,cad!$E$33)))</f>
      </c>
      <c r="K339">
        <f>IF($A339="","",IF($D339="V01",cad!$C$34,IF($D339="V02",cad!$D$34,cad!$E$34)))</f>
      </c>
      <c r="L339">
        <f>IF($A339="","",IF($D339="V01",cad!$C$35,IF($D339="V02",cad!$D$35,cad!$E$35)))</f>
      </c>
      <c r="M339">
        <f>IF($A339="","",IF($D339="V01",cad!$C$36,IF($D339="V02",cad!$D$36,cad!$E$36)))</f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>
        <f>IF($A340="","",IF($D340="V01",cad!$C$23,IF($D340="V02",cad!$D$23,cad!$E$23)))</f>
      </c>
      <c r="H340">
        <f>IF($A340="","",IF($D340="V01",cad!$C$24,IF($D340="V02",cad!$D$24,cad!$E$24)))</f>
      </c>
      <c r="I340">
        <f>IF($A340="","",IF($D340="V01",cad!$C$32,IF($D340="V02",cad!$D$32,cad!$E$32)))</f>
      </c>
      <c r="J340">
        <f>IF($A340="","",IF($D340="V01",cad!$C$33,IF($D340="V02",cad!$D$33,cad!$E$33)))</f>
      </c>
      <c r="K340">
        <f>IF($A340="","",IF($D340="V01",cad!$C$34,IF($D340="V02",cad!$D$34,cad!$E$34)))</f>
      </c>
      <c r="L340">
        <f>IF($A340="","",IF($D340="V01",cad!$C$35,IF($D340="V02",cad!$D$35,cad!$E$35)))</f>
      </c>
      <c r="M340">
        <f>IF($A340="","",IF($D340="V01",cad!$C$36,IF($D340="V02",cad!$D$36,cad!$E$36)))</f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>
        <f>IF($A341="","",IF($D341="V01",cad!$C$23,IF($D341="V02",cad!$D$23,cad!$E$23)))</f>
      </c>
      <c r="H341">
        <f>IF($A341="","",IF($D341="V01",cad!$C$24,IF($D341="V02",cad!$D$24,cad!$E$24)))</f>
      </c>
      <c r="I341">
        <f>IF($A341="","",IF($D341="V01",cad!$C$32,IF($D341="V02",cad!$D$32,cad!$E$32)))</f>
      </c>
      <c r="J341">
        <f>IF($A341="","",IF($D341="V01",cad!$C$33,IF($D341="V02",cad!$D$33,cad!$E$33)))</f>
      </c>
      <c r="K341">
        <f>IF($A341="","",IF($D341="V01",cad!$C$34,IF($D341="V02",cad!$D$34,cad!$E$34)))</f>
      </c>
      <c r="L341">
        <f>IF($A341="","",IF($D341="V01",cad!$C$35,IF($D341="V02",cad!$D$35,cad!$E$35)))</f>
      </c>
      <c r="M341">
        <f>IF($A341="","",IF($D341="V01",cad!$C$36,IF($D341="V02",cad!$D$36,cad!$E$36)))</f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>
        <f>IF($A342="","",IF($D342="V01",cad!$C$23,IF($D342="V02",cad!$D$23,cad!$E$23)))</f>
      </c>
      <c r="H342">
        <f>IF($A342="","",IF($D342="V01",cad!$C$24,IF($D342="V02",cad!$D$24,cad!$E$24)))</f>
      </c>
      <c r="I342">
        <f>IF($A342="","",IF($D342="V01",cad!$C$32,IF($D342="V02",cad!$D$32,cad!$E$32)))</f>
      </c>
      <c r="J342">
        <f>IF($A342="","",IF($D342="V01",cad!$C$33,IF($D342="V02",cad!$D$33,cad!$E$33)))</f>
      </c>
      <c r="K342">
        <f>IF($A342="","",IF($D342="V01",cad!$C$34,IF($D342="V02",cad!$D$34,cad!$E$34)))</f>
      </c>
      <c r="L342">
        <f>IF($A342="","",IF($D342="V01",cad!$C$35,IF($D342="V02",cad!$D$35,cad!$E$35)))</f>
      </c>
      <c r="M342">
        <f>IF($A342="","",IF($D342="V01",cad!$C$36,IF($D342="V02",cad!$D$36,cad!$E$36)))</f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>
        <f>IF($A343="","",IF($D343="V01",cad!$C$23,IF($D343="V02",cad!$D$23,cad!$E$23)))</f>
      </c>
      <c r="H343">
        <f>IF($A343="","",IF($D343="V01",cad!$C$24,IF($D343="V02",cad!$D$24,cad!$E$24)))</f>
      </c>
      <c r="I343">
        <f>IF($A343="","",IF($D343="V01",cad!$C$32,IF($D343="V02",cad!$D$32,cad!$E$32)))</f>
      </c>
      <c r="J343">
        <f>IF($A343="","",IF($D343="V01",cad!$C$33,IF($D343="V02",cad!$D$33,cad!$E$33)))</f>
      </c>
      <c r="K343">
        <f>IF($A343="","",IF($D343="V01",cad!$C$34,IF($D343="V02",cad!$D$34,cad!$E$34)))</f>
      </c>
      <c r="L343">
        <f>IF($A343="","",IF($D343="V01",cad!$C$35,IF($D343="V02",cad!$D$35,cad!$E$35)))</f>
      </c>
      <c r="M343">
        <f>IF($A343="","",IF($D343="V01",cad!$C$36,IF($D343="V02",cad!$D$36,cad!$E$36)))</f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>
        <f>IF($A344="","",IF($D344="V01",cad!$C$23,IF($D344="V02",cad!$D$23,cad!$E$23)))</f>
      </c>
      <c r="H344">
        <f>IF($A344="","",IF($D344="V01",cad!$C$24,IF($D344="V02",cad!$D$24,cad!$E$24)))</f>
      </c>
      <c r="I344">
        <f>IF($A344="","",IF($D344="V01",cad!$C$32,IF($D344="V02",cad!$D$32,cad!$E$32)))</f>
      </c>
      <c r="J344">
        <f>IF($A344="","",IF($D344="V01",cad!$C$33,IF($D344="V02",cad!$D$33,cad!$E$33)))</f>
      </c>
      <c r="K344">
        <f>IF($A344="","",IF($D344="V01",cad!$C$34,IF($D344="V02",cad!$D$34,cad!$E$34)))</f>
      </c>
      <c r="L344">
        <f>IF($A344="","",IF($D344="V01",cad!$C$35,IF($D344="V02",cad!$D$35,cad!$E$35)))</f>
      </c>
      <c r="M344">
        <f>IF($A344="","",IF($D344="V01",cad!$C$36,IF($D344="V02",cad!$D$36,cad!$E$36)))</f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>
        <f>IF($A345="","",IF($D345="V01",cad!$C$23,IF($D345="V02",cad!$D$23,cad!$E$23)))</f>
      </c>
      <c r="H345">
        <f>IF($A345="","",IF($D345="V01",cad!$C$24,IF($D345="V02",cad!$D$24,cad!$E$24)))</f>
      </c>
      <c r="I345">
        <f>IF($A345="","",IF($D345="V01",cad!$C$32,IF($D345="V02",cad!$D$32,cad!$E$32)))</f>
      </c>
      <c r="J345">
        <f>IF($A345="","",IF($D345="V01",cad!$C$33,IF($D345="V02",cad!$D$33,cad!$E$33)))</f>
      </c>
      <c r="K345">
        <f>IF($A345="","",IF($D345="V01",cad!$C$34,IF($D345="V02",cad!$D$34,cad!$E$34)))</f>
      </c>
      <c r="L345">
        <f>IF($A345="","",IF($D345="V01",cad!$C$35,IF($D345="V02",cad!$D$35,cad!$E$35)))</f>
      </c>
      <c r="M345">
        <f>IF($A345="","",IF($D345="V01",cad!$C$36,IF($D345="V02",cad!$D$36,cad!$E$36)))</f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>
        <f>IF($A346="","",IF($D346="V01",cad!$C$23,IF($D346="V02",cad!$D$23,cad!$E$23)))</f>
      </c>
      <c r="H346">
        <f>IF($A346="","",IF($D346="V01",cad!$C$24,IF($D346="V02",cad!$D$24,cad!$E$24)))</f>
      </c>
      <c r="I346">
        <f>IF($A346="","",IF($D346="V01",cad!$C$32,IF($D346="V02",cad!$D$32,cad!$E$32)))</f>
      </c>
      <c r="J346">
        <f>IF($A346="","",IF($D346="V01",cad!$C$33,IF($D346="V02",cad!$D$33,cad!$E$33)))</f>
      </c>
      <c r="K346">
        <f>IF($A346="","",IF($D346="V01",cad!$C$34,IF($D346="V02",cad!$D$34,cad!$E$34)))</f>
      </c>
      <c r="L346">
        <f>IF($A346="","",IF($D346="V01",cad!$C$35,IF($D346="V02",cad!$D$35,cad!$E$35)))</f>
      </c>
      <c r="M346">
        <f>IF($A346="","",IF($D346="V01",cad!$C$36,IF($D346="V02",cad!$D$36,cad!$E$36)))</f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>
        <f>IF($A347="","",IF($D347="V01",cad!$C$23,IF($D347="V02",cad!$D$23,cad!$E$23)))</f>
      </c>
      <c r="H347">
        <f>IF($A347="","",IF($D347="V01",cad!$C$24,IF($D347="V02",cad!$D$24,cad!$E$24)))</f>
      </c>
      <c r="I347">
        <f>IF($A347="","",IF($D347="V01",cad!$C$32,IF($D347="V02",cad!$D$32,cad!$E$32)))</f>
      </c>
      <c r="J347">
        <f>IF($A347="","",IF($D347="V01",cad!$C$33,IF($D347="V02",cad!$D$33,cad!$E$33)))</f>
      </c>
      <c r="K347">
        <f>IF($A347="","",IF($D347="V01",cad!$C$34,IF($D347="V02",cad!$D$34,cad!$E$34)))</f>
      </c>
      <c r="L347">
        <f>IF($A347="","",IF($D347="V01",cad!$C$35,IF($D347="V02",cad!$D$35,cad!$E$35)))</f>
      </c>
      <c r="M347">
        <f>IF($A347="","",IF($D347="V01",cad!$C$36,IF($D347="V02",cad!$D$36,cad!$E$36)))</f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>
        <f>IF($A348="","",IF($D348="V01",cad!$C$23,IF($D348="V02",cad!$D$23,cad!$E$23)))</f>
      </c>
      <c r="H348">
        <f>IF($A348="","",IF($D348="V01",cad!$C$24,IF($D348="V02",cad!$D$24,cad!$E$24)))</f>
      </c>
      <c r="I348">
        <f>IF($A348="","",IF($D348="V01",cad!$C$32,IF($D348="V02",cad!$D$32,cad!$E$32)))</f>
      </c>
      <c r="J348">
        <f>IF($A348="","",IF($D348="V01",cad!$C$33,IF($D348="V02",cad!$D$33,cad!$E$33)))</f>
      </c>
      <c r="K348">
        <f>IF($A348="","",IF($D348="V01",cad!$C$34,IF($D348="V02",cad!$D$34,cad!$E$34)))</f>
      </c>
      <c r="L348">
        <f>IF($A348="","",IF($D348="V01",cad!$C$35,IF($D348="V02",cad!$D$35,cad!$E$35)))</f>
      </c>
      <c r="M348">
        <f>IF($A348="","",IF($D348="V01",cad!$C$36,IF($D348="V02",cad!$D$36,cad!$E$36)))</f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>
        <f>IF($A349="","",IF($D349="V01",cad!$C$23,IF($D349="V02",cad!$D$23,cad!$E$23)))</f>
      </c>
      <c r="H349">
        <f>IF($A349="","",IF($D349="V01",cad!$C$24,IF($D349="V02",cad!$D$24,cad!$E$24)))</f>
      </c>
      <c r="I349">
        <f>IF($A349="","",IF($D349="V01",cad!$C$32,IF($D349="V02",cad!$D$32,cad!$E$32)))</f>
      </c>
      <c r="J349">
        <f>IF($A349="","",IF($D349="V01",cad!$C$33,IF($D349="V02",cad!$D$33,cad!$E$33)))</f>
      </c>
      <c r="K349">
        <f>IF($A349="","",IF($D349="V01",cad!$C$34,IF($D349="V02",cad!$D$34,cad!$E$34)))</f>
      </c>
      <c r="L349">
        <f>IF($A349="","",IF($D349="V01",cad!$C$35,IF($D349="V02",cad!$D$35,cad!$E$35)))</f>
      </c>
      <c r="M349">
        <f>IF($A349="","",IF($D349="V01",cad!$C$36,IF($D349="V02",cad!$D$36,cad!$E$36)))</f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>
        <f>IF($A350="","",IF($D350="V01",cad!$C$23,IF($D350="V02",cad!$D$23,cad!$E$23)))</f>
      </c>
      <c r="H350">
        <f>IF($A350="","",IF($D350="V01",cad!$C$24,IF($D350="V02",cad!$D$24,cad!$E$24)))</f>
      </c>
      <c r="I350">
        <f>IF($A350="","",IF($D350="V01",cad!$C$32,IF($D350="V02",cad!$D$32,cad!$E$32)))</f>
      </c>
      <c r="J350">
        <f>IF($A350="","",IF($D350="V01",cad!$C$33,IF($D350="V02",cad!$D$33,cad!$E$33)))</f>
      </c>
      <c r="K350">
        <f>IF($A350="","",IF($D350="V01",cad!$C$34,IF($D350="V02",cad!$D$34,cad!$E$34)))</f>
      </c>
      <c r="L350">
        <f>IF($A350="","",IF($D350="V01",cad!$C$35,IF($D350="V02",cad!$D$35,cad!$E$35)))</f>
      </c>
      <c r="M350">
        <f>IF($A350="","",IF($D350="V01",cad!$C$36,IF($D350="V02",cad!$D$36,cad!$E$36)))</f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>
        <f>IF($A351="","",IF($D351="V01",cad!$C$23,IF($D351="V02",cad!$D$23,cad!$E$23)))</f>
      </c>
      <c r="H351">
        <f>IF($A351="","",IF($D351="V01",cad!$C$24,IF($D351="V02",cad!$D$24,cad!$E$24)))</f>
      </c>
      <c r="I351">
        <f>IF($A351="","",IF($D351="V01",cad!$C$32,IF($D351="V02",cad!$D$32,cad!$E$32)))</f>
      </c>
      <c r="J351">
        <f>IF($A351="","",IF($D351="V01",cad!$C$33,IF($D351="V02",cad!$D$33,cad!$E$33)))</f>
      </c>
      <c r="K351">
        <f>IF($A351="","",IF($D351="V01",cad!$C$34,IF($D351="V02",cad!$D$34,cad!$E$34)))</f>
      </c>
      <c r="L351">
        <f>IF($A351="","",IF($D351="V01",cad!$C$35,IF($D351="V02",cad!$D$35,cad!$E$35)))</f>
      </c>
      <c r="M351">
        <f>IF($A351="","",IF($D351="V01",cad!$C$36,IF($D351="V02",cad!$D$36,cad!$E$36)))</f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>
        <f>IF($A352="","",IF($D352="V01",cad!$C$23,IF($D352="V02",cad!$D$23,cad!$E$23)))</f>
      </c>
      <c r="H352">
        <f>IF($A352="","",IF($D352="V01",cad!$C$24,IF($D352="V02",cad!$D$24,cad!$E$24)))</f>
      </c>
      <c r="I352">
        <f>IF($A352="","",IF($D352="V01",cad!$C$32,IF($D352="V02",cad!$D$32,cad!$E$32)))</f>
      </c>
      <c r="J352">
        <f>IF($A352="","",IF($D352="V01",cad!$C$33,IF($D352="V02",cad!$D$33,cad!$E$33)))</f>
      </c>
      <c r="K352">
        <f>IF($A352="","",IF($D352="V01",cad!$C$34,IF($D352="V02",cad!$D$34,cad!$E$34)))</f>
      </c>
      <c r="L352">
        <f>IF($A352="","",IF($D352="V01",cad!$C$35,IF($D352="V02",cad!$D$35,cad!$E$35)))</f>
      </c>
      <c r="M352">
        <f>IF($A352="","",IF($D352="V01",cad!$C$36,IF($D352="V02",cad!$D$36,cad!$E$36)))</f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>
        <f>IF($A353="","",IF($D353="V01",cad!$C$23,IF($D353="V02",cad!$D$23,cad!$E$23)))</f>
      </c>
      <c r="H353">
        <f>IF($A353="","",IF($D353="V01",cad!$C$24,IF($D353="V02",cad!$D$24,cad!$E$24)))</f>
      </c>
      <c r="I353">
        <f>IF($A353="","",IF($D353="V01",cad!$C$32,IF($D353="V02",cad!$D$32,cad!$E$32)))</f>
      </c>
      <c r="J353">
        <f>IF($A353="","",IF($D353="V01",cad!$C$33,IF($D353="V02",cad!$D$33,cad!$E$33)))</f>
      </c>
      <c r="K353">
        <f>IF($A353="","",IF($D353="V01",cad!$C$34,IF($D353="V02",cad!$D$34,cad!$E$34)))</f>
      </c>
      <c r="L353">
        <f>IF($A353="","",IF($D353="V01",cad!$C$35,IF($D353="V02",cad!$D$35,cad!$E$35)))</f>
      </c>
      <c r="M353">
        <f>IF($A353="","",IF($D353="V01",cad!$C$36,IF($D353="V02",cad!$D$36,cad!$E$36)))</f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>
        <f>IF($A354="","",IF($D354="V01",cad!$C$23,IF($D354="V02",cad!$D$23,cad!$E$23)))</f>
      </c>
      <c r="H354">
        <f>IF($A354="","",IF($D354="V01",cad!$C$24,IF($D354="V02",cad!$D$24,cad!$E$24)))</f>
      </c>
      <c r="I354">
        <f>IF($A354="","",IF($D354="V01",cad!$C$32,IF($D354="V02",cad!$D$32,cad!$E$32)))</f>
      </c>
      <c r="J354">
        <f>IF($A354="","",IF($D354="V01",cad!$C$33,IF($D354="V02",cad!$D$33,cad!$E$33)))</f>
      </c>
      <c r="K354">
        <f>IF($A354="","",IF($D354="V01",cad!$C$34,IF($D354="V02",cad!$D$34,cad!$E$34)))</f>
      </c>
      <c r="L354">
        <f>IF($A354="","",IF($D354="V01",cad!$C$35,IF($D354="V02",cad!$D$35,cad!$E$35)))</f>
      </c>
      <c r="M354">
        <f>IF($A354="","",IF($D354="V01",cad!$C$36,IF($D354="V02",cad!$D$36,cad!$E$36)))</f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>
        <f>IF($A355="","",IF($D355="V01",cad!$C$23,IF($D355="V02",cad!$D$23,cad!$E$23)))</f>
      </c>
      <c r="H355">
        <f>IF($A355="","",IF($D355="V01",cad!$C$24,IF($D355="V02",cad!$D$24,cad!$E$24)))</f>
      </c>
      <c r="I355">
        <f>IF($A355="","",IF($D355="V01",cad!$C$32,IF($D355="V02",cad!$D$32,cad!$E$32)))</f>
      </c>
      <c r="J355">
        <f>IF($A355="","",IF($D355="V01",cad!$C$33,IF($D355="V02",cad!$D$33,cad!$E$33)))</f>
      </c>
      <c r="K355">
        <f>IF($A355="","",IF($D355="V01",cad!$C$34,IF($D355="V02",cad!$D$34,cad!$E$34)))</f>
      </c>
      <c r="L355">
        <f>IF($A355="","",IF($D355="V01",cad!$C$35,IF($D355="V02",cad!$D$35,cad!$E$35)))</f>
      </c>
      <c r="M355">
        <f>IF($A355="","",IF($D355="V01",cad!$C$36,IF($D355="V02",cad!$D$36,cad!$E$36)))</f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>
        <f>IF($A356="","",IF($D356="V01",cad!$C$23,IF($D356="V02",cad!$D$23,cad!$E$23)))</f>
      </c>
      <c r="H356">
        <f>IF($A356="","",IF($D356="V01",cad!$C$24,IF($D356="V02",cad!$D$24,cad!$E$24)))</f>
      </c>
      <c r="I356">
        <f>IF($A356="","",IF($D356="V01",cad!$C$32,IF($D356="V02",cad!$D$32,cad!$E$32)))</f>
      </c>
      <c r="J356">
        <f>IF($A356="","",IF($D356="V01",cad!$C$33,IF($D356="V02",cad!$D$33,cad!$E$33)))</f>
      </c>
      <c r="K356">
        <f>IF($A356="","",IF($D356="V01",cad!$C$34,IF($D356="V02",cad!$D$34,cad!$E$34)))</f>
      </c>
      <c r="L356">
        <f>IF($A356="","",IF($D356="V01",cad!$C$35,IF($D356="V02",cad!$D$35,cad!$E$35)))</f>
      </c>
      <c r="M356">
        <f>IF($A356="","",IF($D356="V01",cad!$C$36,IF($D356="V02",cad!$D$36,cad!$E$36)))</f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>
        <f>IF($A357="","",IF($D357="V01",cad!$C$23,IF($D357="V02",cad!$D$23,cad!$E$23)))</f>
      </c>
      <c r="H357">
        <f>IF($A357="","",IF($D357="V01",cad!$C$24,IF($D357="V02",cad!$D$24,cad!$E$24)))</f>
      </c>
      <c r="I357">
        <f>IF($A357="","",IF($D357="V01",cad!$C$32,IF($D357="V02",cad!$D$32,cad!$E$32)))</f>
      </c>
      <c r="J357">
        <f>IF($A357="","",IF($D357="V01",cad!$C$33,IF($D357="V02",cad!$D$33,cad!$E$33)))</f>
      </c>
      <c r="K357">
        <f>IF($A357="","",IF($D357="V01",cad!$C$34,IF($D357="V02",cad!$D$34,cad!$E$34)))</f>
      </c>
      <c r="L357">
        <f>IF($A357="","",IF($D357="V01",cad!$C$35,IF($D357="V02",cad!$D$35,cad!$E$35)))</f>
      </c>
      <c r="M357">
        <f>IF($A357="","",IF($D357="V01",cad!$C$36,IF($D357="V02",cad!$D$36,cad!$E$36)))</f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>
        <f>IF($A358="","",IF($D358="V01",cad!$C$23,IF($D358="V02",cad!$D$23,cad!$E$23)))</f>
      </c>
      <c r="H358">
        <f>IF($A358="","",IF($D358="V01",cad!$C$24,IF($D358="V02",cad!$D$24,cad!$E$24)))</f>
      </c>
      <c r="I358">
        <f>IF($A358="","",IF($D358="V01",cad!$C$32,IF($D358="V02",cad!$D$32,cad!$E$32)))</f>
      </c>
      <c r="J358">
        <f>IF($A358="","",IF($D358="V01",cad!$C$33,IF($D358="V02",cad!$D$33,cad!$E$33)))</f>
      </c>
      <c r="K358">
        <f>IF($A358="","",IF($D358="V01",cad!$C$34,IF($D358="V02",cad!$D$34,cad!$E$34)))</f>
      </c>
      <c r="L358">
        <f>IF($A358="","",IF($D358="V01",cad!$C$35,IF($D358="V02",cad!$D$35,cad!$E$35)))</f>
      </c>
      <c r="M358">
        <f>IF($A358="","",IF($D358="V01",cad!$C$36,IF($D358="V02",cad!$D$36,cad!$E$36)))</f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>
        <f>IF($A359="","",IF($D359="V01",cad!$C$23,IF($D359="V02",cad!$D$23,cad!$E$23)))</f>
      </c>
      <c r="H359">
        <f>IF($A359="","",IF($D359="V01",cad!$C$24,IF($D359="V02",cad!$D$24,cad!$E$24)))</f>
      </c>
      <c r="I359">
        <f>IF($A359="","",IF($D359="V01",cad!$C$32,IF($D359="V02",cad!$D$32,cad!$E$32)))</f>
      </c>
      <c r="J359">
        <f>IF($A359="","",IF($D359="V01",cad!$C$33,IF($D359="V02",cad!$D$33,cad!$E$33)))</f>
      </c>
      <c r="K359">
        <f>IF($A359="","",IF($D359="V01",cad!$C$34,IF($D359="V02",cad!$D$34,cad!$E$34)))</f>
      </c>
      <c r="L359">
        <f>IF($A359="","",IF($D359="V01",cad!$C$35,IF($D359="V02",cad!$D$35,cad!$E$35)))</f>
      </c>
      <c r="M359">
        <f>IF($A359="","",IF($D359="V01",cad!$C$36,IF($D359="V02",cad!$D$36,cad!$E$36)))</f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>
        <f>IF($A360="","",IF($D360="V01",cad!$C$23,IF($D360="V02",cad!$D$23,cad!$E$23)))</f>
      </c>
      <c r="H360">
        <f>IF($A360="","",IF($D360="V01",cad!$C$24,IF($D360="V02",cad!$D$24,cad!$E$24)))</f>
      </c>
      <c r="I360">
        <f>IF($A360="","",IF($D360="V01",cad!$C$32,IF($D360="V02",cad!$D$32,cad!$E$32)))</f>
      </c>
      <c r="J360">
        <f>IF($A360="","",IF($D360="V01",cad!$C$33,IF($D360="V02",cad!$D$33,cad!$E$33)))</f>
      </c>
      <c r="K360">
        <f>IF($A360="","",IF($D360="V01",cad!$C$34,IF($D360="V02",cad!$D$34,cad!$E$34)))</f>
      </c>
      <c r="L360">
        <f>IF($A360="","",IF($D360="V01",cad!$C$35,IF($D360="V02",cad!$D$35,cad!$E$35)))</f>
      </c>
      <c r="M360">
        <f>IF($A360="","",IF($D360="V01",cad!$C$36,IF($D360="V02",cad!$D$36,cad!$E$36)))</f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>
        <f>IF($A361="","",IF($D361="V01",cad!$C$23,IF($D361="V02",cad!$D$23,cad!$E$23)))</f>
      </c>
      <c r="H361">
        <f>IF($A361="","",IF($D361="V01",cad!$C$24,IF($D361="V02",cad!$D$24,cad!$E$24)))</f>
      </c>
      <c r="I361">
        <f>IF($A361="","",IF($D361="V01",cad!$C$32,IF($D361="V02",cad!$D$32,cad!$E$32)))</f>
      </c>
      <c r="J361">
        <f>IF($A361="","",IF($D361="V01",cad!$C$33,IF($D361="V02",cad!$D$33,cad!$E$33)))</f>
      </c>
      <c r="K361">
        <f>IF($A361="","",IF($D361="V01",cad!$C$34,IF($D361="V02",cad!$D$34,cad!$E$34)))</f>
      </c>
      <c r="L361">
        <f>IF($A361="","",IF($D361="V01",cad!$C$35,IF($D361="V02",cad!$D$35,cad!$E$35)))</f>
      </c>
      <c r="M361">
        <f>IF($A361="","",IF($D361="V01",cad!$C$36,IF($D361="V02",cad!$D$36,cad!$E$36)))</f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>
        <f>IF($A362="","",IF($D362="V01",cad!$C$23,IF($D362="V02",cad!$D$23,cad!$E$23)))</f>
      </c>
      <c r="H362">
        <f>IF($A362="","",IF($D362="V01",cad!$C$24,IF($D362="V02",cad!$D$24,cad!$E$24)))</f>
      </c>
      <c r="I362">
        <f>IF($A362="","",IF($D362="V01",cad!$C$32,IF($D362="V02",cad!$D$32,cad!$E$32)))</f>
      </c>
      <c r="J362">
        <f>IF($A362="","",IF($D362="V01",cad!$C$33,IF($D362="V02",cad!$D$33,cad!$E$33)))</f>
      </c>
      <c r="K362">
        <f>IF($A362="","",IF($D362="V01",cad!$C$34,IF($D362="V02",cad!$D$34,cad!$E$34)))</f>
      </c>
      <c r="L362">
        <f>IF($A362="","",IF($D362="V01",cad!$C$35,IF($D362="V02",cad!$D$35,cad!$E$35)))</f>
      </c>
      <c r="M362">
        <f>IF($A362="","",IF($D362="V01",cad!$C$36,IF($D362="V02",cad!$D$36,cad!$E$36)))</f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>
        <f>IF($A363="","",IF($D363="V01",cad!$C$23,IF($D363="V02",cad!$D$23,cad!$E$23)))</f>
      </c>
      <c r="H363">
        <f>IF($A363="","",IF($D363="V01",cad!$C$24,IF($D363="V02",cad!$D$24,cad!$E$24)))</f>
      </c>
      <c r="I363">
        <f>IF($A363="","",IF($D363="V01",cad!$C$32,IF($D363="V02",cad!$D$32,cad!$E$32)))</f>
      </c>
      <c r="J363">
        <f>IF($A363="","",IF($D363="V01",cad!$C$33,IF($D363="V02",cad!$D$33,cad!$E$33)))</f>
      </c>
      <c r="K363">
        <f>IF($A363="","",IF($D363="V01",cad!$C$34,IF($D363="V02",cad!$D$34,cad!$E$34)))</f>
      </c>
      <c r="L363">
        <f>IF($A363="","",IF($D363="V01",cad!$C$35,IF($D363="V02",cad!$D$35,cad!$E$35)))</f>
      </c>
      <c r="M363">
        <f>IF($A363="","",IF($D363="V01",cad!$C$36,IF($D363="V02",cad!$D$36,cad!$E$36)))</f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>
        <f>IF($A364="","",IF($D364="V01",cad!$C$23,IF($D364="V02",cad!$D$23,cad!$E$23)))</f>
      </c>
      <c r="H364">
        <f>IF($A364="","",IF($D364="V01",cad!$C$24,IF($D364="V02",cad!$D$24,cad!$E$24)))</f>
      </c>
      <c r="I364">
        <f>IF($A364="","",IF($D364="V01",cad!$C$32,IF($D364="V02",cad!$D$32,cad!$E$32)))</f>
      </c>
      <c r="J364">
        <f>IF($A364="","",IF($D364="V01",cad!$C$33,IF($D364="V02",cad!$D$33,cad!$E$33)))</f>
      </c>
      <c r="K364">
        <f>IF($A364="","",IF($D364="V01",cad!$C$34,IF($D364="V02",cad!$D$34,cad!$E$34)))</f>
      </c>
      <c r="L364">
        <f>IF($A364="","",IF($D364="V01",cad!$C$35,IF($D364="V02",cad!$D$35,cad!$E$35)))</f>
      </c>
      <c r="M364">
        <f>IF($A364="","",IF($D364="V01",cad!$C$36,IF($D364="V02",cad!$D$36,cad!$E$36)))</f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>
        <f>IF($A365="","",IF($D365="V01",cad!$C$23,IF($D365="V02",cad!$D$23,cad!$E$23)))</f>
      </c>
      <c r="H365">
        <f>IF($A365="","",IF($D365="V01",cad!$C$24,IF($D365="V02",cad!$D$24,cad!$E$24)))</f>
      </c>
      <c r="I365">
        <f>IF($A365="","",IF($D365="V01",cad!$C$32,IF($D365="V02",cad!$D$32,cad!$E$32)))</f>
      </c>
      <c r="J365">
        <f>IF($A365="","",IF($D365="V01",cad!$C$33,IF($D365="V02",cad!$D$33,cad!$E$33)))</f>
      </c>
      <c r="K365">
        <f>IF($A365="","",IF($D365="V01",cad!$C$34,IF($D365="V02",cad!$D$34,cad!$E$34)))</f>
      </c>
      <c r="L365">
        <f>IF($A365="","",IF($D365="V01",cad!$C$35,IF($D365="V02",cad!$D$35,cad!$E$35)))</f>
      </c>
      <c r="M365">
        <f>IF($A365="","",IF($D365="V01",cad!$C$36,IF($D365="V02",cad!$D$36,cad!$E$36)))</f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>
        <f>IF($A366="","",IF($D366="V01",cad!$C$23,IF($D366="V02",cad!$D$23,cad!$E$23)))</f>
      </c>
      <c r="H366">
        <f>IF($A366="","",IF($D366="V01",cad!$C$24,IF($D366="V02",cad!$D$24,cad!$E$24)))</f>
      </c>
      <c r="I366">
        <f>IF($A366="","",IF($D366="V01",cad!$C$32,IF($D366="V02",cad!$D$32,cad!$E$32)))</f>
      </c>
      <c r="J366">
        <f>IF($A366="","",IF($D366="V01",cad!$C$33,IF($D366="V02",cad!$D$33,cad!$E$33)))</f>
      </c>
      <c r="K366">
        <f>IF($A366="","",IF($D366="V01",cad!$C$34,IF($D366="V02",cad!$D$34,cad!$E$34)))</f>
      </c>
      <c r="L366">
        <f>IF($A366="","",IF($D366="V01",cad!$C$35,IF($D366="V02",cad!$D$35,cad!$E$35)))</f>
      </c>
      <c r="M366">
        <f>IF($A366="","",IF($D366="V01",cad!$C$36,IF($D366="V02",cad!$D$36,cad!$E$36)))</f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>
        <f>IF($A367="","",IF($D367="V01",cad!$C$23,IF($D367="V02",cad!$D$23,cad!$E$23)))</f>
      </c>
      <c r="H367">
        <f>IF($A367="","",IF($D367="V01",cad!$C$24,IF($D367="V02",cad!$D$24,cad!$E$24)))</f>
      </c>
      <c r="I367">
        <f>IF($A367="","",IF($D367="V01",cad!$C$32,IF($D367="V02",cad!$D$32,cad!$E$32)))</f>
      </c>
      <c r="J367">
        <f>IF($A367="","",IF($D367="V01",cad!$C$33,IF($D367="V02",cad!$D$33,cad!$E$33)))</f>
      </c>
      <c r="K367">
        <f>IF($A367="","",IF($D367="V01",cad!$C$34,IF($D367="V02",cad!$D$34,cad!$E$34)))</f>
      </c>
      <c r="L367">
        <f>IF($A367="","",IF($D367="V01",cad!$C$35,IF($D367="V02",cad!$D$35,cad!$E$35)))</f>
      </c>
      <c r="M367">
        <f>IF($A367="","",IF($D367="V01",cad!$C$36,IF($D367="V02",cad!$D$36,cad!$E$36)))</f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>
        <f>IF($A368="","",IF($D368="V01",cad!$C$23,IF($D368="V02",cad!$D$23,cad!$E$23)))</f>
      </c>
      <c r="H368">
        <f>IF($A368="","",IF($D368="V01",cad!$C$24,IF($D368="V02",cad!$D$24,cad!$E$24)))</f>
      </c>
      <c r="I368">
        <f>IF($A368="","",IF($D368="V01",cad!$C$32,IF($D368="V02",cad!$D$32,cad!$E$32)))</f>
      </c>
      <c r="J368">
        <f>IF($A368="","",IF($D368="V01",cad!$C$33,IF($D368="V02",cad!$D$33,cad!$E$33)))</f>
      </c>
      <c r="K368">
        <f>IF($A368="","",IF($D368="V01",cad!$C$34,IF($D368="V02",cad!$D$34,cad!$E$34)))</f>
      </c>
      <c r="L368">
        <f>IF($A368="","",IF($D368="V01",cad!$C$35,IF($D368="V02",cad!$D$35,cad!$E$35)))</f>
      </c>
      <c r="M368">
        <f>IF($A368="","",IF($D368="V01",cad!$C$36,IF($D368="V02",cad!$D$36,cad!$E$36)))</f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>
        <f>IF($A369="","",IF($D369="V01",cad!$C$23,IF($D369="V02",cad!$D$23,cad!$E$23)))</f>
      </c>
      <c r="H369">
        <f>IF($A369="","",IF($D369="V01",cad!$C$24,IF($D369="V02",cad!$D$24,cad!$E$24)))</f>
      </c>
      <c r="I369">
        <f>IF($A369="","",IF($D369="V01",cad!$C$32,IF($D369="V02",cad!$D$32,cad!$E$32)))</f>
      </c>
      <c r="J369">
        <f>IF($A369="","",IF($D369="V01",cad!$C$33,IF($D369="V02",cad!$D$33,cad!$E$33)))</f>
      </c>
      <c r="K369">
        <f>IF($A369="","",IF($D369="V01",cad!$C$34,IF($D369="V02",cad!$D$34,cad!$E$34)))</f>
      </c>
      <c r="L369">
        <f>IF($A369="","",IF($D369="V01",cad!$C$35,IF($D369="V02",cad!$D$35,cad!$E$35)))</f>
      </c>
      <c r="M369">
        <f>IF($A369="","",IF($D369="V01",cad!$C$36,IF($D369="V02",cad!$D$36,cad!$E$36)))</f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>
        <f>IF($A370="","",IF($D370="V01",cad!$C$23,IF($D370="V02",cad!$D$23,cad!$E$23)))</f>
      </c>
      <c r="H370">
        <f>IF($A370="","",IF($D370="V01",cad!$C$24,IF($D370="V02",cad!$D$24,cad!$E$24)))</f>
      </c>
      <c r="I370">
        <f>IF($A370="","",IF($D370="V01",cad!$C$32,IF($D370="V02",cad!$D$32,cad!$E$32)))</f>
      </c>
      <c r="J370">
        <f>IF($A370="","",IF($D370="V01",cad!$C$33,IF($D370="V02",cad!$D$33,cad!$E$33)))</f>
      </c>
      <c r="K370">
        <f>IF($A370="","",IF($D370="V01",cad!$C$34,IF($D370="V02",cad!$D$34,cad!$E$34)))</f>
      </c>
      <c r="L370">
        <f>IF($A370="","",IF($D370="V01",cad!$C$35,IF($D370="V02",cad!$D$35,cad!$E$35)))</f>
      </c>
      <c r="M370">
        <f>IF($A370="","",IF($D370="V01",cad!$C$36,IF($D370="V02",cad!$D$36,cad!$E$36)))</f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>
        <f>IF($A371="","",IF($D371="V01",cad!$C$23,IF($D371="V02",cad!$D$23,cad!$E$23)))</f>
      </c>
      <c r="H371">
        <f>IF($A371="","",IF($D371="V01",cad!$C$24,IF($D371="V02",cad!$D$24,cad!$E$24)))</f>
      </c>
      <c r="I371">
        <f>IF($A371="","",IF($D371="V01",cad!$C$32,IF($D371="V02",cad!$D$32,cad!$E$32)))</f>
      </c>
      <c r="J371">
        <f>IF($A371="","",IF($D371="V01",cad!$C$33,IF($D371="V02",cad!$D$33,cad!$E$33)))</f>
      </c>
      <c r="K371">
        <f>IF($A371="","",IF($D371="V01",cad!$C$34,IF($D371="V02",cad!$D$34,cad!$E$34)))</f>
      </c>
      <c r="L371">
        <f>IF($A371="","",IF($D371="V01",cad!$C$35,IF($D371="V02",cad!$D$35,cad!$E$35)))</f>
      </c>
      <c r="M371">
        <f>IF($A371="","",IF($D371="V01",cad!$C$36,IF($D371="V02",cad!$D$36,cad!$E$36)))</f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>
        <f>IF($A372="","",IF($D372="V01",cad!$C$23,IF($D372="V02",cad!$D$23,cad!$E$23)))</f>
      </c>
      <c r="H372">
        <f>IF($A372="","",IF($D372="V01",cad!$C$24,IF($D372="V02",cad!$D$24,cad!$E$24)))</f>
      </c>
      <c r="I372">
        <f>IF($A372="","",IF($D372="V01",cad!$C$32,IF($D372="V02",cad!$D$32,cad!$E$32)))</f>
      </c>
      <c r="J372">
        <f>IF($A372="","",IF($D372="V01",cad!$C$33,IF($D372="V02",cad!$D$33,cad!$E$33)))</f>
      </c>
      <c r="K372">
        <f>IF($A372="","",IF($D372="V01",cad!$C$34,IF($D372="V02",cad!$D$34,cad!$E$34)))</f>
      </c>
      <c r="L372">
        <f>IF($A372="","",IF($D372="V01",cad!$C$35,IF($D372="V02",cad!$D$35,cad!$E$35)))</f>
      </c>
      <c r="M372">
        <f>IF($A372="","",IF($D372="V01",cad!$C$36,IF($D372="V02",cad!$D$36,cad!$E$36)))</f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>
        <f>IF($A373="","",IF($D373="V01",cad!$C$23,IF($D373="V02",cad!$D$23,cad!$E$23)))</f>
      </c>
      <c r="H373">
        <f>IF($A373="","",IF($D373="V01",cad!$C$24,IF($D373="V02",cad!$D$24,cad!$E$24)))</f>
      </c>
      <c r="I373">
        <f>IF($A373="","",IF($D373="V01",cad!$C$32,IF($D373="V02",cad!$D$32,cad!$E$32)))</f>
      </c>
      <c r="J373">
        <f>IF($A373="","",IF($D373="V01",cad!$C$33,IF($D373="V02",cad!$D$33,cad!$E$33)))</f>
      </c>
      <c r="K373">
        <f>IF($A373="","",IF($D373="V01",cad!$C$34,IF($D373="V02",cad!$D$34,cad!$E$34)))</f>
      </c>
      <c r="L373">
        <f>IF($A373="","",IF($D373="V01",cad!$C$35,IF($D373="V02",cad!$D$35,cad!$E$35)))</f>
      </c>
      <c r="M373">
        <f>IF($A373="","",IF($D373="V01",cad!$C$36,IF($D373="V02",cad!$D$36,cad!$E$36)))</f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>
        <f>IF($A374="","",IF($D374="V01",cad!$C$23,IF($D374="V02",cad!$D$23,cad!$E$23)))</f>
      </c>
      <c r="H374">
        <f>IF($A374="","",IF($D374="V01",cad!$C$24,IF($D374="V02",cad!$D$24,cad!$E$24)))</f>
      </c>
      <c r="I374">
        <f>IF($A374="","",IF($D374="V01",cad!$C$32,IF($D374="V02",cad!$D$32,cad!$E$32)))</f>
      </c>
      <c r="J374">
        <f>IF($A374="","",IF($D374="V01",cad!$C$33,IF($D374="V02",cad!$D$33,cad!$E$33)))</f>
      </c>
      <c r="K374">
        <f>IF($A374="","",IF($D374="V01",cad!$C$34,IF($D374="V02",cad!$D$34,cad!$E$34)))</f>
      </c>
      <c r="L374">
        <f>IF($A374="","",IF($D374="V01",cad!$C$35,IF($D374="V02",cad!$D$35,cad!$E$35)))</f>
      </c>
      <c r="M374">
        <f>IF($A374="","",IF($D374="V01",cad!$C$36,IF($D374="V02",cad!$D$36,cad!$E$36)))</f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>
        <f>IF($A375="","",IF($D375="V01",cad!$C$23,IF($D375="V02",cad!$D$23,cad!$E$23)))</f>
      </c>
      <c r="H375">
        <f>IF($A375="","",IF($D375="V01",cad!$C$24,IF($D375="V02",cad!$D$24,cad!$E$24)))</f>
      </c>
      <c r="I375">
        <f>IF($A375="","",IF($D375="V01",cad!$C$32,IF($D375="V02",cad!$D$32,cad!$E$32)))</f>
      </c>
      <c r="J375">
        <f>IF($A375="","",IF($D375="V01",cad!$C$33,IF($D375="V02",cad!$D$33,cad!$E$33)))</f>
      </c>
      <c r="K375">
        <f>IF($A375="","",IF($D375="V01",cad!$C$34,IF($D375="V02",cad!$D$34,cad!$E$34)))</f>
      </c>
      <c r="L375">
        <f>IF($A375="","",IF($D375="V01",cad!$C$35,IF($D375="V02",cad!$D$35,cad!$E$35)))</f>
      </c>
      <c r="M375">
        <f>IF($A375="","",IF($D375="V01",cad!$C$36,IF($D375="V02",cad!$D$36,cad!$E$36)))</f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>
        <f>IF($A376="","",IF($D376="V01",cad!$C$23,IF($D376="V02",cad!$D$23,cad!$E$23)))</f>
      </c>
      <c r="H376">
        <f>IF($A376="","",IF($D376="V01",cad!$C$24,IF($D376="V02",cad!$D$24,cad!$E$24)))</f>
      </c>
      <c r="I376">
        <f>IF($A376="","",IF($D376="V01",cad!$C$32,IF($D376="V02",cad!$D$32,cad!$E$32)))</f>
      </c>
      <c r="J376">
        <f>IF($A376="","",IF($D376="V01",cad!$C$33,IF($D376="V02",cad!$D$33,cad!$E$33)))</f>
      </c>
      <c r="K376">
        <f>IF($A376="","",IF($D376="V01",cad!$C$34,IF($D376="V02",cad!$D$34,cad!$E$34)))</f>
      </c>
      <c r="L376">
        <f>IF($A376="","",IF($D376="V01",cad!$C$35,IF($D376="V02",cad!$D$35,cad!$E$35)))</f>
      </c>
      <c r="M376">
        <f>IF($A376="","",IF($D376="V01",cad!$C$36,IF($D376="V02",cad!$D$36,cad!$E$36)))</f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>
        <f>IF($A377="","",IF($D377="V01",cad!$C$23,IF($D377="V02",cad!$D$23,cad!$E$23)))</f>
      </c>
      <c r="H377">
        <f>IF($A377="","",IF($D377="V01",cad!$C$24,IF($D377="V02",cad!$D$24,cad!$E$24)))</f>
      </c>
      <c r="I377">
        <f>IF($A377="","",IF($D377="V01",cad!$C$32,IF($D377="V02",cad!$D$32,cad!$E$32)))</f>
      </c>
      <c r="J377">
        <f>IF($A377="","",IF($D377="V01",cad!$C$33,IF($D377="V02",cad!$D$33,cad!$E$33)))</f>
      </c>
      <c r="K377">
        <f>IF($A377="","",IF($D377="V01",cad!$C$34,IF($D377="V02",cad!$D$34,cad!$E$34)))</f>
      </c>
      <c r="L377">
        <f>IF($A377="","",IF($D377="V01",cad!$C$35,IF($D377="V02",cad!$D$35,cad!$E$35)))</f>
      </c>
      <c r="M377">
        <f>IF($A377="","",IF($D377="V01",cad!$C$36,IF($D377="V02",cad!$D$36,cad!$E$36)))</f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>
        <f>IF($A378="","",IF($D378="V01",cad!$C$23,IF($D378="V02",cad!$D$23,cad!$E$23)))</f>
      </c>
      <c r="H378">
        <f>IF($A378="","",IF($D378="V01",cad!$C$24,IF($D378="V02",cad!$D$24,cad!$E$24)))</f>
      </c>
      <c r="I378">
        <f>IF($A378="","",IF($D378="V01",cad!$C$32,IF($D378="V02",cad!$D$32,cad!$E$32)))</f>
      </c>
      <c r="J378">
        <f>IF($A378="","",IF($D378="V01",cad!$C$33,IF($D378="V02",cad!$D$33,cad!$E$33)))</f>
      </c>
      <c r="K378">
        <f>IF($A378="","",IF($D378="V01",cad!$C$34,IF($D378="V02",cad!$D$34,cad!$E$34)))</f>
      </c>
      <c r="L378">
        <f>IF($A378="","",IF($D378="V01",cad!$C$35,IF($D378="V02",cad!$D$35,cad!$E$35)))</f>
      </c>
      <c r="M378">
        <f>IF($A378="","",IF($D378="V01",cad!$C$36,IF($D378="V02",cad!$D$36,cad!$E$36)))</f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>
        <f>IF($A379="","",IF($D379="V01",cad!$C$23,IF($D379="V02",cad!$D$23,cad!$E$23)))</f>
      </c>
      <c r="H379">
        <f>IF($A379="","",IF($D379="V01",cad!$C$24,IF($D379="V02",cad!$D$24,cad!$E$24)))</f>
      </c>
      <c r="I379">
        <f>IF($A379="","",IF($D379="V01",cad!$C$32,IF($D379="V02",cad!$D$32,cad!$E$32)))</f>
      </c>
      <c r="J379">
        <f>IF($A379="","",IF($D379="V01",cad!$C$33,IF($D379="V02",cad!$D$33,cad!$E$33)))</f>
      </c>
      <c r="K379">
        <f>IF($A379="","",IF($D379="V01",cad!$C$34,IF($D379="V02",cad!$D$34,cad!$E$34)))</f>
      </c>
      <c r="L379">
        <f>IF($A379="","",IF($D379="V01",cad!$C$35,IF($D379="V02",cad!$D$35,cad!$E$35)))</f>
      </c>
      <c r="M379">
        <f>IF($A379="","",IF($D379="V01",cad!$C$36,IF($D379="V02",cad!$D$36,cad!$E$36)))</f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>
        <f>IF($A380="","",IF($D380="V01",cad!$C$23,IF($D380="V02",cad!$D$23,cad!$E$23)))</f>
      </c>
      <c r="H380">
        <f>IF($A380="","",IF($D380="V01",cad!$C$24,IF($D380="V02",cad!$D$24,cad!$E$24)))</f>
      </c>
      <c r="I380">
        <f>IF($A380="","",IF($D380="V01",cad!$C$32,IF($D380="V02",cad!$D$32,cad!$E$32)))</f>
      </c>
      <c r="J380">
        <f>IF($A380="","",IF($D380="V01",cad!$C$33,IF($D380="V02",cad!$D$33,cad!$E$33)))</f>
      </c>
      <c r="K380">
        <f>IF($A380="","",IF($D380="V01",cad!$C$34,IF($D380="V02",cad!$D$34,cad!$E$34)))</f>
      </c>
      <c r="L380">
        <f>IF($A380="","",IF($D380="V01",cad!$C$35,IF($D380="V02",cad!$D$35,cad!$E$35)))</f>
      </c>
      <c r="M380">
        <f>IF($A380="","",IF($D380="V01",cad!$C$36,IF($D380="V02",cad!$D$36,cad!$E$36)))</f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>
        <f>IF($A381="","",IF($D381="V01",cad!$C$23,IF($D381="V02",cad!$D$23,cad!$E$23)))</f>
      </c>
      <c r="H381">
        <f>IF($A381="","",IF($D381="V01",cad!$C$24,IF($D381="V02",cad!$D$24,cad!$E$24)))</f>
      </c>
      <c r="I381">
        <f>IF($A381="","",IF($D381="V01",cad!$C$32,IF($D381="V02",cad!$D$32,cad!$E$32)))</f>
      </c>
      <c r="J381">
        <f>IF($A381="","",IF($D381="V01",cad!$C$33,IF($D381="V02",cad!$D$33,cad!$E$33)))</f>
      </c>
      <c r="K381">
        <f>IF($A381="","",IF($D381="V01",cad!$C$34,IF($D381="V02",cad!$D$34,cad!$E$34)))</f>
      </c>
      <c r="L381">
        <f>IF($A381="","",IF($D381="V01",cad!$C$35,IF($D381="V02",cad!$D$35,cad!$E$35)))</f>
      </c>
      <c r="M381">
        <f>IF($A381="","",IF($D381="V01",cad!$C$36,IF($D381="V02",cad!$D$36,cad!$E$36)))</f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>
        <f>IF($A382="","",IF($D382="V01",cad!$C$23,IF($D382="V02",cad!$D$23,cad!$E$23)))</f>
      </c>
      <c r="H382">
        <f>IF($A382="","",IF($D382="V01",cad!$C$24,IF($D382="V02",cad!$D$24,cad!$E$24)))</f>
      </c>
      <c r="I382">
        <f>IF($A382="","",IF($D382="V01",cad!$C$32,IF($D382="V02",cad!$D$32,cad!$E$32)))</f>
      </c>
      <c r="J382">
        <f>IF($A382="","",IF($D382="V01",cad!$C$33,IF($D382="V02",cad!$D$33,cad!$E$33)))</f>
      </c>
      <c r="K382">
        <f>IF($A382="","",IF($D382="V01",cad!$C$34,IF($D382="V02",cad!$D$34,cad!$E$34)))</f>
      </c>
      <c r="L382">
        <f>IF($A382="","",IF($D382="V01",cad!$C$35,IF($D382="V02",cad!$D$35,cad!$E$35)))</f>
      </c>
      <c r="M382">
        <f>IF($A382="","",IF($D382="V01",cad!$C$36,IF($D382="V02",cad!$D$36,cad!$E$36)))</f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>
        <f>IF($A383="","",IF($D383="V01",cad!$C$23,IF($D383="V02",cad!$D$23,cad!$E$23)))</f>
      </c>
      <c r="H383">
        <f>IF($A383="","",IF($D383="V01",cad!$C$24,IF($D383="V02",cad!$D$24,cad!$E$24)))</f>
      </c>
      <c r="I383">
        <f>IF($A383="","",IF($D383="V01",cad!$C$32,IF($D383="V02",cad!$D$32,cad!$E$32)))</f>
      </c>
      <c r="J383">
        <f>IF($A383="","",IF($D383="V01",cad!$C$33,IF($D383="V02",cad!$D$33,cad!$E$33)))</f>
      </c>
      <c r="K383">
        <f>IF($A383="","",IF($D383="V01",cad!$C$34,IF($D383="V02",cad!$D$34,cad!$E$34)))</f>
      </c>
      <c r="L383">
        <f>IF($A383="","",IF($D383="V01",cad!$C$35,IF($D383="V02",cad!$D$35,cad!$E$35)))</f>
      </c>
      <c r="M383">
        <f>IF($A383="","",IF($D383="V01",cad!$C$36,IF($D383="V02",cad!$D$36,cad!$E$36)))</f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>
        <f>IF($A384="","",IF($D384="V01",cad!$C$23,IF($D384="V02",cad!$D$23,cad!$E$23)))</f>
      </c>
      <c r="H384">
        <f>IF($A384="","",IF($D384="V01",cad!$C$24,IF($D384="V02",cad!$D$24,cad!$E$24)))</f>
      </c>
      <c r="I384">
        <f>IF($A384="","",IF($D384="V01",cad!$C$32,IF($D384="V02",cad!$D$32,cad!$E$32)))</f>
      </c>
      <c r="J384">
        <f>IF($A384="","",IF($D384="V01",cad!$C$33,IF($D384="V02",cad!$D$33,cad!$E$33)))</f>
      </c>
      <c r="K384">
        <f>IF($A384="","",IF($D384="V01",cad!$C$34,IF($D384="V02",cad!$D$34,cad!$E$34)))</f>
      </c>
      <c r="L384">
        <f>IF($A384="","",IF($D384="V01",cad!$C$35,IF($D384="V02",cad!$D$35,cad!$E$35)))</f>
      </c>
      <c r="M384">
        <f>IF($A384="","",IF($D384="V01",cad!$C$36,IF($D384="V02",cad!$D$36,cad!$E$36)))</f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>
        <f>IF($A385="","",IF($D385="V01",cad!$C$23,IF($D385="V02",cad!$D$23,cad!$E$23)))</f>
      </c>
      <c r="H385">
        <f>IF($A385="","",IF($D385="V01",cad!$C$24,IF($D385="V02",cad!$D$24,cad!$E$24)))</f>
      </c>
      <c r="I385">
        <f>IF($A385="","",IF($D385="V01",cad!$C$32,IF($D385="V02",cad!$D$32,cad!$E$32)))</f>
      </c>
      <c r="J385">
        <f>IF($A385="","",IF($D385="V01",cad!$C$33,IF($D385="V02",cad!$D$33,cad!$E$33)))</f>
      </c>
      <c r="K385">
        <f>IF($A385="","",IF($D385="V01",cad!$C$34,IF($D385="V02",cad!$D$34,cad!$E$34)))</f>
      </c>
      <c r="L385">
        <f>IF($A385="","",IF($D385="V01",cad!$C$35,IF($D385="V02",cad!$D$35,cad!$E$35)))</f>
      </c>
      <c r="M385">
        <f>IF($A385="","",IF($D385="V01",cad!$C$36,IF($D385="V02",cad!$D$36,cad!$E$36)))</f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>
        <f>IF($A386="","",IF($D386="V01",cad!$C$23,IF($D386="V02",cad!$D$23,cad!$E$23)))</f>
      </c>
      <c r="H386">
        <f>IF($A386="","",IF($D386="V01",cad!$C$24,IF($D386="V02",cad!$D$24,cad!$E$24)))</f>
      </c>
      <c r="I386">
        <f>IF($A386="","",IF($D386="V01",cad!$C$32,IF($D386="V02",cad!$D$32,cad!$E$32)))</f>
      </c>
      <c r="J386">
        <f>IF($A386="","",IF($D386="V01",cad!$C$33,IF($D386="V02",cad!$D$33,cad!$E$33)))</f>
      </c>
      <c r="K386">
        <f>IF($A386="","",IF($D386="V01",cad!$C$34,IF($D386="V02",cad!$D$34,cad!$E$34)))</f>
      </c>
      <c r="L386">
        <f>IF($A386="","",IF($D386="V01",cad!$C$35,IF($D386="V02",cad!$D$35,cad!$E$35)))</f>
      </c>
      <c r="M386">
        <f>IF($A386="","",IF($D386="V01",cad!$C$36,IF($D386="V02",cad!$D$36,cad!$E$36)))</f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>
        <f>IF($A387="","",IF($D387="V01",cad!$C$23,IF($D387="V02",cad!$D$23,cad!$E$23)))</f>
      </c>
      <c r="H387">
        <f>IF($A387="","",IF($D387="V01",cad!$C$24,IF($D387="V02",cad!$D$24,cad!$E$24)))</f>
      </c>
      <c r="I387">
        <f>IF($A387="","",IF($D387="V01",cad!$C$32,IF($D387="V02",cad!$D$32,cad!$E$32)))</f>
      </c>
      <c r="J387">
        <f>IF($A387="","",IF($D387="V01",cad!$C$33,IF($D387="V02",cad!$D$33,cad!$E$33)))</f>
      </c>
      <c r="K387">
        <f>IF($A387="","",IF($D387="V01",cad!$C$34,IF($D387="V02",cad!$D$34,cad!$E$34)))</f>
      </c>
      <c r="L387">
        <f>IF($A387="","",IF($D387="V01",cad!$C$35,IF($D387="V02",cad!$D$35,cad!$E$35)))</f>
      </c>
      <c r="M387">
        <f>IF($A387="","",IF($D387="V01",cad!$C$36,IF($D387="V02",cad!$D$36,cad!$E$36)))</f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>
        <f>IF($A388="","",IF($D388="V01",cad!$C$23,IF($D388="V02",cad!$D$23,cad!$E$23)))</f>
      </c>
      <c r="H388">
        <f>IF($A388="","",IF($D388="V01",cad!$C$24,IF($D388="V02",cad!$D$24,cad!$E$24)))</f>
      </c>
      <c r="I388">
        <f>IF($A388="","",IF($D388="V01",cad!$C$32,IF($D388="V02",cad!$D$32,cad!$E$32)))</f>
      </c>
      <c r="J388">
        <f>IF($A388="","",IF($D388="V01",cad!$C$33,IF($D388="V02",cad!$D$33,cad!$E$33)))</f>
      </c>
      <c r="K388">
        <f>IF($A388="","",IF($D388="V01",cad!$C$34,IF($D388="V02",cad!$D$34,cad!$E$34)))</f>
      </c>
      <c r="L388">
        <f>IF($A388="","",IF($D388="V01",cad!$C$35,IF($D388="V02",cad!$D$35,cad!$E$35)))</f>
      </c>
      <c r="M388">
        <f>IF($A388="","",IF($D388="V01",cad!$C$36,IF($D388="V02",cad!$D$36,cad!$E$36)))</f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>
        <f>IF($A389="","",IF($D389="V01",cad!$C$23,IF($D389="V02",cad!$D$23,cad!$E$23)))</f>
      </c>
      <c r="H389">
        <f>IF($A389="","",IF($D389="V01",cad!$C$24,IF($D389="V02",cad!$D$24,cad!$E$24)))</f>
      </c>
      <c r="I389">
        <f>IF($A389="","",IF($D389="V01",cad!$C$32,IF($D389="V02",cad!$D$32,cad!$E$32)))</f>
      </c>
      <c r="J389">
        <f>IF($A389="","",IF($D389="V01",cad!$C$33,IF($D389="V02",cad!$D$33,cad!$E$33)))</f>
      </c>
      <c r="K389">
        <f>IF($A389="","",IF($D389="V01",cad!$C$34,IF($D389="V02",cad!$D$34,cad!$E$34)))</f>
      </c>
      <c r="L389">
        <f>IF($A389="","",IF($D389="V01",cad!$C$35,IF($D389="V02",cad!$D$35,cad!$E$35)))</f>
      </c>
      <c r="M389">
        <f>IF($A389="","",IF($D389="V01",cad!$C$36,IF($D389="V02",cad!$D$36,cad!$E$36)))</f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>
        <f>IF($A390="","",IF($D390="V01",cad!$C$23,IF($D390="V02",cad!$D$23,cad!$E$23)))</f>
      </c>
      <c r="H390">
        <f>IF($A390="","",IF($D390="V01",cad!$C$24,IF($D390="V02",cad!$D$24,cad!$E$24)))</f>
      </c>
      <c r="I390">
        <f>IF($A390="","",IF($D390="V01",cad!$C$32,IF($D390="V02",cad!$D$32,cad!$E$32)))</f>
      </c>
      <c r="J390">
        <f>IF($A390="","",IF($D390="V01",cad!$C$33,IF($D390="V02",cad!$D$33,cad!$E$33)))</f>
      </c>
      <c r="K390">
        <f>IF($A390="","",IF($D390="V01",cad!$C$34,IF($D390="V02",cad!$D$34,cad!$E$34)))</f>
      </c>
      <c r="L390">
        <f>IF($A390="","",IF($D390="V01",cad!$C$35,IF($D390="V02",cad!$D$35,cad!$E$35)))</f>
      </c>
      <c r="M390">
        <f>IF($A390="","",IF($D390="V01",cad!$C$36,IF($D390="V02",cad!$D$36,cad!$E$36)))</f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>
        <f>IF($A391="","",IF($D391="V01",cad!$C$23,IF($D391="V02",cad!$D$23,cad!$E$23)))</f>
      </c>
      <c r="H391">
        <f>IF($A391="","",IF($D391="V01",cad!$C$24,IF($D391="V02",cad!$D$24,cad!$E$24)))</f>
      </c>
      <c r="I391">
        <f>IF($A391="","",IF($D391="V01",cad!$C$32,IF($D391="V02",cad!$D$32,cad!$E$32)))</f>
      </c>
      <c r="J391">
        <f>IF($A391="","",IF($D391="V01",cad!$C$33,IF($D391="V02",cad!$D$33,cad!$E$33)))</f>
      </c>
      <c r="K391">
        <f>IF($A391="","",IF($D391="V01",cad!$C$34,IF($D391="V02",cad!$D$34,cad!$E$34)))</f>
      </c>
      <c r="L391">
        <f>IF($A391="","",IF($D391="V01",cad!$C$35,IF($D391="V02",cad!$D$35,cad!$E$35)))</f>
      </c>
      <c r="M391">
        <f>IF($A391="","",IF($D391="V01",cad!$C$36,IF($D391="V02",cad!$D$36,cad!$E$36)))</f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>
        <f>IF($A392="","",IF($D392="V01",cad!$C$23,IF($D392="V02",cad!$D$23,cad!$E$23)))</f>
      </c>
      <c r="H392">
        <f>IF($A392="","",IF($D392="V01",cad!$C$24,IF($D392="V02",cad!$D$24,cad!$E$24)))</f>
      </c>
      <c r="I392">
        <f>IF($A392="","",IF($D392="V01",cad!$C$32,IF($D392="V02",cad!$D$32,cad!$E$32)))</f>
      </c>
      <c r="J392">
        <f>IF($A392="","",IF($D392="V01",cad!$C$33,IF($D392="V02",cad!$D$33,cad!$E$33)))</f>
      </c>
      <c r="K392">
        <f>IF($A392="","",IF($D392="V01",cad!$C$34,IF($D392="V02",cad!$D$34,cad!$E$34)))</f>
      </c>
      <c r="L392">
        <f>IF($A392="","",IF($D392="V01",cad!$C$35,IF($D392="V02",cad!$D$35,cad!$E$35)))</f>
      </c>
      <c r="M392">
        <f>IF($A392="","",IF($D392="V01",cad!$C$36,IF($D392="V02",cad!$D$36,cad!$E$36)))</f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>
        <f>IF($A393="","",IF($D393="V01",cad!$C$23,IF($D393="V02",cad!$D$23,cad!$E$23)))</f>
      </c>
      <c r="H393">
        <f>IF($A393="","",IF($D393="V01",cad!$C$24,IF($D393="V02",cad!$D$24,cad!$E$24)))</f>
      </c>
      <c r="I393">
        <f>IF($A393="","",IF($D393="V01",cad!$C$32,IF($D393="V02",cad!$D$32,cad!$E$32)))</f>
      </c>
      <c r="J393">
        <f>IF($A393="","",IF($D393="V01",cad!$C$33,IF($D393="V02",cad!$D$33,cad!$E$33)))</f>
      </c>
      <c r="K393">
        <f>IF($A393="","",IF($D393="V01",cad!$C$34,IF($D393="V02",cad!$D$34,cad!$E$34)))</f>
      </c>
      <c r="L393">
        <f>IF($A393="","",IF($D393="V01",cad!$C$35,IF($D393="V02",cad!$D$35,cad!$E$35)))</f>
      </c>
      <c r="M393">
        <f>IF($A393="","",IF($D393="V01",cad!$C$36,IF($D393="V02",cad!$D$36,cad!$E$36)))</f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>
        <f>IF($A394="","",IF($D394="V01",cad!$C$23,IF($D394="V02",cad!$D$23,cad!$E$23)))</f>
      </c>
      <c r="H394">
        <f>IF($A394="","",IF($D394="V01",cad!$C$24,IF($D394="V02",cad!$D$24,cad!$E$24)))</f>
      </c>
      <c r="I394">
        <f>IF($A394="","",IF($D394="V01",cad!$C$32,IF($D394="V02",cad!$D$32,cad!$E$32)))</f>
      </c>
      <c r="J394">
        <f>IF($A394="","",IF($D394="V01",cad!$C$33,IF($D394="V02",cad!$D$33,cad!$E$33)))</f>
      </c>
      <c r="K394">
        <f>IF($A394="","",IF($D394="V01",cad!$C$34,IF($D394="V02",cad!$D$34,cad!$E$34)))</f>
      </c>
      <c r="L394">
        <f>IF($A394="","",IF($D394="V01",cad!$C$35,IF($D394="V02",cad!$D$35,cad!$E$35)))</f>
      </c>
      <c r="M394">
        <f>IF($A394="","",IF($D394="V01",cad!$C$36,IF($D394="V02",cad!$D$36,cad!$E$36)))</f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>
        <f>IF($A395="","",IF($D395="V01",cad!$C$23,IF($D395="V02",cad!$D$23,cad!$E$23)))</f>
      </c>
      <c r="H395">
        <f>IF($A395="","",IF($D395="V01",cad!$C$24,IF($D395="V02",cad!$D$24,cad!$E$24)))</f>
      </c>
      <c r="I395">
        <f>IF($A395="","",IF($D395="V01",cad!$C$32,IF($D395="V02",cad!$D$32,cad!$E$32)))</f>
      </c>
      <c r="J395">
        <f>IF($A395="","",IF($D395="V01",cad!$C$33,IF($D395="V02",cad!$D$33,cad!$E$33)))</f>
      </c>
      <c r="K395">
        <f>IF($A395="","",IF($D395="V01",cad!$C$34,IF($D395="V02",cad!$D$34,cad!$E$34)))</f>
      </c>
      <c r="L395">
        <f>IF($A395="","",IF($D395="V01",cad!$C$35,IF($D395="V02",cad!$D$35,cad!$E$35)))</f>
      </c>
      <c r="M395">
        <f>IF($A395="","",IF($D395="V01",cad!$C$36,IF($D395="V02",cad!$D$36,cad!$E$36)))</f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>
        <f>IF($A396="","",IF($D396="V01",cad!$C$23,IF($D396="V02",cad!$D$23,cad!$E$23)))</f>
      </c>
      <c r="H396">
        <f>IF($A396="","",IF($D396="V01",cad!$C$24,IF($D396="V02",cad!$D$24,cad!$E$24)))</f>
      </c>
      <c r="I396">
        <f>IF($A396="","",IF($D396="V01",cad!$C$32,IF($D396="V02",cad!$D$32,cad!$E$32)))</f>
      </c>
      <c r="J396">
        <f>IF($A396="","",IF($D396="V01",cad!$C$33,IF($D396="V02",cad!$D$33,cad!$E$33)))</f>
      </c>
      <c r="K396">
        <f>IF($A396="","",IF($D396="V01",cad!$C$34,IF($D396="V02",cad!$D$34,cad!$E$34)))</f>
      </c>
      <c r="L396">
        <f>IF($A396="","",IF($D396="V01",cad!$C$35,IF($D396="V02",cad!$D$35,cad!$E$35)))</f>
      </c>
      <c r="M396">
        <f>IF($A396="","",IF($D396="V01",cad!$C$36,IF($D396="V02",cad!$D$36,cad!$E$36)))</f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>
        <f>IF($A397="","",IF($D397="V01",cad!$C$23,IF($D397="V02",cad!$D$23,cad!$E$23)))</f>
      </c>
      <c r="H397">
        <f>IF($A397="","",IF($D397="V01",cad!$C$24,IF($D397="V02",cad!$D$24,cad!$E$24)))</f>
      </c>
      <c r="I397">
        <f>IF($A397="","",IF($D397="V01",cad!$C$32,IF($D397="V02",cad!$D$32,cad!$E$32)))</f>
      </c>
      <c r="J397">
        <f>IF($A397="","",IF($D397="V01",cad!$C$33,IF($D397="V02",cad!$D$33,cad!$E$33)))</f>
      </c>
      <c r="K397">
        <f>IF($A397="","",IF($D397="V01",cad!$C$34,IF($D397="V02",cad!$D$34,cad!$E$34)))</f>
      </c>
      <c r="L397">
        <f>IF($A397="","",IF($D397="V01",cad!$C$35,IF($D397="V02",cad!$D$35,cad!$E$35)))</f>
      </c>
      <c r="M397">
        <f>IF($A397="","",IF($D397="V01",cad!$C$36,IF($D397="V02",cad!$D$36,cad!$E$36)))</f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>
        <f>IF($A398="","",IF($D398="V01",cad!$C$23,IF($D398="V02",cad!$D$23,cad!$E$23)))</f>
      </c>
      <c r="H398">
        <f>IF($A398="","",IF($D398="V01",cad!$C$24,IF($D398="V02",cad!$D$24,cad!$E$24)))</f>
      </c>
      <c r="I398">
        <f>IF($A398="","",IF($D398="V01",cad!$C$32,IF($D398="V02",cad!$D$32,cad!$E$32)))</f>
      </c>
      <c r="J398">
        <f>IF($A398="","",IF($D398="V01",cad!$C$33,IF($D398="V02",cad!$D$33,cad!$E$33)))</f>
      </c>
      <c r="K398">
        <f>IF($A398="","",IF($D398="V01",cad!$C$34,IF($D398="V02",cad!$D$34,cad!$E$34)))</f>
      </c>
      <c r="L398">
        <f>IF($A398="","",IF($D398="V01",cad!$C$35,IF($D398="V02",cad!$D$35,cad!$E$35)))</f>
      </c>
      <c r="M398">
        <f>IF($A398="","",IF($D398="V01",cad!$C$36,IF($D398="V02",cad!$D$36,cad!$E$36)))</f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>
        <f>IF($A399="","",IF($D399="V01",cad!$C$23,IF($D399="V02",cad!$D$23,cad!$E$23)))</f>
      </c>
      <c r="H399">
        <f>IF($A399="","",IF($D399="V01",cad!$C$24,IF($D399="V02",cad!$D$24,cad!$E$24)))</f>
      </c>
      <c r="I399">
        <f>IF($A399="","",IF($D399="V01",cad!$C$32,IF($D399="V02",cad!$D$32,cad!$E$32)))</f>
      </c>
      <c r="J399">
        <f>IF($A399="","",IF($D399="V01",cad!$C$33,IF($D399="V02",cad!$D$33,cad!$E$33)))</f>
      </c>
      <c r="K399">
        <f>IF($A399="","",IF($D399="V01",cad!$C$34,IF($D399="V02",cad!$D$34,cad!$E$34)))</f>
      </c>
      <c r="L399">
        <f>IF($A399="","",IF($D399="V01",cad!$C$35,IF($D399="V02",cad!$D$35,cad!$E$35)))</f>
      </c>
      <c r="M399">
        <f>IF($A399="","",IF($D399="V01",cad!$C$36,IF($D399="V02",cad!$D$36,cad!$E$36)))</f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>
        <f>IF($A400="","",IF($D400="V01",cad!$C$23,IF($D400="V02",cad!$D$23,cad!$E$23)))</f>
      </c>
      <c r="H400">
        <f>IF($A400="","",IF($D400="V01",cad!$C$24,IF($D400="V02",cad!$D$24,cad!$E$24)))</f>
      </c>
      <c r="I400">
        <f>IF($A400="","",IF($D400="V01",cad!$C$32,IF($D400="V02",cad!$D$32,cad!$E$32)))</f>
      </c>
      <c r="J400">
        <f>IF($A400="","",IF($D400="V01",cad!$C$33,IF($D400="V02",cad!$D$33,cad!$E$33)))</f>
      </c>
      <c r="K400">
        <f>IF($A400="","",IF($D400="V01",cad!$C$34,IF($D400="V02",cad!$D$34,cad!$E$34)))</f>
      </c>
      <c r="L400">
        <f>IF($A400="","",IF($D400="V01",cad!$C$35,IF($D400="V02",cad!$D$35,cad!$E$35)))</f>
      </c>
      <c r="M400">
        <f>IF($A400="","",IF($D400="V01",cad!$C$36,IF($D400="V02",cad!$D$36,cad!$E$36)))</f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>
        <f>IF($A401="","",IF($D401="V01",cad!$C$23,IF($D401="V02",cad!$D$23,cad!$E$23)))</f>
      </c>
      <c r="H401">
        <f>IF($A401="","",IF($D401="V01",cad!$C$24,IF($D401="V02",cad!$D$24,cad!$E$24)))</f>
      </c>
      <c r="I401">
        <f>IF($A401="","",IF($D401="V01",cad!$C$32,IF($D401="V02",cad!$D$32,cad!$E$32)))</f>
      </c>
      <c r="J401">
        <f>IF($A401="","",IF($D401="V01",cad!$C$33,IF($D401="V02",cad!$D$33,cad!$E$33)))</f>
      </c>
      <c r="K401">
        <f>IF($A401="","",IF($D401="V01",cad!$C$34,IF($D401="V02",cad!$D$34,cad!$E$34)))</f>
      </c>
      <c r="L401">
        <f>IF($A401="","",IF($D401="V01",cad!$C$35,IF($D401="V02",cad!$D$35,cad!$E$35)))</f>
      </c>
      <c r="M401">
        <f>IF($A401="","",IF($D401="V01",cad!$C$36,IF($D401="V02",cad!$D$36,cad!$E$36)))</f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>
        <f>IF($A402="","",IF($D402="V01",cad!$C$23,IF($D402="V02",cad!$D$23,cad!$E$23)))</f>
      </c>
      <c r="H402">
        <f>IF($A402="","",IF($D402="V01",cad!$C$24,IF($D402="V02",cad!$D$24,cad!$E$24)))</f>
      </c>
      <c r="I402">
        <f>IF($A402="","",IF($D402="V01",cad!$C$32,IF($D402="V02",cad!$D$32,cad!$E$32)))</f>
      </c>
      <c r="J402">
        <f>IF($A402="","",IF($D402="V01",cad!$C$33,IF($D402="V02",cad!$D$33,cad!$E$33)))</f>
      </c>
      <c r="K402">
        <f>IF($A402="","",IF($D402="V01",cad!$C$34,IF($D402="V02",cad!$D$34,cad!$E$34)))</f>
      </c>
      <c r="L402">
        <f>IF($A402="","",IF($D402="V01",cad!$C$35,IF($D402="V02",cad!$D$35,cad!$E$35)))</f>
      </c>
      <c r="M402">
        <f>IF($A402="","",IF($D402="V01",cad!$C$36,IF($D402="V02",cad!$D$36,cad!$E$36)))</f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>
        <f>IF($A403="","",IF($D403="V01",cad!$C$23,IF($D403="V02",cad!$D$23,cad!$E$23)))</f>
      </c>
      <c r="H403">
        <f>IF($A403="","",IF($D403="V01",cad!$C$24,IF($D403="V02",cad!$D$24,cad!$E$24)))</f>
      </c>
      <c r="I403">
        <f>IF($A403="","",IF($D403="V01",cad!$C$32,IF($D403="V02",cad!$D$32,cad!$E$32)))</f>
      </c>
      <c r="J403">
        <f>IF($A403="","",IF($D403="V01",cad!$C$33,IF($D403="V02",cad!$D$33,cad!$E$33)))</f>
      </c>
      <c r="K403">
        <f>IF($A403="","",IF($D403="V01",cad!$C$34,IF($D403="V02",cad!$D$34,cad!$E$34)))</f>
      </c>
      <c r="L403">
        <f>IF($A403="","",IF($D403="V01",cad!$C$35,IF($D403="V02",cad!$D$35,cad!$E$35)))</f>
      </c>
      <c r="M403">
        <f>IF($A403="","",IF($D403="V01",cad!$C$36,IF($D403="V02",cad!$D$36,cad!$E$36)))</f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>
        <f>IF($A404="","",IF($D404="V01",cad!$C$23,IF($D404="V02",cad!$D$23,cad!$E$23)))</f>
      </c>
      <c r="H404">
        <f>IF($A404="","",IF($D404="V01",cad!$C$24,IF($D404="V02",cad!$D$24,cad!$E$24)))</f>
      </c>
      <c r="I404">
        <f>IF($A404="","",IF($D404="V01",cad!$C$32,IF($D404="V02",cad!$D$32,cad!$E$32)))</f>
      </c>
      <c r="J404">
        <f>IF($A404="","",IF($D404="V01",cad!$C$33,IF($D404="V02",cad!$D$33,cad!$E$33)))</f>
      </c>
      <c r="K404">
        <f>IF($A404="","",IF($D404="V01",cad!$C$34,IF($D404="V02",cad!$D$34,cad!$E$34)))</f>
      </c>
      <c r="L404">
        <f>IF($A404="","",IF($D404="V01",cad!$C$35,IF($D404="V02",cad!$D$35,cad!$E$35)))</f>
      </c>
      <c r="M404">
        <f>IF($A404="","",IF($D404="V01",cad!$C$36,IF($D404="V02",cad!$D$36,cad!$E$36)))</f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>
        <f>IF($A405="","",IF($D405="V01",cad!$C$23,IF($D405="V02",cad!$D$23,cad!$E$23)))</f>
      </c>
      <c r="H405">
        <f>IF($A405="","",IF($D405="V01",cad!$C$24,IF($D405="V02",cad!$D$24,cad!$E$24)))</f>
      </c>
      <c r="I405">
        <f>IF($A405="","",IF($D405="V01",cad!$C$32,IF($D405="V02",cad!$D$32,cad!$E$32)))</f>
      </c>
      <c r="J405">
        <f>IF($A405="","",IF($D405="V01",cad!$C$33,IF($D405="V02",cad!$D$33,cad!$E$33)))</f>
      </c>
      <c r="K405">
        <f>IF($A405="","",IF($D405="V01",cad!$C$34,IF($D405="V02",cad!$D$34,cad!$E$34)))</f>
      </c>
      <c r="L405">
        <f>IF($A405="","",IF($D405="V01",cad!$C$35,IF($D405="V02",cad!$D$35,cad!$E$35)))</f>
      </c>
      <c r="M405">
        <f>IF($A405="","",IF($D405="V01",cad!$C$36,IF($D405="V02",cad!$D$36,cad!$E$36)))</f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>
        <f>IF($A406="","",IF($D406="V01",cad!$C$23,IF($D406="V02",cad!$D$23,cad!$E$23)))</f>
      </c>
      <c r="H406">
        <f>IF($A406="","",IF($D406="V01",cad!$C$24,IF($D406="V02",cad!$D$24,cad!$E$24)))</f>
      </c>
      <c r="I406">
        <f>IF($A406="","",IF($D406="V01",cad!$C$32,IF($D406="V02",cad!$D$32,cad!$E$32)))</f>
      </c>
      <c r="J406">
        <f>IF($A406="","",IF($D406="V01",cad!$C$33,IF($D406="V02",cad!$D$33,cad!$E$33)))</f>
      </c>
      <c r="K406">
        <f>IF($A406="","",IF($D406="V01",cad!$C$34,IF($D406="V02",cad!$D$34,cad!$E$34)))</f>
      </c>
      <c r="L406">
        <f>IF($A406="","",IF($D406="V01",cad!$C$35,IF($D406="V02",cad!$D$35,cad!$E$35)))</f>
      </c>
      <c r="M406">
        <f>IF($A406="","",IF($D406="V01",cad!$C$36,IF($D406="V02",cad!$D$36,cad!$E$36)))</f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>
        <f>IF($A407="","",IF($D407="V01",cad!$C$23,IF($D407="V02",cad!$D$23,cad!$E$23)))</f>
      </c>
      <c r="H407">
        <f>IF($A407="","",IF($D407="V01",cad!$C$24,IF($D407="V02",cad!$D$24,cad!$E$24)))</f>
      </c>
      <c r="I407">
        <f>IF($A407="","",IF($D407="V01",cad!$C$32,IF($D407="V02",cad!$D$32,cad!$E$32)))</f>
      </c>
      <c r="J407">
        <f>IF($A407="","",IF($D407="V01",cad!$C$33,IF($D407="V02",cad!$D$33,cad!$E$33)))</f>
      </c>
      <c r="K407">
        <f>IF($A407="","",IF($D407="V01",cad!$C$34,IF($D407="V02",cad!$D$34,cad!$E$34)))</f>
      </c>
      <c r="L407">
        <f>IF($A407="","",IF($D407="V01",cad!$C$35,IF($D407="V02",cad!$D$35,cad!$E$35)))</f>
      </c>
      <c r="M407">
        <f>IF($A407="","",IF($D407="V01",cad!$C$36,IF($D407="V02",cad!$D$36,cad!$E$36)))</f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>
        <f>IF($A408="","",IF($D408="V01",cad!$C$23,IF($D408="V02",cad!$D$23,cad!$E$23)))</f>
      </c>
      <c r="H408">
        <f>IF($A408="","",IF($D408="V01",cad!$C$24,IF($D408="V02",cad!$D$24,cad!$E$24)))</f>
      </c>
      <c r="I408">
        <f>IF($A408="","",IF($D408="V01",cad!$C$32,IF($D408="V02",cad!$D$32,cad!$E$32)))</f>
      </c>
      <c r="J408">
        <f>IF($A408="","",IF($D408="V01",cad!$C$33,IF($D408="V02",cad!$D$33,cad!$E$33)))</f>
      </c>
      <c r="K408">
        <f>IF($A408="","",IF($D408="V01",cad!$C$34,IF($D408="V02",cad!$D$34,cad!$E$34)))</f>
      </c>
      <c r="L408">
        <f>IF($A408="","",IF($D408="V01",cad!$C$35,IF($D408="V02",cad!$D$35,cad!$E$35)))</f>
      </c>
      <c r="M408">
        <f>IF($A408="","",IF($D408="V01",cad!$C$36,IF($D408="V02",cad!$D$36,cad!$E$36)))</f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>
        <f>IF($A409="","",IF($D409="V01",cad!$C$23,IF($D409="V02",cad!$D$23,cad!$E$23)))</f>
      </c>
      <c r="H409">
        <f>IF($A409="","",IF($D409="V01",cad!$C$24,IF($D409="V02",cad!$D$24,cad!$E$24)))</f>
      </c>
      <c r="I409">
        <f>IF($A409="","",IF($D409="V01",cad!$C$32,IF($D409="V02",cad!$D$32,cad!$E$32)))</f>
      </c>
      <c r="J409">
        <f>IF($A409="","",IF($D409="V01",cad!$C$33,IF($D409="V02",cad!$D$33,cad!$E$33)))</f>
      </c>
      <c r="K409">
        <f>IF($A409="","",IF($D409="V01",cad!$C$34,IF($D409="V02",cad!$D$34,cad!$E$34)))</f>
      </c>
      <c r="L409">
        <f>IF($A409="","",IF($D409="V01",cad!$C$35,IF($D409="V02",cad!$D$35,cad!$E$35)))</f>
      </c>
      <c r="M409">
        <f>IF($A409="","",IF($D409="V01",cad!$C$36,IF($D409="V02",cad!$D$36,cad!$E$36)))</f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>
        <f>IF($A410="","",IF($D410="V01",cad!$C$23,IF($D410="V02",cad!$D$23,cad!$E$23)))</f>
      </c>
      <c r="H410">
        <f>IF($A410="","",IF($D410="V01",cad!$C$24,IF($D410="V02",cad!$D$24,cad!$E$24)))</f>
      </c>
      <c r="I410">
        <f>IF($A410="","",IF($D410="V01",cad!$C$32,IF($D410="V02",cad!$D$32,cad!$E$32)))</f>
      </c>
      <c r="J410">
        <f>IF($A410="","",IF($D410="V01",cad!$C$33,IF($D410="V02",cad!$D$33,cad!$E$33)))</f>
      </c>
      <c r="K410">
        <f>IF($A410="","",IF($D410="V01",cad!$C$34,IF($D410="V02",cad!$D$34,cad!$E$34)))</f>
      </c>
      <c r="L410">
        <f>IF($A410="","",IF($D410="V01",cad!$C$35,IF($D410="V02",cad!$D$35,cad!$E$35)))</f>
      </c>
      <c r="M410">
        <f>IF($A410="","",IF($D410="V01",cad!$C$36,IF($D410="V02",cad!$D$36,cad!$E$36)))</f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>
        <f>IF($A411="","",IF($D411="V01",cad!$C$23,IF($D411="V02",cad!$D$23,cad!$E$23)))</f>
      </c>
      <c r="H411">
        <f>IF($A411="","",IF($D411="V01",cad!$C$24,IF($D411="V02",cad!$D$24,cad!$E$24)))</f>
      </c>
      <c r="I411">
        <f>IF($A411="","",IF($D411="V01",cad!$C$32,IF($D411="V02",cad!$D$32,cad!$E$32)))</f>
      </c>
      <c r="J411">
        <f>IF($A411="","",IF($D411="V01",cad!$C$33,IF($D411="V02",cad!$D$33,cad!$E$33)))</f>
      </c>
      <c r="K411">
        <f>IF($A411="","",IF($D411="V01",cad!$C$34,IF($D411="V02",cad!$D$34,cad!$E$34)))</f>
      </c>
      <c r="L411">
        <f>IF($A411="","",IF($D411="V01",cad!$C$35,IF($D411="V02",cad!$D$35,cad!$E$35)))</f>
      </c>
      <c r="M411">
        <f>IF($A411="","",IF($D411="V01",cad!$C$36,IF($D411="V02",cad!$D$36,cad!$E$36)))</f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>
        <f>IF($A412="","",IF($D412="V01",cad!$C$23,IF($D412="V02",cad!$D$23,cad!$E$23)))</f>
      </c>
      <c r="H412">
        <f>IF($A412="","",IF($D412="V01",cad!$C$24,IF($D412="V02",cad!$D$24,cad!$E$24)))</f>
      </c>
      <c r="I412">
        <f>IF($A412="","",IF($D412="V01",cad!$C$32,IF($D412="V02",cad!$D$32,cad!$E$32)))</f>
      </c>
      <c r="J412">
        <f>IF($A412="","",IF($D412="V01",cad!$C$33,IF($D412="V02",cad!$D$33,cad!$E$33)))</f>
      </c>
      <c r="K412">
        <f>IF($A412="","",IF($D412="V01",cad!$C$34,IF($D412="V02",cad!$D$34,cad!$E$34)))</f>
      </c>
      <c r="L412">
        <f>IF($A412="","",IF($D412="V01",cad!$C$35,IF($D412="V02",cad!$D$35,cad!$E$35)))</f>
      </c>
      <c r="M412">
        <f>IF($A412="","",IF($D412="V01",cad!$C$36,IF($D412="V02",cad!$D$36,cad!$E$36)))</f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>
        <f>IF($A413="","",IF($D413="V01",cad!$C$23,IF($D413="V02",cad!$D$23,cad!$E$23)))</f>
      </c>
      <c r="H413">
        <f>IF($A413="","",IF($D413="V01",cad!$C$24,IF($D413="V02",cad!$D$24,cad!$E$24)))</f>
      </c>
      <c r="I413">
        <f>IF($A413="","",IF($D413="V01",cad!$C$32,IF($D413="V02",cad!$D$32,cad!$E$32)))</f>
      </c>
      <c r="J413">
        <f>IF($A413="","",IF($D413="V01",cad!$C$33,IF($D413="V02",cad!$D$33,cad!$E$33)))</f>
      </c>
      <c r="K413">
        <f>IF($A413="","",IF($D413="V01",cad!$C$34,IF($D413="V02",cad!$D$34,cad!$E$34)))</f>
      </c>
      <c r="L413">
        <f>IF($A413="","",IF($D413="V01",cad!$C$35,IF($D413="V02",cad!$D$35,cad!$E$35)))</f>
      </c>
      <c r="M413">
        <f>IF($A413="","",IF($D413="V01",cad!$C$36,IF($D413="V02",cad!$D$36,cad!$E$36)))</f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>
        <f>IF($A414="","",IF($D414="V01",cad!$C$23,IF($D414="V02",cad!$D$23,cad!$E$23)))</f>
      </c>
      <c r="H414">
        <f>IF($A414="","",IF($D414="V01",cad!$C$24,IF($D414="V02",cad!$D$24,cad!$E$24)))</f>
      </c>
      <c r="I414">
        <f>IF($A414="","",IF($D414="V01",cad!$C$32,IF($D414="V02",cad!$D$32,cad!$E$32)))</f>
      </c>
      <c r="J414">
        <f>IF($A414="","",IF($D414="V01",cad!$C$33,IF($D414="V02",cad!$D$33,cad!$E$33)))</f>
      </c>
      <c r="K414">
        <f>IF($A414="","",IF($D414="V01",cad!$C$34,IF($D414="V02",cad!$D$34,cad!$E$34)))</f>
      </c>
      <c r="L414">
        <f>IF($A414="","",IF($D414="V01",cad!$C$35,IF($D414="V02",cad!$D$35,cad!$E$35)))</f>
      </c>
      <c r="M414">
        <f>IF($A414="","",IF($D414="V01",cad!$C$36,IF($D414="V02",cad!$D$36,cad!$E$36)))</f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>
        <f>IF($A415="","",IF($D415="V01",cad!$C$23,IF($D415="V02",cad!$D$23,cad!$E$23)))</f>
      </c>
      <c r="H415">
        <f>IF($A415="","",IF($D415="V01",cad!$C$24,IF($D415="V02",cad!$D$24,cad!$E$24)))</f>
      </c>
      <c r="I415">
        <f>IF($A415="","",IF($D415="V01",cad!$C$32,IF($D415="V02",cad!$D$32,cad!$E$32)))</f>
      </c>
      <c r="J415">
        <f>IF($A415="","",IF($D415="V01",cad!$C$33,IF($D415="V02",cad!$D$33,cad!$E$33)))</f>
      </c>
      <c r="K415">
        <f>IF($A415="","",IF($D415="V01",cad!$C$34,IF($D415="V02",cad!$D$34,cad!$E$34)))</f>
      </c>
      <c r="L415">
        <f>IF($A415="","",IF($D415="V01",cad!$C$35,IF($D415="V02",cad!$D$35,cad!$E$35)))</f>
      </c>
      <c r="M415">
        <f>IF($A415="","",IF($D415="V01",cad!$C$36,IF($D415="V02",cad!$D$36,cad!$E$36)))</f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>
        <f>IF($A416="","",IF($D416="V01",cad!$C$23,IF($D416="V02",cad!$D$23,cad!$E$23)))</f>
      </c>
      <c r="H416">
        <f>IF($A416="","",IF($D416="V01",cad!$C$24,IF($D416="V02",cad!$D$24,cad!$E$24)))</f>
      </c>
      <c r="I416">
        <f>IF($A416="","",IF($D416="V01",cad!$C$32,IF($D416="V02",cad!$D$32,cad!$E$32)))</f>
      </c>
      <c r="J416">
        <f>IF($A416="","",IF($D416="V01",cad!$C$33,IF($D416="V02",cad!$D$33,cad!$E$33)))</f>
      </c>
      <c r="K416">
        <f>IF($A416="","",IF($D416="V01",cad!$C$34,IF($D416="V02",cad!$D$34,cad!$E$34)))</f>
      </c>
      <c r="L416">
        <f>IF($A416="","",IF($D416="V01",cad!$C$35,IF($D416="V02",cad!$D$35,cad!$E$35)))</f>
      </c>
      <c r="M416">
        <f>IF($A416="","",IF($D416="V01",cad!$C$36,IF($D416="V02",cad!$D$36,cad!$E$36)))</f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>
        <f>IF($A417="","",IF($D417="V01",cad!$C$23,IF($D417="V02",cad!$D$23,cad!$E$23)))</f>
      </c>
      <c r="H417">
        <f>IF($A417="","",IF($D417="V01",cad!$C$24,IF($D417="V02",cad!$D$24,cad!$E$24)))</f>
      </c>
      <c r="I417">
        <f>IF($A417="","",IF($D417="V01",cad!$C$32,IF($D417="V02",cad!$D$32,cad!$E$32)))</f>
      </c>
      <c r="J417">
        <f>IF($A417="","",IF($D417="V01",cad!$C$33,IF($D417="V02",cad!$D$33,cad!$E$33)))</f>
      </c>
      <c r="K417">
        <f>IF($A417="","",IF($D417="V01",cad!$C$34,IF($D417="V02",cad!$D$34,cad!$E$34)))</f>
      </c>
      <c r="L417">
        <f>IF($A417="","",IF($D417="V01",cad!$C$35,IF($D417="V02",cad!$D$35,cad!$E$35)))</f>
      </c>
      <c r="M417">
        <f>IF($A417="","",IF($D417="V01",cad!$C$36,IF($D417="V02",cad!$D$36,cad!$E$36)))</f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>
        <f>IF($A418="","",IF($D418="V01",cad!$C$23,IF($D418="V02",cad!$D$23,cad!$E$23)))</f>
      </c>
      <c r="H418">
        <f>IF($A418="","",IF($D418="V01",cad!$C$24,IF($D418="V02",cad!$D$24,cad!$E$24)))</f>
      </c>
      <c r="I418">
        <f>IF($A418="","",IF($D418="V01",cad!$C$32,IF($D418="V02",cad!$D$32,cad!$E$32)))</f>
      </c>
      <c r="J418">
        <f>IF($A418="","",IF($D418="V01",cad!$C$33,IF($D418="V02",cad!$D$33,cad!$E$33)))</f>
      </c>
      <c r="K418">
        <f>IF($A418="","",IF($D418="V01",cad!$C$34,IF($D418="V02",cad!$D$34,cad!$E$34)))</f>
      </c>
      <c r="L418">
        <f>IF($A418="","",IF($D418="V01",cad!$C$35,IF($D418="V02",cad!$D$35,cad!$E$35)))</f>
      </c>
      <c r="M418">
        <f>IF($A418="","",IF($D418="V01",cad!$C$36,IF($D418="V02",cad!$D$36,cad!$E$36)))</f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>
        <f>IF($A419="","",IF($D419="V01",cad!$C$23,IF($D419="V02",cad!$D$23,cad!$E$23)))</f>
      </c>
      <c r="H419">
        <f>IF($A419="","",IF($D419="V01",cad!$C$24,IF($D419="V02",cad!$D$24,cad!$E$24)))</f>
      </c>
      <c r="I419">
        <f>IF($A419="","",IF($D419="V01",cad!$C$32,IF($D419="V02",cad!$D$32,cad!$E$32)))</f>
      </c>
      <c r="J419">
        <f>IF($A419="","",IF($D419="V01",cad!$C$33,IF($D419="V02",cad!$D$33,cad!$E$33)))</f>
      </c>
      <c r="K419">
        <f>IF($A419="","",IF($D419="V01",cad!$C$34,IF($D419="V02",cad!$D$34,cad!$E$34)))</f>
      </c>
      <c r="L419">
        <f>IF($A419="","",IF($D419="V01",cad!$C$35,IF($D419="V02",cad!$D$35,cad!$E$35)))</f>
      </c>
      <c r="M419">
        <f>IF($A419="","",IF($D419="V01",cad!$C$36,IF($D419="V02",cad!$D$36,cad!$E$36)))</f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>
        <f>IF($A420="","",IF($D420="V01",cad!$C$23,IF($D420="V02",cad!$D$23,cad!$E$23)))</f>
      </c>
      <c r="H420">
        <f>IF($A420="","",IF($D420="V01",cad!$C$24,IF($D420="V02",cad!$D$24,cad!$E$24)))</f>
      </c>
      <c r="I420">
        <f>IF($A420="","",IF($D420="V01",cad!$C$32,IF($D420="V02",cad!$D$32,cad!$E$32)))</f>
      </c>
      <c r="J420">
        <f>IF($A420="","",IF($D420="V01",cad!$C$33,IF($D420="V02",cad!$D$33,cad!$E$33)))</f>
      </c>
      <c r="K420">
        <f>IF($A420="","",IF($D420="V01",cad!$C$34,IF($D420="V02",cad!$D$34,cad!$E$34)))</f>
      </c>
      <c r="L420">
        <f>IF($A420="","",IF($D420="V01",cad!$C$35,IF($D420="V02",cad!$D$35,cad!$E$35)))</f>
      </c>
      <c r="M420">
        <f>IF($A420="","",IF($D420="V01",cad!$C$36,IF($D420="V02",cad!$D$36,cad!$E$36)))</f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>
        <f>IF($A421="","",IF($D421="V01",cad!$C$23,IF($D421="V02",cad!$D$23,cad!$E$23)))</f>
      </c>
      <c r="H421">
        <f>IF($A421="","",IF($D421="V01",cad!$C$24,IF($D421="V02",cad!$D$24,cad!$E$24)))</f>
      </c>
      <c r="I421">
        <f>IF($A421="","",IF($D421="V01",cad!$C$32,IF($D421="V02",cad!$D$32,cad!$E$32)))</f>
      </c>
      <c r="J421">
        <f>IF($A421="","",IF($D421="V01",cad!$C$33,IF($D421="V02",cad!$D$33,cad!$E$33)))</f>
      </c>
      <c r="K421">
        <f>IF($A421="","",IF($D421="V01",cad!$C$34,IF($D421="V02",cad!$D$34,cad!$E$34)))</f>
      </c>
      <c r="L421">
        <f>IF($A421="","",IF($D421="V01",cad!$C$35,IF($D421="V02",cad!$D$35,cad!$E$35)))</f>
      </c>
      <c r="M421">
        <f>IF($A421="","",IF($D421="V01",cad!$C$36,IF($D421="V02",cad!$D$36,cad!$E$36)))</f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>
        <f>IF($A422="","",IF($D422="V01",cad!$C$23,IF($D422="V02",cad!$D$23,cad!$E$23)))</f>
      </c>
      <c r="H422">
        <f>IF($A422="","",IF($D422="V01",cad!$C$24,IF($D422="V02",cad!$D$24,cad!$E$24)))</f>
      </c>
      <c r="I422">
        <f>IF($A422="","",IF($D422="V01",cad!$C$32,IF($D422="V02",cad!$D$32,cad!$E$32)))</f>
      </c>
      <c r="J422">
        <f>IF($A422="","",IF($D422="V01",cad!$C$33,IF($D422="V02",cad!$D$33,cad!$E$33)))</f>
      </c>
      <c r="K422">
        <f>IF($A422="","",IF($D422="V01",cad!$C$34,IF($D422="V02",cad!$D$34,cad!$E$34)))</f>
      </c>
      <c r="L422">
        <f>IF($A422="","",IF($D422="V01",cad!$C$35,IF($D422="V02",cad!$D$35,cad!$E$35)))</f>
      </c>
      <c r="M422">
        <f>IF($A422="","",IF($D422="V01",cad!$C$36,IF($D422="V02",cad!$D$36,cad!$E$36)))</f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>
        <f>IF($A423="","",IF($D423="V01",cad!$C$23,IF($D423="V02",cad!$D$23,cad!$E$23)))</f>
      </c>
      <c r="H423">
        <f>IF($A423="","",IF($D423="V01",cad!$C$24,IF($D423="V02",cad!$D$24,cad!$E$24)))</f>
      </c>
      <c r="I423">
        <f>IF($A423="","",IF($D423="V01",cad!$C$32,IF($D423="V02",cad!$D$32,cad!$E$32)))</f>
      </c>
      <c r="J423">
        <f>IF($A423="","",IF($D423="V01",cad!$C$33,IF($D423="V02",cad!$D$33,cad!$E$33)))</f>
      </c>
      <c r="K423">
        <f>IF($A423="","",IF($D423="V01",cad!$C$34,IF($D423="V02",cad!$D$34,cad!$E$34)))</f>
      </c>
      <c r="L423">
        <f>IF($A423="","",IF($D423="V01",cad!$C$35,IF($D423="V02",cad!$D$35,cad!$E$35)))</f>
      </c>
      <c r="M423">
        <f>IF($A423="","",IF($D423="V01",cad!$C$36,IF($D423="V02",cad!$D$36,cad!$E$36)))</f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>
        <f>IF($A424="","",IF($D424="V01",cad!$C$23,IF($D424="V02",cad!$D$23,cad!$E$23)))</f>
      </c>
      <c r="H424">
        <f>IF($A424="","",IF($D424="V01",cad!$C$24,IF($D424="V02",cad!$D$24,cad!$E$24)))</f>
      </c>
      <c r="I424">
        <f>IF($A424="","",IF($D424="V01",cad!$C$32,IF($D424="V02",cad!$D$32,cad!$E$32)))</f>
      </c>
      <c r="J424">
        <f>IF($A424="","",IF($D424="V01",cad!$C$33,IF($D424="V02",cad!$D$33,cad!$E$33)))</f>
      </c>
      <c r="K424">
        <f>IF($A424="","",IF($D424="V01",cad!$C$34,IF($D424="V02",cad!$D$34,cad!$E$34)))</f>
      </c>
      <c r="L424">
        <f>IF($A424="","",IF($D424="V01",cad!$C$35,IF($D424="V02",cad!$D$35,cad!$E$35)))</f>
      </c>
      <c r="M424">
        <f>IF($A424="","",IF($D424="V01",cad!$C$36,IF($D424="V02",cad!$D$36,cad!$E$36)))</f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>
        <f>IF($A425="","",IF($D425="V01",cad!$C$23,IF($D425="V02",cad!$D$23,cad!$E$23)))</f>
      </c>
      <c r="H425">
        <f>IF($A425="","",IF($D425="V01",cad!$C$24,IF($D425="V02",cad!$D$24,cad!$E$24)))</f>
      </c>
      <c r="I425">
        <f>IF($A425="","",IF($D425="V01",cad!$C$32,IF($D425="V02",cad!$D$32,cad!$E$32)))</f>
      </c>
      <c r="J425">
        <f>IF($A425="","",IF($D425="V01",cad!$C$33,IF($D425="V02",cad!$D$33,cad!$E$33)))</f>
      </c>
      <c r="K425">
        <f>IF($A425="","",IF($D425="V01",cad!$C$34,IF($D425="V02",cad!$D$34,cad!$E$34)))</f>
      </c>
      <c r="L425">
        <f>IF($A425="","",IF($D425="V01",cad!$C$35,IF($D425="V02",cad!$D$35,cad!$E$35)))</f>
      </c>
      <c r="M425">
        <f>IF($A425="","",IF($D425="V01",cad!$C$36,IF($D425="V02",cad!$D$36,cad!$E$36)))</f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>
        <f>IF($A426="","",IF($D426="V01",cad!$C$23,IF($D426="V02",cad!$D$23,cad!$E$23)))</f>
      </c>
      <c r="H426">
        <f>IF($A426="","",IF($D426="V01",cad!$C$24,IF($D426="V02",cad!$D$24,cad!$E$24)))</f>
      </c>
      <c r="I426">
        <f>IF($A426="","",IF($D426="V01",cad!$C$32,IF($D426="V02",cad!$D$32,cad!$E$32)))</f>
      </c>
      <c r="J426">
        <f>IF($A426="","",IF($D426="V01",cad!$C$33,IF($D426="V02",cad!$D$33,cad!$E$33)))</f>
      </c>
      <c r="K426">
        <f>IF($A426="","",IF($D426="V01",cad!$C$34,IF($D426="V02",cad!$D$34,cad!$E$34)))</f>
      </c>
      <c r="L426">
        <f>IF($A426="","",IF($D426="V01",cad!$C$35,IF($D426="V02",cad!$D$35,cad!$E$35)))</f>
      </c>
      <c r="M426">
        <f>IF($A426="","",IF($D426="V01",cad!$C$36,IF($D426="V02",cad!$D$36,cad!$E$36)))</f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>
        <f>IF($A427="","",IF($D427="V01",cad!$C$23,IF($D427="V02",cad!$D$23,cad!$E$23)))</f>
      </c>
      <c r="H427">
        <f>IF($A427="","",IF($D427="V01",cad!$C$24,IF($D427="V02",cad!$D$24,cad!$E$24)))</f>
      </c>
      <c r="I427">
        <f>IF($A427="","",IF($D427="V01",cad!$C$32,IF($D427="V02",cad!$D$32,cad!$E$32)))</f>
      </c>
      <c r="J427">
        <f>IF($A427="","",IF($D427="V01",cad!$C$33,IF($D427="V02",cad!$D$33,cad!$E$33)))</f>
      </c>
      <c r="K427">
        <f>IF($A427="","",IF($D427="V01",cad!$C$34,IF($D427="V02",cad!$D$34,cad!$E$34)))</f>
      </c>
      <c r="L427">
        <f>IF($A427="","",IF($D427="V01",cad!$C$35,IF($D427="V02",cad!$D$35,cad!$E$35)))</f>
      </c>
      <c r="M427">
        <f>IF($A427="","",IF($D427="V01",cad!$C$36,IF($D427="V02",cad!$D$36,cad!$E$36)))</f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>
        <f>IF($A428="","",IF($D428="V01",cad!$C$23,IF($D428="V02",cad!$D$23,cad!$E$23)))</f>
      </c>
      <c r="H428">
        <f>IF($A428="","",IF($D428="V01",cad!$C$24,IF($D428="V02",cad!$D$24,cad!$E$24)))</f>
      </c>
      <c r="I428">
        <f>IF($A428="","",IF($D428="V01",cad!$C$32,IF($D428="V02",cad!$D$32,cad!$E$32)))</f>
      </c>
      <c r="J428">
        <f>IF($A428="","",IF($D428="V01",cad!$C$33,IF($D428="V02",cad!$D$33,cad!$E$33)))</f>
      </c>
      <c r="K428">
        <f>IF($A428="","",IF($D428="V01",cad!$C$34,IF($D428="V02",cad!$D$34,cad!$E$34)))</f>
      </c>
      <c r="L428">
        <f>IF($A428="","",IF($D428="V01",cad!$C$35,IF($D428="V02",cad!$D$35,cad!$E$35)))</f>
      </c>
      <c r="M428">
        <f>IF($A428="","",IF($D428="V01",cad!$C$36,IF($D428="V02",cad!$D$36,cad!$E$36)))</f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>
        <f>IF($A429="","",IF($D429="V01",cad!$C$23,IF($D429="V02",cad!$D$23,cad!$E$23)))</f>
      </c>
      <c r="H429">
        <f>IF($A429="","",IF($D429="V01",cad!$C$24,IF($D429="V02",cad!$D$24,cad!$E$24)))</f>
      </c>
      <c r="I429">
        <f>IF($A429="","",IF($D429="V01",cad!$C$32,IF($D429="V02",cad!$D$32,cad!$E$32)))</f>
      </c>
      <c r="J429">
        <f>IF($A429="","",IF($D429="V01",cad!$C$33,IF($D429="V02",cad!$D$33,cad!$E$33)))</f>
      </c>
      <c r="K429">
        <f>IF($A429="","",IF($D429="V01",cad!$C$34,IF($D429="V02",cad!$D$34,cad!$E$34)))</f>
      </c>
      <c r="L429">
        <f>IF($A429="","",IF($D429="V01",cad!$C$35,IF($D429="V02",cad!$D$35,cad!$E$35)))</f>
      </c>
      <c r="M429">
        <f>IF($A429="","",IF($D429="V01",cad!$C$36,IF($D429="V02",cad!$D$36,cad!$E$36)))</f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>
        <f>IF($A430="","",IF($D430="V01",cad!$C$23,IF($D430="V02",cad!$D$23,cad!$E$23)))</f>
      </c>
      <c r="H430">
        <f>IF($A430="","",IF($D430="V01",cad!$C$24,IF($D430="V02",cad!$D$24,cad!$E$24)))</f>
      </c>
      <c r="I430">
        <f>IF($A430="","",IF($D430="V01",cad!$C$32,IF($D430="V02",cad!$D$32,cad!$E$32)))</f>
      </c>
      <c r="J430">
        <f>IF($A430="","",IF($D430="V01",cad!$C$33,IF($D430="V02",cad!$D$33,cad!$E$33)))</f>
      </c>
      <c r="K430">
        <f>IF($A430="","",IF($D430="V01",cad!$C$34,IF($D430="V02",cad!$D$34,cad!$E$34)))</f>
      </c>
      <c r="L430">
        <f>IF($A430="","",IF($D430="V01",cad!$C$35,IF($D430="V02",cad!$D$35,cad!$E$35)))</f>
      </c>
      <c r="M430">
        <f>IF($A430="","",IF($D430="V01",cad!$C$36,IF($D430="V02",cad!$D$36,cad!$E$36)))</f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>
        <f>IF($A431="","",IF($D431="V01",cad!$C$23,IF($D431="V02",cad!$D$23,cad!$E$23)))</f>
      </c>
      <c r="H431">
        <f>IF($A431="","",IF($D431="V01",cad!$C$24,IF($D431="V02",cad!$D$24,cad!$E$24)))</f>
      </c>
      <c r="I431">
        <f>IF($A431="","",IF($D431="V01",cad!$C$32,IF($D431="V02",cad!$D$32,cad!$E$32)))</f>
      </c>
      <c r="J431">
        <f>IF($A431="","",IF($D431="V01",cad!$C$33,IF($D431="V02",cad!$D$33,cad!$E$33)))</f>
      </c>
      <c r="K431">
        <f>IF($A431="","",IF($D431="V01",cad!$C$34,IF($D431="V02",cad!$D$34,cad!$E$34)))</f>
      </c>
      <c r="L431">
        <f>IF($A431="","",IF($D431="V01",cad!$C$35,IF($D431="V02",cad!$D$35,cad!$E$35)))</f>
      </c>
      <c r="M431">
        <f>IF($A431="","",IF($D431="V01",cad!$C$36,IF($D431="V02",cad!$D$36,cad!$E$36)))</f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>
        <f>IF($A432="","",IF($D432="V01",cad!$C$23,IF($D432="V02",cad!$D$23,cad!$E$23)))</f>
      </c>
      <c r="H432">
        <f>IF($A432="","",IF($D432="V01",cad!$C$24,IF($D432="V02",cad!$D$24,cad!$E$24)))</f>
      </c>
      <c r="I432">
        <f>IF($A432="","",IF($D432="V01",cad!$C$32,IF($D432="V02",cad!$D$32,cad!$E$32)))</f>
      </c>
      <c r="J432">
        <f>IF($A432="","",IF($D432="V01",cad!$C$33,IF($D432="V02",cad!$D$33,cad!$E$33)))</f>
      </c>
      <c r="K432">
        <f>IF($A432="","",IF($D432="V01",cad!$C$34,IF($D432="V02",cad!$D$34,cad!$E$34)))</f>
      </c>
      <c r="L432">
        <f>IF($A432="","",IF($D432="V01",cad!$C$35,IF($D432="V02",cad!$D$35,cad!$E$35)))</f>
      </c>
      <c r="M432">
        <f>IF($A432="","",IF($D432="V01",cad!$C$36,IF($D432="V02",cad!$D$36,cad!$E$36)))</f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>
        <f>IF($A433="","",IF($D433="V01",cad!$C$23,IF($D433="V02",cad!$D$23,cad!$E$23)))</f>
      </c>
      <c r="H433">
        <f>IF($A433="","",IF($D433="V01",cad!$C$24,IF($D433="V02",cad!$D$24,cad!$E$24)))</f>
      </c>
      <c r="I433">
        <f>IF($A433="","",IF($D433="V01",cad!$C$32,IF($D433="V02",cad!$D$32,cad!$E$32)))</f>
      </c>
      <c r="J433">
        <f>IF($A433="","",IF($D433="V01",cad!$C$33,IF($D433="V02",cad!$D$33,cad!$E$33)))</f>
      </c>
      <c r="K433">
        <f>IF($A433="","",IF($D433="V01",cad!$C$34,IF($D433="V02",cad!$D$34,cad!$E$34)))</f>
      </c>
      <c r="L433">
        <f>IF($A433="","",IF($D433="V01",cad!$C$35,IF($D433="V02",cad!$D$35,cad!$E$35)))</f>
      </c>
      <c r="M433">
        <f>IF($A433="","",IF($D433="V01",cad!$C$36,IF($D433="V02",cad!$D$36,cad!$E$36)))</f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>
        <f>IF($A434="","",IF($D434="V01",cad!$C$23,IF($D434="V02",cad!$D$23,cad!$E$23)))</f>
      </c>
      <c r="H434">
        <f>IF($A434="","",IF($D434="V01",cad!$C$24,IF($D434="V02",cad!$D$24,cad!$E$24)))</f>
      </c>
      <c r="I434">
        <f>IF($A434="","",IF($D434="V01",cad!$C$32,IF($D434="V02",cad!$D$32,cad!$E$32)))</f>
      </c>
      <c r="J434">
        <f>IF($A434="","",IF($D434="V01",cad!$C$33,IF($D434="V02",cad!$D$33,cad!$E$33)))</f>
      </c>
      <c r="K434">
        <f>IF($A434="","",IF($D434="V01",cad!$C$34,IF($D434="V02",cad!$D$34,cad!$E$34)))</f>
      </c>
      <c r="L434">
        <f>IF($A434="","",IF($D434="V01",cad!$C$35,IF($D434="V02",cad!$D$35,cad!$E$35)))</f>
      </c>
      <c r="M434">
        <f>IF($A434="","",IF($D434="V01",cad!$C$36,IF($D434="V02",cad!$D$36,cad!$E$36)))</f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>
        <f>IF($A435="","",IF($D435="V01",cad!$C$23,IF($D435="V02",cad!$D$23,cad!$E$23)))</f>
      </c>
      <c r="H435">
        <f>IF($A435="","",IF($D435="V01",cad!$C$24,IF($D435="V02",cad!$D$24,cad!$E$24)))</f>
      </c>
      <c r="I435">
        <f>IF($A435="","",IF($D435="V01",cad!$C$32,IF($D435="V02",cad!$D$32,cad!$E$32)))</f>
      </c>
      <c r="J435">
        <f>IF($A435="","",IF($D435="V01",cad!$C$33,IF($D435="V02",cad!$D$33,cad!$E$33)))</f>
      </c>
      <c r="K435">
        <f>IF($A435="","",IF($D435="V01",cad!$C$34,IF($D435="V02",cad!$D$34,cad!$E$34)))</f>
      </c>
      <c r="L435">
        <f>IF($A435="","",IF($D435="V01",cad!$C$35,IF($D435="V02",cad!$D$35,cad!$E$35)))</f>
      </c>
      <c r="M435">
        <f>IF($A435="","",IF($D435="V01",cad!$C$36,IF($D435="V02",cad!$D$36,cad!$E$36)))</f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>
        <f>IF($A436="","",IF($D436="V01",cad!$C$23,IF($D436="V02",cad!$D$23,cad!$E$23)))</f>
      </c>
      <c r="H436">
        <f>IF($A436="","",IF($D436="V01",cad!$C$24,IF($D436="V02",cad!$D$24,cad!$E$24)))</f>
      </c>
      <c r="I436">
        <f>IF($A436="","",IF($D436="V01",cad!$C$32,IF($D436="V02",cad!$D$32,cad!$E$32)))</f>
      </c>
      <c r="J436">
        <f>IF($A436="","",IF($D436="V01",cad!$C$33,IF($D436="V02",cad!$D$33,cad!$E$33)))</f>
      </c>
      <c r="K436">
        <f>IF($A436="","",IF($D436="V01",cad!$C$34,IF($D436="V02",cad!$D$34,cad!$E$34)))</f>
      </c>
      <c r="L436">
        <f>IF($A436="","",IF($D436="V01",cad!$C$35,IF($D436="V02",cad!$D$35,cad!$E$35)))</f>
      </c>
      <c r="M436">
        <f>IF($A436="","",IF($D436="V01",cad!$C$36,IF($D436="V02",cad!$D$36,cad!$E$36)))</f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>
        <f>IF($A437="","",IF($D437="V01",cad!$C$23,IF($D437="V02",cad!$D$23,cad!$E$23)))</f>
      </c>
      <c r="H437">
        <f>IF($A437="","",IF($D437="V01",cad!$C$24,IF($D437="V02",cad!$D$24,cad!$E$24)))</f>
      </c>
      <c r="I437">
        <f>IF($A437="","",IF($D437="V01",cad!$C$32,IF($D437="V02",cad!$D$32,cad!$E$32)))</f>
      </c>
      <c r="J437">
        <f>IF($A437="","",IF($D437="V01",cad!$C$33,IF($D437="V02",cad!$D$33,cad!$E$33)))</f>
      </c>
      <c r="K437">
        <f>IF($A437="","",IF($D437="V01",cad!$C$34,IF($D437="V02",cad!$D$34,cad!$E$34)))</f>
      </c>
      <c r="L437">
        <f>IF($A437="","",IF($D437="V01",cad!$C$35,IF($D437="V02",cad!$D$35,cad!$E$35)))</f>
      </c>
      <c r="M437">
        <f>IF($A437="","",IF($D437="V01",cad!$C$36,IF($D437="V02",cad!$D$36,cad!$E$36)))</f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>
        <f>IF($A438="","",IF($D438="V01",cad!$C$23,IF($D438="V02",cad!$D$23,cad!$E$23)))</f>
      </c>
      <c r="H438">
        <f>IF($A438="","",IF($D438="V01",cad!$C$24,IF($D438="V02",cad!$D$24,cad!$E$24)))</f>
      </c>
      <c r="I438">
        <f>IF($A438="","",IF($D438="V01",cad!$C$32,IF($D438="V02",cad!$D$32,cad!$E$32)))</f>
      </c>
      <c r="J438">
        <f>IF($A438="","",IF($D438="V01",cad!$C$33,IF($D438="V02",cad!$D$33,cad!$E$33)))</f>
      </c>
      <c r="K438">
        <f>IF($A438="","",IF($D438="V01",cad!$C$34,IF($D438="V02",cad!$D$34,cad!$E$34)))</f>
      </c>
      <c r="L438">
        <f>IF($A438="","",IF($D438="V01",cad!$C$35,IF($D438="V02",cad!$D$35,cad!$E$35)))</f>
      </c>
      <c r="M438">
        <f>IF($A438="","",IF($D438="V01",cad!$C$36,IF($D438="V02",cad!$D$36,cad!$E$36)))</f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>
        <f>IF($A439="","",IF($D439="V01",cad!$C$23,IF($D439="V02",cad!$D$23,cad!$E$23)))</f>
      </c>
      <c r="H439">
        <f>IF($A439="","",IF($D439="V01",cad!$C$24,IF($D439="V02",cad!$D$24,cad!$E$24)))</f>
      </c>
      <c r="I439">
        <f>IF($A439="","",IF($D439="V01",cad!$C$32,IF($D439="V02",cad!$D$32,cad!$E$32)))</f>
      </c>
      <c r="J439">
        <f>IF($A439="","",IF($D439="V01",cad!$C$33,IF($D439="V02",cad!$D$33,cad!$E$33)))</f>
      </c>
      <c r="K439">
        <f>IF($A439="","",IF($D439="V01",cad!$C$34,IF($D439="V02",cad!$D$34,cad!$E$34)))</f>
      </c>
      <c r="L439">
        <f>IF($A439="","",IF($D439="V01",cad!$C$35,IF($D439="V02",cad!$D$35,cad!$E$35)))</f>
      </c>
      <c r="M439">
        <f>IF($A439="","",IF($D439="V01",cad!$C$36,IF($D439="V02",cad!$D$36,cad!$E$36)))</f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>
        <f>IF($A440="","",IF($D440="V01",cad!$C$23,IF($D440="V02",cad!$D$23,cad!$E$23)))</f>
      </c>
      <c r="H440">
        <f>IF($A440="","",IF($D440="V01",cad!$C$24,IF($D440="V02",cad!$D$24,cad!$E$24)))</f>
      </c>
      <c r="I440">
        <f>IF($A440="","",IF($D440="V01",cad!$C$32,IF($D440="V02",cad!$D$32,cad!$E$32)))</f>
      </c>
      <c r="J440">
        <f>IF($A440="","",IF($D440="V01",cad!$C$33,IF($D440="V02",cad!$D$33,cad!$E$33)))</f>
      </c>
      <c r="K440">
        <f>IF($A440="","",IF($D440="V01",cad!$C$34,IF($D440="V02",cad!$D$34,cad!$E$34)))</f>
      </c>
      <c r="L440">
        <f>IF($A440="","",IF($D440="V01",cad!$C$35,IF($D440="V02",cad!$D$35,cad!$E$35)))</f>
      </c>
      <c r="M440">
        <f>IF($A440="","",IF($D440="V01",cad!$C$36,IF($D440="V02",cad!$D$36,cad!$E$36)))</f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>
        <f>IF($A441="","",IF($D441="V01",cad!$C$23,IF($D441="V02",cad!$D$23,cad!$E$23)))</f>
      </c>
      <c r="H441">
        <f>IF($A441="","",IF($D441="V01",cad!$C$24,IF($D441="V02",cad!$D$24,cad!$E$24)))</f>
      </c>
      <c r="I441">
        <f>IF($A441="","",IF($D441="V01",cad!$C$32,IF($D441="V02",cad!$D$32,cad!$E$32)))</f>
      </c>
      <c r="J441">
        <f>IF($A441="","",IF($D441="V01",cad!$C$33,IF($D441="V02",cad!$D$33,cad!$E$33)))</f>
      </c>
      <c r="K441">
        <f>IF($A441="","",IF($D441="V01",cad!$C$34,IF($D441="V02",cad!$D$34,cad!$E$34)))</f>
      </c>
      <c r="L441">
        <f>IF($A441="","",IF($D441="V01",cad!$C$35,IF($D441="V02",cad!$D$35,cad!$E$35)))</f>
      </c>
      <c r="M441">
        <f>IF($A441="","",IF($D441="V01",cad!$C$36,IF($D441="V02",cad!$D$36,cad!$E$36)))</f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>
        <f>IF($A442="","",IF($D442="V01",cad!$C$23,IF($D442="V02",cad!$D$23,cad!$E$23)))</f>
      </c>
      <c r="H442">
        <f>IF($A442="","",IF($D442="V01",cad!$C$24,IF($D442="V02",cad!$D$24,cad!$E$24)))</f>
      </c>
      <c r="I442">
        <f>IF($A442="","",IF($D442="V01",cad!$C$32,IF($D442="V02",cad!$D$32,cad!$E$32)))</f>
      </c>
      <c r="J442">
        <f>IF($A442="","",IF($D442="V01",cad!$C$33,IF($D442="V02",cad!$D$33,cad!$E$33)))</f>
      </c>
      <c r="K442">
        <f>IF($A442="","",IF($D442="V01",cad!$C$34,IF($D442="V02",cad!$D$34,cad!$E$34)))</f>
      </c>
      <c r="L442">
        <f>IF($A442="","",IF($D442="V01",cad!$C$35,IF($D442="V02",cad!$D$35,cad!$E$35)))</f>
      </c>
      <c r="M442">
        <f>IF($A442="","",IF($D442="V01",cad!$C$36,IF($D442="V02",cad!$D$36,cad!$E$36)))</f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>
        <f>IF($A443="","",IF($D443="V01",cad!$C$23,IF($D443="V02",cad!$D$23,cad!$E$23)))</f>
      </c>
      <c r="H443">
        <f>IF($A443="","",IF($D443="V01",cad!$C$24,IF($D443="V02",cad!$D$24,cad!$E$24)))</f>
      </c>
      <c r="I443">
        <f>IF($A443="","",IF($D443="V01",cad!$C$32,IF($D443="V02",cad!$D$32,cad!$E$32)))</f>
      </c>
      <c r="J443">
        <f>IF($A443="","",IF($D443="V01",cad!$C$33,IF($D443="V02",cad!$D$33,cad!$E$33)))</f>
      </c>
      <c r="K443">
        <f>IF($A443="","",IF($D443="V01",cad!$C$34,IF($D443="V02",cad!$D$34,cad!$E$34)))</f>
      </c>
      <c r="L443">
        <f>IF($A443="","",IF($D443="V01",cad!$C$35,IF($D443="V02",cad!$D$35,cad!$E$35)))</f>
      </c>
      <c r="M443">
        <f>IF($A443="","",IF($D443="V01",cad!$C$36,IF($D443="V02",cad!$D$36,cad!$E$36)))</f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>
        <f>IF($A444="","",IF($D444="V01",cad!$C$23,IF($D444="V02",cad!$D$23,cad!$E$23)))</f>
      </c>
      <c r="H444">
        <f>IF($A444="","",IF($D444="V01",cad!$C$24,IF($D444="V02",cad!$D$24,cad!$E$24)))</f>
      </c>
      <c r="I444">
        <f>IF($A444="","",IF($D444="V01",cad!$C$32,IF($D444="V02",cad!$D$32,cad!$E$32)))</f>
      </c>
      <c r="J444">
        <f>IF($A444="","",IF($D444="V01",cad!$C$33,IF($D444="V02",cad!$D$33,cad!$E$33)))</f>
      </c>
      <c r="K444">
        <f>IF($A444="","",IF($D444="V01",cad!$C$34,IF($D444="V02",cad!$D$34,cad!$E$34)))</f>
      </c>
      <c r="L444">
        <f>IF($A444="","",IF($D444="V01",cad!$C$35,IF($D444="V02",cad!$D$35,cad!$E$35)))</f>
      </c>
      <c r="M444">
        <f>IF($A444="","",IF($D444="V01",cad!$C$36,IF($D444="V02",cad!$D$36,cad!$E$36)))</f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>
        <f>IF($A445="","",IF($D445="V01",cad!$C$23,IF($D445="V02",cad!$D$23,cad!$E$23)))</f>
      </c>
      <c r="H445">
        <f>IF($A445="","",IF($D445="V01",cad!$C$24,IF($D445="V02",cad!$D$24,cad!$E$24)))</f>
      </c>
      <c r="I445">
        <f>IF($A445="","",IF($D445="V01",cad!$C$32,IF($D445="V02",cad!$D$32,cad!$E$32)))</f>
      </c>
      <c r="J445">
        <f>IF($A445="","",IF($D445="V01",cad!$C$33,IF($D445="V02",cad!$D$33,cad!$E$33)))</f>
      </c>
      <c r="K445">
        <f>IF($A445="","",IF($D445="V01",cad!$C$34,IF($D445="V02",cad!$D$34,cad!$E$34)))</f>
      </c>
      <c r="L445">
        <f>IF($A445="","",IF($D445="V01",cad!$C$35,IF($D445="V02",cad!$D$35,cad!$E$35)))</f>
      </c>
      <c r="M445">
        <f>IF($A445="","",IF($D445="V01",cad!$C$36,IF($D445="V02",cad!$D$36,cad!$E$36)))</f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>
        <f>IF($A446="","",IF($D446="V01",cad!$C$23,IF($D446="V02",cad!$D$23,cad!$E$23)))</f>
      </c>
      <c r="H446">
        <f>IF($A446="","",IF($D446="V01",cad!$C$24,IF($D446="V02",cad!$D$24,cad!$E$24)))</f>
      </c>
      <c r="I446">
        <f>IF($A446="","",IF($D446="V01",cad!$C$32,IF($D446="V02",cad!$D$32,cad!$E$32)))</f>
      </c>
      <c r="J446">
        <f>IF($A446="","",IF($D446="V01",cad!$C$33,IF($D446="V02",cad!$D$33,cad!$E$33)))</f>
      </c>
      <c r="K446">
        <f>IF($A446="","",IF($D446="V01",cad!$C$34,IF($D446="V02",cad!$D$34,cad!$E$34)))</f>
      </c>
      <c r="L446">
        <f>IF($A446="","",IF($D446="V01",cad!$C$35,IF($D446="V02",cad!$D$35,cad!$E$35)))</f>
      </c>
      <c r="M446">
        <f>IF($A446="","",IF($D446="V01",cad!$C$36,IF($D446="V02",cad!$D$36,cad!$E$36)))</f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>
        <f>IF($A447="","",IF($D447="V01",cad!$C$23,IF($D447="V02",cad!$D$23,cad!$E$23)))</f>
      </c>
      <c r="H447">
        <f>IF($A447="","",IF($D447="V01",cad!$C$24,IF($D447="V02",cad!$D$24,cad!$E$24)))</f>
      </c>
      <c r="I447">
        <f>IF($A447="","",IF($D447="V01",cad!$C$32,IF($D447="V02",cad!$D$32,cad!$E$32)))</f>
      </c>
      <c r="J447">
        <f>IF($A447="","",IF($D447="V01",cad!$C$33,IF($D447="V02",cad!$D$33,cad!$E$33)))</f>
      </c>
      <c r="K447">
        <f>IF($A447="","",IF($D447="V01",cad!$C$34,IF($D447="V02",cad!$D$34,cad!$E$34)))</f>
      </c>
      <c r="L447">
        <f>IF($A447="","",IF($D447="V01",cad!$C$35,IF($D447="V02",cad!$D$35,cad!$E$35)))</f>
      </c>
      <c r="M447">
        <f>IF($A447="","",IF($D447="V01",cad!$C$36,IF($D447="V02",cad!$D$36,cad!$E$36)))</f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>
        <f>IF($A448="","",IF($D448="V01",cad!$C$23,IF($D448="V02",cad!$D$23,cad!$E$23)))</f>
      </c>
      <c r="H448">
        <f>IF($A448="","",IF($D448="V01",cad!$C$24,IF($D448="V02",cad!$D$24,cad!$E$24)))</f>
      </c>
      <c r="I448">
        <f>IF($A448="","",IF($D448="V01",cad!$C$32,IF($D448="V02",cad!$D$32,cad!$E$32)))</f>
      </c>
      <c r="J448">
        <f>IF($A448="","",IF($D448="V01",cad!$C$33,IF($D448="V02",cad!$D$33,cad!$E$33)))</f>
      </c>
      <c r="K448">
        <f>IF($A448="","",IF($D448="V01",cad!$C$34,IF($D448="V02",cad!$D$34,cad!$E$34)))</f>
      </c>
      <c r="L448">
        <f>IF($A448="","",IF($D448="V01",cad!$C$35,IF($D448="V02",cad!$D$35,cad!$E$35)))</f>
      </c>
      <c r="M448">
        <f>IF($A448="","",IF($D448="V01",cad!$C$36,IF($D448="V02",cad!$D$36,cad!$E$36)))</f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>
        <f>IF($A449="","",IF($D449="V01",cad!$C$23,IF($D449="V02",cad!$D$23,cad!$E$23)))</f>
      </c>
      <c r="H449">
        <f>IF($A449="","",IF($D449="V01",cad!$C$24,IF($D449="V02",cad!$D$24,cad!$E$24)))</f>
      </c>
      <c r="I449">
        <f>IF($A449="","",IF($D449="V01",cad!$C$32,IF($D449="V02",cad!$D$32,cad!$E$32)))</f>
      </c>
      <c r="J449">
        <f>IF($A449="","",IF($D449="V01",cad!$C$33,IF($D449="V02",cad!$D$33,cad!$E$33)))</f>
      </c>
      <c r="K449">
        <f>IF($A449="","",IF($D449="V01",cad!$C$34,IF($D449="V02",cad!$D$34,cad!$E$34)))</f>
      </c>
      <c r="L449">
        <f>IF($A449="","",IF($D449="V01",cad!$C$35,IF($D449="V02",cad!$D$35,cad!$E$35)))</f>
      </c>
      <c r="M449">
        <f>IF($A449="","",IF($D449="V01",cad!$C$36,IF($D449="V02",cad!$D$36,cad!$E$36)))</f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>
        <f>IF($A450="","",IF($D450="V01",cad!$C$23,IF($D450="V02",cad!$D$23,cad!$E$23)))</f>
      </c>
      <c r="H450">
        <f>IF($A450="","",IF($D450="V01",cad!$C$24,IF($D450="V02",cad!$D$24,cad!$E$24)))</f>
      </c>
      <c r="I450">
        <f>IF($A450="","",IF($D450="V01",cad!$C$32,IF($D450="V02",cad!$D$32,cad!$E$32)))</f>
      </c>
      <c r="J450">
        <f>IF($A450="","",IF($D450="V01",cad!$C$33,IF($D450="V02",cad!$D$33,cad!$E$33)))</f>
      </c>
      <c r="K450">
        <f>IF($A450="","",IF($D450="V01",cad!$C$34,IF($D450="V02",cad!$D$34,cad!$E$34)))</f>
      </c>
      <c r="L450">
        <f>IF($A450="","",IF($D450="V01",cad!$C$35,IF($D450="V02",cad!$D$35,cad!$E$35)))</f>
      </c>
      <c r="M450">
        <f>IF($A450="","",IF($D450="V01",cad!$C$36,IF($D450="V02",cad!$D$36,cad!$E$36)))</f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>
        <f>IF($A451="","",IF($D451="V01",cad!$C$23,IF($D451="V02",cad!$D$23,cad!$E$23)))</f>
      </c>
      <c r="H451">
        <f>IF($A451="","",IF($D451="V01",cad!$C$24,IF($D451="V02",cad!$D$24,cad!$E$24)))</f>
      </c>
      <c r="I451">
        <f>IF($A451="","",IF($D451="V01",cad!$C$32,IF($D451="V02",cad!$D$32,cad!$E$32)))</f>
      </c>
      <c r="J451">
        <f>IF($A451="","",IF($D451="V01",cad!$C$33,IF($D451="V02",cad!$D$33,cad!$E$33)))</f>
      </c>
      <c r="K451">
        <f>IF($A451="","",IF($D451="V01",cad!$C$34,IF($D451="V02",cad!$D$34,cad!$E$34)))</f>
      </c>
      <c r="L451">
        <f>IF($A451="","",IF($D451="V01",cad!$C$35,IF($D451="V02",cad!$D$35,cad!$E$35)))</f>
      </c>
      <c r="M451">
        <f>IF($A451="","",IF($D451="V01",cad!$C$36,IF($D451="V02",cad!$D$36,cad!$E$36)))</f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>
        <f>IF($A452="","",IF($D452="V01",cad!$C$23,IF($D452="V02",cad!$D$23,cad!$E$23)))</f>
      </c>
      <c r="H452">
        <f>IF($A452="","",IF($D452="V01",cad!$C$24,IF($D452="V02",cad!$D$24,cad!$E$24)))</f>
      </c>
      <c r="I452">
        <f>IF($A452="","",IF($D452="V01",cad!$C$32,IF($D452="V02",cad!$D$32,cad!$E$32)))</f>
      </c>
      <c r="J452">
        <f>IF($A452="","",IF($D452="V01",cad!$C$33,IF($D452="V02",cad!$D$33,cad!$E$33)))</f>
      </c>
      <c r="K452">
        <f>IF($A452="","",IF($D452="V01",cad!$C$34,IF($D452="V02",cad!$D$34,cad!$E$34)))</f>
      </c>
      <c r="L452">
        <f>IF($A452="","",IF($D452="V01",cad!$C$35,IF($D452="V02",cad!$D$35,cad!$E$35)))</f>
      </c>
      <c r="M452">
        <f>IF($A452="","",IF($D452="V01",cad!$C$36,IF($D452="V02",cad!$D$36,cad!$E$36)))</f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>
        <f>IF($A453="","",IF($D453="V01",cad!$C$23,IF($D453="V02",cad!$D$23,cad!$E$23)))</f>
      </c>
      <c r="H453">
        <f>IF($A453="","",IF($D453="V01",cad!$C$24,IF($D453="V02",cad!$D$24,cad!$E$24)))</f>
      </c>
      <c r="I453">
        <f>IF($A453="","",IF($D453="V01",cad!$C$32,IF($D453="V02",cad!$D$32,cad!$E$32)))</f>
      </c>
      <c r="J453">
        <f>IF($A453="","",IF($D453="V01",cad!$C$33,IF($D453="V02",cad!$D$33,cad!$E$33)))</f>
      </c>
      <c r="K453">
        <f>IF($A453="","",IF($D453="V01",cad!$C$34,IF($D453="V02",cad!$D$34,cad!$E$34)))</f>
      </c>
      <c r="L453">
        <f>IF($A453="","",IF($D453="V01",cad!$C$35,IF($D453="V02",cad!$D$35,cad!$E$35)))</f>
      </c>
      <c r="M453">
        <f>IF($A453="","",IF($D453="V01",cad!$C$36,IF($D453="V02",cad!$D$36,cad!$E$36)))</f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>
        <f>IF($A454="","",IF($D454="V01",cad!$C$23,IF($D454="V02",cad!$D$23,cad!$E$23)))</f>
      </c>
      <c r="H454">
        <f>IF($A454="","",IF($D454="V01",cad!$C$24,IF($D454="V02",cad!$D$24,cad!$E$24)))</f>
      </c>
      <c r="I454">
        <f>IF($A454="","",IF($D454="V01",cad!$C$32,IF($D454="V02",cad!$D$32,cad!$E$32)))</f>
      </c>
      <c r="J454">
        <f>IF($A454="","",IF($D454="V01",cad!$C$33,IF($D454="V02",cad!$D$33,cad!$E$33)))</f>
      </c>
      <c r="K454">
        <f>IF($A454="","",IF($D454="V01",cad!$C$34,IF($D454="V02",cad!$D$34,cad!$E$34)))</f>
      </c>
      <c r="L454">
        <f>IF($A454="","",IF($D454="V01",cad!$C$35,IF($D454="V02",cad!$D$35,cad!$E$35)))</f>
      </c>
      <c r="M454">
        <f>IF($A454="","",IF($D454="V01",cad!$C$36,IF($D454="V02",cad!$D$36,cad!$E$36)))</f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>
        <f>IF($A455="","",IF($D455="V01",cad!$C$23,IF($D455="V02",cad!$D$23,cad!$E$23)))</f>
      </c>
      <c r="H455">
        <f>IF($A455="","",IF($D455="V01",cad!$C$24,IF($D455="V02",cad!$D$24,cad!$E$24)))</f>
      </c>
      <c r="I455">
        <f>IF($A455="","",IF($D455="V01",cad!$C$32,IF($D455="V02",cad!$D$32,cad!$E$32)))</f>
      </c>
      <c r="J455">
        <f>IF($A455="","",IF($D455="V01",cad!$C$33,IF($D455="V02",cad!$D$33,cad!$E$33)))</f>
      </c>
      <c r="K455">
        <f>IF($A455="","",IF($D455="V01",cad!$C$34,IF($D455="V02",cad!$D$34,cad!$E$34)))</f>
      </c>
      <c r="L455">
        <f>IF($A455="","",IF($D455="V01",cad!$C$35,IF($D455="V02",cad!$D$35,cad!$E$35)))</f>
      </c>
      <c r="M455">
        <f>IF($A455="","",IF($D455="V01",cad!$C$36,IF($D455="V02",cad!$D$36,cad!$E$36)))</f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>
        <f>IF($A456="","",IF($D456="V01",cad!$C$23,IF($D456="V02",cad!$D$23,cad!$E$23)))</f>
      </c>
      <c r="H456">
        <f>IF($A456="","",IF($D456="V01",cad!$C$24,IF($D456="V02",cad!$D$24,cad!$E$24)))</f>
      </c>
      <c r="I456">
        <f>IF($A456="","",IF($D456="V01",cad!$C$32,IF($D456="V02",cad!$D$32,cad!$E$32)))</f>
      </c>
      <c r="J456">
        <f>IF($A456="","",IF($D456="V01",cad!$C$33,IF($D456="V02",cad!$D$33,cad!$E$33)))</f>
      </c>
      <c r="K456">
        <f>IF($A456="","",IF($D456="V01",cad!$C$34,IF($D456="V02",cad!$D$34,cad!$E$34)))</f>
      </c>
      <c r="L456">
        <f>IF($A456="","",IF($D456="V01",cad!$C$35,IF($D456="V02",cad!$D$35,cad!$E$35)))</f>
      </c>
      <c r="M456">
        <f>IF($A456="","",IF($D456="V01",cad!$C$36,IF($D456="V02",cad!$D$36,cad!$E$36)))</f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>
        <f>IF($A457="","",IF($D457="V01",cad!$C$23,IF($D457="V02",cad!$D$23,cad!$E$23)))</f>
      </c>
      <c r="H457">
        <f>IF($A457="","",IF($D457="V01",cad!$C$24,IF($D457="V02",cad!$D$24,cad!$E$24)))</f>
      </c>
      <c r="I457">
        <f>IF($A457="","",IF($D457="V01",cad!$C$32,IF($D457="V02",cad!$D$32,cad!$E$32)))</f>
      </c>
      <c r="J457">
        <f>IF($A457="","",IF($D457="V01",cad!$C$33,IF($D457="V02",cad!$D$33,cad!$E$33)))</f>
      </c>
      <c r="K457">
        <f>IF($A457="","",IF($D457="V01",cad!$C$34,IF($D457="V02",cad!$D$34,cad!$E$34)))</f>
      </c>
      <c r="L457">
        <f>IF($A457="","",IF($D457="V01",cad!$C$35,IF($D457="V02",cad!$D$35,cad!$E$35)))</f>
      </c>
      <c r="M457">
        <f>IF($A457="","",IF($D457="V01",cad!$C$36,IF($D457="V02",cad!$D$36,cad!$E$36)))</f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>
        <f>IF($A458="","",IF($D458="V01",cad!$C$23,IF($D458="V02",cad!$D$23,cad!$E$23)))</f>
      </c>
      <c r="H458">
        <f>IF($A458="","",IF($D458="V01",cad!$C$24,IF($D458="V02",cad!$D$24,cad!$E$24)))</f>
      </c>
      <c r="I458">
        <f>IF($A458="","",IF($D458="V01",cad!$C$32,IF($D458="V02",cad!$D$32,cad!$E$32)))</f>
      </c>
      <c r="J458">
        <f>IF($A458="","",IF($D458="V01",cad!$C$33,IF($D458="V02",cad!$D$33,cad!$E$33)))</f>
      </c>
      <c r="K458">
        <f>IF($A458="","",IF($D458="V01",cad!$C$34,IF($D458="V02",cad!$D$34,cad!$E$34)))</f>
      </c>
      <c r="L458">
        <f>IF($A458="","",IF($D458="V01",cad!$C$35,IF($D458="V02",cad!$D$35,cad!$E$35)))</f>
      </c>
      <c r="M458">
        <f>IF($A458="","",IF($D458="V01",cad!$C$36,IF($D458="V02",cad!$D$36,cad!$E$36)))</f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>
        <f>IF($A459="","",IF($D459="V01",cad!$C$23,IF($D459="V02",cad!$D$23,cad!$E$23)))</f>
      </c>
      <c r="H459">
        <f>IF($A459="","",IF($D459="V01",cad!$C$24,IF($D459="V02",cad!$D$24,cad!$E$24)))</f>
      </c>
      <c r="I459">
        <f>IF($A459="","",IF($D459="V01",cad!$C$32,IF($D459="V02",cad!$D$32,cad!$E$32)))</f>
      </c>
      <c r="J459">
        <f>IF($A459="","",IF($D459="V01",cad!$C$33,IF($D459="V02",cad!$D$33,cad!$E$33)))</f>
      </c>
      <c r="K459">
        <f>IF($A459="","",IF($D459="V01",cad!$C$34,IF($D459="V02",cad!$D$34,cad!$E$34)))</f>
      </c>
      <c r="L459">
        <f>IF($A459="","",IF($D459="V01",cad!$C$35,IF($D459="V02",cad!$D$35,cad!$E$35)))</f>
      </c>
      <c r="M459">
        <f>IF($A459="","",IF($D459="V01",cad!$C$36,IF($D459="V02",cad!$D$36,cad!$E$36)))</f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>
        <f>IF($A460="","",IF($D460="V01",cad!$C$23,IF($D460="V02",cad!$D$23,cad!$E$23)))</f>
      </c>
      <c r="H460">
        <f>IF($A460="","",IF($D460="V01",cad!$C$24,IF($D460="V02",cad!$D$24,cad!$E$24)))</f>
      </c>
      <c r="I460">
        <f>IF($A460="","",IF($D460="V01",cad!$C$32,IF($D460="V02",cad!$D$32,cad!$E$32)))</f>
      </c>
      <c r="J460">
        <f>IF($A460="","",IF($D460="V01",cad!$C$33,IF($D460="V02",cad!$D$33,cad!$E$33)))</f>
      </c>
      <c r="K460">
        <f>IF($A460="","",IF($D460="V01",cad!$C$34,IF($D460="V02",cad!$D$34,cad!$E$34)))</f>
      </c>
      <c r="L460">
        <f>IF($A460="","",IF($D460="V01",cad!$C$35,IF($D460="V02",cad!$D$35,cad!$E$35)))</f>
      </c>
      <c r="M460">
        <f>IF($A460="","",IF($D460="V01",cad!$C$36,IF($D460="V02",cad!$D$36,cad!$E$36)))</f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>
        <f>IF($A461="","",IF($D461="V01",cad!$C$23,IF($D461="V02",cad!$D$23,cad!$E$23)))</f>
      </c>
      <c r="H461">
        <f>IF($A461="","",IF($D461="V01",cad!$C$24,IF($D461="V02",cad!$D$24,cad!$E$24)))</f>
      </c>
      <c r="I461">
        <f>IF($A461="","",IF($D461="V01",cad!$C$32,IF($D461="V02",cad!$D$32,cad!$E$32)))</f>
      </c>
      <c r="J461">
        <f>IF($A461="","",IF($D461="V01",cad!$C$33,IF($D461="V02",cad!$D$33,cad!$E$33)))</f>
      </c>
      <c r="K461">
        <f>IF($A461="","",IF($D461="V01",cad!$C$34,IF($D461="V02",cad!$D$34,cad!$E$34)))</f>
      </c>
      <c r="L461">
        <f>IF($A461="","",IF($D461="V01",cad!$C$35,IF($D461="V02",cad!$D$35,cad!$E$35)))</f>
      </c>
      <c r="M461">
        <f>IF($A461="","",IF($D461="V01",cad!$C$36,IF($D461="V02",cad!$D$36,cad!$E$36)))</f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>
        <f>IF($A462="","",IF($D462="V01",cad!$C$23,IF($D462="V02",cad!$D$23,cad!$E$23)))</f>
      </c>
      <c r="H462">
        <f>IF($A462="","",IF($D462="V01",cad!$C$24,IF($D462="V02",cad!$D$24,cad!$E$24)))</f>
      </c>
      <c r="I462">
        <f>IF($A462="","",IF($D462="V01",cad!$C$32,IF($D462="V02",cad!$D$32,cad!$E$32)))</f>
      </c>
      <c r="J462">
        <f>IF($A462="","",IF($D462="V01",cad!$C$33,IF($D462="V02",cad!$D$33,cad!$E$33)))</f>
      </c>
      <c r="K462">
        <f>IF($A462="","",IF($D462="V01",cad!$C$34,IF($D462="V02",cad!$D$34,cad!$E$34)))</f>
      </c>
      <c r="L462">
        <f>IF($A462="","",IF($D462="V01",cad!$C$35,IF($D462="V02",cad!$D$35,cad!$E$35)))</f>
      </c>
      <c r="M462">
        <f>IF($A462="","",IF($D462="V01",cad!$C$36,IF($D462="V02",cad!$D$36,cad!$E$36)))</f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>
        <f>IF($A463="","",IF($D463="V01",cad!$C$23,IF($D463="V02",cad!$D$23,cad!$E$23)))</f>
      </c>
      <c r="H463">
        <f>IF($A463="","",IF($D463="V01",cad!$C$24,IF($D463="V02",cad!$D$24,cad!$E$24)))</f>
      </c>
      <c r="I463">
        <f>IF($A463="","",IF($D463="V01",cad!$C$32,IF($D463="V02",cad!$D$32,cad!$E$32)))</f>
      </c>
      <c r="J463">
        <f>IF($A463="","",IF($D463="V01",cad!$C$33,IF($D463="V02",cad!$D$33,cad!$E$33)))</f>
      </c>
      <c r="K463">
        <f>IF($A463="","",IF($D463="V01",cad!$C$34,IF($D463="V02",cad!$D$34,cad!$E$34)))</f>
      </c>
      <c r="L463">
        <f>IF($A463="","",IF($D463="V01",cad!$C$35,IF($D463="V02",cad!$D$35,cad!$E$35)))</f>
      </c>
      <c r="M463">
        <f>IF($A463="","",IF($D463="V01",cad!$C$36,IF($D463="V02",cad!$D$36,cad!$E$36)))</f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>
        <f>IF($A464="","",IF($D464="V01",cad!$C$23,IF($D464="V02",cad!$D$23,cad!$E$23)))</f>
      </c>
      <c r="H464">
        <f>IF($A464="","",IF($D464="V01",cad!$C$24,IF($D464="V02",cad!$D$24,cad!$E$24)))</f>
      </c>
      <c r="I464">
        <f>IF($A464="","",IF($D464="V01",cad!$C$32,IF($D464="V02",cad!$D$32,cad!$E$32)))</f>
      </c>
      <c r="J464">
        <f>IF($A464="","",IF($D464="V01",cad!$C$33,IF($D464="V02",cad!$D$33,cad!$E$33)))</f>
      </c>
      <c r="K464">
        <f>IF($A464="","",IF($D464="V01",cad!$C$34,IF($D464="V02",cad!$D$34,cad!$E$34)))</f>
      </c>
      <c r="L464">
        <f>IF($A464="","",IF($D464="V01",cad!$C$35,IF($D464="V02",cad!$D$35,cad!$E$35)))</f>
      </c>
      <c r="M464">
        <f>IF($A464="","",IF($D464="V01",cad!$C$36,IF($D464="V02",cad!$D$36,cad!$E$36)))</f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>
        <f>IF($A465="","",IF($D465="V01",cad!$C$23,IF($D465="V02",cad!$D$23,cad!$E$23)))</f>
      </c>
      <c r="H465">
        <f>IF($A465="","",IF($D465="V01",cad!$C$24,IF($D465="V02",cad!$D$24,cad!$E$24)))</f>
      </c>
      <c r="I465">
        <f>IF($A465="","",IF($D465="V01",cad!$C$32,IF($D465="V02",cad!$D$32,cad!$E$32)))</f>
      </c>
      <c r="J465">
        <f>IF($A465="","",IF($D465="V01",cad!$C$33,IF($D465="V02",cad!$D$33,cad!$E$33)))</f>
      </c>
      <c r="K465">
        <f>IF($A465="","",IF($D465="V01",cad!$C$34,IF($D465="V02",cad!$D$34,cad!$E$34)))</f>
      </c>
      <c r="L465">
        <f>IF($A465="","",IF($D465="V01",cad!$C$35,IF($D465="V02",cad!$D$35,cad!$E$35)))</f>
      </c>
      <c r="M465">
        <f>IF($A465="","",IF($D465="V01",cad!$C$36,IF($D465="V02",cad!$D$36,cad!$E$36)))</f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>
        <f>IF($A466="","",IF($D466="V01",cad!$C$23,IF($D466="V02",cad!$D$23,cad!$E$23)))</f>
      </c>
      <c r="H466">
        <f>IF($A466="","",IF($D466="V01",cad!$C$24,IF($D466="V02",cad!$D$24,cad!$E$24)))</f>
      </c>
      <c r="I466">
        <f>IF($A466="","",IF($D466="V01",cad!$C$32,IF($D466="V02",cad!$D$32,cad!$E$32)))</f>
      </c>
      <c r="J466">
        <f>IF($A466="","",IF($D466="V01",cad!$C$33,IF($D466="V02",cad!$D$33,cad!$E$33)))</f>
      </c>
      <c r="K466">
        <f>IF($A466="","",IF($D466="V01",cad!$C$34,IF($D466="V02",cad!$D$34,cad!$E$34)))</f>
      </c>
      <c r="L466">
        <f>IF($A466="","",IF($D466="V01",cad!$C$35,IF($D466="V02",cad!$D$35,cad!$E$35)))</f>
      </c>
      <c r="M466">
        <f>IF($A466="","",IF($D466="V01",cad!$C$36,IF($D466="V02",cad!$D$36,cad!$E$36)))</f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>
        <f>IF($A467="","",IF($D467="V01",cad!$C$23,IF($D467="V02",cad!$D$23,cad!$E$23)))</f>
      </c>
      <c r="H467">
        <f>IF($A467="","",IF($D467="V01",cad!$C$24,IF($D467="V02",cad!$D$24,cad!$E$24)))</f>
      </c>
      <c r="I467">
        <f>IF($A467="","",IF($D467="V01",cad!$C$32,IF($D467="V02",cad!$D$32,cad!$E$32)))</f>
      </c>
      <c r="J467">
        <f>IF($A467="","",IF($D467="V01",cad!$C$33,IF($D467="V02",cad!$D$33,cad!$E$33)))</f>
      </c>
      <c r="K467">
        <f>IF($A467="","",IF($D467="V01",cad!$C$34,IF($D467="V02",cad!$D$34,cad!$E$34)))</f>
      </c>
      <c r="L467">
        <f>IF($A467="","",IF($D467="V01",cad!$C$35,IF($D467="V02",cad!$D$35,cad!$E$35)))</f>
      </c>
      <c r="M467">
        <f>IF($A467="","",IF($D467="V01",cad!$C$36,IF($D467="V02",cad!$D$36,cad!$E$36)))</f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>
        <f>IF($A468="","",IF($D468="V01",cad!$C$23,IF($D468="V02",cad!$D$23,cad!$E$23)))</f>
      </c>
      <c r="H468">
        <f>IF($A468="","",IF($D468="V01",cad!$C$24,IF($D468="V02",cad!$D$24,cad!$E$24)))</f>
      </c>
      <c r="I468">
        <f>IF($A468="","",IF($D468="V01",cad!$C$32,IF($D468="V02",cad!$D$32,cad!$E$32)))</f>
      </c>
      <c r="J468">
        <f>IF($A468="","",IF($D468="V01",cad!$C$33,IF($D468="V02",cad!$D$33,cad!$E$33)))</f>
      </c>
      <c r="K468">
        <f>IF($A468="","",IF($D468="V01",cad!$C$34,IF($D468="V02",cad!$D$34,cad!$E$34)))</f>
      </c>
      <c r="L468">
        <f>IF($A468="","",IF($D468="V01",cad!$C$35,IF($D468="V02",cad!$D$35,cad!$E$35)))</f>
      </c>
      <c r="M468">
        <f>IF($A468="","",IF($D468="V01",cad!$C$36,IF($D468="V02",cad!$D$36,cad!$E$36)))</f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>
        <f>IF($A469="","",IF($D469="V01",cad!$C$23,IF($D469="V02",cad!$D$23,cad!$E$23)))</f>
      </c>
      <c r="H469">
        <f>IF($A469="","",IF($D469="V01",cad!$C$24,IF($D469="V02",cad!$D$24,cad!$E$24)))</f>
      </c>
      <c r="I469">
        <f>IF($A469="","",IF($D469="V01",cad!$C$32,IF($D469="V02",cad!$D$32,cad!$E$32)))</f>
      </c>
      <c r="J469">
        <f>IF($A469="","",IF($D469="V01",cad!$C$33,IF($D469="V02",cad!$D$33,cad!$E$33)))</f>
      </c>
      <c r="K469">
        <f>IF($A469="","",IF($D469="V01",cad!$C$34,IF($D469="V02",cad!$D$34,cad!$E$34)))</f>
      </c>
      <c r="L469">
        <f>IF($A469="","",IF($D469="V01",cad!$C$35,IF($D469="V02",cad!$D$35,cad!$E$35)))</f>
      </c>
      <c r="M469">
        <f>IF($A469="","",IF($D469="V01",cad!$C$36,IF($D469="V02",cad!$D$36,cad!$E$36)))</f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>
        <f>IF($A470="","",IF($D470="V01",cad!$C$23,IF($D470="V02",cad!$D$23,cad!$E$23)))</f>
      </c>
      <c r="H470">
        <f>IF($A470="","",IF($D470="V01",cad!$C$24,IF($D470="V02",cad!$D$24,cad!$E$24)))</f>
      </c>
      <c r="I470">
        <f>IF($A470="","",IF($D470="V01",cad!$C$32,IF($D470="V02",cad!$D$32,cad!$E$32)))</f>
      </c>
      <c r="J470">
        <f>IF($A470="","",IF($D470="V01",cad!$C$33,IF($D470="V02",cad!$D$33,cad!$E$33)))</f>
      </c>
      <c r="K470">
        <f>IF($A470="","",IF($D470="V01",cad!$C$34,IF($D470="V02",cad!$D$34,cad!$E$34)))</f>
      </c>
      <c r="L470">
        <f>IF($A470="","",IF($D470="V01",cad!$C$35,IF($D470="V02",cad!$D$35,cad!$E$35)))</f>
      </c>
      <c r="M470">
        <f>IF($A470="","",IF($D470="V01",cad!$C$36,IF($D470="V02",cad!$D$36,cad!$E$36)))</f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>
        <f>IF($A471="","",IF($D471="V01",cad!$C$23,IF($D471="V02",cad!$D$23,cad!$E$23)))</f>
      </c>
      <c r="H471">
        <f>IF($A471="","",IF($D471="V01",cad!$C$24,IF($D471="V02",cad!$D$24,cad!$E$24)))</f>
      </c>
      <c r="I471">
        <f>IF($A471="","",IF($D471="V01",cad!$C$32,IF($D471="V02",cad!$D$32,cad!$E$32)))</f>
      </c>
      <c r="J471">
        <f>IF($A471="","",IF($D471="V01",cad!$C$33,IF($D471="V02",cad!$D$33,cad!$E$33)))</f>
      </c>
      <c r="K471">
        <f>IF($A471="","",IF($D471="V01",cad!$C$34,IF($D471="V02",cad!$D$34,cad!$E$34)))</f>
      </c>
      <c r="L471">
        <f>IF($A471="","",IF($D471="V01",cad!$C$35,IF($D471="V02",cad!$D$35,cad!$E$35)))</f>
      </c>
      <c r="M471">
        <f>IF($A471="","",IF($D471="V01",cad!$C$36,IF($D471="V02",cad!$D$36,cad!$E$36)))</f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>
        <f>IF($A472="","",IF($D472="V01",cad!$C$23,IF($D472="V02",cad!$D$23,cad!$E$23)))</f>
      </c>
      <c r="H472">
        <f>IF($A472="","",IF($D472="V01",cad!$C$24,IF($D472="V02",cad!$D$24,cad!$E$24)))</f>
      </c>
      <c r="I472">
        <f>IF($A472="","",IF($D472="V01",cad!$C$32,IF($D472="V02",cad!$D$32,cad!$E$32)))</f>
      </c>
      <c r="J472">
        <f>IF($A472="","",IF($D472="V01",cad!$C$33,IF($D472="V02",cad!$D$33,cad!$E$33)))</f>
      </c>
      <c r="K472">
        <f>IF($A472="","",IF($D472="V01",cad!$C$34,IF($D472="V02",cad!$D$34,cad!$E$34)))</f>
      </c>
      <c r="L472">
        <f>IF($A472="","",IF($D472="V01",cad!$C$35,IF($D472="V02",cad!$D$35,cad!$E$35)))</f>
      </c>
      <c r="M472">
        <f>IF($A472="","",IF($D472="V01",cad!$C$36,IF($D472="V02",cad!$D$36,cad!$E$36)))</f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>
        <f>IF($A473="","",IF($D473="V01",cad!$C$23,IF($D473="V02",cad!$D$23,cad!$E$23)))</f>
      </c>
      <c r="H473">
        <f>IF($A473="","",IF($D473="V01",cad!$C$24,IF($D473="V02",cad!$D$24,cad!$E$24)))</f>
      </c>
      <c r="I473">
        <f>IF($A473="","",IF($D473="V01",cad!$C$32,IF($D473="V02",cad!$D$32,cad!$E$32)))</f>
      </c>
      <c r="J473">
        <f>IF($A473="","",IF($D473="V01",cad!$C$33,IF($D473="V02",cad!$D$33,cad!$E$33)))</f>
      </c>
      <c r="K473">
        <f>IF($A473="","",IF($D473="V01",cad!$C$34,IF($D473="V02",cad!$D$34,cad!$E$34)))</f>
      </c>
      <c r="L473">
        <f>IF($A473="","",IF($D473="V01",cad!$C$35,IF($D473="V02",cad!$D$35,cad!$E$35)))</f>
      </c>
      <c r="M473">
        <f>IF($A473="","",IF($D473="V01",cad!$C$36,IF($D473="V02",cad!$D$36,cad!$E$36)))</f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>
        <f>IF($A474="","",IF($D474="V01",cad!$C$23,IF($D474="V02",cad!$D$23,cad!$E$23)))</f>
      </c>
      <c r="H474">
        <f>IF($A474="","",IF($D474="V01",cad!$C$24,IF($D474="V02",cad!$D$24,cad!$E$24)))</f>
      </c>
      <c r="I474">
        <f>IF($A474="","",IF($D474="V01",cad!$C$32,IF($D474="V02",cad!$D$32,cad!$E$32)))</f>
      </c>
      <c r="J474">
        <f>IF($A474="","",IF($D474="V01",cad!$C$33,IF($D474="V02",cad!$D$33,cad!$E$33)))</f>
      </c>
      <c r="K474">
        <f>IF($A474="","",IF($D474="V01",cad!$C$34,IF($D474="V02",cad!$D$34,cad!$E$34)))</f>
      </c>
      <c r="L474">
        <f>IF($A474="","",IF($D474="V01",cad!$C$35,IF($D474="V02",cad!$D$35,cad!$E$35)))</f>
      </c>
      <c r="M474">
        <f>IF($A474="","",IF($D474="V01",cad!$C$36,IF($D474="V02",cad!$D$36,cad!$E$36)))</f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>
        <f>IF($A475="","",IF($D475="V01",cad!$C$23,IF($D475="V02",cad!$D$23,cad!$E$23)))</f>
      </c>
      <c r="H475">
        <f>IF($A475="","",IF($D475="V01",cad!$C$24,IF($D475="V02",cad!$D$24,cad!$E$24)))</f>
      </c>
      <c r="I475">
        <f>IF($A475="","",IF($D475="V01",cad!$C$32,IF($D475="V02",cad!$D$32,cad!$E$32)))</f>
      </c>
      <c r="J475">
        <f>IF($A475="","",IF($D475="V01",cad!$C$33,IF($D475="V02",cad!$D$33,cad!$E$33)))</f>
      </c>
      <c r="K475">
        <f>IF($A475="","",IF($D475="V01",cad!$C$34,IF($D475="V02",cad!$D$34,cad!$E$34)))</f>
      </c>
      <c r="L475">
        <f>IF($A475="","",IF($D475="V01",cad!$C$35,IF($D475="V02",cad!$D$35,cad!$E$35)))</f>
      </c>
      <c r="M475">
        <f>IF($A475="","",IF($D475="V01",cad!$C$36,IF($D475="V02",cad!$D$36,cad!$E$36)))</f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>
        <f>IF($A476="","",IF($D476="V01",cad!$C$23,IF($D476="V02",cad!$D$23,cad!$E$23)))</f>
      </c>
      <c r="H476">
        <f>IF($A476="","",IF($D476="V01",cad!$C$24,IF($D476="V02",cad!$D$24,cad!$E$24)))</f>
      </c>
      <c r="I476">
        <f>IF($A476="","",IF($D476="V01",cad!$C$32,IF($D476="V02",cad!$D$32,cad!$E$32)))</f>
      </c>
      <c r="J476">
        <f>IF($A476="","",IF($D476="V01",cad!$C$33,IF($D476="V02",cad!$D$33,cad!$E$33)))</f>
      </c>
      <c r="K476">
        <f>IF($A476="","",IF($D476="V01",cad!$C$34,IF($D476="V02",cad!$D$34,cad!$E$34)))</f>
      </c>
      <c r="L476">
        <f>IF($A476="","",IF($D476="V01",cad!$C$35,IF($D476="V02",cad!$D$35,cad!$E$35)))</f>
      </c>
      <c r="M476">
        <f>IF($A476="","",IF($D476="V01",cad!$C$36,IF($D476="V02",cad!$D$36,cad!$E$36)))</f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>
        <f>IF($A477="","",IF($D477="V01",cad!$C$23,IF($D477="V02",cad!$D$23,cad!$E$23)))</f>
      </c>
      <c r="H477">
        <f>IF($A477="","",IF($D477="V01",cad!$C$24,IF($D477="V02",cad!$D$24,cad!$E$24)))</f>
      </c>
      <c r="I477">
        <f>IF($A477="","",IF($D477="V01",cad!$C$32,IF($D477="V02",cad!$D$32,cad!$E$32)))</f>
      </c>
      <c r="J477">
        <f>IF($A477="","",IF($D477="V01",cad!$C$33,IF($D477="V02",cad!$D$33,cad!$E$33)))</f>
      </c>
      <c r="K477">
        <f>IF($A477="","",IF($D477="V01",cad!$C$34,IF($D477="V02",cad!$D$34,cad!$E$34)))</f>
      </c>
      <c r="L477">
        <f>IF($A477="","",IF($D477="V01",cad!$C$35,IF($D477="V02",cad!$D$35,cad!$E$35)))</f>
      </c>
      <c r="M477">
        <f>IF($A477="","",IF($D477="V01",cad!$C$36,IF($D477="V02",cad!$D$36,cad!$E$36)))</f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>
        <f>IF($A478="","",IF($D478="V01",cad!$C$23,IF($D478="V02",cad!$D$23,cad!$E$23)))</f>
      </c>
      <c r="H478">
        <f>IF($A478="","",IF($D478="V01",cad!$C$24,IF($D478="V02",cad!$D$24,cad!$E$24)))</f>
      </c>
      <c r="I478">
        <f>IF($A478="","",IF($D478="V01",cad!$C$32,IF($D478="V02",cad!$D$32,cad!$E$32)))</f>
      </c>
      <c r="J478">
        <f>IF($A478="","",IF($D478="V01",cad!$C$33,IF($D478="V02",cad!$D$33,cad!$E$33)))</f>
      </c>
      <c r="K478">
        <f>IF($A478="","",IF($D478="V01",cad!$C$34,IF($D478="V02",cad!$D$34,cad!$E$34)))</f>
      </c>
      <c r="L478">
        <f>IF($A478="","",IF($D478="V01",cad!$C$35,IF($D478="V02",cad!$D$35,cad!$E$35)))</f>
      </c>
      <c r="M478">
        <f>IF($A478="","",IF($D478="V01",cad!$C$36,IF($D478="V02",cad!$D$36,cad!$E$36)))</f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>
        <f>IF($A479="","",IF($D479="V01",cad!$C$23,IF($D479="V02",cad!$D$23,cad!$E$23)))</f>
      </c>
      <c r="H479">
        <f>IF($A479="","",IF($D479="V01",cad!$C$24,IF($D479="V02",cad!$D$24,cad!$E$24)))</f>
      </c>
      <c r="I479">
        <f>IF($A479="","",IF($D479="V01",cad!$C$32,IF($D479="V02",cad!$D$32,cad!$E$32)))</f>
      </c>
      <c r="J479">
        <f>IF($A479="","",IF($D479="V01",cad!$C$33,IF($D479="V02",cad!$D$33,cad!$E$33)))</f>
      </c>
      <c r="K479">
        <f>IF($A479="","",IF($D479="V01",cad!$C$34,IF($D479="V02",cad!$D$34,cad!$E$34)))</f>
      </c>
      <c r="L479">
        <f>IF($A479="","",IF($D479="V01",cad!$C$35,IF($D479="V02",cad!$D$35,cad!$E$35)))</f>
      </c>
      <c r="M479">
        <f>IF($A479="","",IF($D479="V01",cad!$C$36,IF($D479="V02",cad!$D$36,cad!$E$36)))</f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>
        <f>IF($A480="","",IF($D480="V01",cad!$C$23,IF($D480="V02",cad!$D$23,cad!$E$23)))</f>
      </c>
      <c r="H480">
        <f>IF($A480="","",IF($D480="V01",cad!$C$24,IF($D480="V02",cad!$D$24,cad!$E$24)))</f>
      </c>
      <c r="I480">
        <f>IF($A480="","",IF($D480="V01",cad!$C$32,IF($D480="V02",cad!$D$32,cad!$E$32)))</f>
      </c>
      <c r="J480">
        <f>IF($A480="","",IF($D480="V01",cad!$C$33,IF($D480="V02",cad!$D$33,cad!$E$33)))</f>
      </c>
      <c r="K480">
        <f>IF($A480="","",IF($D480="V01",cad!$C$34,IF($D480="V02",cad!$D$34,cad!$E$34)))</f>
      </c>
      <c r="L480">
        <f>IF($A480="","",IF($D480="V01",cad!$C$35,IF($D480="V02",cad!$D$35,cad!$E$35)))</f>
      </c>
      <c r="M480">
        <f>IF($A480="","",IF($D480="V01",cad!$C$36,IF($D480="V02",cad!$D$36,cad!$E$36)))</f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>
        <f>IF($A481="","",IF($D481="V01",cad!$C$23,IF($D481="V02",cad!$D$23,cad!$E$23)))</f>
      </c>
      <c r="H481">
        <f>IF($A481="","",IF($D481="V01",cad!$C$24,IF($D481="V02",cad!$D$24,cad!$E$24)))</f>
      </c>
      <c r="I481">
        <f>IF($A481="","",IF($D481="V01",cad!$C$32,IF($D481="V02",cad!$D$32,cad!$E$32)))</f>
      </c>
      <c r="J481">
        <f>IF($A481="","",IF($D481="V01",cad!$C$33,IF($D481="V02",cad!$D$33,cad!$E$33)))</f>
      </c>
      <c r="K481">
        <f>IF($A481="","",IF($D481="V01",cad!$C$34,IF($D481="V02",cad!$D$34,cad!$E$34)))</f>
      </c>
      <c r="L481">
        <f>IF($A481="","",IF($D481="V01",cad!$C$35,IF($D481="V02",cad!$D$35,cad!$E$35)))</f>
      </c>
      <c r="M481">
        <f>IF($A481="","",IF($D481="V01",cad!$C$36,IF($D481="V02",cad!$D$36,cad!$E$36)))</f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>
        <f>IF($A482="","",IF($D482="V01",cad!$C$23,IF($D482="V02",cad!$D$23,cad!$E$23)))</f>
      </c>
      <c r="H482">
        <f>IF($A482="","",IF($D482="V01",cad!$C$24,IF($D482="V02",cad!$D$24,cad!$E$24)))</f>
      </c>
      <c r="I482">
        <f>IF($A482="","",IF($D482="V01",cad!$C$32,IF($D482="V02",cad!$D$32,cad!$E$32)))</f>
      </c>
      <c r="J482">
        <f>IF($A482="","",IF($D482="V01",cad!$C$33,IF($D482="V02",cad!$D$33,cad!$E$33)))</f>
      </c>
      <c r="K482">
        <f>IF($A482="","",IF($D482="V01",cad!$C$34,IF($D482="V02",cad!$D$34,cad!$E$34)))</f>
      </c>
      <c r="L482">
        <f>IF($A482="","",IF($D482="V01",cad!$C$35,IF($D482="V02",cad!$D$35,cad!$E$35)))</f>
      </c>
      <c r="M482">
        <f>IF($A482="","",IF($D482="V01",cad!$C$36,IF($D482="V02",cad!$D$36,cad!$E$36)))</f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>
        <f>IF($A483="","",IF($D483="V01",cad!$C$23,IF($D483="V02",cad!$D$23,cad!$E$23)))</f>
      </c>
      <c r="H483">
        <f>IF($A483="","",IF($D483="V01",cad!$C$24,IF($D483="V02",cad!$D$24,cad!$E$24)))</f>
      </c>
      <c r="I483">
        <f>IF($A483="","",IF($D483="V01",cad!$C$32,IF($D483="V02",cad!$D$32,cad!$E$32)))</f>
      </c>
      <c r="J483">
        <f>IF($A483="","",IF($D483="V01",cad!$C$33,IF($D483="V02",cad!$D$33,cad!$E$33)))</f>
      </c>
      <c r="K483">
        <f>IF($A483="","",IF($D483="V01",cad!$C$34,IF($D483="V02",cad!$D$34,cad!$E$34)))</f>
      </c>
      <c r="L483">
        <f>IF($A483="","",IF($D483="V01",cad!$C$35,IF($D483="V02",cad!$D$35,cad!$E$35)))</f>
      </c>
      <c r="M483">
        <f>IF($A483="","",IF($D483="V01",cad!$C$36,IF($D483="V02",cad!$D$36,cad!$E$36)))</f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>
        <f>IF($A484="","",IF($D484="V01",cad!$C$23,IF($D484="V02",cad!$D$23,cad!$E$23)))</f>
      </c>
      <c r="H484">
        <f>IF($A484="","",IF($D484="V01",cad!$C$24,IF($D484="V02",cad!$D$24,cad!$E$24)))</f>
      </c>
      <c r="I484">
        <f>IF($A484="","",IF($D484="V01",cad!$C$32,IF($D484="V02",cad!$D$32,cad!$E$32)))</f>
      </c>
      <c r="J484">
        <f>IF($A484="","",IF($D484="V01",cad!$C$33,IF($D484="V02",cad!$D$33,cad!$E$33)))</f>
      </c>
      <c r="K484">
        <f>IF($A484="","",IF($D484="V01",cad!$C$34,IF($D484="V02",cad!$D$34,cad!$E$34)))</f>
      </c>
      <c r="L484">
        <f>IF($A484="","",IF($D484="V01",cad!$C$35,IF($D484="V02",cad!$D$35,cad!$E$35)))</f>
      </c>
      <c r="M484">
        <f>IF($A484="","",IF($D484="V01",cad!$C$36,IF($D484="V02",cad!$D$36,cad!$E$36)))</f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>
        <f>IF($A485="","",IF($D485="V01",cad!$C$23,IF($D485="V02",cad!$D$23,cad!$E$23)))</f>
      </c>
      <c r="H485">
        <f>IF($A485="","",IF($D485="V01",cad!$C$24,IF($D485="V02",cad!$D$24,cad!$E$24)))</f>
      </c>
      <c r="I485">
        <f>IF($A485="","",IF($D485="V01",cad!$C$32,IF($D485="V02",cad!$D$32,cad!$E$32)))</f>
      </c>
      <c r="J485">
        <f>IF($A485="","",IF($D485="V01",cad!$C$33,IF($D485="V02",cad!$D$33,cad!$E$33)))</f>
      </c>
      <c r="K485">
        <f>IF($A485="","",IF($D485="V01",cad!$C$34,IF($D485="V02",cad!$D$34,cad!$E$34)))</f>
      </c>
      <c r="L485">
        <f>IF($A485="","",IF($D485="V01",cad!$C$35,IF($D485="V02",cad!$D$35,cad!$E$35)))</f>
      </c>
      <c r="M485">
        <f>IF($A485="","",IF($D485="V01",cad!$C$36,IF($D485="V02",cad!$D$36,cad!$E$36)))</f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>
        <f>IF($A486="","",IF($D486="V01",cad!$C$23,IF($D486="V02",cad!$D$23,cad!$E$23)))</f>
      </c>
      <c r="H486">
        <f>IF($A486="","",IF($D486="V01",cad!$C$24,IF($D486="V02",cad!$D$24,cad!$E$24)))</f>
      </c>
      <c r="I486">
        <f>IF($A486="","",IF($D486="V01",cad!$C$32,IF($D486="V02",cad!$D$32,cad!$E$32)))</f>
      </c>
      <c r="J486">
        <f>IF($A486="","",IF($D486="V01",cad!$C$33,IF($D486="V02",cad!$D$33,cad!$E$33)))</f>
      </c>
      <c r="K486">
        <f>IF($A486="","",IF($D486="V01",cad!$C$34,IF($D486="V02",cad!$D$34,cad!$E$34)))</f>
      </c>
      <c r="L486">
        <f>IF($A486="","",IF($D486="V01",cad!$C$35,IF($D486="V02",cad!$D$35,cad!$E$35)))</f>
      </c>
      <c r="M486">
        <f>IF($A486="","",IF($D486="V01",cad!$C$36,IF($D486="V02",cad!$D$36,cad!$E$36)))</f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>
        <f>IF($A487="","",IF($D487="V01",cad!$C$23,IF($D487="V02",cad!$D$23,cad!$E$23)))</f>
      </c>
      <c r="H487">
        <f>IF($A487="","",IF($D487="V01",cad!$C$24,IF($D487="V02",cad!$D$24,cad!$E$24)))</f>
      </c>
      <c r="I487">
        <f>IF($A487="","",IF($D487="V01",cad!$C$32,IF($D487="V02",cad!$D$32,cad!$E$32)))</f>
      </c>
      <c r="J487">
        <f>IF($A487="","",IF($D487="V01",cad!$C$33,IF($D487="V02",cad!$D$33,cad!$E$33)))</f>
      </c>
      <c r="K487">
        <f>IF($A487="","",IF($D487="V01",cad!$C$34,IF($D487="V02",cad!$D$34,cad!$E$34)))</f>
      </c>
      <c r="L487">
        <f>IF($A487="","",IF($D487="V01",cad!$C$35,IF($D487="V02",cad!$D$35,cad!$E$35)))</f>
      </c>
      <c r="M487">
        <f>IF($A487="","",IF($D487="V01",cad!$C$36,IF($D487="V02",cad!$D$36,cad!$E$36)))</f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>
        <f>IF($A488="","",IF($D488="V01",cad!$C$23,IF($D488="V02",cad!$D$23,cad!$E$23)))</f>
      </c>
      <c r="H488">
        <f>IF($A488="","",IF($D488="V01",cad!$C$24,IF($D488="V02",cad!$D$24,cad!$E$24)))</f>
      </c>
      <c r="I488">
        <f>IF($A488="","",IF($D488="V01",cad!$C$32,IF($D488="V02",cad!$D$32,cad!$E$32)))</f>
      </c>
      <c r="J488">
        <f>IF($A488="","",IF($D488="V01",cad!$C$33,IF($D488="V02",cad!$D$33,cad!$E$33)))</f>
      </c>
      <c r="K488">
        <f>IF($A488="","",IF($D488="V01",cad!$C$34,IF($D488="V02",cad!$D$34,cad!$E$34)))</f>
      </c>
      <c r="L488">
        <f>IF($A488="","",IF($D488="V01",cad!$C$35,IF($D488="V02",cad!$D$35,cad!$E$35)))</f>
      </c>
      <c r="M488">
        <f>IF($A488="","",IF($D488="V01",cad!$C$36,IF($D488="V02",cad!$D$36,cad!$E$36)))</f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>
        <f>IF($A489="","",IF($D489="V01",cad!$C$23,IF($D489="V02",cad!$D$23,cad!$E$23)))</f>
      </c>
      <c r="H489">
        <f>IF($A489="","",IF($D489="V01",cad!$C$24,IF($D489="V02",cad!$D$24,cad!$E$24)))</f>
      </c>
      <c r="I489">
        <f>IF($A489="","",IF($D489="V01",cad!$C$32,IF($D489="V02",cad!$D$32,cad!$E$32)))</f>
      </c>
      <c r="J489">
        <f>IF($A489="","",IF($D489="V01",cad!$C$33,IF($D489="V02",cad!$D$33,cad!$E$33)))</f>
      </c>
      <c r="K489">
        <f>IF($A489="","",IF($D489="V01",cad!$C$34,IF($D489="V02",cad!$D$34,cad!$E$34)))</f>
      </c>
      <c r="L489">
        <f>IF($A489="","",IF($D489="V01",cad!$C$35,IF($D489="V02",cad!$D$35,cad!$E$35)))</f>
      </c>
      <c r="M489">
        <f>IF($A489="","",IF($D489="V01",cad!$C$36,IF($D489="V02",cad!$D$36,cad!$E$36)))</f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>
        <f>IF($A490="","",IF($D490="V01",cad!$C$23,IF($D490="V02",cad!$D$23,cad!$E$23)))</f>
      </c>
      <c r="H490">
        <f>IF($A490="","",IF($D490="V01",cad!$C$24,IF($D490="V02",cad!$D$24,cad!$E$24)))</f>
      </c>
      <c r="I490">
        <f>IF($A490="","",IF($D490="V01",cad!$C$32,IF($D490="V02",cad!$D$32,cad!$E$32)))</f>
      </c>
      <c r="J490">
        <f>IF($A490="","",IF($D490="V01",cad!$C$33,IF($D490="V02",cad!$D$33,cad!$E$33)))</f>
      </c>
      <c r="K490">
        <f>IF($A490="","",IF($D490="V01",cad!$C$34,IF($D490="V02",cad!$D$34,cad!$E$34)))</f>
      </c>
      <c r="L490">
        <f>IF($A490="","",IF($D490="V01",cad!$C$35,IF($D490="V02",cad!$D$35,cad!$E$35)))</f>
      </c>
      <c r="M490">
        <f>IF($A490="","",IF($D490="V01",cad!$C$36,IF($D490="V02",cad!$D$36,cad!$E$36)))</f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>
        <f>IF($A491="","",IF($D491="V01",cad!$C$23,IF($D491="V02",cad!$D$23,cad!$E$23)))</f>
      </c>
      <c r="H491">
        <f>IF($A491="","",IF($D491="V01",cad!$C$24,IF($D491="V02",cad!$D$24,cad!$E$24)))</f>
      </c>
      <c r="I491">
        <f>IF($A491="","",IF($D491="V01",cad!$C$32,IF($D491="V02",cad!$D$32,cad!$E$32)))</f>
      </c>
      <c r="J491">
        <f>IF($A491="","",IF($D491="V01",cad!$C$33,IF($D491="V02",cad!$D$33,cad!$E$33)))</f>
      </c>
      <c r="K491">
        <f>IF($A491="","",IF($D491="V01",cad!$C$34,IF($D491="V02",cad!$D$34,cad!$E$34)))</f>
      </c>
      <c r="L491">
        <f>IF($A491="","",IF($D491="V01",cad!$C$35,IF($D491="V02",cad!$D$35,cad!$E$35)))</f>
      </c>
      <c r="M491">
        <f>IF($A491="","",IF($D491="V01",cad!$C$36,IF($D491="V02",cad!$D$36,cad!$E$36)))</f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>
        <f>IF($A492="","",IF($D492="V01",cad!$C$23,IF($D492="V02",cad!$D$23,cad!$E$23)))</f>
      </c>
      <c r="H492">
        <f>IF($A492="","",IF($D492="V01",cad!$C$24,IF($D492="V02",cad!$D$24,cad!$E$24)))</f>
      </c>
      <c r="I492">
        <f>IF($A492="","",IF($D492="V01",cad!$C$32,IF($D492="V02",cad!$D$32,cad!$E$32)))</f>
      </c>
      <c r="J492">
        <f>IF($A492="","",IF($D492="V01",cad!$C$33,IF($D492="V02",cad!$D$33,cad!$E$33)))</f>
      </c>
      <c r="K492">
        <f>IF($A492="","",IF($D492="V01",cad!$C$34,IF($D492="V02",cad!$D$34,cad!$E$34)))</f>
      </c>
      <c r="L492">
        <f>IF($A492="","",IF($D492="V01",cad!$C$35,IF($D492="V02",cad!$D$35,cad!$E$35)))</f>
      </c>
      <c r="M492">
        <f>IF($A492="","",IF($D492="V01",cad!$C$36,IF($D492="V02",cad!$D$36,cad!$E$36)))</f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>
        <f>IF($A493="","",IF($D493="V01",cad!$C$23,IF($D493="V02",cad!$D$23,cad!$E$23)))</f>
      </c>
      <c r="H493">
        <f>IF($A493="","",IF($D493="V01",cad!$C$24,IF($D493="V02",cad!$D$24,cad!$E$24)))</f>
      </c>
      <c r="I493">
        <f>IF($A493="","",IF($D493="V01",cad!$C$32,IF($D493="V02",cad!$D$32,cad!$E$32)))</f>
      </c>
      <c r="J493">
        <f>IF($A493="","",IF($D493="V01",cad!$C$33,IF($D493="V02",cad!$D$33,cad!$E$33)))</f>
      </c>
      <c r="K493">
        <f>IF($A493="","",IF($D493="V01",cad!$C$34,IF($D493="V02",cad!$D$34,cad!$E$34)))</f>
      </c>
      <c r="L493">
        <f>IF($A493="","",IF($D493="V01",cad!$C$35,IF($D493="V02",cad!$D$35,cad!$E$35)))</f>
      </c>
      <c r="M493">
        <f>IF($A493="","",IF($D493="V01",cad!$C$36,IF($D493="V02",cad!$D$36,cad!$E$36)))</f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>
        <f>IF($A494="","",IF($D494="V01",cad!$C$23,IF($D494="V02",cad!$D$23,cad!$E$23)))</f>
      </c>
      <c r="H494">
        <f>IF($A494="","",IF($D494="V01",cad!$C$24,IF($D494="V02",cad!$D$24,cad!$E$24)))</f>
      </c>
      <c r="I494">
        <f>IF($A494="","",IF($D494="V01",cad!$C$32,IF($D494="V02",cad!$D$32,cad!$E$32)))</f>
      </c>
      <c r="J494">
        <f>IF($A494="","",IF($D494="V01",cad!$C$33,IF($D494="V02",cad!$D$33,cad!$E$33)))</f>
      </c>
      <c r="K494">
        <f>IF($A494="","",IF($D494="V01",cad!$C$34,IF($D494="V02",cad!$D$34,cad!$E$34)))</f>
      </c>
      <c r="L494">
        <f>IF($A494="","",IF($D494="V01",cad!$C$35,IF($D494="V02",cad!$D$35,cad!$E$35)))</f>
      </c>
      <c r="M494">
        <f>IF($A494="","",IF($D494="V01",cad!$C$36,IF($D494="V02",cad!$D$36,cad!$E$36)))</f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>
        <f>IF($A495="","",IF($D495="V01",cad!$C$23,IF($D495="V02",cad!$D$23,cad!$E$23)))</f>
      </c>
      <c r="H495">
        <f>IF($A495="","",IF($D495="V01",cad!$C$24,IF($D495="V02",cad!$D$24,cad!$E$24)))</f>
      </c>
      <c r="I495">
        <f>IF($A495="","",IF($D495="V01",cad!$C$32,IF($D495="V02",cad!$D$32,cad!$E$32)))</f>
      </c>
      <c r="J495">
        <f>IF($A495="","",IF($D495="V01",cad!$C$33,IF($D495="V02",cad!$D$33,cad!$E$33)))</f>
      </c>
      <c r="K495">
        <f>IF($A495="","",IF($D495="V01",cad!$C$34,IF($D495="V02",cad!$D$34,cad!$E$34)))</f>
      </c>
      <c r="L495">
        <f>IF($A495="","",IF($D495="V01",cad!$C$35,IF($D495="V02",cad!$D$35,cad!$E$35)))</f>
      </c>
      <c r="M495">
        <f>IF($A495="","",IF($D495="V01",cad!$C$36,IF($D495="V02",cad!$D$36,cad!$E$36)))</f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>
        <f>IF($A496="","",IF($D496="V01",cad!$C$23,IF($D496="V02",cad!$D$23,cad!$E$23)))</f>
      </c>
      <c r="H496">
        <f>IF($A496="","",IF($D496="V01",cad!$C$24,IF($D496="V02",cad!$D$24,cad!$E$24)))</f>
      </c>
      <c r="I496">
        <f>IF($A496="","",IF($D496="V01",cad!$C$32,IF($D496="V02",cad!$D$32,cad!$E$32)))</f>
      </c>
      <c r="J496">
        <f>IF($A496="","",IF($D496="V01",cad!$C$33,IF($D496="V02",cad!$D$33,cad!$E$33)))</f>
      </c>
      <c r="K496">
        <f>IF($A496="","",IF($D496="V01",cad!$C$34,IF($D496="V02",cad!$D$34,cad!$E$34)))</f>
      </c>
      <c r="L496">
        <f>IF($A496="","",IF($D496="V01",cad!$C$35,IF($D496="V02",cad!$D$35,cad!$E$35)))</f>
      </c>
      <c r="M496">
        <f>IF($A496="","",IF($D496="V01",cad!$C$36,IF($D496="V02",cad!$D$36,cad!$E$36)))</f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>
        <f>IF($A497="","",IF($D497="V01",cad!$C$23,IF($D497="V02",cad!$D$23,cad!$E$23)))</f>
      </c>
      <c r="H497">
        <f>IF($A497="","",IF($D497="V01",cad!$C$24,IF($D497="V02",cad!$D$24,cad!$E$24)))</f>
      </c>
      <c r="I497">
        <f>IF($A497="","",IF($D497="V01",cad!$C$32,IF($D497="V02",cad!$D$32,cad!$E$32)))</f>
      </c>
      <c r="J497">
        <f>IF($A497="","",IF($D497="V01",cad!$C$33,IF($D497="V02",cad!$D$33,cad!$E$33)))</f>
      </c>
      <c r="K497">
        <f>IF($A497="","",IF($D497="V01",cad!$C$34,IF($D497="V02",cad!$D$34,cad!$E$34)))</f>
      </c>
      <c r="L497">
        <f>IF($A497="","",IF($D497="V01",cad!$C$35,IF($D497="V02",cad!$D$35,cad!$E$35)))</f>
      </c>
      <c r="M497">
        <f>IF($A497="","",IF($D497="V01",cad!$C$36,IF($D497="V02",cad!$D$36,cad!$E$36)))</f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>
        <f>IF($A498="","",IF($D498="V01",cad!$C$23,IF($D498="V02",cad!$D$23,cad!$E$23)))</f>
      </c>
      <c r="H498">
        <f>IF($A498="","",IF($D498="V01",cad!$C$24,IF($D498="V02",cad!$D$24,cad!$E$24)))</f>
      </c>
      <c r="I498">
        <f>IF($A498="","",IF($D498="V01",cad!$C$32,IF($D498="V02",cad!$D$32,cad!$E$32)))</f>
      </c>
      <c r="J498">
        <f>IF($A498="","",IF($D498="V01",cad!$C$33,IF($D498="V02",cad!$D$33,cad!$E$33)))</f>
      </c>
      <c r="K498">
        <f>IF($A498="","",IF($D498="V01",cad!$C$34,IF($D498="V02",cad!$D$34,cad!$E$34)))</f>
      </c>
      <c r="L498">
        <f>IF($A498="","",IF($D498="V01",cad!$C$35,IF($D498="V02",cad!$D$35,cad!$E$35)))</f>
      </c>
      <c r="M498">
        <f>IF($A498="","",IF($D498="V01",cad!$C$36,IF($D498="V02",cad!$D$36,cad!$E$36)))</f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>
        <f>IF($A499="","",IF($D499="V01",cad!$C$23,IF($D499="V02",cad!$D$23,cad!$E$23)))</f>
      </c>
      <c r="H499">
        <f>IF($A499="","",IF($D499="V01",cad!$C$24,IF($D499="V02",cad!$D$24,cad!$E$24)))</f>
      </c>
      <c r="I499">
        <f>IF($A499="","",IF($D499="V01",cad!$C$32,IF($D499="V02",cad!$D$32,cad!$E$32)))</f>
      </c>
      <c r="J499">
        <f>IF($A499="","",IF($D499="V01",cad!$C$33,IF($D499="V02",cad!$D$33,cad!$E$33)))</f>
      </c>
      <c r="K499">
        <f>IF($A499="","",IF($D499="V01",cad!$C$34,IF($D499="V02",cad!$D$34,cad!$E$34)))</f>
      </c>
      <c r="L499">
        <f>IF($A499="","",IF($D499="V01",cad!$C$35,IF($D499="V02",cad!$D$35,cad!$E$35)))</f>
      </c>
      <c r="M499">
        <f>IF($A499="","",IF($D499="V01",cad!$C$36,IF($D499="V02",cad!$D$36,cad!$E$36)))</f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>
        <f>IF($A500="","",IF($D500="V01",cad!$C$23,IF($D500="V02",cad!$D$23,cad!$E$23)))</f>
      </c>
      <c r="H500">
        <f>IF($A500="","",IF($D500="V01",cad!$C$24,IF($D500="V02",cad!$D$24,cad!$E$24)))</f>
      </c>
      <c r="I500">
        <f>IF($A500="","",IF($D500="V01",cad!$C$32,IF($D500="V02",cad!$D$32,cad!$E$32)))</f>
      </c>
      <c r="J500">
        <f>IF($A500="","",IF($D500="V01",cad!$C$33,IF($D500="V02",cad!$D$33,cad!$E$33)))</f>
      </c>
      <c r="K500">
        <f>IF($A500="","",IF($D500="V01",cad!$C$34,IF($D500="V02",cad!$D$34,cad!$E$34)))</f>
      </c>
      <c r="L500">
        <f>IF($A500="","",IF($D500="V01",cad!$C$35,IF($D500="V02",cad!$D$35,cad!$E$35)))</f>
      </c>
      <c r="M500">
        <f>IF($A500="","",IF($D500="V01",cad!$C$36,IF($D500="V02",cad!$D$36,cad!$E$36)))</f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>
        <f>IF($A501="","",IF($D501="V01",cad!$C$23,IF($D501="V02",cad!$D$23,cad!$E$23)))</f>
      </c>
      <c r="H501">
        <f>IF($A501="","",IF($D501="V01",cad!$C$24,IF($D501="V02",cad!$D$24,cad!$E$24)))</f>
      </c>
      <c r="I501">
        <f>IF($A501="","",IF($D501="V01",cad!$C$32,IF($D501="V02",cad!$D$32,cad!$E$32)))</f>
      </c>
      <c r="J501">
        <f>IF($A501="","",IF($D501="V01",cad!$C$33,IF($D501="V02",cad!$D$33,cad!$E$33)))</f>
      </c>
      <c r="K501">
        <f>IF($A501="","",IF($D501="V01",cad!$C$34,IF($D501="V02",cad!$D$34,cad!$E$34)))</f>
      </c>
      <c r="L501">
        <f>IF($A501="","",IF($D501="V01",cad!$C$35,IF($D501="V02",cad!$D$35,cad!$E$35)))</f>
      </c>
      <c r="M501">
        <f>IF($A501="","",IF($D501="V01",cad!$C$36,IF($D501="V02",cad!$D$36,cad!$E$36)))</f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>
        <f>IF($A502="","",IF($D502="V01",cad!$C$23,IF($D502="V02",cad!$D$23,cad!$E$23)))</f>
      </c>
      <c r="H502">
        <f>IF($A502="","",IF($D502="V01",cad!$C$24,IF($D502="V02",cad!$D$24,cad!$E$24)))</f>
      </c>
      <c r="I502">
        <f>IF($A502="","",IF($D502="V01",cad!$C$32,IF($D502="V02",cad!$D$32,cad!$E$32)))</f>
      </c>
      <c r="J502">
        <f>IF($A502="","",IF($D502="V01",cad!$C$33,IF($D502="V02",cad!$D$33,cad!$E$33)))</f>
      </c>
      <c r="K502">
        <f>IF($A502="","",IF($D502="V01",cad!$C$34,IF($D502="V02",cad!$D$34,cad!$E$34)))</f>
      </c>
      <c r="L502">
        <f>IF($A502="","",IF($D502="V01",cad!$C$35,IF($D502="V02",cad!$D$35,cad!$E$35)))</f>
      </c>
      <c r="M502">
        <f>IF($A502="","",IF($D502="V01",cad!$C$36,IF($D502="V02",cad!$D$36,cad!$E$36)))</f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>
        <f>IF($A503="","",IF($D503="V01",cad!$C$23,IF($D503="V02",cad!$D$23,cad!$E$23)))</f>
      </c>
      <c r="H503">
        <f>IF($A503="","",IF($D503="V01",cad!$C$24,IF($D503="V02",cad!$D$24,cad!$E$24)))</f>
      </c>
      <c r="I503">
        <f>IF($A503="","",IF($D503="V01",cad!$C$32,IF($D503="V02",cad!$D$32,cad!$E$32)))</f>
      </c>
      <c r="J503">
        <f>IF($A503="","",IF($D503="V01",cad!$C$33,IF($D503="V02",cad!$D$33,cad!$E$33)))</f>
      </c>
      <c r="K503">
        <f>IF($A503="","",IF($D503="V01",cad!$C$34,IF($D503="V02",cad!$D$34,cad!$E$34)))</f>
      </c>
      <c r="L503">
        <f>IF($A503="","",IF($D503="V01",cad!$C$35,IF($D503="V02",cad!$D$35,cad!$E$35)))</f>
      </c>
      <c r="M503">
        <f>IF($A503="","",IF($D503="V01",cad!$C$36,IF($D503="V02",cad!$D$36,cad!$E$36)))</f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>
        <f>IF($A504="","",IF($D504="V01",cad!$C$23,IF($D504="V02",cad!$D$23,cad!$E$23)))</f>
      </c>
      <c r="H504">
        <f>IF($A504="","",IF($D504="V01",cad!$C$24,IF($D504="V02",cad!$D$24,cad!$E$24)))</f>
      </c>
      <c r="I504">
        <f>IF($A504="","",IF($D504="V01",cad!$C$32,IF($D504="V02",cad!$D$32,cad!$E$32)))</f>
      </c>
      <c r="J504">
        <f>IF($A504="","",IF($D504="V01",cad!$C$33,IF($D504="V02",cad!$D$33,cad!$E$33)))</f>
      </c>
      <c r="K504">
        <f>IF($A504="","",IF($D504="V01",cad!$C$34,IF($D504="V02",cad!$D$34,cad!$E$34)))</f>
      </c>
      <c r="L504">
        <f>IF($A504="","",IF($D504="V01",cad!$C$35,IF($D504="V02",cad!$D$35,cad!$E$35)))</f>
      </c>
      <c r="M504">
        <f>IF($A504="","",IF($D504="V01",cad!$C$36,IF($D504="V02",cad!$D$36,cad!$E$36)))</f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>
        <f>IF($A505="","",IF($D505="V01",cad!$C$23,IF($D505="V02",cad!$D$23,cad!$E$23)))</f>
      </c>
      <c r="H505">
        <f>IF($A505="","",IF($D505="V01",cad!$C$24,IF($D505="V02",cad!$D$24,cad!$E$24)))</f>
      </c>
      <c r="I505">
        <f>IF($A505="","",IF($D505="V01",cad!$C$32,IF($D505="V02",cad!$D$32,cad!$E$32)))</f>
      </c>
      <c r="J505">
        <f>IF($A505="","",IF($D505="V01",cad!$C$33,IF($D505="V02",cad!$D$33,cad!$E$33)))</f>
      </c>
      <c r="K505">
        <f>IF($A505="","",IF($D505="V01",cad!$C$34,IF($D505="V02",cad!$D$34,cad!$E$34)))</f>
      </c>
      <c r="L505">
        <f>IF($A505="","",IF($D505="V01",cad!$C$35,IF($D505="V02",cad!$D$35,cad!$E$35)))</f>
      </c>
      <c r="M505">
        <f>IF($A505="","",IF($D505="V01",cad!$C$36,IF($D505="V02",cad!$D$36,cad!$E$36)))</f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>
        <f>IF($A506="","",IF($D506="V01",cad!$C$23,IF($D506="V02",cad!$D$23,cad!$E$23)))</f>
      </c>
      <c r="H506">
        <f>IF($A506="","",IF($D506="V01",cad!$C$24,IF($D506="V02",cad!$D$24,cad!$E$24)))</f>
      </c>
      <c r="I506">
        <f>IF($A506="","",IF($D506="V01",cad!$C$32,IF($D506="V02",cad!$D$32,cad!$E$32)))</f>
      </c>
      <c r="J506">
        <f>IF($A506="","",IF($D506="V01",cad!$C$33,IF($D506="V02",cad!$D$33,cad!$E$33)))</f>
      </c>
      <c r="K506">
        <f>IF($A506="","",IF($D506="V01",cad!$C$34,IF($D506="V02",cad!$D$34,cad!$E$34)))</f>
      </c>
      <c r="L506">
        <f>IF($A506="","",IF($D506="V01",cad!$C$35,IF($D506="V02",cad!$D$35,cad!$E$35)))</f>
      </c>
      <c r="M506">
        <f>IF($A506="","",IF($D506="V01",cad!$C$36,IF($D506="V02",cad!$D$36,cad!$E$36)))</f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>
        <f>IF($A507="","",IF($D507="V01",cad!$C$23,IF($D507="V02",cad!$D$23,cad!$E$23)))</f>
      </c>
      <c r="H507">
        <f>IF($A507="","",IF($D507="V01",cad!$C$24,IF($D507="V02",cad!$D$24,cad!$E$24)))</f>
      </c>
      <c r="I507">
        <f>IF($A507="","",IF($D507="V01",cad!$C$32,IF($D507="V02",cad!$D$32,cad!$E$32)))</f>
      </c>
      <c r="J507">
        <f>IF($A507="","",IF($D507="V01",cad!$C$33,IF($D507="V02",cad!$D$33,cad!$E$33)))</f>
      </c>
      <c r="K507">
        <f>IF($A507="","",IF($D507="V01",cad!$C$34,IF($D507="V02",cad!$D$34,cad!$E$34)))</f>
      </c>
      <c r="L507">
        <f>IF($A507="","",IF($D507="V01",cad!$C$35,IF($D507="V02",cad!$D$35,cad!$E$35)))</f>
      </c>
      <c r="M507">
        <f>IF($A507="","",IF($D507="V01",cad!$C$36,IF($D507="V02",cad!$D$36,cad!$E$36)))</f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>
        <f>IF($A508="","",IF($D508="V01",cad!$C$23,IF($D508="V02",cad!$D$23,cad!$E$23)))</f>
      </c>
      <c r="H508">
        <f>IF($A508="","",IF($D508="V01",cad!$C$24,IF($D508="V02",cad!$D$24,cad!$E$24)))</f>
      </c>
      <c r="I508">
        <f>IF($A508="","",IF($D508="V01",cad!$C$32,IF($D508="V02",cad!$D$32,cad!$E$32)))</f>
      </c>
      <c r="J508">
        <f>IF($A508="","",IF($D508="V01",cad!$C$33,IF($D508="V02",cad!$D$33,cad!$E$33)))</f>
      </c>
      <c r="K508">
        <f>IF($A508="","",IF($D508="V01",cad!$C$34,IF($D508="V02",cad!$D$34,cad!$E$34)))</f>
      </c>
      <c r="L508">
        <f>IF($A508="","",IF($D508="V01",cad!$C$35,IF($D508="V02",cad!$D$35,cad!$E$35)))</f>
      </c>
      <c r="M508">
        <f>IF($A508="","",IF($D508="V01",cad!$C$36,IF($D508="V02",cad!$D$36,cad!$E$36)))</f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>
        <f>IF($A509="","",IF($D509="V01",cad!$C$23,IF($D509="V02",cad!$D$23,cad!$E$23)))</f>
      </c>
      <c r="H509">
        <f>IF($A509="","",IF($D509="V01",cad!$C$24,IF($D509="V02",cad!$D$24,cad!$E$24)))</f>
      </c>
      <c r="I509">
        <f>IF($A509="","",IF($D509="V01",cad!$C$32,IF($D509="V02",cad!$D$32,cad!$E$32)))</f>
      </c>
      <c r="J509">
        <f>IF($A509="","",IF($D509="V01",cad!$C$33,IF($D509="V02",cad!$D$33,cad!$E$33)))</f>
      </c>
      <c r="K509">
        <f>IF($A509="","",IF($D509="V01",cad!$C$34,IF($D509="V02",cad!$D$34,cad!$E$34)))</f>
      </c>
      <c r="L509">
        <f>IF($A509="","",IF($D509="V01",cad!$C$35,IF($D509="V02",cad!$D$35,cad!$E$35)))</f>
      </c>
      <c r="M509">
        <f>IF($A509="","",IF($D509="V01",cad!$C$36,IF($D509="V02",cad!$D$36,cad!$E$36)))</f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>
        <f>IF($A510="","",IF($D510="V01",cad!$C$23,IF($D510="V02",cad!$D$23,cad!$E$23)))</f>
      </c>
      <c r="H510">
        <f>IF($A510="","",IF($D510="V01",cad!$C$24,IF($D510="V02",cad!$D$24,cad!$E$24)))</f>
      </c>
      <c r="I510">
        <f>IF($A510="","",IF($D510="V01",cad!$C$32,IF($D510="V02",cad!$D$32,cad!$E$32)))</f>
      </c>
      <c r="J510">
        <f>IF($A510="","",IF($D510="V01",cad!$C$33,IF($D510="V02",cad!$D$33,cad!$E$33)))</f>
      </c>
      <c r="K510">
        <f>IF($A510="","",IF($D510="V01",cad!$C$34,IF($D510="V02",cad!$D$34,cad!$E$34)))</f>
      </c>
      <c r="L510">
        <f>IF($A510="","",IF($D510="V01",cad!$C$35,IF($D510="V02",cad!$D$35,cad!$E$35)))</f>
      </c>
      <c r="M510">
        <f>IF($A510="","",IF($D510="V01",cad!$C$36,IF($D510="V02",cad!$D$36,cad!$E$36)))</f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>
        <f>IF($A511="","",IF($D511="V01",cad!$C$23,IF($D511="V02",cad!$D$23,cad!$E$23)))</f>
      </c>
      <c r="H511">
        <f>IF($A511="","",IF($D511="V01",cad!$C$24,IF($D511="V02",cad!$D$24,cad!$E$24)))</f>
      </c>
      <c r="I511">
        <f>IF($A511="","",IF($D511="V01",cad!$C$32,IF($D511="V02",cad!$D$32,cad!$E$32)))</f>
      </c>
      <c r="J511">
        <f>IF($A511="","",IF($D511="V01",cad!$C$33,IF($D511="V02",cad!$D$33,cad!$E$33)))</f>
      </c>
      <c r="K511">
        <f>IF($A511="","",IF($D511="V01",cad!$C$34,IF($D511="V02",cad!$D$34,cad!$E$34)))</f>
      </c>
      <c r="L511">
        <f>IF($A511="","",IF($D511="V01",cad!$C$35,IF($D511="V02",cad!$D$35,cad!$E$35)))</f>
      </c>
      <c r="M511">
        <f>IF($A511="","",IF($D511="V01",cad!$C$36,IF($D511="V02",cad!$D$36,cad!$E$36)))</f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>
        <f>IF($A512="","",IF($D512="V01",cad!$C$23,IF($D512="V02",cad!$D$23,cad!$E$23)))</f>
      </c>
      <c r="H512">
        <f>IF($A512="","",IF($D512="V01",cad!$C$24,IF($D512="V02",cad!$D$24,cad!$E$24)))</f>
      </c>
      <c r="I512">
        <f>IF($A512="","",IF($D512="V01",cad!$C$32,IF($D512="V02",cad!$D$32,cad!$E$32)))</f>
      </c>
      <c r="J512">
        <f>IF($A512="","",IF($D512="V01",cad!$C$33,IF($D512="V02",cad!$D$33,cad!$E$33)))</f>
      </c>
      <c r="K512">
        <f>IF($A512="","",IF($D512="V01",cad!$C$34,IF($D512="V02",cad!$D$34,cad!$E$34)))</f>
      </c>
      <c r="L512">
        <f>IF($A512="","",IF($D512="V01",cad!$C$35,IF($D512="V02",cad!$D$35,cad!$E$35)))</f>
      </c>
      <c r="M512">
        <f>IF($A512="","",IF($D512="V01",cad!$C$36,IF($D512="V02",cad!$D$36,cad!$E$36)))</f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>
        <f>IF($A513="","",IF($D513="V01",cad!$C$23,IF($D513="V02",cad!$D$23,cad!$E$23)))</f>
      </c>
      <c r="H513">
        <f>IF($A513="","",IF($D513="V01",cad!$C$24,IF($D513="V02",cad!$D$24,cad!$E$24)))</f>
      </c>
      <c r="I513">
        <f>IF($A513="","",IF($D513="V01",cad!$C$32,IF($D513="V02",cad!$D$32,cad!$E$32)))</f>
      </c>
      <c r="J513">
        <f>IF($A513="","",IF($D513="V01",cad!$C$33,IF($D513="V02",cad!$D$33,cad!$E$33)))</f>
      </c>
      <c r="K513">
        <f>IF($A513="","",IF($D513="V01",cad!$C$34,IF($D513="V02",cad!$D$34,cad!$E$34)))</f>
      </c>
      <c r="L513">
        <f>IF($A513="","",IF($D513="V01",cad!$C$35,IF($D513="V02",cad!$D$35,cad!$E$35)))</f>
      </c>
      <c r="M513">
        <f>IF($A513="","",IF($D513="V01",cad!$C$36,IF($D513="V02",cad!$D$36,cad!$E$36)))</f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>
        <f>IF($A514="","",IF($D514="V01",cad!$C$23,IF($D514="V02",cad!$D$23,cad!$E$23)))</f>
      </c>
      <c r="H514">
        <f>IF($A514="","",IF($D514="V01",cad!$C$24,IF($D514="V02",cad!$D$24,cad!$E$24)))</f>
      </c>
      <c r="I514">
        <f>IF($A514="","",IF($D514="V01",cad!$C$32,IF($D514="V02",cad!$D$32,cad!$E$32)))</f>
      </c>
      <c r="J514">
        <f>IF($A514="","",IF($D514="V01",cad!$C$33,IF($D514="V02",cad!$D$33,cad!$E$33)))</f>
      </c>
      <c r="K514">
        <f>IF($A514="","",IF($D514="V01",cad!$C$34,IF($D514="V02",cad!$D$34,cad!$E$34)))</f>
      </c>
      <c r="L514">
        <f>IF($A514="","",IF($D514="V01",cad!$C$35,IF($D514="V02",cad!$D$35,cad!$E$35)))</f>
      </c>
      <c r="M514">
        <f>IF($A514="","",IF($D514="V01",cad!$C$36,IF($D514="V02",cad!$D$36,cad!$E$36)))</f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>
        <f>IF($A515="","",IF($D515="V01",cad!$C$23,IF($D515="V02",cad!$D$23,cad!$E$23)))</f>
      </c>
      <c r="H515">
        <f>IF($A515="","",IF($D515="V01",cad!$C$24,IF($D515="V02",cad!$D$24,cad!$E$24)))</f>
      </c>
      <c r="I515">
        <f>IF($A515="","",IF($D515="V01",cad!$C$32,IF($D515="V02",cad!$D$32,cad!$E$32)))</f>
      </c>
      <c r="J515">
        <f>IF($A515="","",IF($D515="V01",cad!$C$33,IF($D515="V02",cad!$D$33,cad!$E$33)))</f>
      </c>
      <c r="K515">
        <f>IF($A515="","",IF($D515="V01",cad!$C$34,IF($D515="V02",cad!$D$34,cad!$E$34)))</f>
      </c>
      <c r="L515">
        <f>IF($A515="","",IF($D515="V01",cad!$C$35,IF($D515="V02",cad!$D$35,cad!$E$35)))</f>
      </c>
      <c r="M515">
        <f>IF($A515="","",IF($D515="V01",cad!$C$36,IF($D515="V02",cad!$D$36,cad!$E$36)))</f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>
        <f>IF($A516="","",IF($D516="V01",cad!$C$23,IF($D516="V02",cad!$D$23,cad!$E$23)))</f>
      </c>
      <c r="H516">
        <f>IF($A516="","",IF($D516="V01",cad!$C$24,IF($D516="V02",cad!$D$24,cad!$E$24)))</f>
      </c>
      <c r="I516">
        <f>IF($A516="","",IF($D516="V01",cad!$C$32,IF($D516="V02",cad!$D$32,cad!$E$32)))</f>
      </c>
      <c r="J516">
        <f>IF($A516="","",IF($D516="V01",cad!$C$33,IF($D516="V02",cad!$D$33,cad!$E$33)))</f>
      </c>
      <c r="K516">
        <f>IF($A516="","",IF($D516="V01",cad!$C$34,IF($D516="V02",cad!$D$34,cad!$E$34)))</f>
      </c>
      <c r="L516">
        <f>IF($A516="","",IF($D516="V01",cad!$C$35,IF($D516="V02",cad!$D$35,cad!$E$35)))</f>
      </c>
      <c r="M516">
        <f>IF($A516="","",IF($D516="V01",cad!$C$36,IF($D516="V02",cad!$D$36,cad!$E$36)))</f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>
        <f>IF($A517="","",IF($D517="V01",cad!$C$23,IF($D517="V02",cad!$D$23,cad!$E$23)))</f>
      </c>
      <c r="H517">
        <f>IF($A517="","",IF($D517="V01",cad!$C$24,IF($D517="V02",cad!$D$24,cad!$E$24)))</f>
      </c>
      <c r="I517">
        <f>IF($A517="","",IF($D517="V01",cad!$C$32,IF($D517="V02",cad!$D$32,cad!$E$32)))</f>
      </c>
      <c r="J517">
        <f>IF($A517="","",IF($D517="V01",cad!$C$33,IF($D517="V02",cad!$D$33,cad!$E$33)))</f>
      </c>
      <c r="K517">
        <f>IF($A517="","",IF($D517="V01",cad!$C$34,IF($D517="V02",cad!$D$34,cad!$E$34)))</f>
      </c>
      <c r="L517">
        <f>IF($A517="","",IF($D517="V01",cad!$C$35,IF($D517="V02",cad!$D$35,cad!$E$35)))</f>
      </c>
      <c r="M517">
        <f>IF($A517="","",IF($D517="V01",cad!$C$36,IF($D517="V02",cad!$D$36,cad!$E$36)))</f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>
        <f>IF($A518="","",IF($D518="V01",cad!$C$23,IF($D518="V02",cad!$D$23,cad!$E$23)))</f>
      </c>
      <c r="H518">
        <f>IF($A518="","",IF($D518="V01",cad!$C$24,IF($D518="V02",cad!$D$24,cad!$E$24)))</f>
      </c>
      <c r="I518">
        <f>IF($A518="","",IF($D518="V01",cad!$C$32,IF($D518="V02",cad!$D$32,cad!$E$32)))</f>
      </c>
      <c r="J518">
        <f>IF($A518="","",IF($D518="V01",cad!$C$33,IF($D518="V02",cad!$D$33,cad!$E$33)))</f>
      </c>
      <c r="K518">
        <f>IF($A518="","",IF($D518="V01",cad!$C$34,IF($D518="V02",cad!$D$34,cad!$E$34)))</f>
      </c>
      <c r="L518">
        <f>IF($A518="","",IF($D518="V01",cad!$C$35,IF($D518="V02",cad!$D$35,cad!$E$35)))</f>
      </c>
      <c r="M518">
        <f>IF($A518="","",IF($D518="V01",cad!$C$36,IF($D518="V02",cad!$D$36,cad!$E$36)))</f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>
        <f>IF($A519="","",IF($D519="V01",cad!$C$23,IF($D519="V02",cad!$D$23,cad!$E$23)))</f>
      </c>
      <c r="H519">
        <f>IF($A519="","",IF($D519="V01",cad!$C$24,IF($D519="V02",cad!$D$24,cad!$E$24)))</f>
      </c>
      <c r="I519">
        <f>IF($A519="","",IF($D519="V01",cad!$C$32,IF($D519="V02",cad!$D$32,cad!$E$32)))</f>
      </c>
      <c r="J519">
        <f>IF($A519="","",IF($D519="V01",cad!$C$33,IF($D519="V02",cad!$D$33,cad!$E$33)))</f>
      </c>
      <c r="K519">
        <f>IF($A519="","",IF($D519="V01",cad!$C$34,IF($D519="V02",cad!$D$34,cad!$E$34)))</f>
      </c>
      <c r="L519">
        <f>IF($A519="","",IF($D519="V01",cad!$C$35,IF($D519="V02",cad!$D$35,cad!$E$35)))</f>
      </c>
      <c r="M519">
        <f>IF($A519="","",IF($D519="V01",cad!$C$36,IF($D519="V02",cad!$D$36,cad!$E$36)))</f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>
        <f>IF($A520="","",IF($D520="V01",cad!$C$23,IF($D520="V02",cad!$D$23,cad!$E$23)))</f>
      </c>
      <c r="H520">
        <f>IF($A520="","",IF($D520="V01",cad!$C$24,IF($D520="V02",cad!$D$24,cad!$E$24)))</f>
      </c>
      <c r="I520">
        <f>IF($A520="","",IF($D520="V01",cad!$C$32,IF($D520="V02",cad!$D$32,cad!$E$32)))</f>
      </c>
      <c r="J520">
        <f>IF($A520="","",IF($D520="V01",cad!$C$33,IF($D520="V02",cad!$D$33,cad!$E$33)))</f>
      </c>
      <c r="K520">
        <f>IF($A520="","",IF($D520="V01",cad!$C$34,IF($D520="V02",cad!$D$34,cad!$E$34)))</f>
      </c>
      <c r="L520">
        <f>IF($A520="","",IF($D520="V01",cad!$C$35,IF($D520="V02",cad!$D$35,cad!$E$35)))</f>
      </c>
      <c r="M520">
        <f>IF($A520="","",IF($D520="V01",cad!$C$36,IF($D520="V02",cad!$D$36,cad!$E$36)))</f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>
        <f>IF($A521="","",IF($D521="V01",cad!$C$23,IF($D521="V02",cad!$D$23,cad!$E$23)))</f>
      </c>
      <c r="H521">
        <f>IF($A521="","",IF($D521="V01",cad!$C$24,IF($D521="V02",cad!$D$24,cad!$E$24)))</f>
      </c>
      <c r="I521">
        <f>IF($A521="","",IF($D521="V01",cad!$C$32,IF($D521="V02",cad!$D$32,cad!$E$32)))</f>
      </c>
      <c r="J521">
        <f>IF($A521="","",IF($D521="V01",cad!$C$33,IF($D521="V02",cad!$D$33,cad!$E$33)))</f>
      </c>
      <c r="K521">
        <f>IF($A521="","",IF($D521="V01",cad!$C$34,IF($D521="V02",cad!$D$34,cad!$E$34)))</f>
      </c>
      <c r="L521">
        <f>IF($A521="","",IF($D521="V01",cad!$C$35,IF($D521="V02",cad!$D$35,cad!$E$35)))</f>
      </c>
      <c r="M521">
        <f>IF($A521="","",IF($D521="V01",cad!$C$36,IF($D521="V02",cad!$D$36,cad!$E$36)))</f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>
        <f>IF($A522="","",IF($D522="V01",cad!$C$23,IF($D522="V02",cad!$D$23,cad!$E$23)))</f>
      </c>
      <c r="H522">
        <f>IF($A522="","",IF($D522="V01",cad!$C$24,IF($D522="V02",cad!$D$24,cad!$E$24)))</f>
      </c>
      <c r="I522">
        <f>IF($A522="","",IF($D522="V01",cad!$C$32,IF($D522="V02",cad!$D$32,cad!$E$32)))</f>
      </c>
      <c r="J522">
        <f>IF($A522="","",IF($D522="V01",cad!$C$33,IF($D522="V02",cad!$D$33,cad!$E$33)))</f>
      </c>
      <c r="K522">
        <f>IF($A522="","",IF($D522="V01",cad!$C$34,IF($D522="V02",cad!$D$34,cad!$E$34)))</f>
      </c>
      <c r="L522">
        <f>IF($A522="","",IF($D522="V01",cad!$C$35,IF($D522="V02",cad!$D$35,cad!$E$35)))</f>
      </c>
      <c r="M522">
        <f>IF($A522="","",IF($D522="V01",cad!$C$36,IF($D522="V02",cad!$D$36,cad!$E$36)))</f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>
        <f>IF($A523="","",IF($D523="V01",cad!$C$23,IF($D523="V02",cad!$D$23,cad!$E$23)))</f>
      </c>
      <c r="H523">
        <f>IF($A523="","",IF($D523="V01",cad!$C$24,IF($D523="V02",cad!$D$24,cad!$E$24)))</f>
      </c>
      <c r="I523">
        <f>IF($A523="","",IF($D523="V01",cad!$C$32,IF($D523="V02",cad!$D$32,cad!$E$32)))</f>
      </c>
      <c r="J523">
        <f>IF($A523="","",IF($D523="V01",cad!$C$33,IF($D523="V02",cad!$D$33,cad!$E$33)))</f>
      </c>
      <c r="K523">
        <f>IF($A523="","",IF($D523="V01",cad!$C$34,IF($D523="V02",cad!$D$34,cad!$E$34)))</f>
      </c>
      <c r="L523">
        <f>IF($A523="","",IF($D523="V01",cad!$C$35,IF($D523="V02",cad!$D$35,cad!$E$35)))</f>
      </c>
      <c r="M523">
        <f>IF($A523="","",IF($D523="V01",cad!$C$36,IF($D523="V02",cad!$D$36,cad!$E$36)))</f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>
        <f>IF($A524="","",IF($D524="V01",cad!$C$23,IF($D524="V02",cad!$D$23,cad!$E$23)))</f>
      </c>
      <c r="H524">
        <f>IF($A524="","",IF($D524="V01",cad!$C$24,IF($D524="V02",cad!$D$24,cad!$E$24)))</f>
      </c>
      <c r="I524">
        <f>IF($A524="","",IF($D524="V01",cad!$C$32,IF($D524="V02",cad!$D$32,cad!$E$32)))</f>
      </c>
      <c r="J524">
        <f>IF($A524="","",IF($D524="V01",cad!$C$33,IF($D524="V02",cad!$D$33,cad!$E$33)))</f>
      </c>
      <c r="K524">
        <f>IF($A524="","",IF($D524="V01",cad!$C$34,IF($D524="V02",cad!$D$34,cad!$E$34)))</f>
      </c>
      <c r="L524">
        <f>IF($A524="","",IF($D524="V01",cad!$C$35,IF($D524="V02",cad!$D$35,cad!$E$35)))</f>
      </c>
      <c r="M524">
        <f>IF($A524="","",IF($D524="V01",cad!$C$36,IF($D524="V02",cad!$D$36,cad!$E$36)))</f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>
        <f>IF($A525="","",IF($D525="V01",cad!$C$23,IF($D525="V02",cad!$D$23,cad!$E$23)))</f>
      </c>
      <c r="H525">
        <f>IF($A525="","",IF($D525="V01",cad!$C$24,IF($D525="V02",cad!$D$24,cad!$E$24)))</f>
      </c>
      <c r="I525">
        <f>IF($A525="","",IF($D525="V01",cad!$C$32,IF($D525="V02",cad!$D$32,cad!$E$32)))</f>
      </c>
      <c r="J525">
        <f>IF($A525="","",IF($D525="V01",cad!$C$33,IF($D525="V02",cad!$D$33,cad!$E$33)))</f>
      </c>
      <c r="K525">
        <f>IF($A525="","",IF($D525="V01",cad!$C$34,IF($D525="V02",cad!$D$34,cad!$E$34)))</f>
      </c>
      <c r="L525">
        <f>IF($A525="","",IF($D525="V01",cad!$C$35,IF($D525="V02",cad!$D$35,cad!$E$35)))</f>
      </c>
      <c r="M525">
        <f>IF($A525="","",IF($D525="V01",cad!$C$36,IF($D525="V02",cad!$D$36,cad!$E$36)))</f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>
        <f>IF($A526="","",IF($D526="V01",cad!$C$23,IF($D526="V02",cad!$D$23,cad!$E$23)))</f>
      </c>
      <c r="H526">
        <f>IF($A526="","",IF($D526="V01",cad!$C$24,IF($D526="V02",cad!$D$24,cad!$E$24)))</f>
      </c>
      <c r="I526">
        <f>IF($A526="","",IF($D526="V01",cad!$C$32,IF($D526="V02",cad!$D$32,cad!$E$32)))</f>
      </c>
      <c r="J526">
        <f>IF($A526="","",IF($D526="V01",cad!$C$33,IF($D526="V02",cad!$D$33,cad!$E$33)))</f>
      </c>
      <c r="K526">
        <f>IF($A526="","",IF($D526="V01",cad!$C$34,IF($D526="V02",cad!$D$34,cad!$E$34)))</f>
      </c>
      <c r="L526">
        <f>IF($A526="","",IF($D526="V01",cad!$C$35,IF($D526="V02",cad!$D$35,cad!$E$35)))</f>
      </c>
      <c r="M526">
        <f>IF($A526="","",IF($D526="V01",cad!$C$36,IF($D526="V02",cad!$D$36,cad!$E$36)))</f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>
        <f>IF($A527="","",IF($D527="V01",cad!$C$23,IF($D527="V02",cad!$D$23,cad!$E$23)))</f>
      </c>
      <c r="H527">
        <f>IF($A527="","",IF($D527="V01",cad!$C$24,IF($D527="V02",cad!$D$24,cad!$E$24)))</f>
      </c>
      <c r="I527">
        <f>IF($A527="","",IF($D527="V01",cad!$C$32,IF($D527="V02",cad!$D$32,cad!$E$32)))</f>
      </c>
      <c r="J527">
        <f>IF($A527="","",IF($D527="V01",cad!$C$33,IF($D527="V02",cad!$D$33,cad!$E$33)))</f>
      </c>
      <c r="K527">
        <f>IF($A527="","",IF($D527="V01",cad!$C$34,IF($D527="V02",cad!$D$34,cad!$E$34)))</f>
      </c>
      <c r="L527">
        <f>IF($A527="","",IF($D527="V01",cad!$C$35,IF($D527="V02",cad!$D$35,cad!$E$35)))</f>
      </c>
      <c r="M527">
        <f>IF($A527="","",IF($D527="V01",cad!$C$36,IF($D527="V02",cad!$D$36,cad!$E$36)))</f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>
        <f>IF($A528="","",IF($D528="V01",cad!$C$23,IF($D528="V02",cad!$D$23,cad!$E$23)))</f>
      </c>
      <c r="H528">
        <f>IF($A528="","",IF($D528="V01",cad!$C$24,IF($D528="V02",cad!$D$24,cad!$E$24)))</f>
      </c>
      <c r="I528">
        <f>IF($A528="","",IF($D528="V01",cad!$C$32,IF($D528="V02",cad!$D$32,cad!$E$32)))</f>
      </c>
      <c r="J528">
        <f>IF($A528="","",IF($D528="V01",cad!$C$33,IF($D528="V02",cad!$D$33,cad!$E$33)))</f>
      </c>
      <c r="K528">
        <f>IF($A528="","",IF($D528="V01",cad!$C$34,IF($D528="V02",cad!$D$34,cad!$E$34)))</f>
      </c>
      <c r="L528">
        <f>IF($A528="","",IF($D528="V01",cad!$C$35,IF($D528="V02",cad!$D$35,cad!$E$35)))</f>
      </c>
      <c r="M528">
        <f>IF($A528="","",IF($D528="V01",cad!$C$36,IF($D528="V02",cad!$D$36,cad!$E$36)))</f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>
        <f>IF($A529="","",IF($D529="V01",cad!$C$23,IF($D529="V02",cad!$D$23,cad!$E$23)))</f>
      </c>
      <c r="H529">
        <f>IF($A529="","",IF($D529="V01",cad!$C$24,IF($D529="V02",cad!$D$24,cad!$E$24)))</f>
      </c>
      <c r="I529">
        <f>IF($A529="","",IF($D529="V01",cad!$C$32,IF($D529="V02",cad!$D$32,cad!$E$32)))</f>
      </c>
      <c r="J529">
        <f>IF($A529="","",IF($D529="V01",cad!$C$33,IF($D529="V02",cad!$D$33,cad!$E$33)))</f>
      </c>
      <c r="K529">
        <f>IF($A529="","",IF($D529="V01",cad!$C$34,IF($D529="V02",cad!$D$34,cad!$E$34)))</f>
      </c>
      <c r="L529">
        <f>IF($A529="","",IF($D529="V01",cad!$C$35,IF($D529="V02",cad!$D$35,cad!$E$35)))</f>
      </c>
      <c r="M529">
        <f>IF($A529="","",IF($D529="V01",cad!$C$36,IF($D529="V02",cad!$D$36,cad!$E$36)))</f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>
        <f>IF($A530="","",IF($D530="V01",cad!$C$23,IF($D530="V02",cad!$D$23,cad!$E$23)))</f>
      </c>
      <c r="H530">
        <f>IF($A530="","",IF($D530="V01",cad!$C$24,IF($D530="V02",cad!$D$24,cad!$E$24)))</f>
      </c>
      <c r="I530">
        <f>IF($A530="","",IF($D530="V01",cad!$C$32,IF($D530="V02",cad!$D$32,cad!$E$32)))</f>
      </c>
      <c r="J530">
        <f>IF($A530="","",IF($D530="V01",cad!$C$33,IF($D530="V02",cad!$D$33,cad!$E$33)))</f>
      </c>
      <c r="K530">
        <f>IF($A530="","",IF($D530="V01",cad!$C$34,IF($D530="V02",cad!$D$34,cad!$E$34)))</f>
      </c>
      <c r="L530">
        <f>IF($A530="","",IF($D530="V01",cad!$C$35,IF($D530="V02",cad!$D$35,cad!$E$35)))</f>
      </c>
      <c r="M530">
        <f>IF($A530="","",IF($D530="V01",cad!$C$36,IF($D530="V02",cad!$D$36,cad!$E$36)))</f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>
        <f>IF($A531="","",IF($D531="V01",cad!$C$23,IF($D531="V02",cad!$D$23,cad!$E$23)))</f>
      </c>
      <c r="H531">
        <f>IF($A531="","",IF($D531="V01",cad!$C$24,IF($D531="V02",cad!$D$24,cad!$E$24)))</f>
      </c>
      <c r="I531">
        <f>IF($A531="","",IF($D531="V01",cad!$C$32,IF($D531="V02",cad!$D$32,cad!$E$32)))</f>
      </c>
      <c r="J531">
        <f>IF($A531="","",IF($D531="V01",cad!$C$33,IF($D531="V02",cad!$D$33,cad!$E$33)))</f>
      </c>
      <c r="K531">
        <f>IF($A531="","",IF($D531="V01",cad!$C$34,IF($D531="V02",cad!$D$34,cad!$E$34)))</f>
      </c>
      <c r="L531">
        <f>IF($A531="","",IF($D531="V01",cad!$C$35,IF($D531="V02",cad!$D$35,cad!$E$35)))</f>
      </c>
      <c r="M531">
        <f>IF($A531="","",IF($D531="V01",cad!$C$36,IF($D531="V02",cad!$D$36,cad!$E$36)))</f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>
        <f>IF($A532="","",IF($D532="V01",cad!$C$23,IF($D532="V02",cad!$D$23,cad!$E$23)))</f>
      </c>
      <c r="H532">
        <f>IF($A532="","",IF($D532="V01",cad!$C$24,IF($D532="V02",cad!$D$24,cad!$E$24)))</f>
      </c>
      <c r="I532">
        <f>IF($A532="","",IF($D532="V01",cad!$C$32,IF($D532="V02",cad!$D$32,cad!$E$32)))</f>
      </c>
      <c r="J532">
        <f>IF($A532="","",IF($D532="V01",cad!$C$33,IF($D532="V02",cad!$D$33,cad!$E$33)))</f>
      </c>
      <c r="K532">
        <f>IF($A532="","",IF($D532="V01",cad!$C$34,IF($D532="V02",cad!$D$34,cad!$E$34)))</f>
      </c>
      <c r="L532">
        <f>IF($A532="","",IF($D532="V01",cad!$C$35,IF($D532="V02",cad!$D$35,cad!$E$35)))</f>
      </c>
      <c r="M532">
        <f>IF($A532="","",IF($D532="V01",cad!$C$36,IF($D532="V02",cad!$D$36,cad!$E$36)))</f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>
        <f>IF($A533="","",IF($D533="V01",cad!$C$23,IF($D533="V02",cad!$D$23,cad!$E$23)))</f>
      </c>
      <c r="H533">
        <f>IF($A533="","",IF($D533="V01",cad!$C$24,IF($D533="V02",cad!$D$24,cad!$E$24)))</f>
      </c>
      <c r="I533">
        <f>IF($A533="","",IF($D533="V01",cad!$C$32,IF($D533="V02",cad!$D$32,cad!$E$32)))</f>
      </c>
      <c r="J533">
        <f>IF($A533="","",IF($D533="V01",cad!$C$33,IF($D533="V02",cad!$D$33,cad!$E$33)))</f>
      </c>
      <c r="K533">
        <f>IF($A533="","",IF($D533="V01",cad!$C$34,IF($D533="V02",cad!$D$34,cad!$E$34)))</f>
      </c>
      <c r="L533">
        <f>IF($A533="","",IF($D533="V01",cad!$C$35,IF($D533="V02",cad!$D$35,cad!$E$35)))</f>
      </c>
      <c r="M533">
        <f>IF($A533="","",IF($D533="V01",cad!$C$36,IF($D533="V02",cad!$D$36,cad!$E$36)))</f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>
        <f>IF($A534="","",IF($D534="V01",cad!$C$23,IF($D534="V02",cad!$D$23,cad!$E$23)))</f>
      </c>
      <c r="H534">
        <f>IF($A534="","",IF($D534="V01",cad!$C$24,IF($D534="V02",cad!$D$24,cad!$E$24)))</f>
      </c>
      <c r="I534">
        <f>IF($A534="","",IF($D534="V01",cad!$C$32,IF($D534="V02",cad!$D$32,cad!$E$32)))</f>
      </c>
      <c r="J534">
        <f>IF($A534="","",IF($D534="V01",cad!$C$33,IF($D534="V02",cad!$D$33,cad!$E$33)))</f>
      </c>
      <c r="K534">
        <f>IF($A534="","",IF($D534="V01",cad!$C$34,IF($D534="V02",cad!$D$34,cad!$E$34)))</f>
      </c>
      <c r="L534">
        <f>IF($A534="","",IF($D534="V01",cad!$C$35,IF($D534="V02",cad!$D$35,cad!$E$35)))</f>
      </c>
      <c r="M534">
        <f>IF($A534="","",IF($D534="V01",cad!$C$36,IF($D534="V02",cad!$D$36,cad!$E$36)))</f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>
        <f>IF($A535="","",IF($D535="V01",cad!$C$23,IF($D535="V02",cad!$D$23,cad!$E$23)))</f>
      </c>
      <c r="H535">
        <f>IF($A535="","",IF($D535="V01",cad!$C$24,IF($D535="V02",cad!$D$24,cad!$E$24)))</f>
      </c>
      <c r="I535">
        <f>IF($A535="","",IF($D535="V01",cad!$C$32,IF($D535="V02",cad!$D$32,cad!$E$32)))</f>
      </c>
      <c r="J535">
        <f>IF($A535="","",IF($D535="V01",cad!$C$33,IF($D535="V02",cad!$D$33,cad!$E$33)))</f>
      </c>
      <c r="K535">
        <f>IF($A535="","",IF($D535="V01",cad!$C$34,IF($D535="V02",cad!$D$34,cad!$E$34)))</f>
      </c>
      <c r="L535">
        <f>IF($A535="","",IF($D535="V01",cad!$C$35,IF($D535="V02",cad!$D$35,cad!$E$35)))</f>
      </c>
      <c r="M535">
        <f>IF($A535="","",IF($D535="V01",cad!$C$36,IF($D535="V02",cad!$D$36,cad!$E$36)))</f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>
        <f>IF($A536="","",IF($D536="V01",cad!$C$23,IF($D536="V02",cad!$D$23,cad!$E$23)))</f>
      </c>
      <c r="H536">
        <f>IF($A536="","",IF($D536="V01",cad!$C$24,IF($D536="V02",cad!$D$24,cad!$E$24)))</f>
      </c>
      <c r="I536">
        <f>IF($A536="","",IF($D536="V01",cad!$C$32,IF($D536="V02",cad!$D$32,cad!$E$32)))</f>
      </c>
      <c r="J536">
        <f>IF($A536="","",IF($D536="V01",cad!$C$33,IF($D536="V02",cad!$D$33,cad!$E$33)))</f>
      </c>
      <c r="K536">
        <f>IF($A536="","",IF($D536="V01",cad!$C$34,IF($D536="V02",cad!$D$34,cad!$E$34)))</f>
      </c>
      <c r="L536">
        <f>IF($A536="","",IF($D536="V01",cad!$C$35,IF($D536="V02",cad!$D$35,cad!$E$35)))</f>
      </c>
      <c r="M536">
        <f>IF($A536="","",IF($D536="V01",cad!$C$36,IF($D536="V02",cad!$D$36,cad!$E$36)))</f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>
        <f>IF($A537="","",IF($D537="V01",cad!$C$23,IF($D537="V02",cad!$D$23,cad!$E$23)))</f>
      </c>
      <c r="H537">
        <f>IF($A537="","",IF($D537="V01",cad!$C$24,IF($D537="V02",cad!$D$24,cad!$E$24)))</f>
      </c>
      <c r="I537">
        <f>IF($A537="","",IF($D537="V01",cad!$C$32,IF($D537="V02",cad!$D$32,cad!$E$32)))</f>
      </c>
      <c r="J537">
        <f>IF($A537="","",IF($D537="V01",cad!$C$33,IF($D537="V02",cad!$D$33,cad!$E$33)))</f>
      </c>
      <c r="K537">
        <f>IF($A537="","",IF($D537="V01",cad!$C$34,IF($D537="V02",cad!$D$34,cad!$E$34)))</f>
      </c>
      <c r="L537">
        <f>IF($A537="","",IF($D537="V01",cad!$C$35,IF($D537="V02",cad!$D$35,cad!$E$35)))</f>
      </c>
      <c r="M537">
        <f>IF($A537="","",IF($D537="V01",cad!$C$36,IF($D537="V02",cad!$D$36,cad!$E$36)))</f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>
        <f>IF($A538="","",IF($D538="V01",cad!$C$23,IF($D538="V02",cad!$D$23,cad!$E$23)))</f>
      </c>
      <c r="H538">
        <f>IF($A538="","",IF($D538="V01",cad!$C$24,IF($D538="V02",cad!$D$24,cad!$E$24)))</f>
      </c>
      <c r="I538">
        <f>IF($A538="","",IF($D538="V01",cad!$C$32,IF($D538="V02",cad!$D$32,cad!$E$32)))</f>
      </c>
      <c r="J538">
        <f>IF($A538="","",IF($D538="V01",cad!$C$33,IF($D538="V02",cad!$D$33,cad!$E$33)))</f>
      </c>
      <c r="K538">
        <f>IF($A538="","",IF($D538="V01",cad!$C$34,IF($D538="V02",cad!$D$34,cad!$E$34)))</f>
      </c>
      <c r="L538">
        <f>IF($A538="","",IF($D538="V01",cad!$C$35,IF($D538="V02",cad!$D$35,cad!$E$35)))</f>
      </c>
      <c r="M538">
        <f>IF($A538="","",IF($D538="V01",cad!$C$36,IF($D538="V02",cad!$D$36,cad!$E$36)))</f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>
        <f>IF($A539="","",IF($D539="V01",cad!$C$23,IF($D539="V02",cad!$D$23,cad!$E$23)))</f>
      </c>
      <c r="H539">
        <f>IF($A539="","",IF($D539="V01",cad!$C$24,IF($D539="V02",cad!$D$24,cad!$E$24)))</f>
      </c>
      <c r="I539">
        <f>IF($A539="","",IF($D539="V01",cad!$C$32,IF($D539="V02",cad!$D$32,cad!$E$32)))</f>
      </c>
      <c r="J539">
        <f>IF($A539="","",IF($D539="V01",cad!$C$33,IF($D539="V02",cad!$D$33,cad!$E$33)))</f>
      </c>
      <c r="K539">
        <f>IF($A539="","",IF($D539="V01",cad!$C$34,IF($D539="V02",cad!$D$34,cad!$E$34)))</f>
      </c>
      <c r="L539">
        <f>IF($A539="","",IF($D539="V01",cad!$C$35,IF($D539="V02",cad!$D$35,cad!$E$35)))</f>
      </c>
      <c r="M539">
        <f>IF($A539="","",IF($D539="V01",cad!$C$36,IF($D539="V02",cad!$D$36,cad!$E$36)))</f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>
        <f>IF($A540="","",IF($D540="V01",cad!$C$23,IF($D540="V02",cad!$D$23,cad!$E$23)))</f>
      </c>
      <c r="H540">
        <f>IF($A540="","",IF($D540="V01",cad!$C$24,IF($D540="V02",cad!$D$24,cad!$E$24)))</f>
      </c>
      <c r="I540">
        <f>IF($A540="","",IF($D540="V01",cad!$C$32,IF($D540="V02",cad!$D$32,cad!$E$32)))</f>
      </c>
      <c r="J540">
        <f>IF($A540="","",IF($D540="V01",cad!$C$33,IF($D540="V02",cad!$D$33,cad!$E$33)))</f>
      </c>
      <c r="K540">
        <f>IF($A540="","",IF($D540="V01",cad!$C$34,IF($D540="V02",cad!$D$34,cad!$E$34)))</f>
      </c>
      <c r="L540">
        <f>IF($A540="","",IF($D540="V01",cad!$C$35,IF($D540="V02",cad!$D$35,cad!$E$35)))</f>
      </c>
      <c r="M540">
        <f>IF($A540="","",IF($D540="V01",cad!$C$36,IF($D540="V02",cad!$D$36,cad!$E$36)))</f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>
        <f>IF($A541="","",IF($D541="V01",cad!$C$23,IF($D541="V02",cad!$D$23,cad!$E$23)))</f>
      </c>
      <c r="H541">
        <f>IF($A541="","",IF($D541="V01",cad!$C$24,IF($D541="V02",cad!$D$24,cad!$E$24)))</f>
      </c>
      <c r="I541">
        <f>IF($A541="","",IF($D541="V01",cad!$C$32,IF($D541="V02",cad!$D$32,cad!$E$32)))</f>
      </c>
      <c r="J541">
        <f>IF($A541="","",IF($D541="V01",cad!$C$33,IF($D541="V02",cad!$D$33,cad!$E$33)))</f>
      </c>
      <c r="K541">
        <f>IF($A541="","",IF($D541="V01",cad!$C$34,IF($D541="V02",cad!$D$34,cad!$E$34)))</f>
      </c>
      <c r="L541">
        <f>IF($A541="","",IF($D541="V01",cad!$C$35,IF($D541="V02",cad!$D$35,cad!$E$35)))</f>
      </c>
      <c r="M541">
        <f>IF($A541="","",IF($D541="V01",cad!$C$36,IF($D541="V02",cad!$D$36,cad!$E$36)))</f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>
        <f>IF($A542="","",IF($D542="V01",cad!$C$23,IF($D542="V02",cad!$D$23,cad!$E$23)))</f>
      </c>
      <c r="H542">
        <f>IF($A542="","",IF($D542="V01",cad!$C$24,IF($D542="V02",cad!$D$24,cad!$E$24)))</f>
      </c>
      <c r="I542">
        <f>IF($A542="","",IF($D542="V01",cad!$C$32,IF($D542="V02",cad!$D$32,cad!$E$32)))</f>
      </c>
      <c r="J542">
        <f>IF($A542="","",IF($D542="V01",cad!$C$33,IF($D542="V02",cad!$D$33,cad!$E$33)))</f>
      </c>
      <c r="K542">
        <f>IF($A542="","",IF($D542="V01",cad!$C$34,IF($D542="V02",cad!$D$34,cad!$E$34)))</f>
      </c>
      <c r="L542">
        <f>IF($A542="","",IF($D542="V01",cad!$C$35,IF($D542="V02",cad!$D$35,cad!$E$35)))</f>
      </c>
      <c r="M542">
        <f>IF($A542="","",IF($D542="V01",cad!$C$36,IF($D542="V02",cad!$D$36,cad!$E$36)))</f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>
        <f>IF($A543="","",IF($D543="V01",cad!$C$23,IF($D543="V02",cad!$D$23,cad!$E$23)))</f>
      </c>
      <c r="H543">
        <f>IF($A543="","",IF($D543="V01",cad!$C$24,IF($D543="V02",cad!$D$24,cad!$E$24)))</f>
      </c>
      <c r="I543">
        <f>IF($A543="","",IF($D543="V01",cad!$C$32,IF($D543="V02",cad!$D$32,cad!$E$32)))</f>
      </c>
      <c r="J543">
        <f>IF($A543="","",IF($D543="V01",cad!$C$33,IF($D543="V02",cad!$D$33,cad!$E$33)))</f>
      </c>
      <c r="K543">
        <f>IF($A543="","",IF($D543="V01",cad!$C$34,IF($D543="V02",cad!$D$34,cad!$E$34)))</f>
      </c>
      <c r="L543">
        <f>IF($A543="","",IF($D543="V01",cad!$C$35,IF($D543="V02",cad!$D$35,cad!$E$35)))</f>
      </c>
      <c r="M543">
        <f>IF($A543="","",IF($D543="V01",cad!$C$36,IF($D543="V02",cad!$D$36,cad!$E$36)))</f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>
        <f>IF($A544="","",IF($D544="V01",cad!$C$23,IF($D544="V02",cad!$D$23,cad!$E$23)))</f>
      </c>
      <c r="H544">
        <f>IF($A544="","",IF($D544="V01",cad!$C$24,IF($D544="V02",cad!$D$24,cad!$E$24)))</f>
      </c>
      <c r="I544">
        <f>IF($A544="","",IF($D544="V01",cad!$C$32,IF($D544="V02",cad!$D$32,cad!$E$32)))</f>
      </c>
      <c r="J544">
        <f>IF($A544="","",IF($D544="V01",cad!$C$33,IF($D544="V02",cad!$D$33,cad!$E$33)))</f>
      </c>
      <c r="K544">
        <f>IF($A544="","",IF($D544="V01",cad!$C$34,IF($D544="V02",cad!$D$34,cad!$E$34)))</f>
      </c>
      <c r="L544">
        <f>IF($A544="","",IF($D544="V01",cad!$C$35,IF($D544="V02",cad!$D$35,cad!$E$35)))</f>
      </c>
      <c r="M544">
        <f>IF($A544="","",IF($D544="V01",cad!$C$36,IF($D544="V02",cad!$D$36,cad!$E$36)))</f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>
        <f>IF($A545="","",IF($D545="V01",cad!$C$23,IF($D545="V02",cad!$D$23,cad!$E$23)))</f>
      </c>
      <c r="H545">
        <f>IF($A545="","",IF($D545="V01",cad!$C$24,IF($D545="V02",cad!$D$24,cad!$E$24)))</f>
      </c>
      <c r="I545">
        <f>IF($A545="","",IF($D545="V01",cad!$C$32,IF($D545="V02",cad!$D$32,cad!$E$32)))</f>
      </c>
      <c r="J545">
        <f>IF($A545="","",IF($D545="V01",cad!$C$33,IF($D545="V02",cad!$D$33,cad!$E$33)))</f>
      </c>
      <c r="K545">
        <f>IF($A545="","",IF($D545="V01",cad!$C$34,IF($D545="V02",cad!$D$34,cad!$E$34)))</f>
      </c>
      <c r="L545">
        <f>IF($A545="","",IF($D545="V01",cad!$C$35,IF($D545="V02",cad!$D$35,cad!$E$35)))</f>
      </c>
      <c r="M545">
        <f>IF($A545="","",IF($D545="V01",cad!$C$36,IF($D545="V02",cad!$D$36,cad!$E$36)))</f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>
        <f>IF($A546="","",IF($D546="V01",cad!$C$23,IF($D546="V02",cad!$D$23,cad!$E$23)))</f>
      </c>
      <c r="H546">
        <f>IF($A546="","",IF($D546="V01",cad!$C$24,IF($D546="V02",cad!$D$24,cad!$E$24)))</f>
      </c>
      <c r="I546">
        <f>IF($A546="","",IF($D546="V01",cad!$C$32,IF($D546="V02",cad!$D$32,cad!$E$32)))</f>
      </c>
      <c r="J546">
        <f>IF($A546="","",IF($D546="V01",cad!$C$33,IF($D546="V02",cad!$D$33,cad!$E$33)))</f>
      </c>
      <c r="K546">
        <f>IF($A546="","",IF($D546="V01",cad!$C$34,IF($D546="V02",cad!$D$34,cad!$E$34)))</f>
      </c>
      <c r="L546">
        <f>IF($A546="","",IF($D546="V01",cad!$C$35,IF($D546="V02",cad!$D$35,cad!$E$35)))</f>
      </c>
      <c r="M546">
        <f>IF($A546="","",IF($D546="V01",cad!$C$36,IF($D546="V02",cad!$D$36,cad!$E$36)))</f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>
        <f>IF($A547="","",IF($D547="V01",cad!$C$23,IF($D547="V02",cad!$D$23,cad!$E$23)))</f>
      </c>
      <c r="H547">
        <f>IF($A547="","",IF($D547="V01",cad!$C$24,IF($D547="V02",cad!$D$24,cad!$E$24)))</f>
      </c>
      <c r="I547">
        <f>IF($A547="","",IF($D547="V01",cad!$C$32,IF($D547="V02",cad!$D$32,cad!$E$32)))</f>
      </c>
      <c r="J547">
        <f>IF($A547="","",IF($D547="V01",cad!$C$33,IF($D547="V02",cad!$D$33,cad!$E$33)))</f>
      </c>
      <c r="K547">
        <f>IF($A547="","",IF($D547="V01",cad!$C$34,IF($D547="V02",cad!$D$34,cad!$E$34)))</f>
      </c>
      <c r="L547">
        <f>IF($A547="","",IF($D547="V01",cad!$C$35,IF($D547="V02",cad!$D$35,cad!$E$35)))</f>
      </c>
      <c r="M547">
        <f>IF($A547="","",IF($D547="V01",cad!$C$36,IF($D547="V02",cad!$D$36,cad!$E$36)))</f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>
        <f>IF($A548="","",IF($D548="V01",cad!$C$23,IF($D548="V02",cad!$D$23,cad!$E$23)))</f>
      </c>
      <c r="H548">
        <f>IF($A548="","",IF($D548="V01",cad!$C$24,IF($D548="V02",cad!$D$24,cad!$E$24)))</f>
      </c>
      <c r="I548">
        <f>IF($A548="","",IF($D548="V01",cad!$C$32,IF($D548="V02",cad!$D$32,cad!$E$32)))</f>
      </c>
      <c r="J548">
        <f>IF($A548="","",IF($D548="V01",cad!$C$33,IF($D548="V02",cad!$D$33,cad!$E$33)))</f>
      </c>
      <c r="K548">
        <f>IF($A548="","",IF($D548="V01",cad!$C$34,IF($D548="V02",cad!$D$34,cad!$E$34)))</f>
      </c>
      <c r="L548">
        <f>IF($A548="","",IF($D548="V01",cad!$C$35,IF($D548="V02",cad!$D$35,cad!$E$35)))</f>
      </c>
      <c r="M548">
        <f>IF($A548="","",IF($D548="V01",cad!$C$36,IF($D548="V02",cad!$D$36,cad!$E$36)))</f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>
        <f>IF($A549="","",IF($D549="V01",cad!$C$23,IF($D549="V02",cad!$D$23,cad!$E$23)))</f>
      </c>
      <c r="H549">
        <f>IF($A549="","",IF($D549="V01",cad!$C$24,IF($D549="V02",cad!$D$24,cad!$E$24)))</f>
      </c>
      <c r="I549">
        <f>IF($A549="","",IF($D549="V01",cad!$C$32,IF($D549="V02",cad!$D$32,cad!$E$32)))</f>
      </c>
      <c r="J549">
        <f>IF($A549="","",IF($D549="V01",cad!$C$33,IF($D549="V02",cad!$D$33,cad!$E$33)))</f>
      </c>
      <c r="K549">
        <f>IF($A549="","",IF($D549="V01",cad!$C$34,IF($D549="V02",cad!$D$34,cad!$E$34)))</f>
      </c>
      <c r="L549">
        <f>IF($A549="","",IF($D549="V01",cad!$C$35,IF($D549="V02",cad!$D$35,cad!$E$35)))</f>
      </c>
      <c r="M549">
        <f>IF($A549="","",IF($D549="V01",cad!$C$36,IF($D549="V02",cad!$D$36,cad!$E$36)))</f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>
        <f>IF($A550="","",IF($D550="V01",cad!$C$23,IF($D550="V02",cad!$D$23,cad!$E$23)))</f>
      </c>
      <c r="H550">
        <f>IF($A550="","",IF($D550="V01",cad!$C$24,IF($D550="V02",cad!$D$24,cad!$E$24)))</f>
      </c>
      <c r="I550">
        <f>IF($A550="","",IF($D550="V01",cad!$C$32,IF($D550="V02",cad!$D$32,cad!$E$32)))</f>
      </c>
      <c r="J550">
        <f>IF($A550="","",IF($D550="V01",cad!$C$33,IF($D550="V02",cad!$D$33,cad!$E$33)))</f>
      </c>
      <c r="K550">
        <f>IF($A550="","",IF($D550="V01",cad!$C$34,IF($D550="V02",cad!$D$34,cad!$E$34)))</f>
      </c>
      <c r="L550">
        <f>IF($A550="","",IF($D550="V01",cad!$C$35,IF($D550="V02",cad!$D$35,cad!$E$35)))</f>
      </c>
      <c r="M550">
        <f>IF($A550="","",IF($D550="V01",cad!$C$36,IF($D550="V02",cad!$D$36,cad!$E$36)))</f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>
        <f>IF($A551="","",IF($D551="V01",cad!$C$23,IF($D551="V02",cad!$D$23,cad!$E$23)))</f>
      </c>
      <c r="H551">
        <f>IF($A551="","",IF($D551="V01",cad!$C$24,IF($D551="V02",cad!$D$24,cad!$E$24)))</f>
      </c>
      <c r="I551">
        <f>IF($A551="","",IF($D551="V01",cad!$C$32,IF($D551="V02",cad!$D$32,cad!$E$32)))</f>
      </c>
      <c r="J551">
        <f>IF($A551="","",IF($D551="V01",cad!$C$33,IF($D551="V02",cad!$D$33,cad!$E$33)))</f>
      </c>
      <c r="K551">
        <f>IF($A551="","",IF($D551="V01",cad!$C$34,IF($D551="V02",cad!$D$34,cad!$E$34)))</f>
      </c>
      <c r="L551">
        <f>IF($A551="","",IF($D551="V01",cad!$C$35,IF($D551="V02",cad!$D$35,cad!$E$35)))</f>
      </c>
      <c r="M551">
        <f>IF($A551="","",IF($D551="V01",cad!$C$36,IF($D551="V02",cad!$D$36,cad!$E$36)))</f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>
        <f>IF($A552="","",IF($D552="V01",cad!$C$23,IF($D552="V02",cad!$D$23,cad!$E$23)))</f>
      </c>
      <c r="H552">
        <f>IF($A552="","",IF($D552="V01",cad!$C$24,IF($D552="V02",cad!$D$24,cad!$E$24)))</f>
      </c>
      <c r="I552">
        <f>IF($A552="","",IF($D552="V01",cad!$C$32,IF($D552="V02",cad!$D$32,cad!$E$32)))</f>
      </c>
      <c r="J552">
        <f>IF($A552="","",IF($D552="V01",cad!$C$33,IF($D552="V02",cad!$D$33,cad!$E$33)))</f>
      </c>
      <c r="K552">
        <f>IF($A552="","",IF($D552="V01",cad!$C$34,IF($D552="V02",cad!$D$34,cad!$E$34)))</f>
      </c>
      <c r="L552">
        <f>IF($A552="","",IF($D552="V01",cad!$C$35,IF($D552="V02",cad!$D$35,cad!$E$35)))</f>
      </c>
      <c r="M552">
        <f>IF($A552="","",IF($D552="V01",cad!$C$36,IF($D552="V02",cad!$D$36,cad!$E$36)))</f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>
        <f>IF($A553="","",IF($D553="V01",cad!$C$23,IF($D553="V02",cad!$D$23,cad!$E$23)))</f>
      </c>
      <c r="H553">
        <f>IF($A553="","",IF($D553="V01",cad!$C$24,IF($D553="V02",cad!$D$24,cad!$E$24)))</f>
      </c>
      <c r="I553">
        <f>IF($A553="","",IF($D553="V01",cad!$C$32,IF($D553="V02",cad!$D$32,cad!$E$32)))</f>
      </c>
      <c r="J553">
        <f>IF($A553="","",IF($D553="V01",cad!$C$33,IF($D553="V02",cad!$D$33,cad!$E$33)))</f>
      </c>
      <c r="K553">
        <f>IF($A553="","",IF($D553="V01",cad!$C$34,IF($D553="V02",cad!$D$34,cad!$E$34)))</f>
      </c>
      <c r="L553">
        <f>IF($A553="","",IF($D553="V01",cad!$C$35,IF($D553="V02",cad!$D$35,cad!$E$35)))</f>
      </c>
      <c r="M553">
        <f>IF($A553="","",IF($D553="V01",cad!$C$36,IF($D553="V02",cad!$D$36,cad!$E$36)))</f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>
        <f>IF($A554="","",IF($D554="V01",cad!$C$23,IF($D554="V02",cad!$D$23,cad!$E$23)))</f>
      </c>
      <c r="H554">
        <f>IF($A554="","",IF($D554="V01",cad!$C$24,IF($D554="V02",cad!$D$24,cad!$E$24)))</f>
      </c>
      <c r="I554">
        <f>IF($A554="","",IF($D554="V01",cad!$C$32,IF($D554="V02",cad!$D$32,cad!$E$32)))</f>
      </c>
      <c r="J554">
        <f>IF($A554="","",IF($D554="V01",cad!$C$33,IF($D554="V02",cad!$D$33,cad!$E$33)))</f>
      </c>
      <c r="K554">
        <f>IF($A554="","",IF($D554="V01",cad!$C$34,IF($D554="V02",cad!$D$34,cad!$E$34)))</f>
      </c>
      <c r="L554">
        <f>IF($A554="","",IF($D554="V01",cad!$C$35,IF($D554="V02",cad!$D$35,cad!$E$35)))</f>
      </c>
      <c r="M554">
        <f>IF($A554="","",IF($D554="V01",cad!$C$36,IF($D554="V02",cad!$D$36,cad!$E$36)))</f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>
        <f>IF($A555="","",IF($D555="V01",cad!$C$23,IF($D555="V02",cad!$D$23,cad!$E$23)))</f>
      </c>
      <c r="H555">
        <f>IF($A555="","",IF($D555="V01",cad!$C$24,IF($D555="V02",cad!$D$24,cad!$E$24)))</f>
      </c>
      <c r="I555">
        <f>IF($A555="","",IF($D555="V01",cad!$C$32,IF($D555="V02",cad!$D$32,cad!$E$32)))</f>
      </c>
      <c r="J555">
        <f>IF($A555="","",IF($D555="V01",cad!$C$33,IF($D555="V02",cad!$D$33,cad!$E$33)))</f>
      </c>
      <c r="K555">
        <f>IF($A555="","",IF($D555="V01",cad!$C$34,IF($D555="V02",cad!$D$34,cad!$E$34)))</f>
      </c>
      <c r="L555">
        <f>IF($A555="","",IF($D555="V01",cad!$C$35,IF($D555="V02",cad!$D$35,cad!$E$35)))</f>
      </c>
      <c r="M555">
        <f>IF($A555="","",IF($D555="V01",cad!$C$36,IF($D555="V02",cad!$D$36,cad!$E$36)))</f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>
        <f>IF($A556="","",IF($D556="V01",cad!$C$23,IF($D556="V02",cad!$D$23,cad!$E$23)))</f>
      </c>
      <c r="H556">
        <f>IF($A556="","",IF($D556="V01",cad!$C$24,IF($D556="V02",cad!$D$24,cad!$E$24)))</f>
      </c>
      <c r="I556">
        <f>IF($A556="","",IF($D556="V01",cad!$C$32,IF($D556="V02",cad!$D$32,cad!$E$32)))</f>
      </c>
      <c r="J556">
        <f>IF($A556="","",IF($D556="V01",cad!$C$33,IF($D556="V02",cad!$D$33,cad!$E$33)))</f>
      </c>
      <c r="K556">
        <f>IF($A556="","",IF($D556="V01",cad!$C$34,IF($D556="V02",cad!$D$34,cad!$E$34)))</f>
      </c>
      <c r="L556">
        <f>IF($A556="","",IF($D556="V01",cad!$C$35,IF($D556="V02",cad!$D$35,cad!$E$35)))</f>
      </c>
      <c r="M556">
        <f>IF($A556="","",IF($D556="V01",cad!$C$36,IF($D556="V02",cad!$D$36,cad!$E$36)))</f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>
        <f>IF($A557="","",IF($D557="V01",cad!$C$23,IF($D557="V02",cad!$D$23,cad!$E$23)))</f>
      </c>
      <c r="H557">
        <f>IF($A557="","",IF($D557="V01",cad!$C$24,IF($D557="V02",cad!$D$24,cad!$E$24)))</f>
      </c>
      <c r="I557">
        <f>IF($A557="","",IF($D557="V01",cad!$C$32,IF($D557="V02",cad!$D$32,cad!$E$32)))</f>
      </c>
      <c r="J557">
        <f>IF($A557="","",IF($D557="V01",cad!$C$33,IF($D557="V02",cad!$D$33,cad!$E$33)))</f>
      </c>
      <c r="K557">
        <f>IF($A557="","",IF($D557="V01",cad!$C$34,IF($D557="V02",cad!$D$34,cad!$E$34)))</f>
      </c>
      <c r="L557">
        <f>IF($A557="","",IF($D557="V01",cad!$C$35,IF($D557="V02",cad!$D$35,cad!$E$35)))</f>
      </c>
      <c r="M557">
        <f>IF($A557="","",IF($D557="V01",cad!$C$36,IF($D557="V02",cad!$D$36,cad!$E$36)))</f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>
        <f>IF($A558="","",IF($D558="V01",cad!$C$23,IF($D558="V02",cad!$D$23,cad!$E$23)))</f>
      </c>
      <c r="H558">
        <f>IF($A558="","",IF($D558="V01",cad!$C$24,IF($D558="V02",cad!$D$24,cad!$E$24)))</f>
      </c>
      <c r="I558">
        <f>IF($A558="","",IF($D558="V01",cad!$C$32,IF($D558="V02",cad!$D$32,cad!$E$32)))</f>
      </c>
      <c r="J558">
        <f>IF($A558="","",IF($D558="V01",cad!$C$33,IF($D558="V02",cad!$D$33,cad!$E$33)))</f>
      </c>
      <c r="K558">
        <f>IF($A558="","",IF($D558="V01",cad!$C$34,IF($D558="V02",cad!$D$34,cad!$E$34)))</f>
      </c>
      <c r="L558">
        <f>IF($A558="","",IF($D558="V01",cad!$C$35,IF($D558="V02",cad!$D$35,cad!$E$35)))</f>
      </c>
      <c r="M558">
        <f>IF($A558="","",IF($D558="V01",cad!$C$36,IF($D558="V02",cad!$D$36,cad!$E$36)))</f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>
        <f>IF($A559="","",IF($D559="V01",cad!$C$23,IF($D559="V02",cad!$D$23,cad!$E$23)))</f>
      </c>
      <c r="H559">
        <f>IF($A559="","",IF($D559="V01",cad!$C$24,IF($D559="V02",cad!$D$24,cad!$E$24)))</f>
      </c>
      <c r="I559">
        <f>IF($A559="","",IF($D559="V01",cad!$C$32,IF($D559="V02",cad!$D$32,cad!$E$32)))</f>
      </c>
      <c r="J559">
        <f>IF($A559="","",IF($D559="V01",cad!$C$33,IF($D559="V02",cad!$D$33,cad!$E$33)))</f>
      </c>
      <c r="K559">
        <f>IF($A559="","",IF($D559="V01",cad!$C$34,IF($D559="V02",cad!$D$34,cad!$E$34)))</f>
      </c>
      <c r="L559">
        <f>IF($A559="","",IF($D559="V01",cad!$C$35,IF($D559="V02",cad!$D$35,cad!$E$35)))</f>
      </c>
      <c r="M559">
        <f>IF($A559="","",IF($D559="V01",cad!$C$36,IF($D559="V02",cad!$D$36,cad!$E$36)))</f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>
        <f>IF($A560="","",IF($D560="V01",cad!$C$23,IF($D560="V02",cad!$D$23,cad!$E$23)))</f>
      </c>
      <c r="H560">
        <f>IF($A560="","",IF($D560="V01",cad!$C$24,IF($D560="V02",cad!$D$24,cad!$E$24)))</f>
      </c>
      <c r="I560">
        <f>IF($A560="","",IF($D560="V01",cad!$C$32,IF($D560="V02",cad!$D$32,cad!$E$32)))</f>
      </c>
      <c r="J560">
        <f>IF($A560="","",IF($D560="V01",cad!$C$33,IF($D560="V02",cad!$D$33,cad!$E$33)))</f>
      </c>
      <c r="K560">
        <f>IF($A560="","",IF($D560="V01",cad!$C$34,IF($D560="V02",cad!$D$34,cad!$E$34)))</f>
      </c>
      <c r="L560">
        <f>IF($A560="","",IF($D560="V01",cad!$C$35,IF($D560="V02",cad!$D$35,cad!$E$35)))</f>
      </c>
      <c r="M560">
        <f>IF($A560="","",IF($D560="V01",cad!$C$36,IF($D560="V02",cad!$D$36,cad!$E$36)))</f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>
        <f>IF($A561="","",IF($D561="V01",cad!$C$23,IF($D561="V02",cad!$D$23,cad!$E$23)))</f>
      </c>
      <c r="H561">
        <f>IF($A561="","",IF($D561="V01",cad!$C$24,IF($D561="V02",cad!$D$24,cad!$E$24)))</f>
      </c>
      <c r="I561">
        <f>IF($A561="","",IF($D561="V01",cad!$C$32,IF($D561="V02",cad!$D$32,cad!$E$32)))</f>
      </c>
      <c r="J561">
        <f>IF($A561="","",IF($D561="V01",cad!$C$33,IF($D561="V02",cad!$D$33,cad!$E$33)))</f>
      </c>
      <c r="K561">
        <f>IF($A561="","",IF($D561="V01",cad!$C$34,IF($D561="V02",cad!$D$34,cad!$E$34)))</f>
      </c>
      <c r="L561">
        <f>IF($A561="","",IF($D561="V01",cad!$C$35,IF($D561="V02",cad!$D$35,cad!$E$35)))</f>
      </c>
      <c r="M561">
        <f>IF($A561="","",IF($D561="V01",cad!$C$36,IF($D561="V02",cad!$D$36,cad!$E$36)))</f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>
        <f>IF($A562="","",IF($D562="V01",cad!$C$23,IF($D562="V02",cad!$D$23,cad!$E$23)))</f>
      </c>
      <c r="H562">
        <f>IF($A562="","",IF($D562="V01",cad!$C$24,IF($D562="V02",cad!$D$24,cad!$E$24)))</f>
      </c>
      <c r="I562">
        <f>IF($A562="","",IF($D562="V01",cad!$C$32,IF($D562="V02",cad!$D$32,cad!$E$32)))</f>
      </c>
      <c r="J562">
        <f>IF($A562="","",IF($D562="V01",cad!$C$33,IF($D562="V02",cad!$D$33,cad!$E$33)))</f>
      </c>
      <c r="K562">
        <f>IF($A562="","",IF($D562="V01",cad!$C$34,IF($D562="V02",cad!$D$34,cad!$E$34)))</f>
      </c>
      <c r="L562">
        <f>IF($A562="","",IF($D562="V01",cad!$C$35,IF($D562="V02",cad!$D$35,cad!$E$35)))</f>
      </c>
      <c r="M562">
        <f>IF($A562="","",IF($D562="V01",cad!$C$36,IF($D562="V02",cad!$D$36,cad!$E$36)))</f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>
        <f>IF($A563="","",IF($D563="V01",cad!$C$23,IF($D563="V02",cad!$D$23,cad!$E$23)))</f>
      </c>
      <c r="H563">
        <f>IF($A563="","",IF($D563="V01",cad!$C$24,IF($D563="V02",cad!$D$24,cad!$E$24)))</f>
      </c>
      <c r="I563">
        <f>IF($A563="","",IF($D563="V01",cad!$C$32,IF($D563="V02",cad!$D$32,cad!$E$32)))</f>
      </c>
      <c r="J563">
        <f>IF($A563="","",IF($D563="V01",cad!$C$33,IF($D563="V02",cad!$D$33,cad!$E$33)))</f>
      </c>
      <c r="K563">
        <f>IF($A563="","",IF($D563="V01",cad!$C$34,IF($D563="V02",cad!$D$34,cad!$E$34)))</f>
      </c>
      <c r="L563">
        <f>IF($A563="","",IF($D563="V01",cad!$C$35,IF($D563="V02",cad!$D$35,cad!$E$35)))</f>
      </c>
      <c r="M563">
        <f>IF($A563="","",IF($D563="V01",cad!$C$36,IF($D563="V02",cad!$D$36,cad!$E$36)))</f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>
        <f>IF($A564="","",IF($D564="V01",cad!$C$23,IF($D564="V02",cad!$D$23,cad!$E$23)))</f>
      </c>
      <c r="H564">
        <f>IF($A564="","",IF($D564="V01",cad!$C$24,IF($D564="V02",cad!$D$24,cad!$E$24)))</f>
      </c>
      <c r="I564">
        <f>IF($A564="","",IF($D564="V01",cad!$C$32,IF($D564="V02",cad!$D$32,cad!$E$32)))</f>
      </c>
      <c r="J564">
        <f>IF($A564="","",IF($D564="V01",cad!$C$33,IF($D564="V02",cad!$D$33,cad!$E$33)))</f>
      </c>
      <c r="K564">
        <f>IF($A564="","",IF($D564="V01",cad!$C$34,IF($D564="V02",cad!$D$34,cad!$E$34)))</f>
      </c>
      <c r="L564">
        <f>IF($A564="","",IF($D564="V01",cad!$C$35,IF($D564="V02",cad!$D$35,cad!$E$35)))</f>
      </c>
      <c r="M564">
        <f>IF($A564="","",IF($D564="V01",cad!$C$36,IF($D564="V02",cad!$D$36,cad!$E$36)))</f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>
        <f>IF($A565="","",IF($D565="V01",cad!$C$23,IF($D565="V02",cad!$D$23,cad!$E$23)))</f>
      </c>
      <c r="H565">
        <f>IF($A565="","",IF($D565="V01",cad!$C$24,IF($D565="V02",cad!$D$24,cad!$E$24)))</f>
      </c>
      <c r="I565">
        <f>IF($A565="","",IF($D565="V01",cad!$C$32,IF($D565="V02",cad!$D$32,cad!$E$32)))</f>
      </c>
      <c r="J565">
        <f>IF($A565="","",IF($D565="V01",cad!$C$33,IF($D565="V02",cad!$D$33,cad!$E$33)))</f>
      </c>
      <c r="K565">
        <f>IF($A565="","",IF($D565="V01",cad!$C$34,IF($D565="V02",cad!$D$34,cad!$E$34)))</f>
      </c>
      <c r="L565">
        <f>IF($A565="","",IF($D565="V01",cad!$C$35,IF($D565="V02",cad!$D$35,cad!$E$35)))</f>
      </c>
      <c r="M565">
        <f>IF($A565="","",IF($D565="V01",cad!$C$36,IF($D565="V02",cad!$D$36,cad!$E$36)))</f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>
        <f>IF($A566="","",IF($D566="V01",cad!$C$23,IF($D566="V02",cad!$D$23,cad!$E$23)))</f>
      </c>
      <c r="H566">
        <f>IF($A566="","",IF($D566="V01",cad!$C$24,IF($D566="V02",cad!$D$24,cad!$E$24)))</f>
      </c>
      <c r="I566">
        <f>IF($A566="","",IF($D566="V01",cad!$C$32,IF($D566="V02",cad!$D$32,cad!$E$32)))</f>
      </c>
      <c r="J566">
        <f>IF($A566="","",IF($D566="V01",cad!$C$33,IF($D566="V02",cad!$D$33,cad!$E$33)))</f>
      </c>
      <c r="K566">
        <f>IF($A566="","",IF($D566="V01",cad!$C$34,IF($D566="V02",cad!$D$34,cad!$E$34)))</f>
      </c>
      <c r="L566">
        <f>IF($A566="","",IF($D566="V01",cad!$C$35,IF($D566="V02",cad!$D$35,cad!$E$35)))</f>
      </c>
      <c r="M566">
        <f>IF($A566="","",IF($D566="V01",cad!$C$36,IF($D566="V02",cad!$D$36,cad!$E$36)))</f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>
        <f>IF($A567="","",IF($D567="V01",cad!$C$23,IF($D567="V02",cad!$D$23,cad!$E$23)))</f>
      </c>
      <c r="H567">
        <f>IF($A567="","",IF($D567="V01",cad!$C$24,IF($D567="V02",cad!$D$24,cad!$E$24)))</f>
      </c>
      <c r="I567">
        <f>IF($A567="","",IF($D567="V01",cad!$C$32,IF($D567="V02",cad!$D$32,cad!$E$32)))</f>
      </c>
      <c r="J567">
        <f>IF($A567="","",IF($D567="V01",cad!$C$33,IF($D567="V02",cad!$D$33,cad!$E$33)))</f>
      </c>
      <c r="K567">
        <f>IF($A567="","",IF($D567="V01",cad!$C$34,IF($D567="V02",cad!$D$34,cad!$E$34)))</f>
      </c>
      <c r="L567">
        <f>IF($A567="","",IF($D567="V01",cad!$C$35,IF($D567="V02",cad!$D$35,cad!$E$35)))</f>
      </c>
      <c r="M567">
        <f>IF($A567="","",IF($D567="V01",cad!$C$36,IF($D567="V02",cad!$D$36,cad!$E$36)))</f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>
        <f>IF($A568="","",IF($D568="V01",cad!$C$23,IF($D568="V02",cad!$D$23,cad!$E$23)))</f>
      </c>
      <c r="H568">
        <f>IF($A568="","",IF($D568="V01",cad!$C$24,IF($D568="V02",cad!$D$24,cad!$E$24)))</f>
      </c>
      <c r="I568">
        <f>IF($A568="","",IF($D568="V01",cad!$C$32,IF($D568="V02",cad!$D$32,cad!$E$32)))</f>
      </c>
      <c r="J568">
        <f>IF($A568="","",IF($D568="V01",cad!$C$33,IF($D568="V02",cad!$D$33,cad!$E$33)))</f>
      </c>
      <c r="K568">
        <f>IF($A568="","",IF($D568="V01",cad!$C$34,IF($D568="V02",cad!$D$34,cad!$E$34)))</f>
      </c>
      <c r="L568">
        <f>IF($A568="","",IF($D568="V01",cad!$C$35,IF($D568="V02",cad!$D$35,cad!$E$35)))</f>
      </c>
      <c r="M568">
        <f>IF($A568="","",IF($D568="V01",cad!$C$36,IF($D568="V02",cad!$D$36,cad!$E$36)))</f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>
        <f>IF($A569="","",IF($D569="V01",cad!$C$23,IF($D569="V02",cad!$D$23,cad!$E$23)))</f>
      </c>
      <c r="H569">
        <f>IF($A569="","",IF($D569="V01",cad!$C$24,IF($D569="V02",cad!$D$24,cad!$E$24)))</f>
      </c>
      <c r="I569">
        <f>IF($A569="","",IF($D569="V01",cad!$C$32,IF($D569="V02",cad!$D$32,cad!$E$32)))</f>
      </c>
      <c r="J569">
        <f>IF($A569="","",IF($D569="V01",cad!$C$33,IF($D569="V02",cad!$D$33,cad!$E$33)))</f>
      </c>
      <c r="K569">
        <f>IF($A569="","",IF($D569="V01",cad!$C$34,IF($D569="V02",cad!$D$34,cad!$E$34)))</f>
      </c>
      <c r="L569">
        <f>IF($A569="","",IF($D569="V01",cad!$C$35,IF($D569="V02",cad!$D$35,cad!$E$35)))</f>
      </c>
      <c r="M569">
        <f>IF($A569="","",IF($D569="V01",cad!$C$36,IF($D569="V02",cad!$D$36,cad!$E$36)))</f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>
        <f>IF($A570="","",IF($D570="V01",cad!$C$23,IF($D570="V02",cad!$D$23,cad!$E$23)))</f>
      </c>
      <c r="H570">
        <f>IF($A570="","",IF($D570="V01",cad!$C$24,IF($D570="V02",cad!$D$24,cad!$E$24)))</f>
      </c>
      <c r="I570">
        <f>IF($A570="","",IF($D570="V01",cad!$C$32,IF($D570="V02",cad!$D$32,cad!$E$32)))</f>
      </c>
      <c r="J570">
        <f>IF($A570="","",IF($D570="V01",cad!$C$33,IF($D570="V02",cad!$D$33,cad!$E$33)))</f>
      </c>
      <c r="K570">
        <f>IF($A570="","",IF($D570="V01",cad!$C$34,IF($D570="V02",cad!$D$34,cad!$E$34)))</f>
      </c>
      <c r="L570">
        <f>IF($A570="","",IF($D570="V01",cad!$C$35,IF($D570="V02",cad!$D$35,cad!$E$35)))</f>
      </c>
      <c r="M570">
        <f>IF($A570="","",IF($D570="V01",cad!$C$36,IF($D570="V02",cad!$D$36,cad!$E$36)))</f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>
        <f>IF($A571="","",IF($D571="V01",cad!$C$23,IF($D571="V02",cad!$D$23,cad!$E$23)))</f>
      </c>
      <c r="H571">
        <f>IF($A571="","",IF($D571="V01",cad!$C$24,IF($D571="V02",cad!$D$24,cad!$E$24)))</f>
      </c>
      <c r="I571">
        <f>IF($A571="","",IF($D571="V01",cad!$C$32,IF($D571="V02",cad!$D$32,cad!$E$32)))</f>
      </c>
      <c r="J571">
        <f>IF($A571="","",IF($D571="V01",cad!$C$33,IF($D571="V02",cad!$D$33,cad!$E$33)))</f>
      </c>
      <c r="K571">
        <f>IF($A571="","",IF($D571="V01",cad!$C$34,IF($D571="V02",cad!$D$34,cad!$E$34)))</f>
      </c>
      <c r="L571">
        <f>IF($A571="","",IF($D571="V01",cad!$C$35,IF($D571="V02",cad!$D$35,cad!$E$35)))</f>
      </c>
      <c r="M571">
        <f>IF($A571="","",IF($D571="V01",cad!$C$36,IF($D571="V02",cad!$D$36,cad!$E$36)))</f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>
        <f>IF($A572="","",IF($D572="V01",cad!$C$23,IF($D572="V02",cad!$D$23,cad!$E$23)))</f>
      </c>
      <c r="H572">
        <f>IF($A572="","",IF($D572="V01",cad!$C$24,IF($D572="V02",cad!$D$24,cad!$E$24)))</f>
      </c>
      <c r="I572">
        <f>IF($A572="","",IF($D572="V01",cad!$C$32,IF($D572="V02",cad!$D$32,cad!$E$32)))</f>
      </c>
      <c r="J572">
        <f>IF($A572="","",IF($D572="V01",cad!$C$33,IF($D572="V02",cad!$D$33,cad!$E$33)))</f>
      </c>
      <c r="K572">
        <f>IF($A572="","",IF($D572="V01",cad!$C$34,IF($D572="V02",cad!$D$34,cad!$E$34)))</f>
      </c>
      <c r="L572">
        <f>IF($A572="","",IF($D572="V01",cad!$C$35,IF($D572="V02",cad!$D$35,cad!$E$35)))</f>
      </c>
      <c r="M572">
        <f>IF($A572="","",IF($D572="V01",cad!$C$36,IF($D572="V02",cad!$D$36,cad!$E$36)))</f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>
        <f>IF($A573="","",IF($D573="V01",cad!$C$23,IF($D573="V02",cad!$D$23,cad!$E$23)))</f>
      </c>
      <c r="H573">
        <f>IF($A573="","",IF($D573="V01",cad!$C$24,IF($D573="V02",cad!$D$24,cad!$E$24)))</f>
      </c>
      <c r="I573">
        <f>IF($A573="","",IF($D573="V01",cad!$C$32,IF($D573="V02",cad!$D$32,cad!$E$32)))</f>
      </c>
      <c r="J573">
        <f>IF($A573="","",IF($D573="V01",cad!$C$33,IF($D573="V02",cad!$D$33,cad!$E$33)))</f>
      </c>
      <c r="K573">
        <f>IF($A573="","",IF($D573="V01",cad!$C$34,IF($D573="V02",cad!$D$34,cad!$E$34)))</f>
      </c>
      <c r="L573">
        <f>IF($A573="","",IF($D573="V01",cad!$C$35,IF($D573="V02",cad!$D$35,cad!$E$35)))</f>
      </c>
      <c r="M573">
        <f>IF($A573="","",IF($D573="V01",cad!$C$36,IF($D573="V02",cad!$D$36,cad!$E$36)))</f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>
        <f>IF($A574="","",IF($D574="V01",cad!$C$23,IF($D574="V02",cad!$D$23,cad!$E$23)))</f>
      </c>
      <c r="H574">
        <f>IF($A574="","",IF($D574="V01",cad!$C$24,IF($D574="V02",cad!$D$24,cad!$E$24)))</f>
      </c>
      <c r="I574">
        <f>IF($A574="","",IF($D574="V01",cad!$C$32,IF($D574="V02",cad!$D$32,cad!$E$32)))</f>
      </c>
      <c r="J574">
        <f>IF($A574="","",IF($D574="V01",cad!$C$33,IF($D574="V02",cad!$D$33,cad!$E$33)))</f>
      </c>
      <c r="K574">
        <f>IF($A574="","",IF($D574="V01",cad!$C$34,IF($D574="V02",cad!$D$34,cad!$E$34)))</f>
      </c>
      <c r="L574">
        <f>IF($A574="","",IF($D574="V01",cad!$C$35,IF($D574="V02",cad!$D$35,cad!$E$35)))</f>
      </c>
      <c r="M574">
        <f>IF($A574="","",IF($D574="V01",cad!$C$36,IF($D574="V02",cad!$D$36,cad!$E$36)))</f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>
        <f>IF($A575="","",IF($D575="V01",cad!$C$23,IF($D575="V02",cad!$D$23,cad!$E$23)))</f>
      </c>
      <c r="H575">
        <f>IF($A575="","",IF($D575="V01",cad!$C$24,IF($D575="V02",cad!$D$24,cad!$E$24)))</f>
      </c>
      <c r="I575">
        <f>IF($A575="","",IF($D575="V01",cad!$C$32,IF($D575="V02",cad!$D$32,cad!$E$32)))</f>
      </c>
      <c r="J575">
        <f>IF($A575="","",IF($D575="V01",cad!$C$33,IF($D575="V02",cad!$D$33,cad!$E$33)))</f>
      </c>
      <c r="K575">
        <f>IF($A575="","",IF($D575="V01",cad!$C$34,IF($D575="V02",cad!$D$34,cad!$E$34)))</f>
      </c>
      <c r="L575">
        <f>IF($A575="","",IF($D575="V01",cad!$C$35,IF($D575="V02",cad!$D$35,cad!$E$35)))</f>
      </c>
      <c r="M575">
        <f>IF($A575="","",IF($D575="V01",cad!$C$36,IF($D575="V02",cad!$D$36,cad!$E$36)))</f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>
        <f>IF($A576="","",IF($D576="V01",cad!$C$23,IF($D576="V02",cad!$D$23,cad!$E$23)))</f>
      </c>
      <c r="H576">
        <f>IF($A576="","",IF($D576="V01",cad!$C$24,IF($D576="V02",cad!$D$24,cad!$E$24)))</f>
      </c>
      <c r="I576">
        <f>IF($A576="","",IF($D576="V01",cad!$C$32,IF($D576="V02",cad!$D$32,cad!$E$32)))</f>
      </c>
      <c r="J576">
        <f>IF($A576="","",IF($D576="V01",cad!$C$33,IF($D576="V02",cad!$D$33,cad!$E$33)))</f>
      </c>
      <c r="K576">
        <f>IF($A576="","",IF($D576="V01",cad!$C$34,IF($D576="V02",cad!$D$34,cad!$E$34)))</f>
      </c>
      <c r="L576">
        <f>IF($A576="","",IF($D576="V01",cad!$C$35,IF($D576="V02",cad!$D$35,cad!$E$35)))</f>
      </c>
      <c r="M576">
        <f>IF($A576="","",IF($D576="V01",cad!$C$36,IF($D576="V02",cad!$D$36,cad!$E$36)))</f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>
        <f>IF($A577="","",IF($D577="V01",cad!$C$23,IF($D577="V02",cad!$D$23,cad!$E$23)))</f>
      </c>
      <c r="H577">
        <f>IF($A577="","",IF($D577="V01",cad!$C$24,IF($D577="V02",cad!$D$24,cad!$E$24)))</f>
      </c>
      <c r="I577">
        <f>IF($A577="","",IF($D577="V01",cad!$C$32,IF($D577="V02",cad!$D$32,cad!$E$32)))</f>
      </c>
      <c r="J577">
        <f>IF($A577="","",IF($D577="V01",cad!$C$33,IF($D577="V02",cad!$D$33,cad!$E$33)))</f>
      </c>
      <c r="K577">
        <f>IF($A577="","",IF($D577="V01",cad!$C$34,IF($D577="V02",cad!$D$34,cad!$E$34)))</f>
      </c>
      <c r="L577">
        <f>IF($A577="","",IF($D577="V01",cad!$C$35,IF($D577="V02",cad!$D$35,cad!$E$35)))</f>
      </c>
      <c r="M577">
        <f>IF($A577="","",IF($D577="V01",cad!$C$36,IF($D577="V02",cad!$D$36,cad!$E$36)))</f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>
        <f>IF($A578="","",IF($D578="V01",cad!$C$23,IF($D578="V02",cad!$D$23,cad!$E$23)))</f>
      </c>
      <c r="H578">
        <f>IF($A578="","",IF($D578="V01",cad!$C$24,IF($D578="V02",cad!$D$24,cad!$E$24)))</f>
      </c>
      <c r="I578">
        <f>IF($A578="","",IF($D578="V01",cad!$C$32,IF($D578="V02",cad!$D$32,cad!$E$32)))</f>
      </c>
      <c r="J578">
        <f>IF($A578="","",IF($D578="V01",cad!$C$33,IF($D578="V02",cad!$D$33,cad!$E$33)))</f>
      </c>
      <c r="K578">
        <f>IF($A578="","",IF($D578="V01",cad!$C$34,IF($D578="V02",cad!$D$34,cad!$E$34)))</f>
      </c>
      <c r="L578">
        <f>IF($A578="","",IF($D578="V01",cad!$C$35,IF($D578="V02",cad!$D$35,cad!$E$35)))</f>
      </c>
      <c r="M578">
        <f>IF($A578="","",IF($D578="V01",cad!$C$36,IF($D578="V02",cad!$D$36,cad!$E$36)))</f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>
        <f>IF($A579="","",IF($D579="V01",cad!$C$23,IF($D579="V02",cad!$D$23,cad!$E$23)))</f>
      </c>
      <c r="H579">
        <f>IF($A579="","",IF($D579="V01",cad!$C$24,IF($D579="V02",cad!$D$24,cad!$E$24)))</f>
      </c>
      <c r="I579">
        <f>IF($A579="","",IF($D579="V01",cad!$C$32,IF($D579="V02",cad!$D$32,cad!$E$32)))</f>
      </c>
      <c r="J579">
        <f>IF($A579="","",IF($D579="V01",cad!$C$33,IF($D579="V02",cad!$D$33,cad!$E$33)))</f>
      </c>
      <c r="K579">
        <f>IF($A579="","",IF($D579="V01",cad!$C$34,IF($D579="V02",cad!$D$34,cad!$E$34)))</f>
      </c>
      <c r="L579">
        <f>IF($A579="","",IF($D579="V01",cad!$C$35,IF($D579="V02",cad!$D$35,cad!$E$35)))</f>
      </c>
      <c r="M579">
        <f>IF($A579="","",IF($D579="V01",cad!$C$36,IF($D579="V02",cad!$D$36,cad!$E$36)))</f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>
        <f>IF($A580="","",IF($D580="V01",cad!$C$23,IF($D580="V02",cad!$D$23,cad!$E$23)))</f>
      </c>
      <c r="H580">
        <f>IF($A580="","",IF($D580="V01",cad!$C$24,IF($D580="V02",cad!$D$24,cad!$E$24)))</f>
      </c>
      <c r="I580">
        <f>IF($A580="","",IF($D580="V01",cad!$C$32,IF($D580="V02",cad!$D$32,cad!$E$32)))</f>
      </c>
      <c r="J580">
        <f>IF($A580="","",IF($D580="V01",cad!$C$33,IF($D580="V02",cad!$D$33,cad!$E$33)))</f>
      </c>
      <c r="K580">
        <f>IF($A580="","",IF($D580="V01",cad!$C$34,IF($D580="V02",cad!$D$34,cad!$E$34)))</f>
      </c>
      <c r="L580">
        <f>IF($A580="","",IF($D580="V01",cad!$C$35,IF($D580="V02",cad!$D$35,cad!$E$35)))</f>
      </c>
      <c r="M580">
        <f>IF($A580="","",IF($D580="V01",cad!$C$36,IF($D580="V02",cad!$D$36,cad!$E$36)))</f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>
        <f>IF($A581="","",IF($D581="V01",cad!$C$23,IF($D581="V02",cad!$D$23,cad!$E$23)))</f>
      </c>
      <c r="H581">
        <f>IF($A581="","",IF($D581="V01",cad!$C$24,IF($D581="V02",cad!$D$24,cad!$E$24)))</f>
      </c>
      <c r="I581">
        <f>IF($A581="","",IF($D581="V01",cad!$C$32,IF($D581="V02",cad!$D$32,cad!$E$32)))</f>
      </c>
      <c r="J581">
        <f>IF($A581="","",IF($D581="V01",cad!$C$33,IF($D581="V02",cad!$D$33,cad!$E$33)))</f>
      </c>
      <c r="K581">
        <f>IF($A581="","",IF($D581="V01",cad!$C$34,IF($D581="V02",cad!$D$34,cad!$E$34)))</f>
      </c>
      <c r="L581">
        <f>IF($A581="","",IF($D581="V01",cad!$C$35,IF($D581="V02",cad!$D$35,cad!$E$35)))</f>
      </c>
      <c r="M581">
        <f>IF($A581="","",IF($D581="V01",cad!$C$36,IF($D581="V02",cad!$D$36,cad!$E$36)))</f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>
        <f>IF($A582="","",IF($D582="V01",cad!$C$23,IF($D582="V02",cad!$D$23,cad!$E$23)))</f>
      </c>
      <c r="H582">
        <f>IF($A582="","",IF($D582="V01",cad!$C$24,IF($D582="V02",cad!$D$24,cad!$E$24)))</f>
      </c>
      <c r="I582">
        <f>IF($A582="","",IF($D582="V01",cad!$C$32,IF($D582="V02",cad!$D$32,cad!$E$32)))</f>
      </c>
      <c r="J582">
        <f>IF($A582="","",IF($D582="V01",cad!$C$33,IF($D582="V02",cad!$D$33,cad!$E$33)))</f>
      </c>
      <c r="K582">
        <f>IF($A582="","",IF($D582="V01",cad!$C$34,IF($D582="V02",cad!$D$34,cad!$E$34)))</f>
      </c>
      <c r="L582">
        <f>IF($A582="","",IF($D582="V01",cad!$C$35,IF($D582="V02",cad!$D$35,cad!$E$35)))</f>
      </c>
      <c r="M582">
        <f>IF($A582="","",IF($D582="V01",cad!$C$36,IF($D582="V02",cad!$D$36,cad!$E$36)))</f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>
        <f>IF($A583="","",IF($D583="V01",cad!$C$23,IF($D583="V02",cad!$D$23,cad!$E$23)))</f>
      </c>
      <c r="H583">
        <f>IF($A583="","",IF($D583="V01",cad!$C$24,IF($D583="V02",cad!$D$24,cad!$E$24)))</f>
      </c>
      <c r="I583">
        <f>IF($A583="","",IF($D583="V01",cad!$C$32,IF($D583="V02",cad!$D$32,cad!$E$32)))</f>
      </c>
      <c r="J583">
        <f>IF($A583="","",IF($D583="V01",cad!$C$33,IF($D583="V02",cad!$D$33,cad!$E$33)))</f>
      </c>
      <c r="K583">
        <f>IF($A583="","",IF($D583="V01",cad!$C$34,IF($D583="V02",cad!$D$34,cad!$E$34)))</f>
      </c>
      <c r="L583">
        <f>IF($A583="","",IF($D583="V01",cad!$C$35,IF($D583="V02",cad!$D$35,cad!$E$35)))</f>
      </c>
      <c r="M583">
        <f>IF($A583="","",IF($D583="V01",cad!$C$36,IF($D583="V02",cad!$D$36,cad!$E$36)))</f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>
        <f>IF($A584="","",IF($D584="V01",cad!$C$23,IF($D584="V02",cad!$D$23,cad!$E$23)))</f>
      </c>
      <c r="H584">
        <f>IF($A584="","",IF($D584="V01",cad!$C$24,IF($D584="V02",cad!$D$24,cad!$E$24)))</f>
      </c>
      <c r="I584">
        <f>IF($A584="","",IF($D584="V01",cad!$C$32,IF($D584="V02",cad!$D$32,cad!$E$32)))</f>
      </c>
      <c r="J584">
        <f>IF($A584="","",IF($D584="V01",cad!$C$33,IF($D584="V02",cad!$D$33,cad!$E$33)))</f>
      </c>
      <c r="K584">
        <f>IF($A584="","",IF($D584="V01",cad!$C$34,IF($D584="V02",cad!$D$34,cad!$E$34)))</f>
      </c>
      <c r="L584">
        <f>IF($A584="","",IF($D584="V01",cad!$C$35,IF($D584="V02",cad!$D$35,cad!$E$35)))</f>
      </c>
      <c r="M584">
        <f>IF($A584="","",IF($D584="V01",cad!$C$36,IF($D584="V02",cad!$D$36,cad!$E$36)))</f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>
        <f>IF($A585="","",IF($D585="V01",cad!$C$23,IF($D585="V02",cad!$D$23,cad!$E$23)))</f>
      </c>
      <c r="H585">
        <f>IF($A585="","",IF($D585="V01",cad!$C$24,IF($D585="V02",cad!$D$24,cad!$E$24)))</f>
      </c>
      <c r="I585">
        <f>IF($A585="","",IF($D585="V01",cad!$C$32,IF($D585="V02",cad!$D$32,cad!$E$32)))</f>
      </c>
      <c r="J585">
        <f>IF($A585="","",IF($D585="V01",cad!$C$33,IF($D585="V02",cad!$D$33,cad!$E$33)))</f>
      </c>
      <c r="K585">
        <f>IF($A585="","",IF($D585="V01",cad!$C$34,IF($D585="V02",cad!$D$34,cad!$E$34)))</f>
      </c>
      <c r="L585">
        <f>IF($A585="","",IF($D585="V01",cad!$C$35,IF($D585="V02",cad!$D$35,cad!$E$35)))</f>
      </c>
      <c r="M585">
        <f>IF($A585="","",IF($D585="V01",cad!$C$36,IF($D585="V02",cad!$D$36,cad!$E$36)))</f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>
        <f>IF($A586="","",IF($D586="V01",cad!$C$23,IF($D586="V02",cad!$D$23,cad!$E$23)))</f>
      </c>
      <c r="H586">
        <f>IF($A586="","",IF($D586="V01",cad!$C$24,IF($D586="V02",cad!$D$24,cad!$E$24)))</f>
      </c>
      <c r="I586">
        <f>IF($A586="","",IF($D586="V01",cad!$C$32,IF($D586="V02",cad!$D$32,cad!$E$32)))</f>
      </c>
      <c r="J586">
        <f>IF($A586="","",IF($D586="V01",cad!$C$33,IF($D586="V02",cad!$D$33,cad!$E$33)))</f>
      </c>
      <c r="K586">
        <f>IF($A586="","",IF($D586="V01",cad!$C$34,IF($D586="V02",cad!$D$34,cad!$E$34)))</f>
      </c>
      <c r="L586">
        <f>IF($A586="","",IF($D586="V01",cad!$C$35,IF($D586="V02",cad!$D$35,cad!$E$35)))</f>
      </c>
      <c r="M586">
        <f>IF($A586="","",IF($D586="V01",cad!$C$36,IF($D586="V02",cad!$D$36,cad!$E$36)))</f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>
        <f>IF($A587="","",IF($D587="V01",cad!$C$23,IF($D587="V02",cad!$D$23,cad!$E$23)))</f>
      </c>
      <c r="H587">
        <f>IF($A587="","",IF($D587="V01",cad!$C$24,IF($D587="V02",cad!$D$24,cad!$E$24)))</f>
      </c>
      <c r="I587">
        <f>IF($A587="","",IF($D587="V01",cad!$C$32,IF($D587="V02",cad!$D$32,cad!$E$32)))</f>
      </c>
      <c r="J587">
        <f>IF($A587="","",IF($D587="V01",cad!$C$33,IF($D587="V02",cad!$D$33,cad!$E$33)))</f>
      </c>
      <c r="K587">
        <f>IF($A587="","",IF($D587="V01",cad!$C$34,IF($D587="V02",cad!$D$34,cad!$E$34)))</f>
      </c>
      <c r="L587">
        <f>IF($A587="","",IF($D587="V01",cad!$C$35,IF($D587="V02",cad!$D$35,cad!$E$35)))</f>
      </c>
      <c r="M587">
        <f>IF($A587="","",IF($D587="V01",cad!$C$36,IF($D587="V02",cad!$D$36,cad!$E$36)))</f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>
        <f>IF($A588="","",IF($D588="V01",cad!$C$23,IF($D588="V02",cad!$D$23,cad!$E$23)))</f>
      </c>
      <c r="H588">
        <f>IF($A588="","",IF($D588="V01",cad!$C$24,IF($D588="V02",cad!$D$24,cad!$E$24)))</f>
      </c>
      <c r="I588">
        <f>IF($A588="","",IF($D588="V01",cad!$C$32,IF($D588="V02",cad!$D$32,cad!$E$32)))</f>
      </c>
      <c r="J588">
        <f>IF($A588="","",IF($D588="V01",cad!$C$33,IF($D588="V02",cad!$D$33,cad!$E$33)))</f>
      </c>
      <c r="K588">
        <f>IF($A588="","",IF($D588="V01",cad!$C$34,IF($D588="V02",cad!$D$34,cad!$E$34)))</f>
      </c>
      <c r="L588">
        <f>IF($A588="","",IF($D588="V01",cad!$C$35,IF($D588="V02",cad!$D$35,cad!$E$35)))</f>
      </c>
      <c r="M588">
        <f>IF($A588="","",IF($D588="V01",cad!$C$36,IF($D588="V02",cad!$D$36,cad!$E$36)))</f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>
        <f>IF($A589="","",IF($D589="V01",cad!$C$23,IF($D589="V02",cad!$D$23,cad!$E$23)))</f>
      </c>
      <c r="H589">
        <f>IF($A589="","",IF($D589="V01",cad!$C$24,IF($D589="V02",cad!$D$24,cad!$E$24)))</f>
      </c>
      <c r="I589">
        <f>IF($A589="","",IF($D589="V01",cad!$C$32,IF($D589="V02",cad!$D$32,cad!$E$32)))</f>
      </c>
      <c r="J589">
        <f>IF($A589="","",IF($D589="V01",cad!$C$33,IF($D589="V02",cad!$D$33,cad!$E$33)))</f>
      </c>
      <c r="K589">
        <f>IF($A589="","",IF($D589="V01",cad!$C$34,IF($D589="V02",cad!$D$34,cad!$E$34)))</f>
      </c>
      <c r="L589">
        <f>IF($A589="","",IF($D589="V01",cad!$C$35,IF($D589="V02",cad!$D$35,cad!$E$35)))</f>
      </c>
      <c r="M589">
        <f>IF($A589="","",IF($D589="V01",cad!$C$36,IF($D589="V02",cad!$D$36,cad!$E$36)))</f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>
        <f>IF($A590="","",IF($D590="V01",cad!$C$23,IF($D590="V02",cad!$D$23,cad!$E$23)))</f>
      </c>
      <c r="H590">
        <f>IF($A590="","",IF($D590="V01",cad!$C$24,IF($D590="V02",cad!$D$24,cad!$E$24)))</f>
      </c>
      <c r="I590">
        <f>IF($A590="","",IF($D590="V01",cad!$C$32,IF($D590="V02",cad!$D$32,cad!$E$32)))</f>
      </c>
      <c r="J590">
        <f>IF($A590="","",IF($D590="V01",cad!$C$33,IF($D590="V02",cad!$D$33,cad!$E$33)))</f>
      </c>
      <c r="K590">
        <f>IF($A590="","",IF($D590="V01",cad!$C$34,IF($D590="V02",cad!$D$34,cad!$E$34)))</f>
      </c>
      <c r="L590">
        <f>IF($A590="","",IF($D590="V01",cad!$C$35,IF($D590="V02",cad!$D$35,cad!$E$35)))</f>
      </c>
      <c r="M590">
        <f>IF($A590="","",IF($D590="V01",cad!$C$36,IF($D590="V02",cad!$D$36,cad!$E$36)))</f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>
        <f>IF($A591="","",IF($D591="V01",cad!$C$23,IF($D591="V02",cad!$D$23,cad!$E$23)))</f>
      </c>
      <c r="H591">
        <f>IF($A591="","",IF($D591="V01",cad!$C$24,IF($D591="V02",cad!$D$24,cad!$E$24)))</f>
      </c>
      <c r="I591">
        <f>IF($A591="","",IF($D591="V01",cad!$C$32,IF($D591="V02",cad!$D$32,cad!$E$32)))</f>
      </c>
      <c r="J591">
        <f>IF($A591="","",IF($D591="V01",cad!$C$33,IF($D591="V02",cad!$D$33,cad!$E$33)))</f>
      </c>
      <c r="K591">
        <f>IF($A591="","",IF($D591="V01",cad!$C$34,IF($D591="V02",cad!$D$34,cad!$E$34)))</f>
      </c>
      <c r="L591">
        <f>IF($A591="","",IF($D591="V01",cad!$C$35,IF($D591="V02",cad!$D$35,cad!$E$35)))</f>
      </c>
      <c r="M591">
        <f>IF($A591="","",IF($D591="V01",cad!$C$36,IF($D591="V02",cad!$D$36,cad!$E$36)))</f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>
        <f>IF($A592="","",IF($D592="V01",cad!$C$23,IF($D592="V02",cad!$D$23,cad!$E$23)))</f>
      </c>
      <c r="H592">
        <f>IF($A592="","",IF($D592="V01",cad!$C$24,IF($D592="V02",cad!$D$24,cad!$E$24)))</f>
      </c>
      <c r="I592">
        <f>IF($A592="","",IF($D592="V01",cad!$C$32,IF($D592="V02",cad!$D$32,cad!$E$32)))</f>
      </c>
      <c r="J592">
        <f>IF($A592="","",IF($D592="V01",cad!$C$33,IF($D592="V02",cad!$D$33,cad!$E$33)))</f>
      </c>
      <c r="K592">
        <f>IF($A592="","",IF($D592="V01",cad!$C$34,IF($D592="V02",cad!$D$34,cad!$E$34)))</f>
      </c>
      <c r="L592">
        <f>IF($A592="","",IF($D592="V01",cad!$C$35,IF($D592="V02",cad!$D$35,cad!$E$35)))</f>
      </c>
      <c r="M592">
        <f>IF($A592="","",IF($D592="V01",cad!$C$36,IF($D592="V02",cad!$D$36,cad!$E$36)))</f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>
        <f>IF($A593="","",IF($D593="V01",cad!$C$23,IF($D593="V02",cad!$D$23,cad!$E$23)))</f>
      </c>
      <c r="H593">
        <f>IF($A593="","",IF($D593="V01",cad!$C$24,IF($D593="V02",cad!$D$24,cad!$E$24)))</f>
      </c>
      <c r="I593">
        <f>IF($A593="","",IF($D593="V01",cad!$C$32,IF($D593="V02",cad!$D$32,cad!$E$32)))</f>
      </c>
      <c r="J593">
        <f>IF($A593="","",IF($D593="V01",cad!$C$33,IF($D593="V02",cad!$D$33,cad!$E$33)))</f>
      </c>
      <c r="K593">
        <f>IF($A593="","",IF($D593="V01",cad!$C$34,IF($D593="V02",cad!$D$34,cad!$E$34)))</f>
      </c>
      <c r="L593">
        <f>IF($A593="","",IF($D593="V01",cad!$C$35,IF($D593="V02",cad!$D$35,cad!$E$35)))</f>
      </c>
      <c r="M593">
        <f>IF($A593="","",IF($D593="V01",cad!$C$36,IF($D593="V02",cad!$D$36,cad!$E$36)))</f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>
        <f>IF($A594="","",IF($D594="V01",cad!$C$23,IF($D594="V02",cad!$D$23,cad!$E$23)))</f>
      </c>
      <c r="H594">
        <f>IF($A594="","",IF($D594="V01",cad!$C$24,IF($D594="V02",cad!$D$24,cad!$E$24)))</f>
      </c>
      <c r="I594">
        <f>IF($A594="","",IF($D594="V01",cad!$C$32,IF($D594="V02",cad!$D$32,cad!$E$32)))</f>
      </c>
      <c r="J594">
        <f>IF($A594="","",IF($D594="V01",cad!$C$33,IF($D594="V02",cad!$D$33,cad!$E$33)))</f>
      </c>
      <c r="K594">
        <f>IF($A594="","",IF($D594="V01",cad!$C$34,IF($D594="V02",cad!$D$34,cad!$E$34)))</f>
      </c>
      <c r="L594">
        <f>IF($A594="","",IF($D594="V01",cad!$C$35,IF($D594="V02",cad!$D$35,cad!$E$35)))</f>
      </c>
      <c r="M594">
        <f>IF($A594="","",IF($D594="V01",cad!$C$36,IF($D594="V02",cad!$D$36,cad!$E$36)))</f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>
        <f>IF($A595="","",IF($D595="V01",cad!$C$23,IF($D595="V02",cad!$D$23,cad!$E$23)))</f>
      </c>
      <c r="H595">
        <f>IF($A595="","",IF($D595="V01",cad!$C$24,IF($D595="V02",cad!$D$24,cad!$E$24)))</f>
      </c>
      <c r="I595">
        <f>IF($A595="","",IF($D595="V01",cad!$C$32,IF($D595="V02",cad!$D$32,cad!$E$32)))</f>
      </c>
      <c r="J595">
        <f>IF($A595="","",IF($D595="V01",cad!$C$33,IF($D595="V02",cad!$D$33,cad!$E$33)))</f>
      </c>
      <c r="K595">
        <f>IF($A595="","",IF($D595="V01",cad!$C$34,IF($D595="V02",cad!$D$34,cad!$E$34)))</f>
      </c>
      <c r="L595">
        <f>IF($A595="","",IF($D595="V01",cad!$C$35,IF($D595="V02",cad!$D$35,cad!$E$35)))</f>
      </c>
      <c r="M595">
        <f>IF($A595="","",IF($D595="V01",cad!$C$36,IF($D595="V02",cad!$D$36,cad!$E$36)))</f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>
        <f>IF($A596="","",IF($D596="V01",cad!$C$23,IF($D596="V02",cad!$D$23,cad!$E$23)))</f>
      </c>
      <c r="H596">
        <f>IF($A596="","",IF($D596="V01",cad!$C$24,IF($D596="V02",cad!$D$24,cad!$E$24)))</f>
      </c>
      <c r="I596">
        <f>IF($A596="","",IF($D596="V01",cad!$C$32,IF($D596="V02",cad!$D$32,cad!$E$32)))</f>
      </c>
      <c r="J596">
        <f>IF($A596="","",IF($D596="V01",cad!$C$33,IF($D596="V02",cad!$D$33,cad!$E$33)))</f>
      </c>
      <c r="K596">
        <f>IF($A596="","",IF($D596="V01",cad!$C$34,IF($D596="V02",cad!$D$34,cad!$E$34)))</f>
      </c>
      <c r="L596">
        <f>IF($A596="","",IF($D596="V01",cad!$C$35,IF($D596="V02",cad!$D$35,cad!$E$35)))</f>
      </c>
      <c r="M596">
        <f>IF($A596="","",IF($D596="V01",cad!$C$36,IF($D596="V02",cad!$D$36,cad!$E$36)))</f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>
        <f>IF($A597="","",IF($D597="V01",cad!$C$23,IF($D597="V02",cad!$D$23,cad!$E$23)))</f>
      </c>
      <c r="H597">
        <f>IF($A597="","",IF($D597="V01",cad!$C$24,IF($D597="V02",cad!$D$24,cad!$E$24)))</f>
      </c>
      <c r="I597">
        <f>IF($A597="","",IF($D597="V01",cad!$C$32,IF($D597="V02",cad!$D$32,cad!$E$32)))</f>
      </c>
      <c r="J597">
        <f>IF($A597="","",IF($D597="V01",cad!$C$33,IF($D597="V02",cad!$D$33,cad!$E$33)))</f>
      </c>
      <c r="K597">
        <f>IF($A597="","",IF($D597="V01",cad!$C$34,IF($D597="V02",cad!$D$34,cad!$E$34)))</f>
      </c>
      <c r="L597">
        <f>IF($A597="","",IF($D597="V01",cad!$C$35,IF($D597="V02",cad!$D$35,cad!$E$35)))</f>
      </c>
      <c r="M597">
        <f>IF($A597="","",IF($D597="V01",cad!$C$36,IF($D597="V02",cad!$D$36,cad!$E$36)))</f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>
        <f>IF($A598="","",IF($D598="V01",cad!$C$23,IF($D598="V02",cad!$D$23,cad!$E$23)))</f>
      </c>
      <c r="H598">
        <f>IF($A598="","",IF($D598="V01",cad!$C$24,IF($D598="V02",cad!$D$24,cad!$E$24)))</f>
      </c>
      <c r="I598">
        <f>IF($A598="","",IF($D598="V01",cad!$C$32,IF($D598="V02",cad!$D$32,cad!$E$32)))</f>
      </c>
      <c r="J598">
        <f>IF($A598="","",IF($D598="V01",cad!$C$33,IF($D598="V02",cad!$D$33,cad!$E$33)))</f>
      </c>
      <c r="K598">
        <f>IF($A598="","",IF($D598="V01",cad!$C$34,IF($D598="V02",cad!$D$34,cad!$E$34)))</f>
      </c>
      <c r="L598">
        <f>IF($A598="","",IF($D598="V01",cad!$C$35,IF($D598="V02",cad!$D$35,cad!$E$35)))</f>
      </c>
      <c r="M598">
        <f>IF($A598="","",IF($D598="V01",cad!$C$36,IF($D598="V02",cad!$D$36,cad!$E$36)))</f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>
        <f>IF($A599="","",IF($D599="V01",cad!$C$23,IF($D599="V02",cad!$D$23,cad!$E$23)))</f>
      </c>
      <c r="H599">
        <f>IF($A599="","",IF($D599="V01",cad!$C$24,IF($D599="V02",cad!$D$24,cad!$E$24)))</f>
      </c>
      <c r="I599">
        <f>IF($A599="","",IF($D599="V01",cad!$C$32,IF($D599="V02",cad!$D$32,cad!$E$32)))</f>
      </c>
      <c r="J599">
        <f>IF($A599="","",IF($D599="V01",cad!$C$33,IF($D599="V02",cad!$D$33,cad!$E$33)))</f>
      </c>
      <c r="K599">
        <f>IF($A599="","",IF($D599="V01",cad!$C$34,IF($D599="V02",cad!$D$34,cad!$E$34)))</f>
      </c>
      <c r="L599">
        <f>IF($A599="","",IF($D599="V01",cad!$C$35,IF($D599="V02",cad!$D$35,cad!$E$35)))</f>
      </c>
      <c r="M599">
        <f>IF($A599="","",IF($D599="V01",cad!$C$36,IF($D599="V02",cad!$D$36,cad!$E$36)))</f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>
        <f>IF($A600="","",IF($D600="V01",cad!$C$23,IF($D600="V02",cad!$D$23,cad!$E$23)))</f>
      </c>
      <c r="H600">
        <f>IF($A600="","",IF($D600="V01",cad!$C$24,IF($D600="V02",cad!$D$24,cad!$E$24)))</f>
      </c>
      <c r="I600">
        <f>IF($A600="","",IF($D600="V01",cad!$C$32,IF($D600="V02",cad!$D$32,cad!$E$32)))</f>
      </c>
      <c r="J600">
        <f>IF($A600="","",IF($D600="V01",cad!$C$33,IF($D600="V02",cad!$D$33,cad!$E$33)))</f>
      </c>
      <c r="K600">
        <f>IF($A600="","",IF($D600="V01",cad!$C$34,IF($D600="V02",cad!$D$34,cad!$E$34)))</f>
      </c>
      <c r="L600">
        <f>IF($A600="","",IF($D600="V01",cad!$C$35,IF($D600="V02",cad!$D$35,cad!$E$35)))</f>
      </c>
      <c r="M600">
        <f>IF($A600="","",IF($D600="V01",cad!$C$36,IF($D600="V02",cad!$D$36,cad!$E$36)))</f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>
        <f>IF($A601="","",IF($D601="V01",cad!$C$23,IF($D601="V02",cad!$D$23,cad!$E$23)))</f>
      </c>
      <c r="H601">
        <f>IF($A601="","",IF($D601="V01",cad!$C$24,IF($D601="V02",cad!$D$24,cad!$E$24)))</f>
      </c>
      <c r="I601">
        <f>IF($A601="","",IF($D601="V01",cad!$C$32,IF($D601="V02",cad!$D$32,cad!$E$32)))</f>
      </c>
      <c r="J601">
        <f>IF($A601="","",IF($D601="V01",cad!$C$33,IF($D601="V02",cad!$D$33,cad!$E$33)))</f>
      </c>
      <c r="K601">
        <f>IF($A601="","",IF($D601="V01",cad!$C$34,IF($D601="V02",cad!$D$34,cad!$E$34)))</f>
      </c>
      <c r="L601">
        <f>IF($A601="","",IF($D601="V01",cad!$C$35,IF($D601="V02",cad!$D$35,cad!$E$35)))</f>
      </c>
      <c r="M601">
        <f>IF($A601="","",IF($D601="V01",cad!$C$36,IF($D601="V02",cad!$D$36,cad!$E$36)))</f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>
        <f>IF($A602="","",IF($D602="V01",cad!$C$23,IF($D602="V02",cad!$D$23,cad!$E$23)))</f>
      </c>
      <c r="H602">
        <f>IF($A602="","",IF($D602="V01",cad!$C$24,IF($D602="V02",cad!$D$24,cad!$E$24)))</f>
      </c>
      <c r="I602">
        <f>IF($A602="","",IF($D602="V01",cad!$C$32,IF($D602="V02",cad!$D$32,cad!$E$32)))</f>
      </c>
      <c r="J602">
        <f>IF($A602="","",IF($D602="V01",cad!$C$33,IF($D602="V02",cad!$D$33,cad!$E$33)))</f>
      </c>
      <c r="K602">
        <f>IF($A602="","",IF($D602="V01",cad!$C$34,IF($D602="V02",cad!$D$34,cad!$E$34)))</f>
      </c>
      <c r="L602">
        <f>IF($A602="","",IF($D602="V01",cad!$C$35,IF($D602="V02",cad!$D$35,cad!$E$35)))</f>
      </c>
      <c r="M602">
        <f>IF($A602="","",IF($D602="V01",cad!$C$36,IF($D602="V02",cad!$D$36,cad!$E$36)))</f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>
        <f>IF($A603="","",IF($D603="V01",cad!$C$23,IF($D603="V02",cad!$D$23,cad!$E$23)))</f>
      </c>
      <c r="H603">
        <f>IF($A603="","",IF($D603="V01",cad!$C$24,IF($D603="V02",cad!$D$24,cad!$E$24)))</f>
      </c>
      <c r="I603">
        <f>IF($A603="","",IF($D603="V01",cad!$C$32,IF($D603="V02",cad!$D$32,cad!$E$32)))</f>
      </c>
      <c r="J603">
        <f>IF($A603="","",IF($D603="V01",cad!$C$33,IF($D603="V02",cad!$D$33,cad!$E$33)))</f>
      </c>
      <c r="K603">
        <f>IF($A603="","",IF($D603="V01",cad!$C$34,IF($D603="V02",cad!$D$34,cad!$E$34)))</f>
      </c>
      <c r="L603">
        <f>IF($A603="","",IF($D603="V01",cad!$C$35,IF($D603="V02",cad!$D$35,cad!$E$35)))</f>
      </c>
      <c r="M603">
        <f>IF($A603="","",IF($D603="V01",cad!$C$36,IF($D603="V02",cad!$D$36,cad!$E$36)))</f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>
        <f>IF($A604="","",IF($D604="V01",cad!$C$23,IF($D604="V02",cad!$D$23,cad!$E$23)))</f>
      </c>
      <c r="H604">
        <f>IF($A604="","",IF($D604="V01",cad!$C$24,IF($D604="V02",cad!$D$24,cad!$E$24)))</f>
      </c>
      <c r="I604">
        <f>IF($A604="","",IF($D604="V01",cad!$C$32,IF($D604="V02",cad!$D$32,cad!$E$32)))</f>
      </c>
      <c r="J604">
        <f>IF($A604="","",IF($D604="V01",cad!$C$33,IF($D604="V02",cad!$D$33,cad!$E$33)))</f>
      </c>
      <c r="K604">
        <f>IF($A604="","",IF($D604="V01",cad!$C$34,IF($D604="V02",cad!$D$34,cad!$E$34)))</f>
      </c>
      <c r="L604">
        <f>IF($A604="","",IF($D604="V01",cad!$C$35,IF($D604="V02",cad!$D$35,cad!$E$35)))</f>
      </c>
      <c r="M604">
        <f>IF($A604="","",IF($D604="V01",cad!$C$36,IF($D604="V02",cad!$D$36,cad!$E$36)))</f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>
        <f>IF($A605="","",IF($D605="V01",cad!$C$23,IF($D605="V02",cad!$D$23,cad!$E$23)))</f>
      </c>
      <c r="H605">
        <f>IF($A605="","",IF($D605="V01",cad!$C$24,IF($D605="V02",cad!$D$24,cad!$E$24)))</f>
      </c>
      <c r="I605">
        <f>IF($A605="","",IF($D605="V01",cad!$C$32,IF($D605="V02",cad!$D$32,cad!$E$32)))</f>
      </c>
      <c r="J605">
        <f>IF($A605="","",IF($D605="V01",cad!$C$33,IF($D605="V02",cad!$D$33,cad!$E$33)))</f>
      </c>
      <c r="K605">
        <f>IF($A605="","",IF($D605="V01",cad!$C$34,IF($D605="V02",cad!$D$34,cad!$E$34)))</f>
      </c>
      <c r="L605">
        <f>IF($A605="","",IF($D605="V01",cad!$C$35,IF($D605="V02",cad!$D$35,cad!$E$35)))</f>
      </c>
      <c r="M605">
        <f>IF($A605="","",IF($D605="V01",cad!$C$36,IF($D605="V02",cad!$D$36,cad!$E$36)))</f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>
        <f>IF($A606="","",IF($D606="V01",cad!$C$23,IF($D606="V02",cad!$D$23,cad!$E$23)))</f>
      </c>
      <c r="H606">
        <f>IF($A606="","",IF($D606="V01",cad!$C$24,IF($D606="V02",cad!$D$24,cad!$E$24)))</f>
      </c>
      <c r="I606">
        <f>IF($A606="","",IF($D606="V01",cad!$C$32,IF($D606="V02",cad!$D$32,cad!$E$32)))</f>
      </c>
      <c r="J606">
        <f>IF($A606="","",IF($D606="V01",cad!$C$33,IF($D606="V02",cad!$D$33,cad!$E$33)))</f>
      </c>
      <c r="K606">
        <f>IF($A606="","",IF($D606="V01",cad!$C$34,IF($D606="V02",cad!$D$34,cad!$E$34)))</f>
      </c>
      <c r="L606">
        <f>IF($A606="","",IF($D606="V01",cad!$C$35,IF($D606="V02",cad!$D$35,cad!$E$35)))</f>
      </c>
      <c r="M606">
        <f>IF($A606="","",IF($D606="V01",cad!$C$36,IF($D606="V02",cad!$D$36,cad!$E$36)))</f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>
        <f>IF($A607="","",IF($D607="V01",cad!$C$23,IF($D607="V02",cad!$D$23,cad!$E$23)))</f>
      </c>
      <c r="H607">
        <f>IF($A607="","",IF($D607="V01",cad!$C$24,IF($D607="V02",cad!$D$24,cad!$E$24)))</f>
      </c>
      <c r="I607">
        <f>IF($A607="","",IF($D607="V01",cad!$C$32,IF($D607="V02",cad!$D$32,cad!$E$32)))</f>
      </c>
      <c r="J607">
        <f>IF($A607="","",IF($D607="V01",cad!$C$33,IF($D607="V02",cad!$D$33,cad!$E$33)))</f>
      </c>
      <c r="K607">
        <f>IF($A607="","",IF($D607="V01",cad!$C$34,IF($D607="V02",cad!$D$34,cad!$E$34)))</f>
      </c>
      <c r="L607">
        <f>IF($A607="","",IF($D607="V01",cad!$C$35,IF($D607="V02",cad!$D$35,cad!$E$35)))</f>
      </c>
      <c r="M607">
        <f>IF($A607="","",IF($D607="V01",cad!$C$36,IF($D607="V02",cad!$D$36,cad!$E$36)))</f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>
        <f>IF($A608="","",IF($D608="V01",cad!$C$23,IF($D608="V02",cad!$D$23,cad!$E$23)))</f>
      </c>
      <c r="H608">
        <f>IF($A608="","",IF($D608="V01",cad!$C$24,IF($D608="V02",cad!$D$24,cad!$E$24)))</f>
      </c>
      <c r="I608">
        <f>IF($A608="","",IF($D608="V01",cad!$C$32,IF($D608="V02",cad!$D$32,cad!$E$32)))</f>
      </c>
      <c r="J608">
        <f>IF($A608="","",IF($D608="V01",cad!$C$33,IF($D608="V02",cad!$D$33,cad!$E$33)))</f>
      </c>
      <c r="K608">
        <f>IF($A608="","",IF($D608="V01",cad!$C$34,IF($D608="V02",cad!$D$34,cad!$E$34)))</f>
      </c>
      <c r="L608">
        <f>IF($A608="","",IF($D608="V01",cad!$C$35,IF($D608="V02",cad!$D$35,cad!$E$35)))</f>
      </c>
      <c r="M608">
        <f>IF($A608="","",IF($D608="V01",cad!$C$36,IF($D608="V02",cad!$D$36,cad!$E$36)))</f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>
        <f>IF($A609="","",IF($D609="V01",cad!$C$23,IF($D609="V02",cad!$D$23,cad!$E$23)))</f>
      </c>
      <c r="H609">
        <f>IF($A609="","",IF($D609="V01",cad!$C$24,IF($D609="V02",cad!$D$24,cad!$E$24)))</f>
      </c>
      <c r="I609">
        <f>IF($A609="","",IF($D609="V01",cad!$C$32,IF($D609="V02",cad!$D$32,cad!$E$32)))</f>
      </c>
      <c r="J609">
        <f>IF($A609="","",IF($D609="V01",cad!$C$33,IF($D609="V02",cad!$D$33,cad!$E$33)))</f>
      </c>
      <c r="K609">
        <f>IF($A609="","",IF($D609="V01",cad!$C$34,IF($D609="V02",cad!$D$34,cad!$E$34)))</f>
      </c>
      <c r="L609">
        <f>IF($A609="","",IF($D609="V01",cad!$C$35,IF($D609="V02",cad!$D$35,cad!$E$35)))</f>
      </c>
      <c r="M609">
        <f>IF($A609="","",IF($D609="V01",cad!$C$36,IF($D609="V02",cad!$D$36,cad!$E$36)))</f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>
        <f>IF($A610="","",IF($D610="V01",cad!$C$23,IF($D610="V02",cad!$D$23,cad!$E$23)))</f>
      </c>
      <c r="H610">
        <f>IF($A610="","",IF($D610="V01",cad!$C$24,IF($D610="V02",cad!$D$24,cad!$E$24)))</f>
      </c>
      <c r="I610">
        <f>IF($A610="","",IF($D610="V01",cad!$C$32,IF($D610="V02",cad!$D$32,cad!$E$32)))</f>
      </c>
      <c r="J610">
        <f>IF($A610="","",IF($D610="V01",cad!$C$33,IF($D610="V02",cad!$D$33,cad!$E$33)))</f>
      </c>
      <c r="K610">
        <f>IF($A610="","",IF($D610="V01",cad!$C$34,IF($D610="V02",cad!$D$34,cad!$E$34)))</f>
      </c>
      <c r="L610">
        <f>IF($A610="","",IF($D610="V01",cad!$C$35,IF($D610="V02",cad!$D$35,cad!$E$35)))</f>
      </c>
      <c r="M610">
        <f>IF($A610="","",IF($D610="V01",cad!$C$36,IF($D610="V02",cad!$D$36,cad!$E$36)))</f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>
        <f>IF($A611="","",IF($D611="V01",cad!$C$23,IF($D611="V02",cad!$D$23,cad!$E$23)))</f>
      </c>
      <c r="H611">
        <f>IF($A611="","",IF($D611="V01",cad!$C$24,IF($D611="V02",cad!$D$24,cad!$E$24)))</f>
      </c>
      <c r="I611">
        <f>IF($A611="","",IF($D611="V01",cad!$C$32,IF($D611="V02",cad!$D$32,cad!$E$32)))</f>
      </c>
      <c r="J611">
        <f>IF($A611="","",IF($D611="V01",cad!$C$33,IF($D611="V02",cad!$D$33,cad!$E$33)))</f>
      </c>
      <c r="K611">
        <f>IF($A611="","",IF($D611="V01",cad!$C$34,IF($D611="V02",cad!$D$34,cad!$E$34)))</f>
      </c>
      <c r="L611">
        <f>IF($A611="","",IF($D611="V01",cad!$C$35,IF($D611="V02",cad!$D$35,cad!$E$35)))</f>
      </c>
      <c r="M611">
        <f>IF($A611="","",IF($D611="V01",cad!$C$36,IF($D611="V02",cad!$D$36,cad!$E$36)))</f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>
        <f>IF($A612="","",IF($D612="V01",cad!$C$23,IF($D612="V02",cad!$D$23,cad!$E$23)))</f>
      </c>
      <c r="H612">
        <f>IF($A612="","",IF($D612="V01",cad!$C$24,IF($D612="V02",cad!$D$24,cad!$E$24)))</f>
      </c>
      <c r="I612">
        <f>IF($A612="","",IF($D612="V01",cad!$C$32,IF($D612="V02",cad!$D$32,cad!$E$32)))</f>
      </c>
      <c r="J612">
        <f>IF($A612="","",IF($D612="V01",cad!$C$33,IF($D612="V02",cad!$D$33,cad!$E$33)))</f>
      </c>
      <c r="K612">
        <f>IF($A612="","",IF($D612="V01",cad!$C$34,IF($D612="V02",cad!$D$34,cad!$E$34)))</f>
      </c>
      <c r="L612">
        <f>IF($A612="","",IF($D612="V01",cad!$C$35,IF($D612="V02",cad!$D$35,cad!$E$35)))</f>
      </c>
      <c r="M612">
        <f>IF($A612="","",IF($D612="V01",cad!$C$36,IF($D612="V02",cad!$D$36,cad!$E$36)))</f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>
        <f>IF($A613="","",IF($D613="V01",cad!$C$23,IF($D613="V02",cad!$D$23,cad!$E$23)))</f>
      </c>
      <c r="H613">
        <f>IF($A613="","",IF($D613="V01",cad!$C$24,IF($D613="V02",cad!$D$24,cad!$E$24)))</f>
      </c>
      <c r="I613">
        <f>IF($A613="","",IF($D613="V01",cad!$C$32,IF($D613="V02",cad!$D$32,cad!$E$32)))</f>
      </c>
      <c r="J613">
        <f>IF($A613="","",IF($D613="V01",cad!$C$33,IF($D613="V02",cad!$D$33,cad!$E$33)))</f>
      </c>
      <c r="K613">
        <f>IF($A613="","",IF($D613="V01",cad!$C$34,IF($D613="V02",cad!$D$34,cad!$E$34)))</f>
      </c>
      <c r="L613">
        <f>IF($A613="","",IF($D613="V01",cad!$C$35,IF($D613="V02",cad!$D$35,cad!$E$35)))</f>
      </c>
      <c r="M613">
        <f>IF($A613="","",IF($D613="V01",cad!$C$36,IF($D613="V02",cad!$D$36,cad!$E$36)))</f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>
        <f>IF($A614="","",IF($D614="V01",cad!$C$23,IF($D614="V02",cad!$D$23,cad!$E$23)))</f>
      </c>
      <c r="H614">
        <f>IF($A614="","",IF($D614="V01",cad!$C$24,IF($D614="V02",cad!$D$24,cad!$E$24)))</f>
      </c>
      <c r="I614">
        <f>IF($A614="","",IF($D614="V01",cad!$C$32,IF($D614="V02",cad!$D$32,cad!$E$32)))</f>
      </c>
      <c r="J614">
        <f>IF($A614="","",IF($D614="V01",cad!$C$33,IF($D614="V02",cad!$D$33,cad!$E$33)))</f>
      </c>
      <c r="K614">
        <f>IF($A614="","",IF($D614="V01",cad!$C$34,IF($D614="V02",cad!$D$34,cad!$E$34)))</f>
      </c>
      <c r="L614">
        <f>IF($A614="","",IF($D614="V01",cad!$C$35,IF($D614="V02",cad!$D$35,cad!$E$35)))</f>
      </c>
      <c r="M614">
        <f>IF($A614="","",IF($D614="V01",cad!$C$36,IF($D614="V02",cad!$D$36,cad!$E$36)))</f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>
        <f>IF($A615="","",IF($D615="V01",cad!$C$23,IF($D615="V02",cad!$D$23,cad!$E$23)))</f>
      </c>
      <c r="H615">
        <f>IF($A615="","",IF($D615="V01",cad!$C$24,IF($D615="V02",cad!$D$24,cad!$E$24)))</f>
      </c>
      <c r="I615">
        <f>IF($A615="","",IF($D615="V01",cad!$C$32,IF($D615="V02",cad!$D$32,cad!$E$32)))</f>
      </c>
      <c r="J615">
        <f>IF($A615="","",IF($D615="V01",cad!$C$33,IF($D615="V02",cad!$D$33,cad!$E$33)))</f>
      </c>
      <c r="K615">
        <f>IF($A615="","",IF($D615="V01",cad!$C$34,IF($D615="V02",cad!$D$34,cad!$E$34)))</f>
      </c>
      <c r="L615">
        <f>IF($A615="","",IF($D615="V01",cad!$C$35,IF($D615="V02",cad!$D$35,cad!$E$35)))</f>
      </c>
      <c r="M615">
        <f>IF($A615="","",IF($D615="V01",cad!$C$36,IF($D615="V02",cad!$D$36,cad!$E$36)))</f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>
        <f>IF($A616="","",IF($D616="V01",cad!$C$23,IF($D616="V02",cad!$D$23,cad!$E$23)))</f>
      </c>
      <c r="H616">
        <f>IF($A616="","",IF($D616="V01",cad!$C$24,IF($D616="V02",cad!$D$24,cad!$E$24)))</f>
      </c>
      <c r="I616">
        <f>IF($A616="","",IF($D616="V01",cad!$C$32,IF($D616="V02",cad!$D$32,cad!$E$32)))</f>
      </c>
      <c r="J616">
        <f>IF($A616="","",IF($D616="V01",cad!$C$33,IF($D616="V02",cad!$D$33,cad!$E$33)))</f>
      </c>
      <c r="K616">
        <f>IF($A616="","",IF($D616="V01",cad!$C$34,IF($D616="V02",cad!$D$34,cad!$E$34)))</f>
      </c>
      <c r="L616">
        <f>IF($A616="","",IF($D616="V01",cad!$C$35,IF($D616="V02",cad!$D$35,cad!$E$35)))</f>
      </c>
      <c r="M616">
        <f>IF($A616="","",IF($D616="V01",cad!$C$36,IF($D616="V02",cad!$D$36,cad!$E$36)))</f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>
        <f>IF($A617="","",IF($D617="V01",cad!$C$23,IF($D617="V02",cad!$D$23,cad!$E$23)))</f>
      </c>
      <c r="H617">
        <f>IF($A617="","",IF($D617="V01",cad!$C$24,IF($D617="V02",cad!$D$24,cad!$E$24)))</f>
      </c>
      <c r="I617">
        <f>IF($A617="","",IF($D617="V01",cad!$C$32,IF($D617="V02",cad!$D$32,cad!$E$32)))</f>
      </c>
      <c r="J617">
        <f>IF($A617="","",IF($D617="V01",cad!$C$33,IF($D617="V02",cad!$D$33,cad!$E$33)))</f>
      </c>
      <c r="K617">
        <f>IF($A617="","",IF($D617="V01",cad!$C$34,IF($D617="V02",cad!$D$34,cad!$E$34)))</f>
      </c>
      <c r="L617">
        <f>IF($A617="","",IF($D617="V01",cad!$C$35,IF($D617="V02",cad!$D$35,cad!$E$35)))</f>
      </c>
      <c r="M617">
        <f>IF($A617="","",IF($D617="V01",cad!$C$36,IF($D617="V02",cad!$D$36,cad!$E$36)))</f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>
        <f>IF($A618="","",IF($D618="V01",cad!$C$23,IF($D618="V02",cad!$D$23,cad!$E$23)))</f>
      </c>
      <c r="H618">
        <f>IF($A618="","",IF($D618="V01",cad!$C$24,IF($D618="V02",cad!$D$24,cad!$E$24)))</f>
      </c>
      <c r="I618">
        <f>IF($A618="","",IF($D618="V01",cad!$C$32,IF($D618="V02",cad!$D$32,cad!$E$32)))</f>
      </c>
      <c r="J618">
        <f>IF($A618="","",IF($D618="V01",cad!$C$33,IF($D618="V02",cad!$D$33,cad!$E$33)))</f>
      </c>
      <c r="K618">
        <f>IF($A618="","",IF($D618="V01",cad!$C$34,IF($D618="V02",cad!$D$34,cad!$E$34)))</f>
      </c>
      <c r="L618">
        <f>IF($A618="","",IF($D618="V01",cad!$C$35,IF($D618="V02",cad!$D$35,cad!$E$35)))</f>
      </c>
      <c r="M618">
        <f>IF($A618="","",IF($D618="V01",cad!$C$36,IF($D618="V02",cad!$D$36,cad!$E$36)))</f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>
        <f>IF($A619="","",IF($D619="V01",cad!$C$23,IF($D619="V02",cad!$D$23,cad!$E$23)))</f>
      </c>
      <c r="H619">
        <f>IF($A619="","",IF($D619="V01",cad!$C$24,IF($D619="V02",cad!$D$24,cad!$E$24)))</f>
      </c>
      <c r="I619">
        <f>IF($A619="","",IF($D619="V01",cad!$C$32,IF($D619="V02",cad!$D$32,cad!$E$32)))</f>
      </c>
      <c r="J619">
        <f>IF($A619="","",IF($D619="V01",cad!$C$33,IF($D619="V02",cad!$D$33,cad!$E$33)))</f>
      </c>
      <c r="K619">
        <f>IF($A619="","",IF($D619="V01",cad!$C$34,IF($D619="V02",cad!$D$34,cad!$E$34)))</f>
      </c>
      <c r="L619">
        <f>IF($A619="","",IF($D619="V01",cad!$C$35,IF($D619="V02",cad!$D$35,cad!$E$35)))</f>
      </c>
      <c r="M619">
        <f>IF($A619="","",IF($D619="V01",cad!$C$36,IF($D619="V02",cad!$D$36,cad!$E$36)))</f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>
        <f>IF($A620="","",IF($D620="V01",cad!$C$23,IF($D620="V02",cad!$D$23,cad!$E$23)))</f>
      </c>
      <c r="H620">
        <f>IF($A620="","",IF($D620="V01",cad!$C$24,IF($D620="V02",cad!$D$24,cad!$E$24)))</f>
      </c>
      <c r="I620">
        <f>IF($A620="","",IF($D620="V01",cad!$C$32,IF($D620="V02",cad!$D$32,cad!$E$32)))</f>
      </c>
      <c r="J620">
        <f>IF($A620="","",IF($D620="V01",cad!$C$33,IF($D620="V02",cad!$D$33,cad!$E$33)))</f>
      </c>
      <c r="K620">
        <f>IF($A620="","",IF($D620="V01",cad!$C$34,IF($D620="V02",cad!$D$34,cad!$E$34)))</f>
      </c>
      <c r="L620">
        <f>IF($A620="","",IF($D620="V01",cad!$C$35,IF($D620="V02",cad!$D$35,cad!$E$35)))</f>
      </c>
      <c r="M620">
        <f>IF($A620="","",IF($D620="V01",cad!$C$36,IF($D620="V02",cad!$D$36,cad!$E$36)))</f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>
        <f>IF($A621="","",IF($D621="V01",cad!$C$23,IF($D621="V02",cad!$D$23,cad!$E$23)))</f>
      </c>
      <c r="H621">
        <f>IF($A621="","",IF($D621="V01",cad!$C$24,IF($D621="V02",cad!$D$24,cad!$E$24)))</f>
      </c>
      <c r="I621">
        <f>IF($A621="","",IF($D621="V01",cad!$C$32,IF($D621="V02",cad!$D$32,cad!$E$32)))</f>
      </c>
      <c r="J621">
        <f>IF($A621="","",IF($D621="V01",cad!$C$33,IF($D621="V02",cad!$D$33,cad!$E$33)))</f>
      </c>
      <c r="K621">
        <f>IF($A621="","",IF($D621="V01",cad!$C$34,IF($D621="V02",cad!$D$34,cad!$E$34)))</f>
      </c>
      <c r="L621">
        <f>IF($A621="","",IF($D621="V01",cad!$C$35,IF($D621="V02",cad!$D$35,cad!$E$35)))</f>
      </c>
      <c r="M621">
        <f>IF($A621="","",IF($D621="V01",cad!$C$36,IF($D621="V02",cad!$D$36,cad!$E$36)))</f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>
        <f>IF($A622="","",IF($D622="V01",cad!$C$23,IF($D622="V02",cad!$D$23,cad!$E$23)))</f>
      </c>
      <c r="H622">
        <f>IF($A622="","",IF($D622="V01",cad!$C$24,IF($D622="V02",cad!$D$24,cad!$E$24)))</f>
      </c>
      <c r="I622">
        <f>IF($A622="","",IF($D622="V01",cad!$C$32,IF($D622="V02",cad!$D$32,cad!$E$32)))</f>
      </c>
      <c r="J622">
        <f>IF($A622="","",IF($D622="V01",cad!$C$33,IF($D622="V02",cad!$D$33,cad!$E$33)))</f>
      </c>
      <c r="K622">
        <f>IF($A622="","",IF($D622="V01",cad!$C$34,IF($D622="V02",cad!$D$34,cad!$E$34)))</f>
      </c>
      <c r="L622">
        <f>IF($A622="","",IF($D622="V01",cad!$C$35,IF($D622="V02",cad!$D$35,cad!$E$35)))</f>
      </c>
      <c r="M622">
        <f>IF($A622="","",IF($D622="V01",cad!$C$36,IF($D622="V02",cad!$D$36,cad!$E$36)))</f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>
        <f>IF($A623="","",IF($D623="V01",cad!$C$23,IF($D623="V02",cad!$D$23,cad!$E$23)))</f>
      </c>
      <c r="H623">
        <f>IF($A623="","",IF($D623="V01",cad!$C$24,IF($D623="V02",cad!$D$24,cad!$E$24)))</f>
      </c>
      <c r="I623">
        <f>IF($A623="","",IF($D623="V01",cad!$C$32,IF($D623="V02",cad!$D$32,cad!$E$32)))</f>
      </c>
      <c r="J623">
        <f>IF($A623="","",IF($D623="V01",cad!$C$33,IF($D623="V02",cad!$D$33,cad!$E$33)))</f>
      </c>
      <c r="K623">
        <f>IF($A623="","",IF($D623="V01",cad!$C$34,IF($D623="V02",cad!$D$34,cad!$E$34)))</f>
      </c>
      <c r="L623">
        <f>IF($A623="","",IF($D623="V01",cad!$C$35,IF($D623="V02",cad!$D$35,cad!$E$35)))</f>
      </c>
      <c r="M623">
        <f>IF($A623="","",IF($D623="V01",cad!$C$36,IF($D623="V02",cad!$D$36,cad!$E$36)))</f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>
        <f>IF($A624="","",IF($D624="V01",cad!$C$23,IF($D624="V02",cad!$D$23,cad!$E$23)))</f>
      </c>
      <c r="H624">
        <f>IF($A624="","",IF($D624="V01",cad!$C$24,IF($D624="V02",cad!$D$24,cad!$E$24)))</f>
      </c>
      <c r="I624">
        <f>IF($A624="","",IF($D624="V01",cad!$C$32,IF($D624="V02",cad!$D$32,cad!$E$32)))</f>
      </c>
      <c r="J624">
        <f>IF($A624="","",IF($D624="V01",cad!$C$33,IF($D624="V02",cad!$D$33,cad!$E$33)))</f>
      </c>
      <c r="K624">
        <f>IF($A624="","",IF($D624="V01",cad!$C$34,IF($D624="V02",cad!$D$34,cad!$E$34)))</f>
      </c>
      <c r="L624">
        <f>IF($A624="","",IF($D624="V01",cad!$C$35,IF($D624="V02",cad!$D$35,cad!$E$35)))</f>
      </c>
      <c r="M624">
        <f>IF($A624="","",IF($D624="V01",cad!$C$36,IF($D624="V02",cad!$D$36,cad!$E$36)))</f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>
        <f>IF($A625="","",IF($D625="V01",cad!$C$23,IF($D625="V02",cad!$D$23,cad!$E$23)))</f>
      </c>
      <c r="H625">
        <f>IF($A625="","",IF($D625="V01",cad!$C$24,IF($D625="V02",cad!$D$24,cad!$E$24)))</f>
      </c>
      <c r="I625">
        <f>IF($A625="","",IF($D625="V01",cad!$C$32,IF($D625="V02",cad!$D$32,cad!$E$32)))</f>
      </c>
      <c r="J625">
        <f>IF($A625="","",IF($D625="V01",cad!$C$33,IF($D625="V02",cad!$D$33,cad!$E$33)))</f>
      </c>
      <c r="K625">
        <f>IF($A625="","",IF($D625="V01",cad!$C$34,IF($D625="V02",cad!$D$34,cad!$E$34)))</f>
      </c>
      <c r="L625">
        <f>IF($A625="","",IF($D625="V01",cad!$C$35,IF($D625="V02",cad!$D$35,cad!$E$35)))</f>
      </c>
      <c r="M625">
        <f>IF($A625="","",IF($D625="V01",cad!$C$36,IF($D625="V02",cad!$D$36,cad!$E$36)))</f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>
        <f>IF($A626="","",IF($D626="V01",cad!$C$23,IF($D626="V02",cad!$D$23,cad!$E$23)))</f>
      </c>
      <c r="H626">
        <f>IF($A626="","",IF($D626="V01",cad!$C$24,IF($D626="V02",cad!$D$24,cad!$E$24)))</f>
      </c>
      <c r="I626">
        <f>IF($A626="","",IF($D626="V01",cad!$C$32,IF($D626="V02",cad!$D$32,cad!$E$32)))</f>
      </c>
      <c r="J626">
        <f>IF($A626="","",IF($D626="V01",cad!$C$33,IF($D626="V02",cad!$D$33,cad!$E$33)))</f>
      </c>
      <c r="K626">
        <f>IF($A626="","",IF($D626="V01",cad!$C$34,IF($D626="V02",cad!$D$34,cad!$E$34)))</f>
      </c>
      <c r="L626">
        <f>IF($A626="","",IF($D626="V01",cad!$C$35,IF($D626="V02",cad!$D$35,cad!$E$35)))</f>
      </c>
      <c r="M626">
        <f>IF($A626="","",IF($D626="V01",cad!$C$36,IF($D626="V02",cad!$D$36,cad!$E$36)))</f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>
        <f>IF($A627="","",IF($D627="V01",cad!$C$23,IF($D627="V02",cad!$D$23,cad!$E$23)))</f>
      </c>
      <c r="H627">
        <f>IF($A627="","",IF($D627="V01",cad!$C$24,IF($D627="V02",cad!$D$24,cad!$E$24)))</f>
      </c>
      <c r="I627">
        <f>IF($A627="","",IF($D627="V01",cad!$C$32,IF($D627="V02",cad!$D$32,cad!$E$32)))</f>
      </c>
      <c r="J627">
        <f>IF($A627="","",IF($D627="V01",cad!$C$33,IF($D627="V02",cad!$D$33,cad!$E$33)))</f>
      </c>
      <c r="K627">
        <f>IF($A627="","",IF($D627="V01",cad!$C$34,IF($D627="V02",cad!$D$34,cad!$E$34)))</f>
      </c>
      <c r="L627">
        <f>IF($A627="","",IF($D627="V01",cad!$C$35,IF($D627="V02",cad!$D$35,cad!$E$35)))</f>
      </c>
      <c r="M627">
        <f>IF($A627="","",IF($D627="V01",cad!$C$36,IF($D627="V02",cad!$D$36,cad!$E$36)))</f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>
        <f>IF($A628="","",IF($D628="V01",cad!$C$23,IF($D628="V02",cad!$D$23,cad!$E$23)))</f>
      </c>
      <c r="H628">
        <f>IF($A628="","",IF($D628="V01",cad!$C$24,IF($D628="V02",cad!$D$24,cad!$E$24)))</f>
      </c>
      <c r="I628">
        <f>IF($A628="","",IF($D628="V01",cad!$C$32,IF($D628="V02",cad!$D$32,cad!$E$32)))</f>
      </c>
      <c r="J628">
        <f>IF($A628="","",IF($D628="V01",cad!$C$33,IF($D628="V02",cad!$D$33,cad!$E$33)))</f>
      </c>
      <c r="K628">
        <f>IF($A628="","",IF($D628="V01",cad!$C$34,IF($D628="V02",cad!$D$34,cad!$E$34)))</f>
      </c>
      <c r="L628">
        <f>IF($A628="","",IF($D628="V01",cad!$C$35,IF($D628="V02",cad!$D$35,cad!$E$35)))</f>
      </c>
      <c r="M628">
        <f>IF($A628="","",IF($D628="V01",cad!$C$36,IF($D628="V02",cad!$D$36,cad!$E$36)))</f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>
        <f>IF($A629="","",IF($D629="V01",cad!$C$23,IF($D629="V02",cad!$D$23,cad!$E$23)))</f>
      </c>
      <c r="H629">
        <f>IF($A629="","",IF($D629="V01",cad!$C$24,IF($D629="V02",cad!$D$24,cad!$E$24)))</f>
      </c>
      <c r="I629">
        <f>IF($A629="","",IF($D629="V01",cad!$C$32,IF($D629="V02",cad!$D$32,cad!$E$32)))</f>
      </c>
      <c r="J629">
        <f>IF($A629="","",IF($D629="V01",cad!$C$33,IF($D629="V02",cad!$D$33,cad!$E$33)))</f>
      </c>
      <c r="K629">
        <f>IF($A629="","",IF($D629="V01",cad!$C$34,IF($D629="V02",cad!$D$34,cad!$E$34)))</f>
      </c>
      <c r="L629">
        <f>IF($A629="","",IF($D629="V01",cad!$C$35,IF($D629="V02",cad!$D$35,cad!$E$35)))</f>
      </c>
      <c r="M629">
        <f>IF($A629="","",IF($D629="V01",cad!$C$36,IF($D629="V02",cad!$D$36,cad!$E$36)))</f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>
        <f>IF($A630="","",IF($D630="V01",cad!$C$23,IF($D630="V02",cad!$D$23,cad!$E$23)))</f>
      </c>
      <c r="H630">
        <f>IF($A630="","",IF($D630="V01",cad!$C$24,IF($D630="V02",cad!$D$24,cad!$E$24)))</f>
      </c>
      <c r="I630">
        <f>IF($A630="","",IF($D630="V01",cad!$C$32,IF($D630="V02",cad!$D$32,cad!$E$32)))</f>
      </c>
      <c r="J630">
        <f>IF($A630="","",IF($D630="V01",cad!$C$33,IF($D630="V02",cad!$D$33,cad!$E$33)))</f>
      </c>
      <c r="K630">
        <f>IF($A630="","",IF($D630="V01",cad!$C$34,IF($D630="V02",cad!$D$34,cad!$E$34)))</f>
      </c>
      <c r="L630">
        <f>IF($A630="","",IF($D630="V01",cad!$C$35,IF($D630="V02",cad!$D$35,cad!$E$35)))</f>
      </c>
      <c r="M630">
        <f>IF($A630="","",IF($D630="V01",cad!$C$36,IF($D630="V02",cad!$D$36,cad!$E$36)))</f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>
        <f>IF($A631="","",IF($D631="V01",cad!$C$23,IF($D631="V02",cad!$D$23,cad!$E$23)))</f>
      </c>
      <c r="H631">
        <f>IF($A631="","",IF($D631="V01",cad!$C$24,IF($D631="V02",cad!$D$24,cad!$E$24)))</f>
      </c>
      <c r="I631">
        <f>IF($A631="","",IF($D631="V01",cad!$C$32,IF($D631="V02",cad!$D$32,cad!$E$32)))</f>
      </c>
      <c r="J631">
        <f>IF($A631="","",IF($D631="V01",cad!$C$33,IF($D631="V02",cad!$D$33,cad!$E$33)))</f>
      </c>
      <c r="K631">
        <f>IF($A631="","",IF($D631="V01",cad!$C$34,IF($D631="V02",cad!$D$34,cad!$E$34)))</f>
      </c>
      <c r="L631">
        <f>IF($A631="","",IF($D631="V01",cad!$C$35,IF($D631="V02",cad!$D$35,cad!$E$35)))</f>
      </c>
      <c r="M631">
        <f>IF($A631="","",IF($D631="V01",cad!$C$36,IF($D631="V02",cad!$D$36,cad!$E$36)))</f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>
        <f>IF($A632="","",IF($D632="V01",cad!$C$23,IF($D632="V02",cad!$D$23,cad!$E$23)))</f>
      </c>
      <c r="H632">
        <f>IF($A632="","",IF($D632="V01",cad!$C$24,IF($D632="V02",cad!$D$24,cad!$E$24)))</f>
      </c>
      <c r="I632">
        <f>IF($A632="","",IF($D632="V01",cad!$C$32,IF($D632="V02",cad!$D$32,cad!$E$32)))</f>
      </c>
      <c r="J632">
        <f>IF($A632="","",IF($D632="V01",cad!$C$33,IF($D632="V02",cad!$D$33,cad!$E$33)))</f>
      </c>
      <c r="K632">
        <f>IF($A632="","",IF($D632="V01",cad!$C$34,IF($D632="V02",cad!$D$34,cad!$E$34)))</f>
      </c>
      <c r="L632">
        <f>IF($A632="","",IF($D632="V01",cad!$C$35,IF($D632="V02",cad!$D$35,cad!$E$35)))</f>
      </c>
      <c r="M632">
        <f>IF($A632="","",IF($D632="V01",cad!$C$36,IF($D632="V02",cad!$D$36,cad!$E$36)))</f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>
        <f>IF($A633="","",IF($D633="V01",cad!$C$23,IF($D633="V02",cad!$D$23,cad!$E$23)))</f>
      </c>
      <c r="H633">
        <f>IF($A633="","",IF($D633="V01",cad!$C$24,IF($D633="V02",cad!$D$24,cad!$E$24)))</f>
      </c>
      <c r="I633">
        <f>IF($A633="","",IF($D633="V01",cad!$C$32,IF($D633="V02",cad!$D$32,cad!$E$32)))</f>
      </c>
      <c r="J633">
        <f>IF($A633="","",IF($D633="V01",cad!$C$33,IF($D633="V02",cad!$D$33,cad!$E$33)))</f>
      </c>
      <c r="K633">
        <f>IF($A633="","",IF($D633="V01",cad!$C$34,IF($D633="V02",cad!$D$34,cad!$E$34)))</f>
      </c>
      <c r="L633">
        <f>IF($A633="","",IF($D633="V01",cad!$C$35,IF($D633="V02",cad!$D$35,cad!$E$35)))</f>
      </c>
      <c r="M633">
        <f>IF($A633="","",IF($D633="V01",cad!$C$36,IF($D633="V02",cad!$D$36,cad!$E$36)))</f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>
        <f>IF($A634="","",IF($D634="V01",cad!$C$23,IF($D634="V02",cad!$D$23,cad!$E$23)))</f>
      </c>
      <c r="H634">
        <f>IF($A634="","",IF($D634="V01",cad!$C$24,IF($D634="V02",cad!$D$24,cad!$E$24)))</f>
      </c>
      <c r="I634">
        <f>IF($A634="","",IF($D634="V01",cad!$C$32,IF($D634="V02",cad!$D$32,cad!$E$32)))</f>
      </c>
      <c r="J634">
        <f>IF($A634="","",IF($D634="V01",cad!$C$33,IF($D634="V02",cad!$D$33,cad!$E$33)))</f>
      </c>
      <c r="K634">
        <f>IF($A634="","",IF($D634="V01",cad!$C$34,IF($D634="V02",cad!$D$34,cad!$E$34)))</f>
      </c>
      <c r="L634">
        <f>IF($A634="","",IF($D634="V01",cad!$C$35,IF($D634="V02",cad!$D$35,cad!$E$35)))</f>
      </c>
      <c r="M634">
        <f>IF($A634="","",IF($D634="V01",cad!$C$36,IF($D634="V02",cad!$D$36,cad!$E$36)))</f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>
        <f>IF($A635="","",IF($D635="V01",cad!$C$23,IF($D635="V02",cad!$D$23,cad!$E$23)))</f>
      </c>
      <c r="H635">
        <f>IF($A635="","",IF($D635="V01",cad!$C$24,IF($D635="V02",cad!$D$24,cad!$E$24)))</f>
      </c>
      <c r="I635">
        <f>IF($A635="","",IF($D635="V01",cad!$C$32,IF($D635="V02",cad!$D$32,cad!$E$32)))</f>
      </c>
      <c r="J635">
        <f>IF($A635="","",IF($D635="V01",cad!$C$33,IF($D635="V02",cad!$D$33,cad!$E$33)))</f>
      </c>
      <c r="K635">
        <f>IF($A635="","",IF($D635="V01",cad!$C$34,IF($D635="V02",cad!$D$34,cad!$E$34)))</f>
      </c>
      <c r="L635">
        <f>IF($A635="","",IF($D635="V01",cad!$C$35,IF($D635="V02",cad!$D$35,cad!$E$35)))</f>
      </c>
      <c r="M635">
        <f>IF($A635="","",IF($D635="V01",cad!$C$36,IF($D635="V02",cad!$D$36,cad!$E$36)))</f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>
        <f>IF($A636="","",IF($D636="V01",cad!$C$23,IF($D636="V02",cad!$D$23,cad!$E$23)))</f>
      </c>
      <c r="H636">
        <f>IF($A636="","",IF($D636="V01",cad!$C$24,IF($D636="V02",cad!$D$24,cad!$E$24)))</f>
      </c>
      <c r="I636">
        <f>IF($A636="","",IF($D636="V01",cad!$C$32,IF($D636="V02",cad!$D$32,cad!$E$32)))</f>
      </c>
      <c r="J636">
        <f>IF($A636="","",IF($D636="V01",cad!$C$33,IF($D636="V02",cad!$D$33,cad!$E$33)))</f>
      </c>
      <c r="K636">
        <f>IF($A636="","",IF($D636="V01",cad!$C$34,IF($D636="V02",cad!$D$34,cad!$E$34)))</f>
      </c>
      <c r="L636">
        <f>IF($A636="","",IF($D636="V01",cad!$C$35,IF($D636="V02",cad!$D$35,cad!$E$35)))</f>
      </c>
      <c r="M636">
        <f>IF($A636="","",IF($D636="V01",cad!$C$36,IF($D636="V02",cad!$D$36,cad!$E$36)))</f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>
        <f>IF($A637="","",IF($D637="V01",cad!$C$23,IF($D637="V02",cad!$D$23,cad!$E$23)))</f>
      </c>
      <c r="H637">
        <f>IF($A637="","",IF($D637="V01",cad!$C$24,IF($D637="V02",cad!$D$24,cad!$E$24)))</f>
      </c>
      <c r="I637">
        <f>IF($A637="","",IF($D637="V01",cad!$C$32,IF($D637="V02",cad!$D$32,cad!$E$32)))</f>
      </c>
      <c r="J637">
        <f>IF($A637="","",IF($D637="V01",cad!$C$33,IF($D637="V02",cad!$D$33,cad!$E$33)))</f>
      </c>
      <c r="K637">
        <f>IF($A637="","",IF($D637="V01",cad!$C$34,IF($D637="V02",cad!$D$34,cad!$E$34)))</f>
      </c>
      <c r="L637">
        <f>IF($A637="","",IF($D637="V01",cad!$C$35,IF($D637="V02",cad!$D$35,cad!$E$35)))</f>
      </c>
      <c r="M637">
        <f>IF($A637="","",IF($D637="V01",cad!$C$36,IF($D637="V02",cad!$D$36,cad!$E$36)))</f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>
        <f>IF($A638="","",IF($D638="V01",cad!$C$23,IF($D638="V02",cad!$D$23,cad!$E$23)))</f>
      </c>
      <c r="H638">
        <f>IF($A638="","",IF($D638="V01",cad!$C$24,IF($D638="V02",cad!$D$24,cad!$E$24)))</f>
      </c>
      <c r="I638">
        <f>IF($A638="","",IF($D638="V01",cad!$C$32,IF($D638="V02",cad!$D$32,cad!$E$32)))</f>
      </c>
      <c r="J638">
        <f>IF($A638="","",IF($D638="V01",cad!$C$33,IF($D638="V02",cad!$D$33,cad!$E$33)))</f>
      </c>
      <c r="K638">
        <f>IF($A638="","",IF($D638="V01",cad!$C$34,IF($D638="V02",cad!$D$34,cad!$E$34)))</f>
      </c>
      <c r="L638">
        <f>IF($A638="","",IF($D638="V01",cad!$C$35,IF($D638="V02",cad!$D$35,cad!$E$35)))</f>
      </c>
      <c r="M638">
        <f>IF($A638="","",IF($D638="V01",cad!$C$36,IF($D638="V02",cad!$D$36,cad!$E$36)))</f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>
        <f>IF($A639="","",IF($D639="V01",cad!$C$23,IF($D639="V02",cad!$D$23,cad!$E$23)))</f>
      </c>
      <c r="H639">
        <f>IF($A639="","",IF($D639="V01",cad!$C$24,IF($D639="V02",cad!$D$24,cad!$E$24)))</f>
      </c>
      <c r="I639">
        <f>IF($A639="","",IF($D639="V01",cad!$C$32,IF($D639="V02",cad!$D$32,cad!$E$32)))</f>
      </c>
      <c r="J639">
        <f>IF($A639="","",IF($D639="V01",cad!$C$33,IF($D639="V02",cad!$D$33,cad!$E$33)))</f>
      </c>
      <c r="K639">
        <f>IF($A639="","",IF($D639="V01",cad!$C$34,IF($D639="V02",cad!$D$34,cad!$E$34)))</f>
      </c>
      <c r="L639">
        <f>IF($A639="","",IF($D639="V01",cad!$C$35,IF($D639="V02",cad!$D$35,cad!$E$35)))</f>
      </c>
      <c r="M639">
        <f>IF($A639="","",IF($D639="V01",cad!$C$36,IF($D639="V02",cad!$D$36,cad!$E$36)))</f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>
        <f>IF($A640="","",IF($D640="V01",cad!$C$23,IF($D640="V02",cad!$D$23,cad!$E$23)))</f>
      </c>
      <c r="H640">
        <f>IF($A640="","",IF($D640="V01",cad!$C$24,IF($D640="V02",cad!$D$24,cad!$E$24)))</f>
      </c>
      <c r="I640">
        <f>IF($A640="","",IF($D640="V01",cad!$C$32,IF($D640="V02",cad!$D$32,cad!$E$32)))</f>
      </c>
      <c r="J640">
        <f>IF($A640="","",IF($D640="V01",cad!$C$33,IF($D640="V02",cad!$D$33,cad!$E$33)))</f>
      </c>
      <c r="K640">
        <f>IF($A640="","",IF($D640="V01",cad!$C$34,IF($D640="V02",cad!$D$34,cad!$E$34)))</f>
      </c>
      <c r="L640">
        <f>IF($A640="","",IF($D640="V01",cad!$C$35,IF($D640="V02",cad!$D$35,cad!$E$35)))</f>
      </c>
      <c r="M640">
        <f>IF($A640="","",IF($D640="V01",cad!$C$36,IF($D640="V02",cad!$D$36,cad!$E$36)))</f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>
        <f>IF($A641="","",IF($D641="V01",cad!$C$23,IF($D641="V02",cad!$D$23,cad!$E$23)))</f>
      </c>
      <c r="H641">
        <f>IF($A641="","",IF($D641="V01",cad!$C$24,IF($D641="V02",cad!$D$24,cad!$E$24)))</f>
      </c>
      <c r="I641">
        <f>IF($A641="","",IF($D641="V01",cad!$C$32,IF($D641="V02",cad!$D$32,cad!$E$32)))</f>
      </c>
      <c r="J641">
        <f>IF($A641="","",IF($D641="V01",cad!$C$33,IF($D641="V02",cad!$D$33,cad!$E$33)))</f>
      </c>
      <c r="K641">
        <f>IF($A641="","",IF($D641="V01",cad!$C$34,IF($D641="V02",cad!$D$34,cad!$E$34)))</f>
      </c>
      <c r="L641">
        <f>IF($A641="","",IF($D641="V01",cad!$C$35,IF($D641="V02",cad!$D$35,cad!$E$35)))</f>
      </c>
      <c r="M641">
        <f>IF($A641="","",IF($D641="V01",cad!$C$36,IF($D641="V02",cad!$D$36,cad!$E$36)))</f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>
        <f>IF($A642="","",IF($D642="V01",cad!$C$23,IF($D642="V02",cad!$D$23,cad!$E$23)))</f>
      </c>
      <c r="H642">
        <f>IF($A642="","",IF($D642="V01",cad!$C$24,IF($D642="V02",cad!$D$24,cad!$E$24)))</f>
      </c>
      <c r="I642">
        <f>IF($A642="","",IF($D642="V01",cad!$C$32,IF($D642="V02",cad!$D$32,cad!$E$32)))</f>
      </c>
      <c r="J642">
        <f>IF($A642="","",IF($D642="V01",cad!$C$33,IF($D642="V02",cad!$D$33,cad!$E$33)))</f>
      </c>
      <c r="K642">
        <f>IF($A642="","",IF($D642="V01",cad!$C$34,IF($D642="V02",cad!$D$34,cad!$E$34)))</f>
      </c>
      <c r="L642">
        <f>IF($A642="","",IF($D642="V01",cad!$C$35,IF($D642="V02",cad!$D$35,cad!$E$35)))</f>
      </c>
      <c r="M642">
        <f>IF($A642="","",IF($D642="V01",cad!$C$36,IF($D642="V02",cad!$D$36,cad!$E$36)))</f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>
        <f>IF($A643="","",IF($D643="V01",cad!$C$23,IF($D643="V02",cad!$D$23,cad!$E$23)))</f>
      </c>
      <c r="H643">
        <f>IF($A643="","",IF($D643="V01",cad!$C$24,IF($D643="V02",cad!$D$24,cad!$E$24)))</f>
      </c>
      <c r="I643">
        <f>IF($A643="","",IF($D643="V01",cad!$C$32,IF($D643="V02",cad!$D$32,cad!$E$32)))</f>
      </c>
      <c r="J643">
        <f>IF($A643="","",IF($D643="V01",cad!$C$33,IF($D643="V02",cad!$D$33,cad!$E$33)))</f>
      </c>
      <c r="K643">
        <f>IF($A643="","",IF($D643="V01",cad!$C$34,IF($D643="V02",cad!$D$34,cad!$E$34)))</f>
      </c>
      <c r="L643">
        <f>IF($A643="","",IF($D643="V01",cad!$C$35,IF($D643="V02",cad!$D$35,cad!$E$35)))</f>
      </c>
      <c r="M643">
        <f>IF($A643="","",IF($D643="V01",cad!$C$36,IF($D643="V02",cad!$D$36,cad!$E$36)))</f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>
        <f>IF($A644="","",IF($D644="V01",cad!$C$23,IF($D644="V02",cad!$D$23,cad!$E$23)))</f>
      </c>
      <c r="H644">
        <f>IF($A644="","",IF($D644="V01",cad!$C$24,IF($D644="V02",cad!$D$24,cad!$E$24)))</f>
      </c>
      <c r="I644">
        <f>IF($A644="","",IF($D644="V01",cad!$C$32,IF($D644="V02",cad!$D$32,cad!$E$32)))</f>
      </c>
      <c r="J644">
        <f>IF($A644="","",IF($D644="V01",cad!$C$33,IF($D644="V02",cad!$D$33,cad!$E$33)))</f>
      </c>
      <c r="K644">
        <f>IF($A644="","",IF($D644="V01",cad!$C$34,IF($D644="V02",cad!$D$34,cad!$E$34)))</f>
      </c>
      <c r="L644">
        <f>IF($A644="","",IF($D644="V01",cad!$C$35,IF($D644="V02",cad!$D$35,cad!$E$35)))</f>
      </c>
      <c r="M644">
        <f>IF($A644="","",IF($D644="V01",cad!$C$36,IF($D644="V02",cad!$D$36,cad!$E$36)))</f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>
        <f>IF($A645="","",IF($D645="V01",cad!$C$23,IF($D645="V02",cad!$D$23,cad!$E$23)))</f>
      </c>
      <c r="H645">
        <f>IF($A645="","",IF($D645="V01",cad!$C$24,IF($D645="V02",cad!$D$24,cad!$E$24)))</f>
      </c>
      <c r="I645">
        <f>IF($A645="","",IF($D645="V01",cad!$C$32,IF($D645="V02",cad!$D$32,cad!$E$32)))</f>
      </c>
      <c r="J645">
        <f>IF($A645="","",IF($D645="V01",cad!$C$33,IF($D645="V02",cad!$D$33,cad!$E$33)))</f>
      </c>
      <c r="K645">
        <f>IF($A645="","",IF($D645="V01",cad!$C$34,IF($D645="V02",cad!$D$34,cad!$E$34)))</f>
      </c>
      <c r="L645">
        <f>IF($A645="","",IF($D645="V01",cad!$C$35,IF($D645="V02",cad!$D$35,cad!$E$35)))</f>
      </c>
      <c r="M645">
        <f>IF($A645="","",IF($D645="V01",cad!$C$36,IF($D645="V02",cad!$D$36,cad!$E$36)))</f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>
        <f>IF($A646="","",IF($D646="V01",cad!$C$23,IF($D646="V02",cad!$D$23,cad!$E$23)))</f>
      </c>
      <c r="H646">
        <f>IF($A646="","",IF($D646="V01",cad!$C$24,IF($D646="V02",cad!$D$24,cad!$E$24)))</f>
      </c>
      <c r="I646">
        <f>IF($A646="","",IF($D646="V01",cad!$C$32,IF($D646="V02",cad!$D$32,cad!$E$32)))</f>
      </c>
      <c r="J646">
        <f>IF($A646="","",IF($D646="V01",cad!$C$33,IF($D646="V02",cad!$D$33,cad!$E$33)))</f>
      </c>
      <c r="K646">
        <f>IF($A646="","",IF($D646="V01",cad!$C$34,IF($D646="V02",cad!$D$34,cad!$E$34)))</f>
      </c>
      <c r="L646">
        <f>IF($A646="","",IF($D646="V01",cad!$C$35,IF($D646="V02",cad!$D$35,cad!$E$35)))</f>
      </c>
      <c r="M646">
        <f>IF($A646="","",IF($D646="V01",cad!$C$36,IF($D646="V02",cad!$D$36,cad!$E$36)))</f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>
        <f>IF($A647="","",IF($D647="V01",cad!$C$23,IF($D647="V02",cad!$D$23,cad!$E$23)))</f>
      </c>
      <c r="H647">
        <f>IF($A647="","",IF($D647="V01",cad!$C$24,IF($D647="V02",cad!$D$24,cad!$E$24)))</f>
      </c>
      <c r="I647">
        <f>IF($A647="","",IF($D647="V01",cad!$C$32,IF($D647="V02",cad!$D$32,cad!$E$32)))</f>
      </c>
      <c r="J647">
        <f>IF($A647="","",IF($D647="V01",cad!$C$33,IF($D647="V02",cad!$D$33,cad!$E$33)))</f>
      </c>
      <c r="K647">
        <f>IF($A647="","",IF($D647="V01",cad!$C$34,IF($D647="V02",cad!$D$34,cad!$E$34)))</f>
      </c>
      <c r="L647">
        <f>IF($A647="","",IF($D647="V01",cad!$C$35,IF($D647="V02",cad!$D$35,cad!$E$35)))</f>
      </c>
      <c r="M647">
        <f>IF($A647="","",IF($D647="V01",cad!$C$36,IF($D647="V02",cad!$D$36,cad!$E$36)))</f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>
        <f>IF($A648="","",IF($D648="V01",cad!$C$23,IF($D648="V02",cad!$D$23,cad!$E$23)))</f>
      </c>
      <c r="H648">
        <f>IF($A648="","",IF($D648="V01",cad!$C$24,IF($D648="V02",cad!$D$24,cad!$E$24)))</f>
      </c>
      <c r="I648">
        <f>IF($A648="","",IF($D648="V01",cad!$C$32,IF($D648="V02",cad!$D$32,cad!$E$32)))</f>
      </c>
      <c r="J648">
        <f>IF($A648="","",IF($D648="V01",cad!$C$33,IF($D648="V02",cad!$D$33,cad!$E$33)))</f>
      </c>
      <c r="K648">
        <f>IF($A648="","",IF($D648="V01",cad!$C$34,IF($D648="V02",cad!$D$34,cad!$E$34)))</f>
      </c>
      <c r="L648">
        <f>IF($A648="","",IF($D648="V01",cad!$C$35,IF($D648="V02",cad!$D$35,cad!$E$35)))</f>
      </c>
      <c r="M648">
        <f>IF($A648="","",IF($D648="V01",cad!$C$36,IF($D648="V02",cad!$D$36,cad!$E$36)))</f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>
        <f>IF($A649="","",IF($D649="V01",cad!$C$23,IF($D649="V02",cad!$D$23,cad!$E$23)))</f>
      </c>
      <c r="H649">
        <f>IF($A649="","",IF($D649="V01",cad!$C$24,IF($D649="V02",cad!$D$24,cad!$E$24)))</f>
      </c>
      <c r="I649">
        <f>IF($A649="","",IF($D649="V01",cad!$C$32,IF($D649="V02",cad!$D$32,cad!$E$32)))</f>
      </c>
      <c r="J649">
        <f>IF($A649="","",IF($D649="V01",cad!$C$33,IF($D649="V02",cad!$D$33,cad!$E$33)))</f>
      </c>
      <c r="K649">
        <f>IF($A649="","",IF($D649="V01",cad!$C$34,IF($D649="V02",cad!$D$34,cad!$E$34)))</f>
      </c>
      <c r="L649">
        <f>IF($A649="","",IF($D649="V01",cad!$C$35,IF($D649="V02",cad!$D$35,cad!$E$35)))</f>
      </c>
      <c r="M649">
        <f>IF($A649="","",IF($D649="V01",cad!$C$36,IF($D649="V02",cad!$D$36,cad!$E$36)))</f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>
        <f>IF($A650="","",IF($D650="V01",cad!$C$23,IF($D650="V02",cad!$D$23,cad!$E$23)))</f>
      </c>
      <c r="H650">
        <f>IF($A650="","",IF($D650="V01",cad!$C$24,IF($D650="V02",cad!$D$24,cad!$E$24)))</f>
      </c>
      <c r="I650">
        <f>IF($A650="","",IF($D650="V01",cad!$C$32,IF($D650="V02",cad!$D$32,cad!$E$32)))</f>
      </c>
      <c r="J650">
        <f>IF($A650="","",IF($D650="V01",cad!$C$33,IF($D650="V02",cad!$D$33,cad!$E$33)))</f>
      </c>
      <c r="K650">
        <f>IF($A650="","",IF($D650="V01",cad!$C$34,IF($D650="V02",cad!$D$34,cad!$E$34)))</f>
      </c>
      <c r="L650">
        <f>IF($A650="","",IF($D650="V01",cad!$C$35,IF($D650="V02",cad!$D$35,cad!$E$35)))</f>
      </c>
      <c r="M650">
        <f>IF($A650="","",IF($D650="V01",cad!$C$36,IF($D650="V02",cad!$D$36,cad!$E$36)))</f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>
        <f>IF($A651="","",IF($D651="V01",cad!$C$23,IF($D651="V02",cad!$D$23,cad!$E$23)))</f>
      </c>
      <c r="H651">
        <f>IF($A651="","",IF($D651="V01",cad!$C$24,IF($D651="V02",cad!$D$24,cad!$E$24)))</f>
      </c>
      <c r="I651">
        <f>IF($A651="","",IF($D651="V01",cad!$C$32,IF($D651="V02",cad!$D$32,cad!$E$32)))</f>
      </c>
      <c r="J651">
        <f>IF($A651="","",IF($D651="V01",cad!$C$33,IF($D651="V02",cad!$D$33,cad!$E$33)))</f>
      </c>
      <c r="K651">
        <f>IF($A651="","",IF($D651="V01",cad!$C$34,IF($D651="V02",cad!$D$34,cad!$E$34)))</f>
      </c>
      <c r="L651">
        <f>IF($A651="","",IF($D651="V01",cad!$C$35,IF($D651="V02",cad!$D$35,cad!$E$35)))</f>
      </c>
      <c r="M651">
        <f>IF($A651="","",IF($D651="V01",cad!$C$36,IF($D651="V02",cad!$D$36,cad!$E$36)))</f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>
        <f>IF($A652="","",IF($D652="V01",cad!$C$23,IF($D652="V02",cad!$D$23,cad!$E$23)))</f>
      </c>
      <c r="H652">
        <f>IF($A652="","",IF($D652="V01",cad!$C$24,IF($D652="V02",cad!$D$24,cad!$E$24)))</f>
      </c>
      <c r="I652">
        <f>IF($A652="","",IF($D652="V01",cad!$C$32,IF($D652="V02",cad!$D$32,cad!$E$32)))</f>
      </c>
      <c r="J652">
        <f>IF($A652="","",IF($D652="V01",cad!$C$33,IF($D652="V02",cad!$D$33,cad!$E$33)))</f>
      </c>
      <c r="K652">
        <f>IF($A652="","",IF($D652="V01",cad!$C$34,IF($D652="V02",cad!$D$34,cad!$E$34)))</f>
      </c>
      <c r="L652">
        <f>IF($A652="","",IF($D652="V01",cad!$C$35,IF($D652="V02",cad!$D$35,cad!$E$35)))</f>
      </c>
      <c r="M652">
        <f>IF($A652="","",IF($D652="V01",cad!$C$36,IF($D652="V02",cad!$D$36,cad!$E$36)))</f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>
        <f>IF($A653="","",IF($D653="V01",cad!$C$23,IF($D653="V02",cad!$D$23,cad!$E$23)))</f>
      </c>
      <c r="H653">
        <f>IF($A653="","",IF($D653="V01",cad!$C$24,IF($D653="V02",cad!$D$24,cad!$E$24)))</f>
      </c>
      <c r="I653">
        <f>IF($A653="","",IF($D653="V01",cad!$C$32,IF($D653="V02",cad!$D$32,cad!$E$32)))</f>
      </c>
      <c r="J653">
        <f>IF($A653="","",IF($D653="V01",cad!$C$33,IF($D653="V02",cad!$D$33,cad!$E$33)))</f>
      </c>
      <c r="K653">
        <f>IF($A653="","",IF($D653="V01",cad!$C$34,IF($D653="V02",cad!$D$34,cad!$E$34)))</f>
      </c>
      <c r="L653">
        <f>IF($A653="","",IF($D653="V01",cad!$C$35,IF($D653="V02",cad!$D$35,cad!$E$35)))</f>
      </c>
      <c r="M653">
        <f>IF($A653="","",IF($D653="V01",cad!$C$36,IF($D653="V02",cad!$D$36,cad!$E$36)))</f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>
        <f>IF($A654="","",IF($D654="V01",cad!$C$23,IF($D654="V02",cad!$D$23,cad!$E$23)))</f>
      </c>
      <c r="H654">
        <f>IF($A654="","",IF($D654="V01",cad!$C$24,IF($D654="V02",cad!$D$24,cad!$E$24)))</f>
      </c>
      <c r="I654">
        <f>IF($A654="","",IF($D654="V01",cad!$C$32,IF($D654="V02",cad!$D$32,cad!$E$32)))</f>
      </c>
      <c r="J654">
        <f>IF($A654="","",IF($D654="V01",cad!$C$33,IF($D654="V02",cad!$D$33,cad!$E$33)))</f>
      </c>
      <c r="K654">
        <f>IF($A654="","",IF($D654="V01",cad!$C$34,IF($D654="V02",cad!$D$34,cad!$E$34)))</f>
      </c>
      <c r="L654">
        <f>IF($A654="","",IF($D654="V01",cad!$C$35,IF($D654="V02",cad!$D$35,cad!$E$35)))</f>
      </c>
      <c r="M654">
        <f>IF($A654="","",IF($D654="V01",cad!$C$36,IF($D654="V02",cad!$D$36,cad!$E$36)))</f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>
        <f>IF($A655="","",IF($D655="V01",cad!$C$23,IF($D655="V02",cad!$D$23,cad!$E$23)))</f>
      </c>
      <c r="H655">
        <f>IF($A655="","",IF($D655="V01",cad!$C$24,IF($D655="V02",cad!$D$24,cad!$E$24)))</f>
      </c>
      <c r="I655">
        <f>IF($A655="","",IF($D655="V01",cad!$C$32,IF($D655="V02",cad!$D$32,cad!$E$32)))</f>
      </c>
      <c r="J655">
        <f>IF($A655="","",IF($D655="V01",cad!$C$33,IF($D655="V02",cad!$D$33,cad!$E$33)))</f>
      </c>
      <c r="K655">
        <f>IF($A655="","",IF($D655="V01",cad!$C$34,IF($D655="V02",cad!$D$34,cad!$E$34)))</f>
      </c>
      <c r="L655">
        <f>IF($A655="","",IF($D655="V01",cad!$C$35,IF($D655="V02",cad!$D$35,cad!$E$35)))</f>
      </c>
      <c r="M655">
        <f>IF($A655="","",IF($D655="V01",cad!$C$36,IF($D655="V02",cad!$D$36,cad!$E$36)))</f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>
        <f>IF($A656="","",IF($D656="V01",cad!$C$23,IF($D656="V02",cad!$D$23,cad!$E$23)))</f>
      </c>
      <c r="H656">
        <f>IF($A656="","",IF($D656="V01",cad!$C$24,IF($D656="V02",cad!$D$24,cad!$E$24)))</f>
      </c>
      <c r="I656">
        <f>IF($A656="","",IF($D656="V01",cad!$C$32,IF($D656="V02",cad!$D$32,cad!$E$32)))</f>
      </c>
      <c r="J656">
        <f>IF($A656="","",IF($D656="V01",cad!$C$33,IF($D656="V02",cad!$D$33,cad!$E$33)))</f>
      </c>
      <c r="K656">
        <f>IF($A656="","",IF($D656="V01",cad!$C$34,IF($D656="V02",cad!$D$34,cad!$E$34)))</f>
      </c>
      <c r="L656">
        <f>IF($A656="","",IF($D656="V01",cad!$C$35,IF($D656="V02",cad!$D$35,cad!$E$35)))</f>
      </c>
      <c r="M656">
        <f>IF($A656="","",IF($D656="V01",cad!$C$36,IF($D656="V02",cad!$D$36,cad!$E$36)))</f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>
        <f>IF($A657="","",IF($D657="V01",cad!$C$23,IF($D657="V02",cad!$D$23,cad!$E$23)))</f>
      </c>
      <c r="H657">
        <f>IF($A657="","",IF($D657="V01",cad!$C$24,IF($D657="V02",cad!$D$24,cad!$E$24)))</f>
      </c>
      <c r="I657">
        <f>IF($A657="","",IF($D657="V01",cad!$C$32,IF($D657="V02",cad!$D$32,cad!$E$32)))</f>
      </c>
      <c r="J657">
        <f>IF($A657="","",IF($D657="V01",cad!$C$33,IF($D657="V02",cad!$D$33,cad!$E$33)))</f>
      </c>
      <c r="K657">
        <f>IF($A657="","",IF($D657="V01",cad!$C$34,IF($D657="V02",cad!$D$34,cad!$E$34)))</f>
      </c>
      <c r="L657">
        <f>IF($A657="","",IF($D657="V01",cad!$C$35,IF($D657="V02",cad!$D$35,cad!$E$35)))</f>
      </c>
      <c r="M657">
        <f>IF($A657="","",IF($D657="V01",cad!$C$36,IF($D657="V02",cad!$D$36,cad!$E$36)))</f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>
        <f>IF($A658="","",IF($D658="V01",cad!$C$23,IF($D658="V02",cad!$D$23,cad!$E$23)))</f>
      </c>
      <c r="H658">
        <f>IF($A658="","",IF($D658="V01",cad!$C$24,IF($D658="V02",cad!$D$24,cad!$E$24)))</f>
      </c>
      <c r="I658">
        <f>IF($A658="","",IF($D658="V01",cad!$C$32,IF($D658="V02",cad!$D$32,cad!$E$32)))</f>
      </c>
      <c r="J658">
        <f>IF($A658="","",IF($D658="V01",cad!$C$33,IF($D658="V02",cad!$D$33,cad!$E$33)))</f>
      </c>
      <c r="K658">
        <f>IF($A658="","",IF($D658="V01",cad!$C$34,IF($D658="V02",cad!$D$34,cad!$E$34)))</f>
      </c>
      <c r="L658">
        <f>IF($A658="","",IF($D658="V01",cad!$C$35,IF($D658="V02",cad!$D$35,cad!$E$35)))</f>
      </c>
      <c r="M658">
        <f>IF($A658="","",IF($D658="V01",cad!$C$36,IF($D658="V02",cad!$D$36,cad!$E$36)))</f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>
        <f>IF($A659="","",IF($D659="V01",cad!$C$23,IF($D659="V02",cad!$D$23,cad!$E$23)))</f>
      </c>
      <c r="H659">
        <f>IF($A659="","",IF($D659="V01",cad!$C$24,IF($D659="V02",cad!$D$24,cad!$E$24)))</f>
      </c>
      <c r="I659">
        <f>IF($A659="","",IF($D659="V01",cad!$C$32,IF($D659="V02",cad!$D$32,cad!$E$32)))</f>
      </c>
      <c r="J659">
        <f>IF($A659="","",IF($D659="V01",cad!$C$33,IF($D659="V02",cad!$D$33,cad!$E$33)))</f>
      </c>
      <c r="K659">
        <f>IF($A659="","",IF($D659="V01",cad!$C$34,IF($D659="V02",cad!$D$34,cad!$E$34)))</f>
      </c>
      <c r="L659">
        <f>IF($A659="","",IF($D659="V01",cad!$C$35,IF($D659="V02",cad!$D$35,cad!$E$35)))</f>
      </c>
      <c r="M659">
        <f>IF($A659="","",IF($D659="V01",cad!$C$36,IF($D659="V02",cad!$D$36,cad!$E$36)))</f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>
        <f>IF($A660="","",IF($D660="V01",cad!$C$23,IF($D660="V02",cad!$D$23,cad!$E$23)))</f>
      </c>
      <c r="H660">
        <f>IF($A660="","",IF($D660="V01",cad!$C$24,IF($D660="V02",cad!$D$24,cad!$E$24)))</f>
      </c>
      <c r="I660">
        <f>IF($A660="","",IF($D660="V01",cad!$C$32,IF($D660="V02",cad!$D$32,cad!$E$32)))</f>
      </c>
      <c r="J660">
        <f>IF($A660="","",IF($D660="V01",cad!$C$33,IF($D660="V02",cad!$D$33,cad!$E$33)))</f>
      </c>
      <c r="K660">
        <f>IF($A660="","",IF($D660="V01",cad!$C$34,IF($D660="V02",cad!$D$34,cad!$E$34)))</f>
      </c>
      <c r="L660">
        <f>IF($A660="","",IF($D660="V01",cad!$C$35,IF($D660="V02",cad!$D$35,cad!$E$35)))</f>
      </c>
      <c r="M660">
        <f>IF($A660="","",IF($D660="V01",cad!$C$36,IF($D660="V02",cad!$D$36,cad!$E$36)))</f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>
        <f>IF($A661="","",IF($D661="V01",cad!$C$23,IF($D661="V02",cad!$D$23,cad!$E$23)))</f>
      </c>
      <c r="H661">
        <f>IF($A661="","",IF($D661="V01",cad!$C$24,IF($D661="V02",cad!$D$24,cad!$E$24)))</f>
      </c>
      <c r="I661">
        <f>IF($A661="","",IF($D661="V01",cad!$C$32,IF($D661="V02",cad!$D$32,cad!$E$32)))</f>
      </c>
      <c r="J661">
        <f>IF($A661="","",IF($D661="V01",cad!$C$33,IF($D661="V02",cad!$D$33,cad!$E$33)))</f>
      </c>
      <c r="K661">
        <f>IF($A661="","",IF($D661="V01",cad!$C$34,IF($D661="V02",cad!$D$34,cad!$E$34)))</f>
      </c>
      <c r="L661">
        <f>IF($A661="","",IF($D661="V01",cad!$C$35,IF($D661="V02",cad!$D$35,cad!$E$35)))</f>
      </c>
      <c r="M661">
        <f>IF($A661="","",IF($D661="V01",cad!$C$36,IF($D661="V02",cad!$D$36,cad!$E$36)))</f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>
        <f>IF($A662="","",IF($D662="V01",cad!$C$23,IF($D662="V02",cad!$D$23,cad!$E$23)))</f>
      </c>
      <c r="H662">
        <f>IF($A662="","",IF($D662="V01",cad!$C$24,IF($D662="V02",cad!$D$24,cad!$E$24)))</f>
      </c>
      <c r="I662">
        <f>IF($A662="","",IF($D662="V01",cad!$C$32,IF($D662="V02",cad!$D$32,cad!$E$32)))</f>
      </c>
      <c r="J662">
        <f>IF($A662="","",IF($D662="V01",cad!$C$33,IF($D662="V02",cad!$D$33,cad!$E$33)))</f>
      </c>
      <c r="K662">
        <f>IF($A662="","",IF($D662="V01",cad!$C$34,IF($D662="V02",cad!$D$34,cad!$E$34)))</f>
      </c>
      <c r="L662">
        <f>IF($A662="","",IF($D662="V01",cad!$C$35,IF($D662="V02",cad!$D$35,cad!$E$35)))</f>
      </c>
      <c r="M662">
        <f>IF($A662="","",IF($D662="V01",cad!$C$36,IF($D662="V02",cad!$D$36,cad!$E$36)))</f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>
        <f>IF($A663="","",IF($D663="V01",cad!$C$23,IF($D663="V02",cad!$D$23,cad!$E$23)))</f>
      </c>
      <c r="H663">
        <f>IF($A663="","",IF($D663="V01",cad!$C$24,IF($D663="V02",cad!$D$24,cad!$E$24)))</f>
      </c>
      <c r="I663">
        <f>IF($A663="","",IF($D663="V01",cad!$C$32,IF($D663="V02",cad!$D$32,cad!$E$32)))</f>
      </c>
      <c r="J663">
        <f>IF($A663="","",IF($D663="V01",cad!$C$33,IF($D663="V02",cad!$D$33,cad!$E$33)))</f>
      </c>
      <c r="K663">
        <f>IF($A663="","",IF($D663="V01",cad!$C$34,IF($D663="V02",cad!$D$34,cad!$E$34)))</f>
      </c>
      <c r="L663">
        <f>IF($A663="","",IF($D663="V01",cad!$C$35,IF($D663="V02",cad!$D$35,cad!$E$35)))</f>
      </c>
      <c r="M663">
        <f>IF($A663="","",IF($D663="V01",cad!$C$36,IF($D663="V02",cad!$D$36,cad!$E$36)))</f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>
        <f>IF($A664="","",IF($D664="V01",cad!$C$23,IF($D664="V02",cad!$D$23,cad!$E$23)))</f>
      </c>
      <c r="H664">
        <f>IF($A664="","",IF($D664="V01",cad!$C$24,IF($D664="V02",cad!$D$24,cad!$E$24)))</f>
      </c>
      <c r="I664">
        <f>IF($A664="","",IF($D664="V01",cad!$C$32,IF($D664="V02",cad!$D$32,cad!$E$32)))</f>
      </c>
      <c r="J664">
        <f>IF($A664="","",IF($D664="V01",cad!$C$33,IF($D664="V02",cad!$D$33,cad!$E$33)))</f>
      </c>
      <c r="K664">
        <f>IF($A664="","",IF($D664="V01",cad!$C$34,IF($D664="V02",cad!$D$34,cad!$E$34)))</f>
      </c>
      <c r="L664">
        <f>IF($A664="","",IF($D664="V01",cad!$C$35,IF($D664="V02",cad!$D$35,cad!$E$35)))</f>
      </c>
      <c r="M664">
        <f>IF($A664="","",IF($D664="V01",cad!$C$36,IF($D664="V02",cad!$D$36,cad!$E$36)))</f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>
        <f>IF($A665="","",IF($D665="V01",cad!$C$23,IF($D665="V02",cad!$D$23,cad!$E$23)))</f>
      </c>
      <c r="H665">
        <f>IF($A665="","",IF($D665="V01",cad!$C$24,IF($D665="V02",cad!$D$24,cad!$E$24)))</f>
      </c>
      <c r="I665">
        <f>IF($A665="","",IF($D665="V01",cad!$C$32,IF($D665="V02",cad!$D$32,cad!$E$32)))</f>
      </c>
      <c r="J665">
        <f>IF($A665="","",IF($D665="V01",cad!$C$33,IF($D665="V02",cad!$D$33,cad!$E$33)))</f>
      </c>
      <c r="K665">
        <f>IF($A665="","",IF($D665="V01",cad!$C$34,IF($D665="V02",cad!$D$34,cad!$E$34)))</f>
      </c>
      <c r="L665">
        <f>IF($A665="","",IF($D665="V01",cad!$C$35,IF($D665="V02",cad!$D$35,cad!$E$35)))</f>
      </c>
      <c r="M665">
        <f>IF($A665="","",IF($D665="V01",cad!$C$36,IF($D665="V02",cad!$D$36,cad!$E$36)))</f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>
        <f>IF($A666="","",IF($D666="V01",cad!$C$23,IF($D666="V02",cad!$D$23,cad!$E$23)))</f>
      </c>
      <c r="H666">
        <f>IF($A666="","",IF($D666="V01",cad!$C$24,IF($D666="V02",cad!$D$24,cad!$E$24)))</f>
      </c>
      <c r="I666">
        <f>IF($A666="","",IF($D666="V01",cad!$C$32,IF($D666="V02",cad!$D$32,cad!$E$32)))</f>
      </c>
      <c r="J666">
        <f>IF($A666="","",IF($D666="V01",cad!$C$33,IF($D666="V02",cad!$D$33,cad!$E$33)))</f>
      </c>
      <c r="K666">
        <f>IF($A666="","",IF($D666="V01",cad!$C$34,IF($D666="V02",cad!$D$34,cad!$E$34)))</f>
      </c>
      <c r="L666">
        <f>IF($A666="","",IF($D666="V01",cad!$C$35,IF($D666="V02",cad!$D$35,cad!$E$35)))</f>
      </c>
      <c r="M666">
        <f>IF($A666="","",IF($D666="V01",cad!$C$36,IF($D666="V02",cad!$D$36,cad!$E$36)))</f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>
        <f>IF($A667="","",IF($D667="V01",cad!$C$23,IF($D667="V02",cad!$D$23,cad!$E$23)))</f>
      </c>
      <c r="H667">
        <f>IF($A667="","",IF($D667="V01",cad!$C$24,IF($D667="V02",cad!$D$24,cad!$E$24)))</f>
      </c>
      <c r="I667">
        <f>IF($A667="","",IF($D667="V01",cad!$C$32,IF($D667="V02",cad!$D$32,cad!$E$32)))</f>
      </c>
      <c r="J667">
        <f>IF($A667="","",IF($D667="V01",cad!$C$33,IF($D667="V02",cad!$D$33,cad!$E$33)))</f>
      </c>
      <c r="K667">
        <f>IF($A667="","",IF($D667="V01",cad!$C$34,IF($D667="V02",cad!$D$34,cad!$E$34)))</f>
      </c>
      <c r="L667">
        <f>IF($A667="","",IF($D667="V01",cad!$C$35,IF($D667="V02",cad!$D$35,cad!$E$35)))</f>
      </c>
      <c r="M667">
        <f>IF($A667="","",IF($D667="V01",cad!$C$36,IF($D667="V02",cad!$D$36,cad!$E$36)))</f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>
        <f>IF($A668="","",IF($D668="V01",cad!$C$23,IF($D668="V02",cad!$D$23,cad!$E$23)))</f>
      </c>
      <c r="H668">
        <f>IF($A668="","",IF($D668="V01",cad!$C$24,IF($D668="V02",cad!$D$24,cad!$E$24)))</f>
      </c>
      <c r="I668">
        <f>IF($A668="","",IF($D668="V01",cad!$C$32,IF($D668="V02",cad!$D$32,cad!$E$32)))</f>
      </c>
      <c r="J668">
        <f>IF($A668="","",IF($D668="V01",cad!$C$33,IF($D668="V02",cad!$D$33,cad!$E$33)))</f>
      </c>
      <c r="K668">
        <f>IF($A668="","",IF($D668="V01",cad!$C$34,IF($D668="V02",cad!$D$34,cad!$E$34)))</f>
      </c>
      <c r="L668">
        <f>IF($A668="","",IF($D668="V01",cad!$C$35,IF($D668="V02",cad!$D$35,cad!$E$35)))</f>
      </c>
      <c r="M668">
        <f>IF($A668="","",IF($D668="V01",cad!$C$36,IF($D668="V02",cad!$D$36,cad!$E$36)))</f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>
        <f>IF($A669="","",IF($D669="V01",cad!$C$23,IF($D669="V02",cad!$D$23,cad!$E$23)))</f>
      </c>
      <c r="H669">
        <f>IF($A669="","",IF($D669="V01",cad!$C$24,IF($D669="V02",cad!$D$24,cad!$E$24)))</f>
      </c>
      <c r="I669">
        <f>IF($A669="","",IF($D669="V01",cad!$C$32,IF($D669="V02",cad!$D$32,cad!$E$32)))</f>
      </c>
      <c r="J669">
        <f>IF($A669="","",IF($D669="V01",cad!$C$33,IF($D669="V02",cad!$D$33,cad!$E$33)))</f>
      </c>
      <c r="K669">
        <f>IF($A669="","",IF($D669="V01",cad!$C$34,IF($D669="V02",cad!$D$34,cad!$E$34)))</f>
      </c>
      <c r="L669">
        <f>IF($A669="","",IF($D669="V01",cad!$C$35,IF($D669="V02",cad!$D$35,cad!$E$35)))</f>
      </c>
      <c r="M669">
        <f>IF($A669="","",IF($D669="V01",cad!$C$36,IF($D669="V02",cad!$D$36,cad!$E$36)))</f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>
        <f>IF($A670="","",IF($D670="V01",cad!$C$23,IF($D670="V02",cad!$D$23,cad!$E$23)))</f>
      </c>
      <c r="H670">
        <f>IF($A670="","",IF($D670="V01",cad!$C$24,IF($D670="V02",cad!$D$24,cad!$E$24)))</f>
      </c>
      <c r="I670">
        <f>IF($A670="","",IF($D670="V01",cad!$C$32,IF($D670="V02",cad!$D$32,cad!$E$32)))</f>
      </c>
      <c r="J670">
        <f>IF($A670="","",IF($D670="V01",cad!$C$33,IF($D670="V02",cad!$D$33,cad!$E$33)))</f>
      </c>
      <c r="K670">
        <f>IF($A670="","",IF($D670="V01",cad!$C$34,IF($D670="V02",cad!$D$34,cad!$E$34)))</f>
      </c>
      <c r="L670">
        <f>IF($A670="","",IF($D670="V01",cad!$C$35,IF($D670="V02",cad!$D$35,cad!$E$35)))</f>
      </c>
      <c r="M670">
        <f>IF($A670="","",IF($D670="V01",cad!$C$36,IF($D670="V02",cad!$D$36,cad!$E$36)))</f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>
        <f>IF($A671="","",IF($D671="V01",cad!$C$23,IF($D671="V02",cad!$D$23,cad!$E$23)))</f>
      </c>
      <c r="H671">
        <f>IF($A671="","",IF($D671="V01",cad!$C$24,IF($D671="V02",cad!$D$24,cad!$E$24)))</f>
      </c>
      <c r="I671">
        <f>IF($A671="","",IF($D671="V01",cad!$C$32,IF($D671="V02",cad!$D$32,cad!$E$32)))</f>
      </c>
      <c r="J671">
        <f>IF($A671="","",IF($D671="V01",cad!$C$33,IF($D671="V02",cad!$D$33,cad!$E$33)))</f>
      </c>
      <c r="K671">
        <f>IF($A671="","",IF($D671="V01",cad!$C$34,IF($D671="V02",cad!$D$34,cad!$E$34)))</f>
      </c>
      <c r="L671">
        <f>IF($A671="","",IF($D671="V01",cad!$C$35,IF($D671="V02",cad!$D$35,cad!$E$35)))</f>
      </c>
      <c r="M671">
        <f>IF($A671="","",IF($D671="V01",cad!$C$36,IF($D671="V02",cad!$D$36,cad!$E$36)))</f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>
        <f>IF($A672="","",IF($D672="V01",cad!$C$23,IF($D672="V02",cad!$D$23,cad!$E$23)))</f>
      </c>
      <c r="H672">
        <f>IF($A672="","",IF($D672="V01",cad!$C$24,IF($D672="V02",cad!$D$24,cad!$E$24)))</f>
      </c>
      <c r="I672">
        <f>IF($A672="","",IF($D672="V01",cad!$C$32,IF($D672="V02",cad!$D$32,cad!$E$32)))</f>
      </c>
      <c r="J672">
        <f>IF($A672="","",IF($D672="V01",cad!$C$33,IF($D672="V02",cad!$D$33,cad!$E$33)))</f>
      </c>
      <c r="K672">
        <f>IF($A672="","",IF($D672="V01",cad!$C$34,IF($D672="V02",cad!$D$34,cad!$E$34)))</f>
      </c>
      <c r="L672">
        <f>IF($A672="","",IF($D672="V01",cad!$C$35,IF($D672="V02",cad!$D$35,cad!$E$35)))</f>
      </c>
      <c r="M672">
        <f>IF($A672="","",IF($D672="V01",cad!$C$36,IF($D672="V02",cad!$D$36,cad!$E$36)))</f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>
        <f>IF($A673="","",IF($D673="V01",cad!$C$23,IF($D673="V02",cad!$D$23,cad!$E$23)))</f>
      </c>
      <c r="H673">
        <f>IF($A673="","",IF($D673="V01",cad!$C$24,IF($D673="V02",cad!$D$24,cad!$E$24)))</f>
      </c>
      <c r="I673">
        <f>IF($A673="","",IF($D673="V01",cad!$C$32,IF($D673="V02",cad!$D$32,cad!$E$32)))</f>
      </c>
      <c r="J673">
        <f>IF($A673="","",IF($D673="V01",cad!$C$33,IF($D673="V02",cad!$D$33,cad!$E$33)))</f>
      </c>
      <c r="K673">
        <f>IF($A673="","",IF($D673="V01",cad!$C$34,IF($D673="V02",cad!$D$34,cad!$E$34)))</f>
      </c>
      <c r="L673">
        <f>IF($A673="","",IF($D673="V01",cad!$C$35,IF($D673="V02",cad!$D$35,cad!$E$35)))</f>
      </c>
      <c r="M673">
        <f>IF($A673="","",IF($D673="V01",cad!$C$36,IF($D673="V02",cad!$D$36,cad!$E$36)))</f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>
        <f>IF($A674="","",IF($D674="V01",cad!$C$23,IF($D674="V02",cad!$D$23,cad!$E$23)))</f>
      </c>
      <c r="H674">
        <f>IF($A674="","",IF($D674="V01",cad!$C$24,IF($D674="V02",cad!$D$24,cad!$E$24)))</f>
      </c>
      <c r="I674">
        <f>IF($A674="","",IF($D674="V01",cad!$C$32,IF($D674="V02",cad!$D$32,cad!$E$32)))</f>
      </c>
      <c r="J674">
        <f>IF($A674="","",IF($D674="V01",cad!$C$33,IF($D674="V02",cad!$D$33,cad!$E$33)))</f>
      </c>
      <c r="K674">
        <f>IF($A674="","",IF($D674="V01",cad!$C$34,IF($D674="V02",cad!$D$34,cad!$E$34)))</f>
      </c>
      <c r="L674">
        <f>IF($A674="","",IF($D674="V01",cad!$C$35,IF($D674="V02",cad!$D$35,cad!$E$35)))</f>
      </c>
      <c r="M674">
        <f>IF($A674="","",IF($D674="V01",cad!$C$36,IF($D674="V02",cad!$D$36,cad!$E$36)))</f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>
        <f>IF($A675="","",IF($D675="V01",cad!$C$23,IF($D675="V02",cad!$D$23,cad!$E$23)))</f>
      </c>
      <c r="H675">
        <f>IF($A675="","",IF($D675="V01",cad!$C$24,IF($D675="V02",cad!$D$24,cad!$E$24)))</f>
      </c>
      <c r="I675">
        <f>IF($A675="","",IF($D675="V01",cad!$C$32,IF($D675="V02",cad!$D$32,cad!$E$32)))</f>
      </c>
      <c r="J675">
        <f>IF($A675="","",IF($D675="V01",cad!$C$33,IF($D675="V02",cad!$D$33,cad!$E$33)))</f>
      </c>
      <c r="K675">
        <f>IF($A675="","",IF($D675="V01",cad!$C$34,IF($D675="V02",cad!$D$34,cad!$E$34)))</f>
      </c>
      <c r="L675">
        <f>IF($A675="","",IF($D675="V01",cad!$C$35,IF($D675="V02",cad!$D$35,cad!$E$35)))</f>
      </c>
      <c r="M675">
        <f>IF($A675="","",IF($D675="V01",cad!$C$36,IF($D675="V02",cad!$D$36,cad!$E$36)))</f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>
        <f>IF($A676="","",IF($D676="V01",cad!$C$23,IF($D676="V02",cad!$D$23,cad!$E$23)))</f>
      </c>
      <c r="H676">
        <f>IF($A676="","",IF($D676="V01",cad!$C$24,IF($D676="V02",cad!$D$24,cad!$E$24)))</f>
      </c>
      <c r="I676">
        <f>IF($A676="","",IF($D676="V01",cad!$C$32,IF($D676="V02",cad!$D$32,cad!$E$32)))</f>
      </c>
      <c r="J676">
        <f>IF($A676="","",IF($D676="V01",cad!$C$33,IF($D676="V02",cad!$D$33,cad!$E$33)))</f>
      </c>
      <c r="K676">
        <f>IF($A676="","",IF($D676="V01",cad!$C$34,IF($D676="V02",cad!$D$34,cad!$E$34)))</f>
      </c>
      <c r="L676">
        <f>IF($A676="","",IF($D676="V01",cad!$C$35,IF($D676="V02",cad!$D$35,cad!$E$35)))</f>
      </c>
      <c r="M676">
        <f>IF($A676="","",IF($D676="V01",cad!$C$36,IF($D676="V02",cad!$D$36,cad!$E$36)))</f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>
        <f>IF($A677="","",IF($D677="V01",cad!$C$23,IF($D677="V02",cad!$D$23,cad!$E$23)))</f>
      </c>
      <c r="H677">
        <f>IF($A677="","",IF($D677="V01",cad!$C$24,IF($D677="V02",cad!$D$24,cad!$E$24)))</f>
      </c>
      <c r="I677">
        <f>IF($A677="","",IF($D677="V01",cad!$C$32,IF($D677="V02",cad!$D$32,cad!$E$32)))</f>
      </c>
      <c r="J677">
        <f>IF($A677="","",IF($D677="V01",cad!$C$33,IF($D677="V02",cad!$D$33,cad!$E$33)))</f>
      </c>
      <c r="K677">
        <f>IF($A677="","",IF($D677="V01",cad!$C$34,IF($D677="V02",cad!$D$34,cad!$E$34)))</f>
      </c>
      <c r="L677">
        <f>IF($A677="","",IF($D677="V01",cad!$C$35,IF($D677="V02",cad!$D$35,cad!$E$35)))</f>
      </c>
      <c r="M677">
        <f>IF($A677="","",IF($D677="V01",cad!$C$36,IF($D677="V02",cad!$D$36,cad!$E$36)))</f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>
        <f>IF($A678="","",IF($D678="V01",cad!$C$23,IF($D678="V02",cad!$D$23,cad!$E$23)))</f>
      </c>
      <c r="H678">
        <f>IF($A678="","",IF($D678="V01",cad!$C$24,IF($D678="V02",cad!$D$24,cad!$E$24)))</f>
      </c>
      <c r="I678">
        <f>IF($A678="","",IF($D678="V01",cad!$C$32,IF($D678="V02",cad!$D$32,cad!$E$32)))</f>
      </c>
      <c r="J678">
        <f>IF($A678="","",IF($D678="V01",cad!$C$33,IF($D678="V02",cad!$D$33,cad!$E$33)))</f>
      </c>
      <c r="K678">
        <f>IF($A678="","",IF($D678="V01",cad!$C$34,IF($D678="V02",cad!$D$34,cad!$E$34)))</f>
      </c>
      <c r="L678">
        <f>IF($A678="","",IF($D678="V01",cad!$C$35,IF($D678="V02",cad!$D$35,cad!$E$35)))</f>
      </c>
      <c r="M678">
        <f>IF($A678="","",IF($D678="V01",cad!$C$36,IF($D678="V02",cad!$D$36,cad!$E$36)))</f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>
        <f>IF($A679="","",IF($D679="V01",cad!$C$23,IF($D679="V02",cad!$D$23,cad!$E$23)))</f>
      </c>
      <c r="H679">
        <f>IF($A679="","",IF($D679="V01",cad!$C$24,IF($D679="V02",cad!$D$24,cad!$E$24)))</f>
      </c>
      <c r="I679">
        <f>IF($A679="","",IF($D679="V01",cad!$C$32,IF($D679="V02",cad!$D$32,cad!$E$32)))</f>
      </c>
      <c r="J679">
        <f>IF($A679="","",IF($D679="V01",cad!$C$33,IF($D679="V02",cad!$D$33,cad!$E$33)))</f>
      </c>
      <c r="K679">
        <f>IF($A679="","",IF($D679="V01",cad!$C$34,IF($D679="V02",cad!$D$34,cad!$E$34)))</f>
      </c>
      <c r="L679">
        <f>IF($A679="","",IF($D679="V01",cad!$C$35,IF($D679="V02",cad!$D$35,cad!$E$35)))</f>
      </c>
      <c r="M679">
        <f>IF($A679="","",IF($D679="V01",cad!$C$36,IF($D679="V02",cad!$D$36,cad!$E$36)))</f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>
        <f>IF($A680="","",IF($D680="V01",cad!$C$23,IF($D680="V02",cad!$D$23,cad!$E$23)))</f>
      </c>
      <c r="H680">
        <f>IF($A680="","",IF($D680="V01",cad!$C$24,IF($D680="V02",cad!$D$24,cad!$E$24)))</f>
      </c>
      <c r="I680">
        <f>IF($A680="","",IF($D680="V01",cad!$C$32,IF($D680="V02",cad!$D$32,cad!$E$32)))</f>
      </c>
      <c r="J680">
        <f>IF($A680="","",IF($D680="V01",cad!$C$33,IF($D680="V02",cad!$D$33,cad!$E$33)))</f>
      </c>
      <c r="K680">
        <f>IF($A680="","",IF($D680="V01",cad!$C$34,IF($D680="V02",cad!$D$34,cad!$E$34)))</f>
      </c>
      <c r="L680">
        <f>IF($A680="","",IF($D680="V01",cad!$C$35,IF($D680="V02",cad!$D$35,cad!$E$35)))</f>
      </c>
      <c r="M680">
        <f>IF($A680="","",IF($D680="V01",cad!$C$36,IF($D680="V02",cad!$D$36,cad!$E$36)))</f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>
        <f>IF($A681="","",IF($D681="V01",cad!$C$23,IF($D681="V02",cad!$D$23,cad!$E$23)))</f>
      </c>
      <c r="H681">
        <f>IF($A681="","",IF($D681="V01",cad!$C$24,IF($D681="V02",cad!$D$24,cad!$E$24)))</f>
      </c>
      <c r="I681">
        <f>IF($A681="","",IF($D681="V01",cad!$C$32,IF($D681="V02",cad!$D$32,cad!$E$32)))</f>
      </c>
      <c r="J681">
        <f>IF($A681="","",IF($D681="V01",cad!$C$33,IF($D681="V02",cad!$D$33,cad!$E$33)))</f>
      </c>
      <c r="K681">
        <f>IF($A681="","",IF($D681="V01",cad!$C$34,IF($D681="V02",cad!$D$34,cad!$E$34)))</f>
      </c>
      <c r="L681">
        <f>IF($A681="","",IF($D681="V01",cad!$C$35,IF($D681="V02",cad!$D$35,cad!$E$35)))</f>
      </c>
      <c r="M681">
        <f>IF($A681="","",IF($D681="V01",cad!$C$36,IF($D681="V02",cad!$D$36,cad!$E$36)))</f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>
        <f>IF($A682="","",IF($D682="V01",cad!$C$23,IF($D682="V02",cad!$D$23,cad!$E$23)))</f>
      </c>
      <c r="H682">
        <f>IF($A682="","",IF($D682="V01",cad!$C$24,IF($D682="V02",cad!$D$24,cad!$E$24)))</f>
      </c>
      <c r="I682">
        <f>IF($A682="","",IF($D682="V01",cad!$C$32,IF($D682="V02",cad!$D$32,cad!$E$32)))</f>
      </c>
      <c r="J682">
        <f>IF($A682="","",IF($D682="V01",cad!$C$33,IF($D682="V02",cad!$D$33,cad!$E$33)))</f>
      </c>
      <c r="K682">
        <f>IF($A682="","",IF($D682="V01",cad!$C$34,IF($D682="V02",cad!$D$34,cad!$E$34)))</f>
      </c>
      <c r="L682">
        <f>IF($A682="","",IF($D682="V01",cad!$C$35,IF($D682="V02",cad!$D$35,cad!$E$35)))</f>
      </c>
      <c r="M682">
        <f>IF($A682="","",IF($D682="V01",cad!$C$36,IF($D682="V02",cad!$D$36,cad!$E$36)))</f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>
        <f>IF($A683="","",IF($D683="V01",cad!$C$23,IF($D683="V02",cad!$D$23,cad!$E$23)))</f>
      </c>
      <c r="H683">
        <f>IF($A683="","",IF($D683="V01",cad!$C$24,IF($D683="V02",cad!$D$24,cad!$E$24)))</f>
      </c>
      <c r="I683">
        <f>IF($A683="","",IF($D683="V01",cad!$C$32,IF($D683="V02",cad!$D$32,cad!$E$32)))</f>
      </c>
      <c r="J683">
        <f>IF($A683="","",IF($D683="V01",cad!$C$33,IF($D683="V02",cad!$D$33,cad!$E$33)))</f>
      </c>
      <c r="K683">
        <f>IF($A683="","",IF($D683="V01",cad!$C$34,IF($D683="V02",cad!$D$34,cad!$E$34)))</f>
      </c>
      <c r="L683">
        <f>IF($A683="","",IF($D683="V01",cad!$C$35,IF($D683="V02",cad!$D$35,cad!$E$35)))</f>
      </c>
      <c r="M683">
        <f>IF($A683="","",IF($D683="V01",cad!$C$36,IF($D683="V02",cad!$D$36,cad!$E$36)))</f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>
        <f>IF($A684="","",IF($D684="V01",cad!$C$23,IF($D684="V02",cad!$D$23,cad!$E$23)))</f>
      </c>
      <c r="H684">
        <f>IF($A684="","",IF($D684="V01",cad!$C$24,IF($D684="V02",cad!$D$24,cad!$E$24)))</f>
      </c>
      <c r="I684">
        <f>IF($A684="","",IF($D684="V01",cad!$C$32,IF($D684="V02",cad!$D$32,cad!$E$32)))</f>
      </c>
      <c r="J684">
        <f>IF($A684="","",IF($D684="V01",cad!$C$33,IF($D684="V02",cad!$D$33,cad!$E$33)))</f>
      </c>
      <c r="K684">
        <f>IF($A684="","",IF($D684="V01",cad!$C$34,IF($D684="V02",cad!$D$34,cad!$E$34)))</f>
      </c>
      <c r="L684">
        <f>IF($A684="","",IF($D684="V01",cad!$C$35,IF($D684="V02",cad!$D$35,cad!$E$35)))</f>
      </c>
      <c r="M684">
        <f>IF($A684="","",IF($D684="V01",cad!$C$36,IF($D684="V02",cad!$D$36,cad!$E$36)))</f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>
        <f>IF($A685="","",IF($D685="V01",cad!$C$23,IF($D685="V02",cad!$D$23,cad!$E$23)))</f>
      </c>
      <c r="H685">
        <f>IF($A685="","",IF($D685="V01",cad!$C$24,IF($D685="V02",cad!$D$24,cad!$E$24)))</f>
      </c>
      <c r="I685">
        <f>IF($A685="","",IF($D685="V01",cad!$C$32,IF($D685="V02",cad!$D$32,cad!$E$32)))</f>
      </c>
      <c r="J685">
        <f>IF($A685="","",IF($D685="V01",cad!$C$33,IF($D685="V02",cad!$D$33,cad!$E$33)))</f>
      </c>
      <c r="K685">
        <f>IF($A685="","",IF($D685="V01",cad!$C$34,IF($D685="V02",cad!$D$34,cad!$E$34)))</f>
      </c>
      <c r="L685">
        <f>IF($A685="","",IF($D685="V01",cad!$C$35,IF($D685="V02",cad!$D$35,cad!$E$35)))</f>
      </c>
      <c r="M685">
        <f>IF($A685="","",IF($D685="V01",cad!$C$36,IF($D685="V02",cad!$D$36,cad!$E$36)))</f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>
        <f>IF($A686="","",IF($D686="V01",cad!$C$23,IF($D686="V02",cad!$D$23,cad!$E$23)))</f>
      </c>
      <c r="H686">
        <f>IF($A686="","",IF($D686="V01",cad!$C$24,IF($D686="V02",cad!$D$24,cad!$E$24)))</f>
      </c>
      <c r="I686">
        <f>IF($A686="","",IF($D686="V01",cad!$C$32,IF($D686="V02",cad!$D$32,cad!$E$32)))</f>
      </c>
      <c r="J686">
        <f>IF($A686="","",IF($D686="V01",cad!$C$33,IF($D686="V02",cad!$D$33,cad!$E$33)))</f>
      </c>
      <c r="K686">
        <f>IF($A686="","",IF($D686="V01",cad!$C$34,IF($D686="V02",cad!$D$34,cad!$E$34)))</f>
      </c>
      <c r="L686">
        <f>IF($A686="","",IF($D686="V01",cad!$C$35,IF($D686="V02",cad!$D$35,cad!$E$35)))</f>
      </c>
      <c r="M686">
        <f>IF($A686="","",IF($D686="V01",cad!$C$36,IF($D686="V02",cad!$D$36,cad!$E$36)))</f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>
        <f>IF($A687="","",IF($D687="V01",cad!$C$23,IF($D687="V02",cad!$D$23,cad!$E$23)))</f>
      </c>
      <c r="H687">
        <f>IF($A687="","",IF($D687="V01",cad!$C$24,IF($D687="V02",cad!$D$24,cad!$E$24)))</f>
      </c>
      <c r="I687">
        <f>IF($A687="","",IF($D687="V01",cad!$C$32,IF($D687="V02",cad!$D$32,cad!$E$32)))</f>
      </c>
      <c r="J687">
        <f>IF($A687="","",IF($D687="V01",cad!$C$33,IF($D687="V02",cad!$D$33,cad!$E$33)))</f>
      </c>
      <c r="K687">
        <f>IF($A687="","",IF($D687="V01",cad!$C$34,IF($D687="V02",cad!$D$34,cad!$E$34)))</f>
      </c>
      <c r="L687">
        <f>IF($A687="","",IF($D687="V01",cad!$C$35,IF($D687="V02",cad!$D$35,cad!$E$35)))</f>
      </c>
      <c r="M687">
        <f>IF($A687="","",IF($D687="V01",cad!$C$36,IF($D687="V02",cad!$D$36,cad!$E$36)))</f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>
        <f>IF($A688="","",IF($D688="V01",cad!$C$23,IF($D688="V02",cad!$D$23,cad!$E$23)))</f>
      </c>
      <c r="H688">
        <f>IF($A688="","",IF($D688="V01",cad!$C$24,IF($D688="V02",cad!$D$24,cad!$E$24)))</f>
      </c>
      <c r="I688">
        <f>IF($A688="","",IF($D688="V01",cad!$C$32,IF($D688="V02",cad!$D$32,cad!$E$32)))</f>
      </c>
      <c r="J688">
        <f>IF($A688="","",IF($D688="V01",cad!$C$33,IF($D688="V02",cad!$D$33,cad!$E$33)))</f>
      </c>
      <c r="K688">
        <f>IF($A688="","",IF($D688="V01",cad!$C$34,IF($D688="V02",cad!$D$34,cad!$E$34)))</f>
      </c>
      <c r="L688">
        <f>IF($A688="","",IF($D688="V01",cad!$C$35,IF($D688="V02",cad!$D$35,cad!$E$35)))</f>
      </c>
      <c r="M688">
        <f>IF($A688="","",IF($D688="V01",cad!$C$36,IF($D688="V02",cad!$D$36,cad!$E$36)))</f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>
        <f>IF($A689="","",IF($D689="V01",cad!$C$23,IF($D689="V02",cad!$D$23,cad!$E$23)))</f>
      </c>
      <c r="H689">
        <f>IF($A689="","",IF($D689="V01",cad!$C$24,IF($D689="V02",cad!$D$24,cad!$E$24)))</f>
      </c>
      <c r="I689">
        <f>IF($A689="","",IF($D689="V01",cad!$C$32,IF($D689="V02",cad!$D$32,cad!$E$32)))</f>
      </c>
      <c r="J689">
        <f>IF($A689="","",IF($D689="V01",cad!$C$33,IF($D689="V02",cad!$D$33,cad!$E$33)))</f>
      </c>
      <c r="K689">
        <f>IF($A689="","",IF($D689="V01",cad!$C$34,IF($D689="V02",cad!$D$34,cad!$E$34)))</f>
      </c>
      <c r="L689">
        <f>IF($A689="","",IF($D689="V01",cad!$C$35,IF($D689="V02",cad!$D$35,cad!$E$35)))</f>
      </c>
      <c r="M689">
        <f>IF($A689="","",IF($D689="V01",cad!$C$36,IF($D689="V02",cad!$D$36,cad!$E$36)))</f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>
        <f>IF($A690="","",IF($D690="V01",cad!$C$23,IF($D690="V02",cad!$D$23,cad!$E$23)))</f>
      </c>
      <c r="H690">
        <f>IF($A690="","",IF($D690="V01",cad!$C$24,IF($D690="V02",cad!$D$24,cad!$E$24)))</f>
      </c>
      <c r="I690">
        <f>IF($A690="","",IF($D690="V01",cad!$C$32,IF($D690="V02",cad!$D$32,cad!$E$32)))</f>
      </c>
      <c r="J690">
        <f>IF($A690="","",IF($D690="V01",cad!$C$33,IF($D690="V02",cad!$D$33,cad!$E$33)))</f>
      </c>
      <c r="K690">
        <f>IF($A690="","",IF($D690="V01",cad!$C$34,IF($D690="V02",cad!$D$34,cad!$E$34)))</f>
      </c>
      <c r="L690">
        <f>IF($A690="","",IF($D690="V01",cad!$C$35,IF($D690="V02",cad!$D$35,cad!$E$35)))</f>
      </c>
      <c r="M690">
        <f>IF($A690="","",IF($D690="V01",cad!$C$36,IF($D690="V02",cad!$D$36,cad!$E$36)))</f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>
        <f>IF($A691="","",IF($D691="V01",cad!$C$23,IF($D691="V02",cad!$D$23,cad!$E$23)))</f>
      </c>
      <c r="H691">
        <f>IF($A691="","",IF($D691="V01",cad!$C$24,IF($D691="V02",cad!$D$24,cad!$E$24)))</f>
      </c>
      <c r="I691">
        <f>IF($A691="","",IF($D691="V01",cad!$C$32,IF($D691="V02",cad!$D$32,cad!$E$32)))</f>
      </c>
      <c r="J691">
        <f>IF($A691="","",IF($D691="V01",cad!$C$33,IF($D691="V02",cad!$D$33,cad!$E$33)))</f>
      </c>
      <c r="K691">
        <f>IF($A691="","",IF($D691="V01",cad!$C$34,IF($D691="V02",cad!$D$34,cad!$E$34)))</f>
      </c>
      <c r="L691">
        <f>IF($A691="","",IF($D691="V01",cad!$C$35,IF($D691="V02",cad!$D$35,cad!$E$35)))</f>
      </c>
      <c r="M691">
        <f>IF($A691="","",IF($D691="V01",cad!$C$36,IF($D691="V02",cad!$D$36,cad!$E$36)))</f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>
        <f>IF($A692="","",IF($D692="V01",cad!$C$23,IF($D692="V02",cad!$D$23,cad!$E$23)))</f>
      </c>
      <c r="H692">
        <f>IF($A692="","",IF($D692="V01",cad!$C$24,IF($D692="V02",cad!$D$24,cad!$E$24)))</f>
      </c>
      <c r="I692">
        <f>IF($A692="","",IF($D692="V01",cad!$C$32,IF($D692="V02",cad!$D$32,cad!$E$32)))</f>
      </c>
      <c r="J692">
        <f>IF($A692="","",IF($D692="V01",cad!$C$33,IF($D692="V02",cad!$D$33,cad!$E$33)))</f>
      </c>
      <c r="K692">
        <f>IF($A692="","",IF($D692="V01",cad!$C$34,IF($D692="V02",cad!$D$34,cad!$E$34)))</f>
      </c>
      <c r="L692">
        <f>IF($A692="","",IF($D692="V01",cad!$C$35,IF($D692="V02",cad!$D$35,cad!$E$35)))</f>
      </c>
      <c r="M692">
        <f>IF($A692="","",IF($D692="V01",cad!$C$36,IF($D692="V02",cad!$D$36,cad!$E$36)))</f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>
        <f>IF($A693="","",IF($D693="V01",cad!$C$23,IF($D693="V02",cad!$D$23,cad!$E$23)))</f>
      </c>
      <c r="H693">
        <f>IF($A693="","",IF($D693="V01",cad!$C$24,IF($D693="V02",cad!$D$24,cad!$E$24)))</f>
      </c>
      <c r="I693">
        <f>IF($A693="","",IF($D693="V01",cad!$C$32,IF($D693="V02",cad!$D$32,cad!$E$32)))</f>
      </c>
      <c r="J693">
        <f>IF($A693="","",IF($D693="V01",cad!$C$33,IF($D693="V02",cad!$D$33,cad!$E$33)))</f>
      </c>
      <c r="K693">
        <f>IF($A693="","",IF($D693="V01",cad!$C$34,IF($D693="V02",cad!$D$34,cad!$E$34)))</f>
      </c>
      <c r="L693">
        <f>IF($A693="","",IF($D693="V01",cad!$C$35,IF($D693="V02",cad!$D$35,cad!$E$35)))</f>
      </c>
      <c r="M693">
        <f>IF($A693="","",IF($D693="V01",cad!$C$36,IF($D693="V02",cad!$D$36,cad!$E$36)))</f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>
        <f>IF($A694="","",IF($D694="V01",cad!$C$23,IF($D694="V02",cad!$D$23,cad!$E$23)))</f>
      </c>
      <c r="H694">
        <f>IF($A694="","",IF($D694="V01",cad!$C$24,IF($D694="V02",cad!$D$24,cad!$E$24)))</f>
      </c>
      <c r="I694">
        <f>IF($A694="","",IF($D694="V01",cad!$C$32,IF($D694="V02",cad!$D$32,cad!$E$32)))</f>
      </c>
      <c r="J694">
        <f>IF($A694="","",IF($D694="V01",cad!$C$33,IF($D694="V02",cad!$D$33,cad!$E$33)))</f>
      </c>
      <c r="K694">
        <f>IF($A694="","",IF($D694="V01",cad!$C$34,IF($D694="V02",cad!$D$34,cad!$E$34)))</f>
      </c>
      <c r="L694">
        <f>IF($A694="","",IF($D694="V01",cad!$C$35,IF($D694="V02",cad!$D$35,cad!$E$35)))</f>
      </c>
      <c r="M694">
        <f>IF($A694="","",IF($D694="V01",cad!$C$36,IF($D694="V02",cad!$D$36,cad!$E$36)))</f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>
        <f>IF($A695="","",IF($D695="V01",cad!$C$23,IF($D695="V02",cad!$D$23,cad!$E$23)))</f>
      </c>
      <c r="H695">
        <f>IF($A695="","",IF($D695="V01",cad!$C$24,IF($D695="V02",cad!$D$24,cad!$E$24)))</f>
      </c>
      <c r="I695">
        <f>IF($A695="","",IF($D695="V01",cad!$C$32,IF($D695="V02",cad!$D$32,cad!$E$32)))</f>
      </c>
      <c r="J695">
        <f>IF($A695="","",IF($D695="V01",cad!$C$33,IF($D695="V02",cad!$D$33,cad!$E$33)))</f>
      </c>
      <c r="K695">
        <f>IF($A695="","",IF($D695="V01",cad!$C$34,IF($D695="V02",cad!$D$34,cad!$E$34)))</f>
      </c>
      <c r="L695">
        <f>IF($A695="","",IF($D695="V01",cad!$C$35,IF($D695="V02",cad!$D$35,cad!$E$35)))</f>
      </c>
      <c r="M695">
        <f>IF($A695="","",IF($D695="V01",cad!$C$36,IF($D695="V02",cad!$D$36,cad!$E$36)))</f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>
        <f>IF($A696="","",IF($D696="V01",cad!$C$23,IF($D696="V02",cad!$D$23,cad!$E$23)))</f>
      </c>
      <c r="H696">
        <f>IF($A696="","",IF($D696="V01",cad!$C$24,IF($D696="V02",cad!$D$24,cad!$E$24)))</f>
      </c>
      <c r="I696">
        <f>IF($A696="","",IF($D696="V01",cad!$C$32,IF($D696="V02",cad!$D$32,cad!$E$32)))</f>
      </c>
      <c r="J696">
        <f>IF($A696="","",IF($D696="V01",cad!$C$33,IF($D696="V02",cad!$D$33,cad!$E$33)))</f>
      </c>
      <c r="K696">
        <f>IF($A696="","",IF($D696="V01",cad!$C$34,IF($D696="V02",cad!$D$34,cad!$E$34)))</f>
      </c>
      <c r="L696">
        <f>IF($A696="","",IF($D696="V01",cad!$C$35,IF($D696="V02",cad!$D$35,cad!$E$35)))</f>
      </c>
      <c r="M696">
        <f>IF($A696="","",IF($D696="V01",cad!$C$36,IF($D696="V02",cad!$D$36,cad!$E$36)))</f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>
        <f>IF($A697="","",IF($D697="V01",cad!$C$23,IF($D697="V02",cad!$D$23,cad!$E$23)))</f>
      </c>
      <c r="H697">
        <f>IF($A697="","",IF($D697="V01",cad!$C$24,IF($D697="V02",cad!$D$24,cad!$E$24)))</f>
      </c>
      <c r="I697">
        <f>IF($A697="","",IF($D697="V01",cad!$C$32,IF($D697="V02",cad!$D$32,cad!$E$32)))</f>
      </c>
      <c r="J697">
        <f>IF($A697="","",IF($D697="V01",cad!$C$33,IF($D697="V02",cad!$D$33,cad!$E$33)))</f>
      </c>
      <c r="K697">
        <f>IF($A697="","",IF($D697="V01",cad!$C$34,IF($D697="V02",cad!$D$34,cad!$E$34)))</f>
      </c>
      <c r="L697">
        <f>IF($A697="","",IF($D697="V01",cad!$C$35,IF($D697="V02",cad!$D$35,cad!$E$35)))</f>
      </c>
      <c r="M697">
        <f>IF($A697="","",IF($D697="V01",cad!$C$36,IF($D697="V02",cad!$D$36,cad!$E$36)))</f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>
        <f>IF($A698="","",IF($D698="V01",cad!$C$23,IF($D698="V02",cad!$D$23,cad!$E$23)))</f>
      </c>
      <c r="H698">
        <f>IF($A698="","",IF($D698="V01",cad!$C$24,IF($D698="V02",cad!$D$24,cad!$E$24)))</f>
      </c>
      <c r="I698">
        <f>IF($A698="","",IF($D698="V01",cad!$C$32,IF($D698="V02",cad!$D$32,cad!$E$32)))</f>
      </c>
      <c r="J698">
        <f>IF($A698="","",IF($D698="V01",cad!$C$33,IF($D698="V02",cad!$D$33,cad!$E$33)))</f>
      </c>
      <c r="K698">
        <f>IF($A698="","",IF($D698="V01",cad!$C$34,IF($D698="V02",cad!$D$34,cad!$E$34)))</f>
      </c>
      <c r="L698">
        <f>IF($A698="","",IF($D698="V01",cad!$C$35,IF($D698="V02",cad!$D$35,cad!$E$35)))</f>
      </c>
      <c r="M698">
        <f>IF($A698="","",IF($D698="V01",cad!$C$36,IF($D698="V02",cad!$D$36,cad!$E$36)))</f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>
        <f>IF($A699="","",IF($D699="V01",cad!$C$23,IF($D699="V02",cad!$D$23,cad!$E$23)))</f>
      </c>
      <c r="H699">
        <f>IF($A699="","",IF($D699="V01",cad!$C$24,IF($D699="V02",cad!$D$24,cad!$E$24)))</f>
      </c>
      <c r="I699">
        <f>IF($A699="","",IF($D699="V01",cad!$C$32,IF($D699="V02",cad!$D$32,cad!$E$32)))</f>
      </c>
      <c r="J699">
        <f>IF($A699="","",IF($D699="V01",cad!$C$33,IF($D699="V02",cad!$D$33,cad!$E$33)))</f>
      </c>
      <c r="K699">
        <f>IF($A699="","",IF($D699="V01",cad!$C$34,IF($D699="V02",cad!$D$34,cad!$E$34)))</f>
      </c>
      <c r="L699">
        <f>IF($A699="","",IF($D699="V01",cad!$C$35,IF($D699="V02",cad!$D$35,cad!$E$35)))</f>
      </c>
      <c r="M699">
        <f>IF($A699="","",IF($D699="V01",cad!$C$36,IF($D699="V02",cad!$D$36,cad!$E$36)))</f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>
        <f>IF($A700="","",IF($D700="V01",cad!$C$23,IF($D700="V02",cad!$D$23,cad!$E$23)))</f>
      </c>
      <c r="H700">
        <f>IF($A700="","",IF($D700="V01",cad!$C$24,IF($D700="V02",cad!$D$24,cad!$E$24)))</f>
      </c>
      <c r="I700">
        <f>IF($A700="","",IF($D700="V01",cad!$C$32,IF($D700="V02",cad!$D$32,cad!$E$32)))</f>
      </c>
      <c r="J700">
        <f>IF($A700="","",IF($D700="V01",cad!$C$33,IF($D700="V02",cad!$D$33,cad!$E$33)))</f>
      </c>
      <c r="K700">
        <f>IF($A700="","",IF($D700="V01",cad!$C$34,IF($D700="V02",cad!$D$34,cad!$E$34)))</f>
      </c>
      <c r="L700">
        <f>IF($A700="","",IF($D700="V01",cad!$C$35,IF($D700="V02",cad!$D$35,cad!$E$35)))</f>
      </c>
      <c r="M700">
        <f>IF($A700="","",IF($D700="V01",cad!$C$36,IF($D700="V02",cad!$D$36,cad!$E$36)))</f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>
        <f>IF($A701="","",IF($D701="V01",cad!$C$23,IF($D701="V02",cad!$D$23,cad!$E$23)))</f>
      </c>
      <c r="H701">
        <f>IF($A701="","",IF($D701="V01",cad!$C$24,IF($D701="V02",cad!$D$24,cad!$E$24)))</f>
      </c>
      <c r="I701">
        <f>IF($A701="","",IF($D701="V01",cad!$C$32,IF($D701="V02",cad!$D$32,cad!$E$32)))</f>
      </c>
      <c r="J701">
        <f>IF($A701="","",IF($D701="V01",cad!$C$33,IF($D701="V02",cad!$D$33,cad!$E$33)))</f>
      </c>
      <c r="K701">
        <f>IF($A701="","",IF($D701="V01",cad!$C$34,IF($D701="V02",cad!$D$34,cad!$E$34)))</f>
      </c>
      <c r="L701">
        <f>IF($A701="","",IF($D701="V01",cad!$C$35,IF($D701="V02",cad!$D$35,cad!$E$35)))</f>
      </c>
      <c r="M701">
        <f>IF($A701="","",IF($D701="V01",cad!$C$36,IF($D701="V02",cad!$D$36,cad!$E$36)))</f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>
        <f>IF($A702="","",IF($D702="V01",cad!$C$23,IF($D702="V02",cad!$D$23,cad!$E$23)))</f>
      </c>
      <c r="H702">
        <f>IF($A702="","",IF($D702="V01",cad!$C$24,IF($D702="V02",cad!$D$24,cad!$E$24)))</f>
      </c>
      <c r="I702">
        <f>IF($A702="","",IF($D702="V01",cad!$C$32,IF($D702="V02",cad!$D$32,cad!$E$32)))</f>
      </c>
      <c r="J702">
        <f>IF($A702="","",IF($D702="V01",cad!$C$33,IF($D702="V02",cad!$D$33,cad!$E$33)))</f>
      </c>
      <c r="K702">
        <f>IF($A702="","",IF($D702="V01",cad!$C$34,IF($D702="V02",cad!$D$34,cad!$E$34)))</f>
      </c>
      <c r="L702">
        <f>IF($A702="","",IF($D702="V01",cad!$C$35,IF($D702="V02",cad!$D$35,cad!$E$35)))</f>
      </c>
      <c r="M702">
        <f>IF($A702="","",IF($D702="V01",cad!$C$36,IF($D702="V02",cad!$D$36,cad!$E$36)))</f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>
        <f>IF($A703="","",IF($D703="V01",cad!$C$23,IF($D703="V02",cad!$D$23,cad!$E$23)))</f>
      </c>
      <c r="H703">
        <f>IF($A703="","",IF($D703="V01",cad!$C$24,IF($D703="V02",cad!$D$24,cad!$E$24)))</f>
      </c>
      <c r="I703">
        <f>IF($A703="","",IF($D703="V01",cad!$C$32,IF($D703="V02",cad!$D$32,cad!$E$32)))</f>
      </c>
      <c r="J703">
        <f>IF($A703="","",IF($D703="V01",cad!$C$33,IF($D703="V02",cad!$D$33,cad!$E$33)))</f>
      </c>
      <c r="K703">
        <f>IF($A703="","",IF($D703="V01",cad!$C$34,IF($D703="V02",cad!$D$34,cad!$E$34)))</f>
      </c>
      <c r="L703">
        <f>IF($A703="","",IF($D703="V01",cad!$C$35,IF($D703="V02",cad!$D$35,cad!$E$35)))</f>
      </c>
      <c r="M703">
        <f>IF($A703="","",IF($D703="V01",cad!$C$36,IF($D703="V02",cad!$D$36,cad!$E$36)))</f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>
        <f>IF($A704="","",IF($D704="V01",cad!$C$23,IF($D704="V02",cad!$D$23,cad!$E$23)))</f>
      </c>
      <c r="H704">
        <f>IF($A704="","",IF($D704="V01",cad!$C$24,IF($D704="V02",cad!$D$24,cad!$E$24)))</f>
      </c>
      <c r="I704">
        <f>IF($A704="","",IF($D704="V01",cad!$C$32,IF($D704="V02",cad!$D$32,cad!$E$32)))</f>
      </c>
      <c r="J704">
        <f>IF($A704="","",IF($D704="V01",cad!$C$33,IF($D704="V02",cad!$D$33,cad!$E$33)))</f>
      </c>
      <c r="K704">
        <f>IF($A704="","",IF($D704="V01",cad!$C$34,IF($D704="V02",cad!$D$34,cad!$E$34)))</f>
      </c>
      <c r="L704">
        <f>IF($A704="","",IF($D704="V01",cad!$C$35,IF($D704="V02",cad!$D$35,cad!$E$35)))</f>
      </c>
      <c r="M704">
        <f>IF($A704="","",IF($D704="V01",cad!$C$36,IF($D704="V02",cad!$D$36,cad!$E$36)))</f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>
        <f>IF($A705="","",IF($D705="V01",cad!$C$23,IF($D705="V02",cad!$D$23,cad!$E$23)))</f>
      </c>
      <c r="H705">
        <f>IF($A705="","",IF($D705="V01",cad!$C$24,IF($D705="V02",cad!$D$24,cad!$E$24)))</f>
      </c>
      <c r="I705">
        <f>IF($A705="","",IF($D705="V01",cad!$C$32,IF($D705="V02",cad!$D$32,cad!$E$32)))</f>
      </c>
      <c r="J705">
        <f>IF($A705="","",IF($D705="V01",cad!$C$33,IF($D705="V02",cad!$D$33,cad!$E$33)))</f>
      </c>
      <c r="K705">
        <f>IF($A705="","",IF($D705="V01",cad!$C$34,IF($D705="V02",cad!$D$34,cad!$E$34)))</f>
      </c>
      <c r="L705">
        <f>IF($A705="","",IF($D705="V01",cad!$C$35,IF($D705="V02",cad!$D$35,cad!$E$35)))</f>
      </c>
      <c r="M705">
        <f>IF($A705="","",IF($D705="V01",cad!$C$36,IF($D705="V02",cad!$D$36,cad!$E$36)))</f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>
        <f>IF($A706="","",IF($D706="V01",cad!$C$23,IF($D706="V02",cad!$D$23,cad!$E$23)))</f>
      </c>
      <c r="H706">
        <f>IF($A706="","",IF($D706="V01",cad!$C$24,IF($D706="V02",cad!$D$24,cad!$E$24)))</f>
      </c>
      <c r="I706">
        <f>IF($A706="","",IF($D706="V01",cad!$C$32,IF($D706="V02",cad!$D$32,cad!$E$32)))</f>
      </c>
      <c r="J706">
        <f>IF($A706="","",IF($D706="V01",cad!$C$33,IF($D706="V02",cad!$D$33,cad!$E$33)))</f>
      </c>
      <c r="K706">
        <f>IF($A706="","",IF($D706="V01",cad!$C$34,IF($D706="V02",cad!$D$34,cad!$E$34)))</f>
      </c>
      <c r="L706">
        <f>IF($A706="","",IF($D706="V01",cad!$C$35,IF($D706="V02",cad!$D$35,cad!$E$35)))</f>
      </c>
      <c r="M706">
        <f>IF($A706="","",IF($D706="V01",cad!$C$36,IF($D706="V02",cad!$D$36,cad!$E$36)))</f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>
        <f>IF($A707="","",IF($D707="V01",cad!$C$23,IF($D707="V02",cad!$D$23,cad!$E$23)))</f>
      </c>
      <c r="H707">
        <f>IF($A707="","",IF($D707="V01",cad!$C$24,IF($D707="V02",cad!$D$24,cad!$E$24)))</f>
      </c>
      <c r="I707">
        <f>IF($A707="","",IF($D707="V01",cad!$C$32,IF($D707="V02",cad!$D$32,cad!$E$32)))</f>
      </c>
      <c r="J707">
        <f>IF($A707="","",IF($D707="V01",cad!$C$33,IF($D707="V02",cad!$D$33,cad!$E$33)))</f>
      </c>
      <c r="K707">
        <f>IF($A707="","",IF($D707="V01",cad!$C$34,IF($D707="V02",cad!$D$34,cad!$E$34)))</f>
      </c>
      <c r="L707">
        <f>IF($A707="","",IF($D707="V01",cad!$C$35,IF($D707="V02",cad!$D$35,cad!$E$35)))</f>
      </c>
      <c r="M707">
        <f>IF($A707="","",IF($D707="V01",cad!$C$36,IF($D707="V02",cad!$D$36,cad!$E$36)))</f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>
        <f>IF($A708="","",IF($D708="V01",cad!$C$23,IF($D708="V02",cad!$D$23,cad!$E$23)))</f>
      </c>
      <c r="H708">
        <f>IF($A708="","",IF($D708="V01",cad!$C$24,IF($D708="V02",cad!$D$24,cad!$E$24)))</f>
      </c>
      <c r="I708">
        <f>IF($A708="","",IF($D708="V01",cad!$C$32,IF($D708="V02",cad!$D$32,cad!$E$32)))</f>
      </c>
      <c r="J708">
        <f>IF($A708="","",IF($D708="V01",cad!$C$33,IF($D708="V02",cad!$D$33,cad!$E$33)))</f>
      </c>
      <c r="K708">
        <f>IF($A708="","",IF($D708="V01",cad!$C$34,IF($D708="V02",cad!$D$34,cad!$E$34)))</f>
      </c>
      <c r="L708">
        <f>IF($A708="","",IF($D708="V01",cad!$C$35,IF($D708="V02",cad!$D$35,cad!$E$35)))</f>
      </c>
      <c r="M708">
        <f>IF($A708="","",IF($D708="V01",cad!$C$36,IF($D708="V02",cad!$D$36,cad!$E$36)))</f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>
        <f>IF($A709="","",IF($D709="V01",cad!$C$23,IF($D709="V02",cad!$D$23,cad!$E$23)))</f>
      </c>
      <c r="H709">
        <f>IF($A709="","",IF($D709="V01",cad!$C$24,IF($D709="V02",cad!$D$24,cad!$E$24)))</f>
      </c>
      <c r="I709">
        <f>IF($A709="","",IF($D709="V01",cad!$C$32,IF($D709="V02",cad!$D$32,cad!$E$32)))</f>
      </c>
      <c r="J709">
        <f>IF($A709="","",IF($D709="V01",cad!$C$33,IF($D709="V02",cad!$D$33,cad!$E$33)))</f>
      </c>
      <c r="K709">
        <f>IF($A709="","",IF($D709="V01",cad!$C$34,IF($D709="V02",cad!$D$34,cad!$E$34)))</f>
      </c>
      <c r="L709">
        <f>IF($A709="","",IF($D709="V01",cad!$C$35,IF($D709="V02",cad!$D$35,cad!$E$35)))</f>
      </c>
      <c r="M709">
        <f>IF($A709="","",IF($D709="V01",cad!$C$36,IF($D709="V02",cad!$D$36,cad!$E$36)))</f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>
        <f>IF($A710="","",IF($D710="V01",cad!$C$23,IF($D710="V02",cad!$D$23,cad!$E$23)))</f>
      </c>
      <c r="H710">
        <f>IF($A710="","",IF($D710="V01",cad!$C$24,IF($D710="V02",cad!$D$24,cad!$E$24)))</f>
      </c>
      <c r="I710">
        <f>IF($A710="","",IF($D710="V01",cad!$C$32,IF($D710="V02",cad!$D$32,cad!$E$32)))</f>
      </c>
      <c r="J710">
        <f>IF($A710="","",IF($D710="V01",cad!$C$33,IF($D710="V02",cad!$D$33,cad!$E$33)))</f>
      </c>
      <c r="K710">
        <f>IF($A710="","",IF($D710="V01",cad!$C$34,IF($D710="V02",cad!$D$34,cad!$E$34)))</f>
      </c>
      <c r="L710">
        <f>IF($A710="","",IF($D710="V01",cad!$C$35,IF($D710="V02",cad!$D$35,cad!$E$35)))</f>
      </c>
      <c r="M710">
        <f>IF($A710="","",IF($D710="V01",cad!$C$36,IF($D710="V02",cad!$D$36,cad!$E$36)))</f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>
        <f>IF($A711="","",IF($D711="V01",cad!$C$23,IF($D711="V02",cad!$D$23,cad!$E$23)))</f>
      </c>
      <c r="H711">
        <f>IF($A711="","",IF($D711="V01",cad!$C$24,IF($D711="V02",cad!$D$24,cad!$E$24)))</f>
      </c>
      <c r="I711">
        <f>IF($A711="","",IF($D711="V01",cad!$C$32,IF($D711="V02",cad!$D$32,cad!$E$32)))</f>
      </c>
      <c r="J711">
        <f>IF($A711="","",IF($D711="V01",cad!$C$33,IF($D711="V02",cad!$D$33,cad!$E$33)))</f>
      </c>
      <c r="K711">
        <f>IF($A711="","",IF($D711="V01",cad!$C$34,IF($D711="V02",cad!$D$34,cad!$E$34)))</f>
      </c>
      <c r="L711">
        <f>IF($A711="","",IF($D711="V01",cad!$C$35,IF($D711="V02",cad!$D$35,cad!$E$35)))</f>
      </c>
      <c r="M711">
        <f>IF($A711="","",IF($D711="V01",cad!$C$36,IF($D711="V02",cad!$D$36,cad!$E$36)))</f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>
        <f>IF($A712="","",IF($D712="V01",cad!$C$23,IF($D712="V02",cad!$D$23,cad!$E$23)))</f>
      </c>
      <c r="H712">
        <f>IF($A712="","",IF($D712="V01",cad!$C$24,IF($D712="V02",cad!$D$24,cad!$E$24)))</f>
      </c>
      <c r="I712">
        <f>IF($A712="","",IF($D712="V01",cad!$C$32,IF($D712="V02",cad!$D$32,cad!$E$32)))</f>
      </c>
      <c r="J712">
        <f>IF($A712="","",IF($D712="V01",cad!$C$33,IF($D712="V02",cad!$D$33,cad!$E$33)))</f>
      </c>
      <c r="K712">
        <f>IF($A712="","",IF($D712="V01",cad!$C$34,IF($D712="V02",cad!$D$34,cad!$E$34)))</f>
      </c>
      <c r="L712">
        <f>IF($A712="","",IF($D712="V01",cad!$C$35,IF($D712="V02",cad!$D$35,cad!$E$35)))</f>
      </c>
      <c r="M712">
        <f>IF($A712="","",IF($D712="V01",cad!$C$36,IF($D712="V02",cad!$D$36,cad!$E$36)))</f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>
        <f>IF($A713="","",IF($D713="V01",cad!$C$23,IF($D713="V02",cad!$D$23,cad!$E$23)))</f>
      </c>
      <c r="H713">
        <f>IF($A713="","",IF($D713="V01",cad!$C$24,IF($D713="V02",cad!$D$24,cad!$E$24)))</f>
      </c>
      <c r="I713">
        <f>IF($A713="","",IF($D713="V01",cad!$C$32,IF($D713="V02",cad!$D$32,cad!$E$32)))</f>
      </c>
      <c r="J713">
        <f>IF($A713="","",IF($D713="V01",cad!$C$33,IF($D713="V02",cad!$D$33,cad!$E$33)))</f>
      </c>
      <c r="K713">
        <f>IF($A713="","",IF($D713="V01",cad!$C$34,IF($D713="V02",cad!$D$34,cad!$E$34)))</f>
      </c>
      <c r="L713">
        <f>IF($A713="","",IF($D713="V01",cad!$C$35,IF($D713="V02",cad!$D$35,cad!$E$35)))</f>
      </c>
      <c r="M713">
        <f>IF($A713="","",IF($D713="V01",cad!$C$36,IF($D713="V02",cad!$D$36,cad!$E$36)))</f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>
        <f>IF($A714="","",IF($D714="V01",cad!$C$23,IF($D714="V02",cad!$D$23,cad!$E$23)))</f>
      </c>
      <c r="H714">
        <f>IF($A714="","",IF($D714="V01",cad!$C$24,IF($D714="V02",cad!$D$24,cad!$E$24)))</f>
      </c>
      <c r="I714">
        <f>IF($A714="","",IF($D714="V01",cad!$C$32,IF($D714="V02",cad!$D$32,cad!$E$32)))</f>
      </c>
      <c r="J714">
        <f>IF($A714="","",IF($D714="V01",cad!$C$33,IF($D714="V02",cad!$D$33,cad!$E$33)))</f>
      </c>
      <c r="K714">
        <f>IF($A714="","",IF($D714="V01",cad!$C$34,IF($D714="V02",cad!$D$34,cad!$E$34)))</f>
      </c>
      <c r="L714">
        <f>IF($A714="","",IF($D714="V01",cad!$C$35,IF($D714="V02",cad!$D$35,cad!$E$35)))</f>
      </c>
      <c r="M714">
        <f>IF($A714="","",IF($D714="V01",cad!$C$36,IF($D714="V02",cad!$D$36,cad!$E$36)))</f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>
        <f>IF($A715="","",IF($D715="V01",cad!$C$23,IF($D715="V02",cad!$D$23,cad!$E$23)))</f>
      </c>
      <c r="H715">
        <f>IF($A715="","",IF($D715="V01",cad!$C$24,IF($D715="V02",cad!$D$24,cad!$E$24)))</f>
      </c>
      <c r="I715">
        <f>IF($A715="","",IF($D715="V01",cad!$C$32,IF($D715="V02",cad!$D$32,cad!$E$32)))</f>
      </c>
      <c r="J715">
        <f>IF($A715="","",IF($D715="V01",cad!$C$33,IF($D715="V02",cad!$D$33,cad!$E$33)))</f>
      </c>
      <c r="K715">
        <f>IF($A715="","",IF($D715="V01",cad!$C$34,IF($D715="V02",cad!$D$34,cad!$E$34)))</f>
      </c>
      <c r="L715">
        <f>IF($A715="","",IF($D715="V01",cad!$C$35,IF($D715="V02",cad!$D$35,cad!$E$35)))</f>
      </c>
      <c r="M715">
        <f>IF($A715="","",IF($D715="V01",cad!$C$36,IF($D715="V02",cad!$D$36,cad!$E$36)))</f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>
        <f>IF($A716="","",IF($D716="V01",cad!$C$23,IF($D716="V02",cad!$D$23,cad!$E$23)))</f>
      </c>
      <c r="H716">
        <f>IF($A716="","",IF($D716="V01",cad!$C$24,IF($D716="V02",cad!$D$24,cad!$E$24)))</f>
      </c>
      <c r="I716">
        <f>IF($A716="","",IF($D716="V01",cad!$C$32,IF($D716="V02",cad!$D$32,cad!$E$32)))</f>
      </c>
      <c r="J716">
        <f>IF($A716="","",IF($D716="V01",cad!$C$33,IF($D716="V02",cad!$D$33,cad!$E$33)))</f>
      </c>
      <c r="K716">
        <f>IF($A716="","",IF($D716="V01",cad!$C$34,IF($D716="V02",cad!$D$34,cad!$E$34)))</f>
      </c>
      <c r="L716">
        <f>IF($A716="","",IF($D716="V01",cad!$C$35,IF($D716="V02",cad!$D$35,cad!$E$35)))</f>
      </c>
      <c r="M716">
        <f>IF($A716="","",IF($D716="V01",cad!$C$36,IF($D716="V02",cad!$D$36,cad!$E$36)))</f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>
        <f>IF($A717="","",IF($D717="V01",cad!$C$23,IF($D717="V02",cad!$D$23,cad!$E$23)))</f>
      </c>
      <c r="H717">
        <f>IF($A717="","",IF($D717="V01",cad!$C$24,IF($D717="V02",cad!$D$24,cad!$E$24)))</f>
      </c>
      <c r="I717">
        <f>IF($A717="","",IF($D717="V01",cad!$C$32,IF($D717="V02",cad!$D$32,cad!$E$32)))</f>
      </c>
      <c r="J717">
        <f>IF($A717="","",IF($D717="V01",cad!$C$33,IF($D717="V02",cad!$D$33,cad!$E$33)))</f>
      </c>
      <c r="K717">
        <f>IF($A717="","",IF($D717="V01",cad!$C$34,IF($D717="V02",cad!$D$34,cad!$E$34)))</f>
      </c>
      <c r="L717">
        <f>IF($A717="","",IF($D717="V01",cad!$C$35,IF($D717="V02",cad!$D$35,cad!$E$35)))</f>
      </c>
      <c r="M717">
        <f>IF($A717="","",IF($D717="V01",cad!$C$36,IF($D717="V02",cad!$D$36,cad!$E$36)))</f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>
        <f>IF($A718="","",IF($D718="V01",cad!$C$23,IF($D718="V02",cad!$D$23,cad!$E$23)))</f>
      </c>
      <c r="H718">
        <f>IF($A718="","",IF($D718="V01",cad!$C$24,IF($D718="V02",cad!$D$24,cad!$E$24)))</f>
      </c>
      <c r="I718">
        <f>IF($A718="","",IF($D718="V01",cad!$C$32,IF($D718="V02",cad!$D$32,cad!$E$32)))</f>
      </c>
      <c r="J718">
        <f>IF($A718="","",IF($D718="V01",cad!$C$33,IF($D718="V02",cad!$D$33,cad!$E$33)))</f>
      </c>
      <c r="K718">
        <f>IF($A718="","",IF($D718="V01",cad!$C$34,IF($D718="V02",cad!$D$34,cad!$E$34)))</f>
      </c>
      <c r="L718">
        <f>IF($A718="","",IF($D718="V01",cad!$C$35,IF($D718="V02",cad!$D$35,cad!$E$35)))</f>
      </c>
      <c r="M718">
        <f>IF($A718="","",IF($D718="V01",cad!$C$36,IF($D718="V02",cad!$D$36,cad!$E$36)))</f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>
        <f>IF($A719="","",IF($D719="V01",cad!$C$23,IF($D719="V02",cad!$D$23,cad!$E$23)))</f>
      </c>
      <c r="H719">
        <f>IF($A719="","",IF($D719="V01",cad!$C$24,IF($D719="V02",cad!$D$24,cad!$E$24)))</f>
      </c>
      <c r="I719">
        <f>IF($A719="","",IF($D719="V01",cad!$C$32,IF($D719="V02",cad!$D$32,cad!$E$32)))</f>
      </c>
      <c r="J719">
        <f>IF($A719="","",IF($D719="V01",cad!$C$33,IF($D719="V02",cad!$D$33,cad!$E$33)))</f>
      </c>
      <c r="K719">
        <f>IF($A719="","",IF($D719="V01",cad!$C$34,IF($D719="V02",cad!$D$34,cad!$E$34)))</f>
      </c>
      <c r="L719">
        <f>IF($A719="","",IF($D719="V01",cad!$C$35,IF($D719="V02",cad!$D$35,cad!$E$35)))</f>
      </c>
      <c r="M719">
        <f>IF($A719="","",IF($D719="V01",cad!$C$36,IF($D719="V02",cad!$D$36,cad!$E$36)))</f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>
        <f>IF($A720="","",IF($D720="V01",cad!$C$23,IF($D720="V02",cad!$D$23,cad!$E$23)))</f>
      </c>
      <c r="H720">
        <f>IF($A720="","",IF($D720="V01",cad!$C$24,IF($D720="V02",cad!$D$24,cad!$E$24)))</f>
      </c>
      <c r="I720">
        <f>IF($A720="","",IF($D720="V01",cad!$C$32,IF($D720="V02",cad!$D$32,cad!$E$32)))</f>
      </c>
      <c r="J720">
        <f>IF($A720="","",IF($D720="V01",cad!$C$33,IF($D720="V02",cad!$D$33,cad!$E$33)))</f>
      </c>
      <c r="K720">
        <f>IF($A720="","",IF($D720="V01",cad!$C$34,IF($D720="V02",cad!$D$34,cad!$E$34)))</f>
      </c>
      <c r="L720">
        <f>IF($A720="","",IF($D720="V01",cad!$C$35,IF($D720="V02",cad!$D$35,cad!$E$35)))</f>
      </c>
      <c r="M720">
        <f>IF($A720="","",IF($D720="V01",cad!$C$36,IF($D720="V02",cad!$D$36,cad!$E$36)))</f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>
        <f>IF($A721="","",IF($D721="V01",cad!$C$23,IF($D721="V02",cad!$D$23,cad!$E$23)))</f>
      </c>
      <c r="H721">
        <f>IF($A721="","",IF($D721="V01",cad!$C$24,IF($D721="V02",cad!$D$24,cad!$E$24)))</f>
      </c>
      <c r="I721">
        <f>IF($A721="","",IF($D721="V01",cad!$C$32,IF($D721="V02",cad!$D$32,cad!$E$32)))</f>
      </c>
      <c r="J721">
        <f>IF($A721="","",IF($D721="V01",cad!$C$33,IF($D721="V02",cad!$D$33,cad!$E$33)))</f>
      </c>
      <c r="K721">
        <f>IF($A721="","",IF($D721="V01",cad!$C$34,IF($D721="V02",cad!$D$34,cad!$E$34)))</f>
      </c>
      <c r="L721">
        <f>IF($A721="","",IF($D721="V01",cad!$C$35,IF($D721="V02",cad!$D$35,cad!$E$35)))</f>
      </c>
      <c r="M721">
        <f>IF($A721="","",IF($D721="V01",cad!$C$36,IF($D721="V02",cad!$D$36,cad!$E$36)))</f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>
        <f>IF($A722="","",IF($D722="V01",cad!$C$23,IF($D722="V02",cad!$D$23,cad!$E$23)))</f>
      </c>
      <c r="H722">
        <f>IF($A722="","",IF($D722="V01",cad!$C$24,IF($D722="V02",cad!$D$24,cad!$E$24)))</f>
      </c>
      <c r="I722">
        <f>IF($A722="","",IF($D722="V01",cad!$C$32,IF($D722="V02",cad!$D$32,cad!$E$32)))</f>
      </c>
      <c r="J722">
        <f>IF($A722="","",IF($D722="V01",cad!$C$33,IF($D722="V02",cad!$D$33,cad!$E$33)))</f>
      </c>
      <c r="K722">
        <f>IF($A722="","",IF($D722="V01",cad!$C$34,IF($D722="V02",cad!$D$34,cad!$E$34)))</f>
      </c>
      <c r="L722">
        <f>IF($A722="","",IF($D722="V01",cad!$C$35,IF($D722="V02",cad!$D$35,cad!$E$35)))</f>
      </c>
      <c r="M722">
        <f>IF($A722="","",IF($D722="V01",cad!$C$36,IF($D722="V02",cad!$D$36,cad!$E$36)))</f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>
        <f>IF($A723="","",IF($D723="V01",cad!$C$23,IF($D723="V02",cad!$D$23,cad!$E$23)))</f>
      </c>
      <c r="H723">
        <f>IF($A723="","",IF($D723="V01",cad!$C$24,IF($D723="V02",cad!$D$24,cad!$E$24)))</f>
      </c>
      <c r="I723">
        <f>IF($A723="","",IF($D723="V01",cad!$C$32,IF($D723="V02",cad!$D$32,cad!$E$32)))</f>
      </c>
      <c r="J723">
        <f>IF($A723="","",IF($D723="V01",cad!$C$33,IF($D723="V02",cad!$D$33,cad!$E$33)))</f>
      </c>
      <c r="K723">
        <f>IF($A723="","",IF($D723="V01",cad!$C$34,IF($D723="V02",cad!$D$34,cad!$E$34)))</f>
      </c>
      <c r="L723">
        <f>IF($A723="","",IF($D723="V01",cad!$C$35,IF($D723="V02",cad!$D$35,cad!$E$35)))</f>
      </c>
      <c r="M723">
        <f>IF($A723="","",IF($D723="V01",cad!$C$36,IF($D723="V02",cad!$D$36,cad!$E$36)))</f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>
        <f>IF($A724="","",IF($D724="V01",cad!$C$23,IF($D724="V02",cad!$D$23,cad!$E$23)))</f>
      </c>
      <c r="H724">
        <f>IF($A724="","",IF($D724="V01",cad!$C$24,IF($D724="V02",cad!$D$24,cad!$E$24)))</f>
      </c>
      <c r="I724">
        <f>IF($A724="","",IF($D724="V01",cad!$C$32,IF($D724="V02",cad!$D$32,cad!$E$32)))</f>
      </c>
      <c r="J724">
        <f>IF($A724="","",IF($D724="V01",cad!$C$33,IF($D724="V02",cad!$D$33,cad!$E$33)))</f>
      </c>
      <c r="K724">
        <f>IF($A724="","",IF($D724="V01",cad!$C$34,IF($D724="V02",cad!$D$34,cad!$E$34)))</f>
      </c>
      <c r="L724">
        <f>IF($A724="","",IF($D724="V01",cad!$C$35,IF($D724="V02",cad!$D$35,cad!$E$35)))</f>
      </c>
      <c r="M724">
        <f>IF($A724="","",IF($D724="V01",cad!$C$36,IF($D724="V02",cad!$D$36,cad!$E$36)))</f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>
        <f>IF($A725="","",IF($D725="V01",cad!$C$23,IF($D725="V02",cad!$D$23,cad!$E$23)))</f>
      </c>
      <c r="H725">
        <f>IF($A725="","",IF($D725="V01",cad!$C$24,IF($D725="V02",cad!$D$24,cad!$E$24)))</f>
      </c>
      <c r="I725">
        <f>IF($A725="","",IF($D725="V01",cad!$C$32,IF($D725="V02",cad!$D$32,cad!$E$32)))</f>
      </c>
      <c r="J725">
        <f>IF($A725="","",IF($D725="V01",cad!$C$33,IF($D725="V02",cad!$D$33,cad!$E$33)))</f>
      </c>
      <c r="K725">
        <f>IF($A725="","",IF($D725="V01",cad!$C$34,IF($D725="V02",cad!$D$34,cad!$E$34)))</f>
      </c>
      <c r="L725">
        <f>IF($A725="","",IF($D725="V01",cad!$C$35,IF($D725="V02",cad!$D$35,cad!$E$35)))</f>
      </c>
      <c r="M725">
        <f>IF($A725="","",IF($D725="V01",cad!$C$36,IF($D725="V02",cad!$D$36,cad!$E$36)))</f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>
        <f>IF($A726="","",IF($D726="V01",cad!$C$23,IF($D726="V02",cad!$D$23,cad!$E$23)))</f>
      </c>
      <c r="H726">
        <f>IF($A726="","",IF($D726="V01",cad!$C$24,IF($D726="V02",cad!$D$24,cad!$E$24)))</f>
      </c>
      <c r="I726">
        <f>IF($A726="","",IF($D726="V01",cad!$C$32,IF($D726="V02",cad!$D$32,cad!$E$32)))</f>
      </c>
      <c r="J726">
        <f>IF($A726="","",IF($D726="V01",cad!$C$33,IF($D726="V02",cad!$D$33,cad!$E$33)))</f>
      </c>
      <c r="K726">
        <f>IF($A726="","",IF($D726="V01",cad!$C$34,IF($D726="V02",cad!$D$34,cad!$E$34)))</f>
      </c>
      <c r="L726">
        <f>IF($A726="","",IF($D726="V01",cad!$C$35,IF($D726="V02",cad!$D$35,cad!$E$35)))</f>
      </c>
      <c r="M726">
        <f>IF($A726="","",IF($D726="V01",cad!$C$36,IF($D726="V02",cad!$D$36,cad!$E$36)))</f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>
        <f>IF($A727="","",IF($D727="V01",cad!$C$23,IF($D727="V02",cad!$D$23,cad!$E$23)))</f>
      </c>
      <c r="H727">
        <f>IF($A727="","",IF($D727="V01",cad!$C$24,IF($D727="V02",cad!$D$24,cad!$E$24)))</f>
      </c>
      <c r="I727">
        <f>IF($A727="","",IF($D727="V01",cad!$C$32,IF($D727="V02",cad!$D$32,cad!$E$32)))</f>
      </c>
      <c r="J727">
        <f>IF($A727="","",IF($D727="V01",cad!$C$33,IF($D727="V02",cad!$D$33,cad!$E$33)))</f>
      </c>
      <c r="K727">
        <f>IF($A727="","",IF($D727="V01",cad!$C$34,IF($D727="V02",cad!$D$34,cad!$E$34)))</f>
      </c>
      <c r="L727">
        <f>IF($A727="","",IF($D727="V01",cad!$C$35,IF($D727="V02",cad!$D$35,cad!$E$35)))</f>
      </c>
      <c r="M727">
        <f>IF($A727="","",IF($D727="V01",cad!$C$36,IF($D727="V02",cad!$D$36,cad!$E$36)))</f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>
        <f>IF($A728="","",IF($D728="V01",cad!$C$23,IF($D728="V02",cad!$D$23,cad!$E$23)))</f>
      </c>
      <c r="H728">
        <f>IF($A728="","",IF($D728="V01",cad!$C$24,IF($D728="V02",cad!$D$24,cad!$E$24)))</f>
      </c>
      <c r="I728">
        <f>IF($A728="","",IF($D728="V01",cad!$C$32,IF($D728="V02",cad!$D$32,cad!$E$32)))</f>
      </c>
      <c r="J728">
        <f>IF($A728="","",IF($D728="V01",cad!$C$33,IF($D728="V02",cad!$D$33,cad!$E$33)))</f>
      </c>
      <c r="K728">
        <f>IF($A728="","",IF($D728="V01",cad!$C$34,IF($D728="V02",cad!$D$34,cad!$E$34)))</f>
      </c>
      <c r="L728">
        <f>IF($A728="","",IF($D728="V01",cad!$C$35,IF($D728="V02",cad!$D$35,cad!$E$35)))</f>
      </c>
      <c r="M728">
        <f>IF($A728="","",IF($D728="V01",cad!$C$36,IF($D728="V02",cad!$D$36,cad!$E$36)))</f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>
        <f>IF($A729="","",IF($D729="V01",cad!$C$23,IF($D729="V02",cad!$D$23,cad!$E$23)))</f>
      </c>
      <c r="H729">
        <f>IF($A729="","",IF($D729="V01",cad!$C$24,IF($D729="V02",cad!$D$24,cad!$E$24)))</f>
      </c>
      <c r="I729">
        <f>IF($A729="","",IF($D729="V01",cad!$C$32,IF($D729="V02",cad!$D$32,cad!$E$32)))</f>
      </c>
      <c r="J729">
        <f>IF($A729="","",IF($D729="V01",cad!$C$33,IF($D729="V02",cad!$D$33,cad!$E$33)))</f>
      </c>
      <c r="K729">
        <f>IF($A729="","",IF($D729="V01",cad!$C$34,IF($D729="V02",cad!$D$34,cad!$E$34)))</f>
      </c>
      <c r="L729">
        <f>IF($A729="","",IF($D729="V01",cad!$C$35,IF($D729="V02",cad!$D$35,cad!$E$35)))</f>
      </c>
      <c r="M729">
        <f>IF($A729="","",IF($D729="V01",cad!$C$36,IF($D729="V02",cad!$D$36,cad!$E$36)))</f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>
        <f>IF($A730="","",IF($D730="V01",cad!$C$23,IF($D730="V02",cad!$D$23,cad!$E$23)))</f>
      </c>
      <c r="H730">
        <f>IF($A730="","",IF($D730="V01",cad!$C$24,IF($D730="V02",cad!$D$24,cad!$E$24)))</f>
      </c>
      <c r="I730">
        <f>IF($A730="","",IF($D730="V01",cad!$C$32,IF($D730="V02",cad!$D$32,cad!$E$32)))</f>
      </c>
      <c r="J730">
        <f>IF($A730="","",IF($D730="V01",cad!$C$33,IF($D730="V02",cad!$D$33,cad!$E$33)))</f>
      </c>
      <c r="K730">
        <f>IF($A730="","",IF($D730="V01",cad!$C$34,IF($D730="V02",cad!$D$34,cad!$E$34)))</f>
      </c>
      <c r="L730">
        <f>IF($A730="","",IF($D730="V01",cad!$C$35,IF($D730="V02",cad!$D$35,cad!$E$35)))</f>
      </c>
      <c r="M730">
        <f>IF($A730="","",IF($D730="V01",cad!$C$36,IF($D730="V02",cad!$D$36,cad!$E$36)))</f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>
        <f>IF($A731="","",IF($D731="V01",cad!$C$23,IF($D731="V02",cad!$D$23,cad!$E$23)))</f>
      </c>
      <c r="H731">
        <f>IF($A731="","",IF($D731="V01",cad!$C$24,IF($D731="V02",cad!$D$24,cad!$E$24)))</f>
      </c>
      <c r="I731">
        <f>IF($A731="","",IF($D731="V01",cad!$C$32,IF($D731="V02",cad!$D$32,cad!$E$32)))</f>
      </c>
      <c r="J731">
        <f>IF($A731="","",IF($D731="V01",cad!$C$33,IF($D731="V02",cad!$D$33,cad!$E$33)))</f>
      </c>
      <c r="K731">
        <f>IF($A731="","",IF($D731="V01",cad!$C$34,IF($D731="V02",cad!$D$34,cad!$E$34)))</f>
      </c>
      <c r="L731">
        <f>IF($A731="","",IF($D731="V01",cad!$C$35,IF($D731="V02",cad!$D$35,cad!$E$35)))</f>
      </c>
      <c r="M731">
        <f>IF($A731="","",IF($D731="V01",cad!$C$36,IF($D731="V02",cad!$D$36,cad!$E$36)))</f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>
        <f>IF($A732="","",IF($D732="V01",cad!$C$23,IF($D732="V02",cad!$D$23,cad!$E$23)))</f>
      </c>
      <c r="H732">
        <f>IF($A732="","",IF($D732="V01",cad!$C$24,IF($D732="V02",cad!$D$24,cad!$E$24)))</f>
      </c>
      <c r="I732">
        <f>IF($A732="","",IF($D732="V01",cad!$C$32,IF($D732="V02",cad!$D$32,cad!$E$32)))</f>
      </c>
      <c r="J732">
        <f>IF($A732="","",IF($D732="V01",cad!$C$33,IF($D732="V02",cad!$D$33,cad!$E$33)))</f>
      </c>
      <c r="K732">
        <f>IF($A732="","",IF($D732="V01",cad!$C$34,IF($D732="V02",cad!$D$34,cad!$E$34)))</f>
      </c>
      <c r="L732">
        <f>IF($A732="","",IF($D732="V01",cad!$C$35,IF($D732="V02",cad!$D$35,cad!$E$35)))</f>
      </c>
      <c r="M732">
        <f>IF($A732="","",IF($D732="V01",cad!$C$36,IF($D732="V02",cad!$D$36,cad!$E$36)))</f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>
        <f>IF($A733="","",IF($D733="V01",cad!$C$23,IF($D733="V02",cad!$D$23,cad!$E$23)))</f>
      </c>
      <c r="H733">
        <f>IF($A733="","",IF($D733="V01",cad!$C$24,IF($D733="V02",cad!$D$24,cad!$E$24)))</f>
      </c>
      <c r="I733">
        <f>IF($A733="","",IF($D733="V01",cad!$C$32,IF($D733="V02",cad!$D$32,cad!$E$32)))</f>
      </c>
      <c r="J733">
        <f>IF($A733="","",IF($D733="V01",cad!$C$33,IF($D733="V02",cad!$D$33,cad!$E$33)))</f>
      </c>
      <c r="K733">
        <f>IF($A733="","",IF($D733="V01",cad!$C$34,IF($D733="V02",cad!$D$34,cad!$E$34)))</f>
      </c>
      <c r="L733">
        <f>IF($A733="","",IF($D733="V01",cad!$C$35,IF($D733="V02",cad!$D$35,cad!$E$35)))</f>
      </c>
      <c r="M733">
        <f>IF($A733="","",IF($D733="V01",cad!$C$36,IF($D733="V02",cad!$D$36,cad!$E$36)))</f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>
        <f>IF($A734="","",IF($D734="V01",cad!$C$23,IF($D734="V02",cad!$D$23,cad!$E$23)))</f>
      </c>
      <c r="H734">
        <f>IF($A734="","",IF($D734="V01",cad!$C$24,IF($D734="V02",cad!$D$24,cad!$E$24)))</f>
      </c>
      <c r="I734">
        <f>IF($A734="","",IF($D734="V01",cad!$C$32,IF($D734="V02",cad!$D$32,cad!$E$32)))</f>
      </c>
      <c r="J734">
        <f>IF($A734="","",IF($D734="V01",cad!$C$33,IF($D734="V02",cad!$D$33,cad!$E$33)))</f>
      </c>
      <c r="K734">
        <f>IF($A734="","",IF($D734="V01",cad!$C$34,IF($D734="V02",cad!$D$34,cad!$E$34)))</f>
      </c>
      <c r="L734">
        <f>IF($A734="","",IF($D734="V01",cad!$C$35,IF($D734="V02",cad!$D$35,cad!$E$35)))</f>
      </c>
      <c r="M734">
        <f>IF($A734="","",IF($D734="V01",cad!$C$36,IF($D734="V02",cad!$D$36,cad!$E$36)))</f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>
        <f>IF($A735="","",IF($D735="V01",cad!$C$23,IF($D735="V02",cad!$D$23,cad!$E$23)))</f>
      </c>
      <c r="H735">
        <f>IF($A735="","",IF($D735="V01",cad!$C$24,IF($D735="V02",cad!$D$24,cad!$E$24)))</f>
      </c>
      <c r="I735">
        <f>IF($A735="","",IF($D735="V01",cad!$C$32,IF($D735="V02",cad!$D$32,cad!$E$32)))</f>
      </c>
      <c r="J735">
        <f>IF($A735="","",IF($D735="V01",cad!$C$33,IF($D735="V02",cad!$D$33,cad!$E$33)))</f>
      </c>
      <c r="K735">
        <f>IF($A735="","",IF($D735="V01",cad!$C$34,IF($D735="V02",cad!$D$34,cad!$E$34)))</f>
      </c>
      <c r="L735">
        <f>IF($A735="","",IF($D735="V01",cad!$C$35,IF($D735="V02",cad!$D$35,cad!$E$35)))</f>
      </c>
      <c r="M735">
        <f>IF($A735="","",IF($D735="V01",cad!$C$36,IF($D735="V02",cad!$D$36,cad!$E$36)))</f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>
        <f>IF($A736="","",IF($D736="V01",cad!$C$23,IF($D736="V02",cad!$D$23,cad!$E$23)))</f>
      </c>
      <c r="H736">
        <f>IF($A736="","",IF($D736="V01",cad!$C$24,IF($D736="V02",cad!$D$24,cad!$E$24)))</f>
      </c>
      <c r="I736">
        <f>IF($A736="","",IF($D736="V01",cad!$C$32,IF($D736="V02",cad!$D$32,cad!$E$32)))</f>
      </c>
      <c r="J736">
        <f>IF($A736="","",IF($D736="V01",cad!$C$33,IF($D736="V02",cad!$D$33,cad!$E$33)))</f>
      </c>
      <c r="K736">
        <f>IF($A736="","",IF($D736="V01",cad!$C$34,IF($D736="V02",cad!$D$34,cad!$E$34)))</f>
      </c>
      <c r="L736">
        <f>IF($A736="","",IF($D736="V01",cad!$C$35,IF($D736="V02",cad!$D$35,cad!$E$35)))</f>
      </c>
      <c r="M736">
        <f>IF($A736="","",IF($D736="V01",cad!$C$36,IF($D736="V02",cad!$D$36,cad!$E$36)))</f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>
        <f>IF($A737="","",IF($D737="V01",cad!$C$23,IF($D737="V02",cad!$D$23,cad!$E$23)))</f>
      </c>
      <c r="H737">
        <f>IF($A737="","",IF($D737="V01",cad!$C$24,IF($D737="V02",cad!$D$24,cad!$E$24)))</f>
      </c>
      <c r="I737">
        <f>IF($A737="","",IF($D737="V01",cad!$C$32,IF($D737="V02",cad!$D$32,cad!$E$32)))</f>
      </c>
      <c r="J737">
        <f>IF($A737="","",IF($D737="V01",cad!$C$33,IF($D737="V02",cad!$D$33,cad!$E$33)))</f>
      </c>
      <c r="K737">
        <f>IF($A737="","",IF($D737="V01",cad!$C$34,IF($D737="V02",cad!$D$34,cad!$E$34)))</f>
      </c>
      <c r="L737">
        <f>IF($A737="","",IF($D737="V01",cad!$C$35,IF($D737="V02",cad!$D$35,cad!$E$35)))</f>
      </c>
      <c r="M737">
        <f>IF($A737="","",IF($D737="V01",cad!$C$36,IF($D737="V02",cad!$D$36,cad!$E$36)))</f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>
        <f>IF($A738="","",IF($D738="V01",cad!$C$23,IF($D738="V02",cad!$D$23,cad!$E$23)))</f>
      </c>
      <c r="H738">
        <f>IF($A738="","",IF($D738="V01",cad!$C$24,IF($D738="V02",cad!$D$24,cad!$E$24)))</f>
      </c>
      <c r="I738">
        <f>IF($A738="","",IF($D738="V01",cad!$C$32,IF($D738="V02",cad!$D$32,cad!$E$32)))</f>
      </c>
      <c r="J738">
        <f>IF($A738="","",IF($D738="V01",cad!$C$33,IF($D738="V02",cad!$D$33,cad!$E$33)))</f>
      </c>
      <c r="K738">
        <f>IF($A738="","",IF($D738="V01",cad!$C$34,IF($D738="V02",cad!$D$34,cad!$E$34)))</f>
      </c>
      <c r="L738">
        <f>IF($A738="","",IF($D738="V01",cad!$C$35,IF($D738="V02",cad!$D$35,cad!$E$35)))</f>
      </c>
      <c r="M738">
        <f>IF($A738="","",IF($D738="V01",cad!$C$36,IF($D738="V02",cad!$D$36,cad!$E$36)))</f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>
        <f>IF($A739="","",IF($D739="V01",cad!$C$23,IF($D739="V02",cad!$D$23,cad!$E$23)))</f>
      </c>
      <c r="H739">
        <f>IF($A739="","",IF($D739="V01",cad!$C$24,IF($D739="V02",cad!$D$24,cad!$E$24)))</f>
      </c>
      <c r="I739">
        <f>IF($A739="","",IF($D739="V01",cad!$C$32,IF($D739="V02",cad!$D$32,cad!$E$32)))</f>
      </c>
      <c r="J739">
        <f>IF($A739="","",IF($D739="V01",cad!$C$33,IF($D739="V02",cad!$D$33,cad!$E$33)))</f>
      </c>
      <c r="K739">
        <f>IF($A739="","",IF($D739="V01",cad!$C$34,IF($D739="V02",cad!$D$34,cad!$E$34)))</f>
      </c>
      <c r="L739">
        <f>IF($A739="","",IF($D739="V01",cad!$C$35,IF($D739="V02",cad!$D$35,cad!$E$35)))</f>
      </c>
      <c r="M739">
        <f>IF($A739="","",IF($D739="V01",cad!$C$36,IF($D739="V02",cad!$D$36,cad!$E$36)))</f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>
        <f>IF($A740="","",IF($D740="V01",cad!$C$23,IF($D740="V02",cad!$D$23,cad!$E$23)))</f>
      </c>
      <c r="H740">
        <f>IF($A740="","",IF($D740="V01",cad!$C$24,IF($D740="V02",cad!$D$24,cad!$E$24)))</f>
      </c>
      <c r="I740">
        <f>IF($A740="","",IF($D740="V01",cad!$C$32,IF($D740="V02",cad!$D$32,cad!$E$32)))</f>
      </c>
      <c r="J740">
        <f>IF($A740="","",IF($D740="V01",cad!$C$33,IF($D740="V02",cad!$D$33,cad!$E$33)))</f>
      </c>
      <c r="K740">
        <f>IF($A740="","",IF($D740="V01",cad!$C$34,IF($D740="V02",cad!$D$34,cad!$E$34)))</f>
      </c>
      <c r="L740">
        <f>IF($A740="","",IF($D740="V01",cad!$C$35,IF($D740="V02",cad!$D$35,cad!$E$35)))</f>
      </c>
      <c r="M740">
        <f>IF($A740="","",IF($D740="V01",cad!$C$36,IF($D740="V02",cad!$D$36,cad!$E$36)))</f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>
        <f>IF($A741="","",IF($D741="V01",cad!$C$23,IF($D741="V02",cad!$D$23,cad!$E$23)))</f>
      </c>
      <c r="H741">
        <f>IF($A741="","",IF($D741="V01",cad!$C$24,IF($D741="V02",cad!$D$24,cad!$E$24)))</f>
      </c>
      <c r="I741">
        <f>IF($A741="","",IF($D741="V01",cad!$C$32,IF($D741="V02",cad!$D$32,cad!$E$32)))</f>
      </c>
      <c r="J741">
        <f>IF($A741="","",IF($D741="V01",cad!$C$33,IF($D741="V02",cad!$D$33,cad!$E$33)))</f>
      </c>
      <c r="K741">
        <f>IF($A741="","",IF($D741="V01",cad!$C$34,IF($D741="V02",cad!$D$34,cad!$E$34)))</f>
      </c>
      <c r="L741">
        <f>IF($A741="","",IF($D741="V01",cad!$C$35,IF($D741="V02",cad!$D$35,cad!$E$35)))</f>
      </c>
      <c r="M741">
        <f>IF($A741="","",IF($D741="V01",cad!$C$36,IF($D741="V02",cad!$D$36,cad!$E$36)))</f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>
        <f>IF($A742="","",IF($D742="V01",cad!$C$23,IF($D742="V02",cad!$D$23,cad!$E$23)))</f>
      </c>
      <c r="H742">
        <f>IF($A742="","",IF($D742="V01",cad!$C$24,IF($D742="V02",cad!$D$24,cad!$E$24)))</f>
      </c>
      <c r="I742">
        <f>IF($A742="","",IF($D742="V01",cad!$C$32,IF($D742="V02",cad!$D$32,cad!$E$32)))</f>
      </c>
      <c r="J742">
        <f>IF($A742="","",IF($D742="V01",cad!$C$33,IF($D742="V02",cad!$D$33,cad!$E$33)))</f>
      </c>
      <c r="K742">
        <f>IF($A742="","",IF($D742="V01",cad!$C$34,IF($D742="V02",cad!$D$34,cad!$E$34)))</f>
      </c>
      <c r="L742">
        <f>IF($A742="","",IF($D742="V01",cad!$C$35,IF($D742="V02",cad!$D$35,cad!$E$35)))</f>
      </c>
      <c r="M742">
        <f>IF($A742="","",IF($D742="V01",cad!$C$36,IF($D742="V02",cad!$D$36,cad!$E$36)))</f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>
        <f>IF($A743="","",IF($D743="V01",cad!$C$23,IF($D743="V02",cad!$D$23,cad!$E$23)))</f>
      </c>
      <c r="H743">
        <f>IF($A743="","",IF($D743="V01",cad!$C$24,IF($D743="V02",cad!$D$24,cad!$E$24)))</f>
      </c>
      <c r="I743">
        <f>IF($A743="","",IF($D743="V01",cad!$C$32,IF($D743="V02",cad!$D$32,cad!$E$32)))</f>
      </c>
      <c r="J743">
        <f>IF($A743="","",IF($D743="V01",cad!$C$33,IF($D743="V02",cad!$D$33,cad!$E$33)))</f>
      </c>
      <c r="K743">
        <f>IF($A743="","",IF($D743="V01",cad!$C$34,IF($D743="V02",cad!$D$34,cad!$E$34)))</f>
      </c>
      <c r="L743">
        <f>IF($A743="","",IF($D743="V01",cad!$C$35,IF($D743="V02",cad!$D$35,cad!$E$35)))</f>
      </c>
      <c r="M743">
        <f>IF($A743="","",IF($D743="V01",cad!$C$36,IF($D743="V02",cad!$D$36,cad!$E$36)))</f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>
        <f>IF($A744="","",IF($D744="V01",cad!$C$23,IF($D744="V02",cad!$D$23,cad!$E$23)))</f>
      </c>
      <c r="H744">
        <f>IF($A744="","",IF($D744="V01",cad!$C$24,IF($D744="V02",cad!$D$24,cad!$E$24)))</f>
      </c>
      <c r="I744">
        <f>IF($A744="","",IF($D744="V01",cad!$C$32,IF($D744="V02",cad!$D$32,cad!$E$32)))</f>
      </c>
      <c r="J744">
        <f>IF($A744="","",IF($D744="V01",cad!$C$33,IF($D744="V02",cad!$D$33,cad!$E$33)))</f>
      </c>
      <c r="K744">
        <f>IF($A744="","",IF($D744="V01",cad!$C$34,IF($D744="V02",cad!$D$34,cad!$E$34)))</f>
      </c>
      <c r="L744">
        <f>IF($A744="","",IF($D744="V01",cad!$C$35,IF($D744="V02",cad!$D$35,cad!$E$35)))</f>
      </c>
      <c r="M744">
        <f>IF($A744="","",IF($D744="V01",cad!$C$36,IF($D744="V02",cad!$D$36,cad!$E$36)))</f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>
        <f>IF($A745="","",IF($D745="V01",cad!$C$23,IF($D745="V02",cad!$D$23,cad!$E$23)))</f>
      </c>
      <c r="H745">
        <f>IF($A745="","",IF($D745="V01",cad!$C$24,IF($D745="V02",cad!$D$24,cad!$E$24)))</f>
      </c>
      <c r="I745">
        <f>IF($A745="","",IF($D745="V01",cad!$C$32,IF($D745="V02",cad!$D$32,cad!$E$32)))</f>
      </c>
      <c r="J745">
        <f>IF($A745="","",IF($D745="V01",cad!$C$33,IF($D745="V02",cad!$D$33,cad!$E$33)))</f>
      </c>
      <c r="K745">
        <f>IF($A745="","",IF($D745="V01",cad!$C$34,IF($D745="V02",cad!$D$34,cad!$E$34)))</f>
      </c>
      <c r="L745">
        <f>IF($A745="","",IF($D745="V01",cad!$C$35,IF($D745="V02",cad!$D$35,cad!$E$35)))</f>
      </c>
      <c r="M745">
        <f>IF($A745="","",IF($D745="V01",cad!$C$36,IF($D745="V02",cad!$D$36,cad!$E$36)))</f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>
        <f>IF($A746="","",IF($D746="V01",cad!$C$23,IF($D746="V02",cad!$D$23,cad!$E$23)))</f>
      </c>
      <c r="H746">
        <f>IF($A746="","",IF($D746="V01",cad!$C$24,IF($D746="V02",cad!$D$24,cad!$E$24)))</f>
      </c>
      <c r="I746">
        <f>IF($A746="","",IF($D746="V01",cad!$C$32,IF($D746="V02",cad!$D$32,cad!$E$32)))</f>
      </c>
      <c r="J746">
        <f>IF($A746="","",IF($D746="V01",cad!$C$33,IF($D746="V02",cad!$D$33,cad!$E$33)))</f>
      </c>
      <c r="K746">
        <f>IF($A746="","",IF($D746="V01",cad!$C$34,IF($D746="V02",cad!$D$34,cad!$E$34)))</f>
      </c>
      <c r="L746">
        <f>IF($A746="","",IF($D746="V01",cad!$C$35,IF($D746="V02",cad!$D$35,cad!$E$35)))</f>
      </c>
      <c r="M746">
        <f>IF($A746="","",IF($D746="V01",cad!$C$36,IF($D746="V02",cad!$D$36,cad!$E$36)))</f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>
        <f>IF($A747="","",IF($D747="V01",cad!$C$23,IF($D747="V02",cad!$D$23,cad!$E$23)))</f>
      </c>
      <c r="H747">
        <f>IF($A747="","",IF($D747="V01",cad!$C$24,IF($D747="V02",cad!$D$24,cad!$E$24)))</f>
      </c>
      <c r="I747">
        <f>IF($A747="","",IF($D747="V01",cad!$C$32,IF($D747="V02",cad!$D$32,cad!$E$32)))</f>
      </c>
      <c r="J747">
        <f>IF($A747="","",IF($D747="V01",cad!$C$33,IF($D747="V02",cad!$D$33,cad!$E$33)))</f>
      </c>
      <c r="K747">
        <f>IF($A747="","",IF($D747="V01",cad!$C$34,IF($D747="V02",cad!$D$34,cad!$E$34)))</f>
      </c>
      <c r="L747">
        <f>IF($A747="","",IF($D747="V01",cad!$C$35,IF($D747="V02",cad!$D$35,cad!$E$35)))</f>
      </c>
      <c r="M747">
        <f>IF($A747="","",IF($D747="V01",cad!$C$36,IF($D747="V02",cad!$D$36,cad!$E$36)))</f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>
        <f>IF($A748="","",IF($D748="V01",cad!$C$23,IF($D748="V02",cad!$D$23,cad!$E$23)))</f>
      </c>
      <c r="H748">
        <f>IF($A748="","",IF($D748="V01",cad!$C$24,IF($D748="V02",cad!$D$24,cad!$E$24)))</f>
      </c>
      <c r="I748">
        <f>IF($A748="","",IF($D748="V01",cad!$C$32,IF($D748="V02",cad!$D$32,cad!$E$32)))</f>
      </c>
      <c r="J748">
        <f>IF($A748="","",IF($D748="V01",cad!$C$33,IF($D748="V02",cad!$D$33,cad!$E$33)))</f>
      </c>
      <c r="K748">
        <f>IF($A748="","",IF($D748="V01",cad!$C$34,IF($D748="V02",cad!$D$34,cad!$E$34)))</f>
      </c>
      <c r="L748">
        <f>IF($A748="","",IF($D748="V01",cad!$C$35,IF($D748="V02",cad!$D$35,cad!$E$35)))</f>
      </c>
      <c r="M748">
        <f>IF($A748="","",IF($D748="V01",cad!$C$36,IF($D748="V02",cad!$D$36,cad!$E$36)))</f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>
        <f>IF($A749="","",IF($D749="V01",cad!$C$23,IF($D749="V02",cad!$D$23,cad!$E$23)))</f>
      </c>
      <c r="H749">
        <f>IF($A749="","",IF($D749="V01",cad!$C$24,IF($D749="V02",cad!$D$24,cad!$E$24)))</f>
      </c>
      <c r="I749">
        <f>IF($A749="","",IF($D749="V01",cad!$C$32,IF($D749="V02",cad!$D$32,cad!$E$32)))</f>
      </c>
      <c r="J749">
        <f>IF($A749="","",IF($D749="V01",cad!$C$33,IF($D749="V02",cad!$D$33,cad!$E$33)))</f>
      </c>
      <c r="K749">
        <f>IF($A749="","",IF($D749="V01",cad!$C$34,IF($D749="V02",cad!$D$34,cad!$E$34)))</f>
      </c>
      <c r="L749">
        <f>IF($A749="","",IF($D749="V01",cad!$C$35,IF($D749="V02",cad!$D$35,cad!$E$35)))</f>
      </c>
      <c r="M749">
        <f>IF($A749="","",IF($D749="V01",cad!$C$36,IF($D749="V02",cad!$D$36,cad!$E$36)))</f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>
        <f>IF($A750="","",IF($D750="V01",cad!$C$23,IF($D750="V02",cad!$D$23,cad!$E$23)))</f>
      </c>
      <c r="H750">
        <f>IF($A750="","",IF($D750="V01",cad!$C$24,IF($D750="V02",cad!$D$24,cad!$E$24)))</f>
      </c>
      <c r="I750">
        <f>IF($A750="","",IF($D750="V01",cad!$C$32,IF($D750="V02",cad!$D$32,cad!$E$32)))</f>
      </c>
      <c r="J750">
        <f>IF($A750="","",IF($D750="V01",cad!$C$33,IF($D750="V02",cad!$D$33,cad!$E$33)))</f>
      </c>
      <c r="K750">
        <f>IF($A750="","",IF($D750="V01",cad!$C$34,IF($D750="V02",cad!$D$34,cad!$E$34)))</f>
      </c>
      <c r="L750">
        <f>IF($A750="","",IF($D750="V01",cad!$C$35,IF($D750="V02",cad!$D$35,cad!$E$35)))</f>
      </c>
      <c r="M750">
        <f>IF($A750="","",IF($D750="V01",cad!$C$36,IF($D750="V02",cad!$D$36,cad!$E$36)))</f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>
        <f>IF($A751="","",IF($D751="V01",cad!$C$23,IF($D751="V02",cad!$D$23,cad!$E$23)))</f>
      </c>
      <c r="H751">
        <f>IF($A751="","",IF($D751="V01",cad!$C$24,IF($D751="V02",cad!$D$24,cad!$E$24)))</f>
      </c>
      <c r="I751">
        <f>IF($A751="","",IF($D751="V01",cad!$C$32,IF($D751="V02",cad!$D$32,cad!$E$32)))</f>
      </c>
      <c r="J751">
        <f>IF($A751="","",IF($D751="V01",cad!$C$33,IF($D751="V02",cad!$D$33,cad!$E$33)))</f>
      </c>
      <c r="K751">
        <f>IF($A751="","",IF($D751="V01",cad!$C$34,IF($D751="V02",cad!$D$34,cad!$E$34)))</f>
      </c>
      <c r="L751">
        <f>IF($A751="","",IF($D751="V01",cad!$C$35,IF($D751="V02",cad!$D$35,cad!$E$35)))</f>
      </c>
      <c r="M751">
        <f>IF($A751="","",IF($D751="V01",cad!$C$36,IF($D751="V02",cad!$D$36,cad!$E$36)))</f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>
        <f>IF($A752="","",IF($D752="V01",cad!$C$23,IF($D752="V02",cad!$D$23,cad!$E$23)))</f>
      </c>
      <c r="H752">
        <f>IF($A752="","",IF($D752="V01",cad!$C$24,IF($D752="V02",cad!$D$24,cad!$E$24)))</f>
      </c>
      <c r="I752">
        <f>IF($A752="","",IF($D752="V01",cad!$C$32,IF($D752="V02",cad!$D$32,cad!$E$32)))</f>
      </c>
      <c r="J752">
        <f>IF($A752="","",IF($D752="V01",cad!$C$33,IF($D752="V02",cad!$D$33,cad!$E$33)))</f>
      </c>
      <c r="K752">
        <f>IF($A752="","",IF($D752="V01",cad!$C$34,IF($D752="V02",cad!$D$34,cad!$E$34)))</f>
      </c>
      <c r="L752">
        <f>IF($A752="","",IF($D752="V01",cad!$C$35,IF($D752="V02",cad!$D$35,cad!$E$35)))</f>
      </c>
      <c r="M752">
        <f>IF($A752="","",IF($D752="V01",cad!$C$36,IF($D752="V02",cad!$D$36,cad!$E$36)))</f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>
        <f>IF($A753="","",IF($D753="V01",cad!$C$23,IF($D753="V02",cad!$D$23,cad!$E$23)))</f>
      </c>
      <c r="H753">
        <f>IF($A753="","",IF($D753="V01",cad!$C$24,IF($D753="V02",cad!$D$24,cad!$E$24)))</f>
      </c>
      <c r="I753">
        <f>IF($A753="","",IF($D753="V01",cad!$C$32,IF($D753="V02",cad!$D$32,cad!$E$32)))</f>
      </c>
      <c r="J753">
        <f>IF($A753="","",IF($D753="V01",cad!$C$33,IF($D753="V02",cad!$D$33,cad!$E$33)))</f>
      </c>
      <c r="K753">
        <f>IF($A753="","",IF($D753="V01",cad!$C$34,IF($D753="V02",cad!$D$34,cad!$E$34)))</f>
      </c>
      <c r="L753">
        <f>IF($A753="","",IF($D753="V01",cad!$C$35,IF($D753="V02",cad!$D$35,cad!$E$35)))</f>
      </c>
      <c r="M753">
        <f>IF($A753="","",IF($D753="V01",cad!$C$36,IF($D753="V02",cad!$D$36,cad!$E$36)))</f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>
        <f>IF($A754="","",IF($D754="V01",cad!$C$23,IF($D754="V02",cad!$D$23,cad!$E$23)))</f>
      </c>
      <c r="H754">
        <f>IF($A754="","",IF($D754="V01",cad!$C$24,IF($D754="V02",cad!$D$24,cad!$E$24)))</f>
      </c>
      <c r="I754">
        <f>IF($A754="","",IF($D754="V01",cad!$C$32,IF($D754="V02",cad!$D$32,cad!$E$32)))</f>
      </c>
      <c r="J754">
        <f>IF($A754="","",IF($D754="V01",cad!$C$33,IF($D754="V02",cad!$D$33,cad!$E$33)))</f>
      </c>
      <c r="K754">
        <f>IF($A754="","",IF($D754="V01",cad!$C$34,IF($D754="V02",cad!$D$34,cad!$E$34)))</f>
      </c>
      <c r="L754">
        <f>IF($A754="","",IF($D754="V01",cad!$C$35,IF($D754="V02",cad!$D$35,cad!$E$35)))</f>
      </c>
      <c r="M754">
        <f>IF($A754="","",IF($D754="V01",cad!$C$36,IF($D754="V02",cad!$D$36,cad!$E$36)))</f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>
        <f>IF($A755="","",IF($D755="V01",cad!$C$23,IF($D755="V02",cad!$D$23,cad!$E$23)))</f>
      </c>
      <c r="H755">
        <f>IF($A755="","",IF($D755="V01",cad!$C$24,IF($D755="V02",cad!$D$24,cad!$E$24)))</f>
      </c>
      <c r="I755">
        <f>IF($A755="","",IF($D755="V01",cad!$C$32,IF($D755="V02",cad!$D$32,cad!$E$32)))</f>
      </c>
      <c r="J755">
        <f>IF($A755="","",IF($D755="V01",cad!$C$33,IF($D755="V02",cad!$D$33,cad!$E$33)))</f>
      </c>
      <c r="K755">
        <f>IF($A755="","",IF($D755="V01",cad!$C$34,IF($D755="V02",cad!$D$34,cad!$E$34)))</f>
      </c>
      <c r="L755">
        <f>IF($A755="","",IF($D755="V01",cad!$C$35,IF($D755="V02",cad!$D$35,cad!$E$35)))</f>
      </c>
      <c r="M755">
        <f>IF($A755="","",IF($D755="V01",cad!$C$36,IF($D755="V02",cad!$D$36,cad!$E$36)))</f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>
        <f>IF($A756="","",IF($D756="V01",cad!$C$23,IF($D756="V02",cad!$D$23,cad!$E$23)))</f>
      </c>
      <c r="H756">
        <f>IF($A756="","",IF($D756="V01",cad!$C$24,IF($D756="V02",cad!$D$24,cad!$E$24)))</f>
      </c>
      <c r="I756">
        <f>IF($A756="","",IF($D756="V01",cad!$C$32,IF($D756="V02",cad!$D$32,cad!$E$32)))</f>
      </c>
      <c r="J756">
        <f>IF($A756="","",IF($D756="V01",cad!$C$33,IF($D756="V02",cad!$D$33,cad!$E$33)))</f>
      </c>
      <c r="K756">
        <f>IF($A756="","",IF($D756="V01",cad!$C$34,IF($D756="V02",cad!$D$34,cad!$E$34)))</f>
      </c>
      <c r="L756">
        <f>IF($A756="","",IF($D756="V01",cad!$C$35,IF($D756="V02",cad!$D$35,cad!$E$35)))</f>
      </c>
      <c r="M756">
        <f>IF($A756="","",IF($D756="V01",cad!$C$36,IF($D756="V02",cad!$D$36,cad!$E$36)))</f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>
        <f>IF($A757="","",IF($D757="V01",cad!$C$23,IF($D757="V02",cad!$D$23,cad!$E$23)))</f>
      </c>
      <c r="H757">
        <f>IF($A757="","",IF($D757="V01",cad!$C$24,IF($D757="V02",cad!$D$24,cad!$E$24)))</f>
      </c>
      <c r="I757">
        <f>IF($A757="","",IF($D757="V01",cad!$C$32,IF($D757="V02",cad!$D$32,cad!$E$32)))</f>
      </c>
      <c r="J757">
        <f>IF($A757="","",IF($D757="V01",cad!$C$33,IF($D757="V02",cad!$D$33,cad!$E$33)))</f>
      </c>
      <c r="K757">
        <f>IF($A757="","",IF($D757="V01",cad!$C$34,IF($D757="V02",cad!$D$34,cad!$E$34)))</f>
      </c>
      <c r="L757">
        <f>IF($A757="","",IF($D757="V01",cad!$C$35,IF($D757="V02",cad!$D$35,cad!$E$35)))</f>
      </c>
      <c r="M757">
        <f>IF($A757="","",IF($D757="V01",cad!$C$36,IF($D757="V02",cad!$D$36,cad!$E$36)))</f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>
        <f>IF($A758="","",IF($D758="V01",cad!$C$23,IF($D758="V02",cad!$D$23,cad!$E$23)))</f>
      </c>
      <c r="H758">
        <f>IF($A758="","",IF($D758="V01",cad!$C$24,IF($D758="V02",cad!$D$24,cad!$E$24)))</f>
      </c>
      <c r="I758">
        <f>IF($A758="","",IF($D758="V01",cad!$C$32,IF($D758="V02",cad!$D$32,cad!$E$32)))</f>
      </c>
      <c r="J758">
        <f>IF($A758="","",IF($D758="V01",cad!$C$33,IF($D758="V02",cad!$D$33,cad!$E$33)))</f>
      </c>
      <c r="K758">
        <f>IF($A758="","",IF($D758="V01",cad!$C$34,IF($D758="V02",cad!$D$34,cad!$E$34)))</f>
      </c>
      <c r="L758">
        <f>IF($A758="","",IF($D758="V01",cad!$C$35,IF($D758="V02",cad!$D$35,cad!$E$35)))</f>
      </c>
      <c r="M758">
        <f>IF($A758="","",IF($D758="V01",cad!$C$36,IF($D758="V02",cad!$D$36,cad!$E$36)))</f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>
        <f>IF($A759="","",IF($D759="V01",cad!$C$23,IF($D759="V02",cad!$D$23,cad!$E$23)))</f>
      </c>
      <c r="H759">
        <f>IF($A759="","",IF($D759="V01",cad!$C$24,IF($D759="V02",cad!$D$24,cad!$E$24)))</f>
      </c>
      <c r="I759">
        <f>IF($A759="","",IF($D759="V01",cad!$C$32,IF($D759="V02",cad!$D$32,cad!$E$32)))</f>
      </c>
      <c r="J759">
        <f>IF($A759="","",IF($D759="V01",cad!$C$33,IF($D759="V02",cad!$D$33,cad!$E$33)))</f>
      </c>
      <c r="K759">
        <f>IF($A759="","",IF($D759="V01",cad!$C$34,IF($D759="V02",cad!$D$34,cad!$E$34)))</f>
      </c>
      <c r="L759">
        <f>IF($A759="","",IF($D759="V01",cad!$C$35,IF($D759="V02",cad!$D$35,cad!$E$35)))</f>
      </c>
      <c r="M759">
        <f>IF($A759="","",IF($D759="V01",cad!$C$36,IF($D759="V02",cad!$D$36,cad!$E$36)))</f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>
        <f>IF($A760="","",IF($D760="V01",cad!$C$23,IF($D760="V02",cad!$D$23,cad!$E$23)))</f>
      </c>
      <c r="H760">
        <f>IF($A760="","",IF($D760="V01",cad!$C$24,IF($D760="V02",cad!$D$24,cad!$E$24)))</f>
      </c>
      <c r="I760">
        <f>IF($A760="","",IF($D760="V01",cad!$C$32,IF($D760="V02",cad!$D$32,cad!$E$32)))</f>
      </c>
      <c r="J760">
        <f>IF($A760="","",IF($D760="V01",cad!$C$33,IF($D760="V02",cad!$D$33,cad!$E$33)))</f>
      </c>
      <c r="K760">
        <f>IF($A760="","",IF($D760="V01",cad!$C$34,IF($D760="V02",cad!$D$34,cad!$E$34)))</f>
      </c>
      <c r="L760">
        <f>IF($A760="","",IF($D760="V01",cad!$C$35,IF($D760="V02",cad!$D$35,cad!$E$35)))</f>
      </c>
      <c r="M760">
        <f>IF($A760="","",IF($D760="V01",cad!$C$36,IF($D760="V02",cad!$D$36,cad!$E$36)))</f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>
        <f>IF($A761="","",IF($D761="V01",cad!$C$23,IF($D761="V02",cad!$D$23,cad!$E$23)))</f>
      </c>
      <c r="H761">
        <f>IF($A761="","",IF($D761="V01",cad!$C$24,IF($D761="V02",cad!$D$24,cad!$E$24)))</f>
      </c>
      <c r="I761">
        <f>IF($A761="","",IF($D761="V01",cad!$C$32,IF($D761="V02",cad!$D$32,cad!$E$32)))</f>
      </c>
      <c r="J761">
        <f>IF($A761="","",IF($D761="V01",cad!$C$33,IF($D761="V02",cad!$D$33,cad!$E$33)))</f>
      </c>
      <c r="K761">
        <f>IF($A761="","",IF($D761="V01",cad!$C$34,IF($D761="V02",cad!$D$34,cad!$E$34)))</f>
      </c>
      <c r="L761">
        <f>IF($A761="","",IF($D761="V01",cad!$C$35,IF($D761="V02",cad!$D$35,cad!$E$35)))</f>
      </c>
      <c r="M761">
        <f>IF($A761="","",IF($D761="V01",cad!$C$36,IF($D761="V02",cad!$D$36,cad!$E$36)))</f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>
        <f>IF($A762="","",IF($D762="V01",cad!$C$23,IF($D762="V02",cad!$D$23,cad!$E$23)))</f>
      </c>
      <c r="H762">
        <f>IF($A762="","",IF($D762="V01",cad!$C$24,IF($D762="V02",cad!$D$24,cad!$E$24)))</f>
      </c>
      <c r="I762">
        <f>IF($A762="","",IF($D762="V01",cad!$C$32,IF($D762="V02",cad!$D$32,cad!$E$32)))</f>
      </c>
      <c r="J762">
        <f>IF($A762="","",IF($D762="V01",cad!$C$33,IF($D762="V02",cad!$D$33,cad!$E$33)))</f>
      </c>
      <c r="K762">
        <f>IF($A762="","",IF($D762="V01",cad!$C$34,IF($D762="V02",cad!$D$34,cad!$E$34)))</f>
      </c>
      <c r="L762">
        <f>IF($A762="","",IF($D762="V01",cad!$C$35,IF($D762="V02",cad!$D$35,cad!$E$35)))</f>
      </c>
      <c r="M762">
        <f>IF($A762="","",IF($D762="V01",cad!$C$36,IF($D762="V02",cad!$D$36,cad!$E$36)))</f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>
        <f>IF($A763="","",IF($D763="V01",cad!$C$23,IF($D763="V02",cad!$D$23,cad!$E$23)))</f>
      </c>
      <c r="H763">
        <f>IF($A763="","",IF($D763="V01",cad!$C$24,IF($D763="V02",cad!$D$24,cad!$E$24)))</f>
      </c>
      <c r="I763">
        <f>IF($A763="","",IF($D763="V01",cad!$C$32,IF($D763="V02",cad!$D$32,cad!$E$32)))</f>
      </c>
      <c r="J763">
        <f>IF($A763="","",IF($D763="V01",cad!$C$33,IF($D763="V02",cad!$D$33,cad!$E$33)))</f>
      </c>
      <c r="K763">
        <f>IF($A763="","",IF($D763="V01",cad!$C$34,IF($D763="V02",cad!$D$34,cad!$E$34)))</f>
      </c>
      <c r="L763">
        <f>IF($A763="","",IF($D763="V01",cad!$C$35,IF($D763="V02",cad!$D$35,cad!$E$35)))</f>
      </c>
      <c r="M763">
        <f>IF($A763="","",IF($D763="V01",cad!$C$36,IF($D763="V02",cad!$D$36,cad!$E$36)))</f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>
        <f>IF($A764="","",IF($D764="V01",cad!$C$23,IF($D764="V02",cad!$D$23,cad!$E$23)))</f>
      </c>
      <c r="H764">
        <f>IF($A764="","",IF($D764="V01",cad!$C$24,IF($D764="V02",cad!$D$24,cad!$E$24)))</f>
      </c>
      <c r="I764">
        <f>IF($A764="","",IF($D764="V01",cad!$C$32,IF($D764="V02",cad!$D$32,cad!$E$32)))</f>
      </c>
      <c r="J764">
        <f>IF($A764="","",IF($D764="V01",cad!$C$33,IF($D764="V02",cad!$D$33,cad!$E$33)))</f>
      </c>
      <c r="K764">
        <f>IF($A764="","",IF($D764="V01",cad!$C$34,IF($D764="V02",cad!$D$34,cad!$E$34)))</f>
      </c>
      <c r="L764">
        <f>IF($A764="","",IF($D764="V01",cad!$C$35,IF($D764="V02",cad!$D$35,cad!$E$35)))</f>
      </c>
      <c r="M764">
        <f>IF($A764="","",IF($D764="V01",cad!$C$36,IF($D764="V02",cad!$D$36,cad!$E$36)))</f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>
        <f>IF($A765="","",IF($D765="V01",cad!$C$23,IF($D765="V02",cad!$D$23,cad!$E$23)))</f>
      </c>
      <c r="H765">
        <f>IF($A765="","",IF($D765="V01",cad!$C$24,IF($D765="V02",cad!$D$24,cad!$E$24)))</f>
      </c>
      <c r="I765">
        <f>IF($A765="","",IF($D765="V01",cad!$C$32,IF($D765="V02",cad!$D$32,cad!$E$32)))</f>
      </c>
      <c r="J765">
        <f>IF($A765="","",IF($D765="V01",cad!$C$33,IF($D765="V02",cad!$D$33,cad!$E$33)))</f>
      </c>
      <c r="K765">
        <f>IF($A765="","",IF($D765="V01",cad!$C$34,IF($D765="V02",cad!$D$34,cad!$E$34)))</f>
      </c>
      <c r="L765">
        <f>IF($A765="","",IF($D765="V01",cad!$C$35,IF($D765="V02",cad!$D$35,cad!$E$35)))</f>
      </c>
      <c r="M765">
        <f>IF($A765="","",IF($D765="V01",cad!$C$36,IF($D765="V02",cad!$D$36,cad!$E$36)))</f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>
        <f>IF($A766="","",IF($D766="V01",cad!$C$23,IF($D766="V02",cad!$D$23,cad!$E$23)))</f>
      </c>
      <c r="H766">
        <f>IF($A766="","",IF($D766="V01",cad!$C$24,IF($D766="V02",cad!$D$24,cad!$E$24)))</f>
      </c>
      <c r="I766">
        <f>IF($A766="","",IF($D766="V01",cad!$C$32,IF($D766="V02",cad!$D$32,cad!$E$32)))</f>
      </c>
      <c r="J766">
        <f>IF($A766="","",IF($D766="V01",cad!$C$33,IF($D766="V02",cad!$D$33,cad!$E$33)))</f>
      </c>
      <c r="K766">
        <f>IF($A766="","",IF($D766="V01",cad!$C$34,IF($D766="V02",cad!$D$34,cad!$E$34)))</f>
      </c>
      <c r="L766">
        <f>IF($A766="","",IF($D766="V01",cad!$C$35,IF($D766="V02",cad!$D$35,cad!$E$35)))</f>
      </c>
      <c r="M766">
        <f>IF($A766="","",IF($D766="V01",cad!$C$36,IF($D766="V02",cad!$D$36,cad!$E$36)))</f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>
        <f>IF($A767="","",IF($D767="V01",cad!$C$23,IF($D767="V02",cad!$D$23,cad!$E$23)))</f>
      </c>
      <c r="H767">
        <f>IF($A767="","",IF($D767="V01",cad!$C$24,IF($D767="V02",cad!$D$24,cad!$E$24)))</f>
      </c>
      <c r="I767">
        <f>IF($A767="","",IF($D767="V01",cad!$C$32,IF($D767="V02",cad!$D$32,cad!$E$32)))</f>
      </c>
      <c r="J767">
        <f>IF($A767="","",IF($D767="V01",cad!$C$33,IF($D767="V02",cad!$D$33,cad!$E$33)))</f>
      </c>
      <c r="K767">
        <f>IF($A767="","",IF($D767="V01",cad!$C$34,IF($D767="V02",cad!$D$34,cad!$E$34)))</f>
      </c>
      <c r="L767">
        <f>IF($A767="","",IF($D767="V01",cad!$C$35,IF($D767="V02",cad!$D$35,cad!$E$35)))</f>
      </c>
      <c r="M767">
        <f>IF($A767="","",IF($D767="V01",cad!$C$36,IF($D767="V02",cad!$D$36,cad!$E$36)))</f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>
        <f>IF($A768="","",IF($D768="V01",cad!$C$23,IF($D768="V02",cad!$D$23,cad!$E$23)))</f>
      </c>
      <c r="H768">
        <f>IF($A768="","",IF($D768="V01",cad!$C$24,IF($D768="V02",cad!$D$24,cad!$E$24)))</f>
      </c>
      <c r="I768">
        <f>IF($A768="","",IF($D768="V01",cad!$C$32,IF($D768="V02",cad!$D$32,cad!$E$32)))</f>
      </c>
      <c r="J768">
        <f>IF($A768="","",IF($D768="V01",cad!$C$33,IF($D768="V02",cad!$D$33,cad!$E$33)))</f>
      </c>
      <c r="K768">
        <f>IF($A768="","",IF($D768="V01",cad!$C$34,IF($D768="V02",cad!$D$34,cad!$E$34)))</f>
      </c>
      <c r="L768">
        <f>IF($A768="","",IF($D768="V01",cad!$C$35,IF($D768="V02",cad!$D$35,cad!$E$35)))</f>
      </c>
      <c r="M768">
        <f>IF($A768="","",IF($D768="V01",cad!$C$36,IF($D768="V02",cad!$D$36,cad!$E$36)))</f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>
        <f>IF($A769="","",IF($D769="V01",cad!$C$23,IF($D769="V02",cad!$D$23,cad!$E$23)))</f>
      </c>
      <c r="H769">
        <f>IF($A769="","",IF($D769="V01",cad!$C$24,IF($D769="V02",cad!$D$24,cad!$E$24)))</f>
      </c>
      <c r="I769">
        <f>IF($A769="","",IF($D769="V01",cad!$C$32,IF($D769="V02",cad!$D$32,cad!$E$32)))</f>
      </c>
      <c r="J769">
        <f>IF($A769="","",IF($D769="V01",cad!$C$33,IF($D769="V02",cad!$D$33,cad!$E$33)))</f>
      </c>
      <c r="K769">
        <f>IF($A769="","",IF($D769="V01",cad!$C$34,IF($D769="V02",cad!$D$34,cad!$E$34)))</f>
      </c>
      <c r="L769">
        <f>IF($A769="","",IF($D769="V01",cad!$C$35,IF($D769="V02",cad!$D$35,cad!$E$35)))</f>
      </c>
      <c r="M769">
        <f>IF($A769="","",IF($D769="V01",cad!$C$36,IF($D769="V02",cad!$D$36,cad!$E$36)))</f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>
        <f>IF($A770="","",IF($D770="V01",cad!$C$23,IF($D770="V02",cad!$D$23,cad!$E$23)))</f>
      </c>
      <c r="H770">
        <f>IF($A770="","",IF($D770="V01",cad!$C$24,IF($D770="V02",cad!$D$24,cad!$E$24)))</f>
      </c>
      <c r="I770">
        <f>IF($A770="","",IF($D770="V01",cad!$C$32,IF($D770="V02",cad!$D$32,cad!$E$32)))</f>
      </c>
      <c r="J770">
        <f>IF($A770="","",IF($D770="V01",cad!$C$33,IF($D770="V02",cad!$D$33,cad!$E$33)))</f>
      </c>
      <c r="K770">
        <f>IF($A770="","",IF($D770="V01",cad!$C$34,IF($D770="V02",cad!$D$34,cad!$E$34)))</f>
      </c>
      <c r="L770">
        <f>IF($A770="","",IF($D770="V01",cad!$C$35,IF($D770="V02",cad!$D$35,cad!$E$35)))</f>
      </c>
      <c r="M770">
        <f>IF($A770="","",IF($D770="V01",cad!$C$36,IF($D770="V02",cad!$D$36,cad!$E$36)))</f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>
        <f>IF($A771="","",IF($D771="V01",cad!$C$23,IF($D771="V02",cad!$D$23,cad!$E$23)))</f>
      </c>
      <c r="H771">
        <f>IF($A771="","",IF($D771="V01",cad!$C$24,IF($D771="V02",cad!$D$24,cad!$E$24)))</f>
      </c>
      <c r="I771">
        <f>IF($A771="","",IF($D771="V01",cad!$C$32,IF($D771="V02",cad!$D$32,cad!$E$32)))</f>
      </c>
      <c r="J771">
        <f>IF($A771="","",IF($D771="V01",cad!$C$33,IF($D771="V02",cad!$D$33,cad!$E$33)))</f>
      </c>
      <c r="K771">
        <f>IF($A771="","",IF($D771="V01",cad!$C$34,IF($D771="V02",cad!$D$34,cad!$E$34)))</f>
      </c>
      <c r="L771">
        <f>IF($A771="","",IF($D771="V01",cad!$C$35,IF($D771="V02",cad!$D$35,cad!$E$35)))</f>
      </c>
      <c r="M771">
        <f>IF($A771="","",IF($D771="V01",cad!$C$36,IF($D771="V02",cad!$D$36,cad!$E$36)))</f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>
        <f>IF($A772="","",IF($D772="V01",cad!$C$23,IF($D772="V02",cad!$D$23,cad!$E$23)))</f>
      </c>
      <c r="H772">
        <f>IF($A772="","",IF($D772="V01",cad!$C$24,IF($D772="V02",cad!$D$24,cad!$E$24)))</f>
      </c>
      <c r="I772">
        <f>IF($A772="","",IF($D772="V01",cad!$C$32,IF($D772="V02",cad!$D$32,cad!$E$32)))</f>
      </c>
      <c r="J772">
        <f>IF($A772="","",IF($D772="V01",cad!$C$33,IF($D772="V02",cad!$D$33,cad!$E$33)))</f>
      </c>
      <c r="K772">
        <f>IF($A772="","",IF($D772="V01",cad!$C$34,IF($D772="V02",cad!$D$34,cad!$E$34)))</f>
      </c>
      <c r="L772">
        <f>IF($A772="","",IF($D772="V01",cad!$C$35,IF($D772="V02",cad!$D$35,cad!$E$35)))</f>
      </c>
      <c r="M772">
        <f>IF($A772="","",IF($D772="V01",cad!$C$36,IF($D772="V02",cad!$D$36,cad!$E$36)))</f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>
        <f>IF($A773="","",IF($D773="V01",cad!$C$23,IF($D773="V02",cad!$D$23,cad!$E$23)))</f>
      </c>
      <c r="H773">
        <f>IF($A773="","",IF($D773="V01",cad!$C$24,IF($D773="V02",cad!$D$24,cad!$E$24)))</f>
      </c>
      <c r="I773">
        <f>IF($A773="","",IF($D773="V01",cad!$C$32,IF($D773="V02",cad!$D$32,cad!$E$32)))</f>
      </c>
      <c r="J773">
        <f>IF($A773="","",IF($D773="V01",cad!$C$33,IF($D773="V02",cad!$D$33,cad!$E$33)))</f>
      </c>
      <c r="K773">
        <f>IF($A773="","",IF($D773="V01",cad!$C$34,IF($D773="V02",cad!$D$34,cad!$E$34)))</f>
      </c>
      <c r="L773">
        <f>IF($A773="","",IF($D773="V01",cad!$C$35,IF($D773="V02",cad!$D$35,cad!$E$35)))</f>
      </c>
      <c r="M773">
        <f>IF($A773="","",IF($D773="V01",cad!$C$36,IF($D773="V02",cad!$D$36,cad!$E$36)))</f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>
        <f>IF($A774="","",IF($D774="V01",cad!$C$23,IF($D774="V02",cad!$D$23,cad!$E$23)))</f>
      </c>
      <c r="H774">
        <f>IF($A774="","",IF($D774="V01",cad!$C$24,IF($D774="V02",cad!$D$24,cad!$E$24)))</f>
      </c>
      <c r="I774">
        <f>IF($A774="","",IF($D774="V01",cad!$C$32,IF($D774="V02",cad!$D$32,cad!$E$32)))</f>
      </c>
      <c r="J774">
        <f>IF($A774="","",IF($D774="V01",cad!$C$33,IF($D774="V02",cad!$D$33,cad!$E$33)))</f>
      </c>
      <c r="K774">
        <f>IF($A774="","",IF($D774="V01",cad!$C$34,IF($D774="V02",cad!$D$34,cad!$E$34)))</f>
      </c>
      <c r="L774">
        <f>IF($A774="","",IF($D774="V01",cad!$C$35,IF($D774="V02",cad!$D$35,cad!$E$35)))</f>
      </c>
      <c r="M774">
        <f>IF($A774="","",IF($D774="V01",cad!$C$36,IF($D774="V02",cad!$D$36,cad!$E$36)))</f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>
        <f>IF($A775="","",IF($D775="V01",cad!$C$23,IF($D775="V02",cad!$D$23,cad!$E$23)))</f>
      </c>
      <c r="H775">
        <f>IF($A775="","",IF($D775="V01",cad!$C$24,IF($D775="V02",cad!$D$24,cad!$E$24)))</f>
      </c>
      <c r="I775">
        <f>IF($A775="","",IF($D775="V01",cad!$C$32,IF($D775="V02",cad!$D$32,cad!$E$32)))</f>
      </c>
      <c r="J775">
        <f>IF($A775="","",IF($D775="V01",cad!$C$33,IF($D775="V02",cad!$D$33,cad!$E$33)))</f>
      </c>
      <c r="K775">
        <f>IF($A775="","",IF($D775="V01",cad!$C$34,IF($D775="V02",cad!$D$34,cad!$E$34)))</f>
      </c>
      <c r="L775">
        <f>IF($A775="","",IF($D775="V01",cad!$C$35,IF($D775="V02",cad!$D$35,cad!$E$35)))</f>
      </c>
      <c r="M775">
        <f>IF($A775="","",IF($D775="V01",cad!$C$36,IF($D775="V02",cad!$D$36,cad!$E$36)))</f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>
        <f>IF($A776="","",IF($D776="V01",cad!$C$23,IF($D776="V02",cad!$D$23,cad!$E$23)))</f>
      </c>
      <c r="H776">
        <f>IF($A776="","",IF($D776="V01",cad!$C$24,IF($D776="V02",cad!$D$24,cad!$E$24)))</f>
      </c>
      <c r="I776">
        <f>IF($A776="","",IF($D776="V01",cad!$C$32,IF($D776="V02",cad!$D$32,cad!$E$32)))</f>
      </c>
      <c r="J776">
        <f>IF($A776="","",IF($D776="V01",cad!$C$33,IF($D776="V02",cad!$D$33,cad!$E$33)))</f>
      </c>
      <c r="K776">
        <f>IF($A776="","",IF($D776="V01",cad!$C$34,IF($D776="V02",cad!$D$34,cad!$E$34)))</f>
      </c>
      <c r="L776">
        <f>IF($A776="","",IF($D776="V01",cad!$C$35,IF($D776="V02",cad!$D$35,cad!$E$35)))</f>
      </c>
      <c r="M776">
        <f>IF($A776="","",IF($D776="V01",cad!$C$36,IF($D776="V02",cad!$D$36,cad!$E$36)))</f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>
        <f>IF($A777="","",IF($D777="V01",cad!$C$23,IF($D777="V02",cad!$D$23,cad!$E$23)))</f>
      </c>
      <c r="H777">
        <f>IF($A777="","",IF($D777="V01",cad!$C$24,IF($D777="V02",cad!$D$24,cad!$E$24)))</f>
      </c>
      <c r="I777">
        <f>IF($A777="","",IF($D777="V01",cad!$C$32,IF($D777="V02",cad!$D$32,cad!$E$32)))</f>
      </c>
      <c r="J777">
        <f>IF($A777="","",IF($D777="V01",cad!$C$33,IF($D777="V02",cad!$D$33,cad!$E$33)))</f>
      </c>
      <c r="K777">
        <f>IF($A777="","",IF($D777="V01",cad!$C$34,IF($D777="V02",cad!$D$34,cad!$E$34)))</f>
      </c>
      <c r="L777">
        <f>IF($A777="","",IF($D777="V01",cad!$C$35,IF($D777="V02",cad!$D$35,cad!$E$35)))</f>
      </c>
      <c r="M777">
        <f>IF($A777="","",IF($D777="V01",cad!$C$36,IF($D777="V02",cad!$D$36,cad!$E$36)))</f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>
        <f>IF($A778="","",IF($D778="V01",cad!$C$23,IF($D778="V02",cad!$D$23,cad!$E$23)))</f>
      </c>
      <c r="H778">
        <f>IF($A778="","",IF($D778="V01",cad!$C$24,IF($D778="V02",cad!$D$24,cad!$E$24)))</f>
      </c>
      <c r="I778">
        <f>IF($A778="","",IF($D778="V01",cad!$C$32,IF($D778="V02",cad!$D$32,cad!$E$32)))</f>
      </c>
      <c r="J778">
        <f>IF($A778="","",IF($D778="V01",cad!$C$33,IF($D778="V02",cad!$D$33,cad!$E$33)))</f>
      </c>
      <c r="K778">
        <f>IF($A778="","",IF($D778="V01",cad!$C$34,IF($D778="V02",cad!$D$34,cad!$E$34)))</f>
      </c>
      <c r="L778">
        <f>IF($A778="","",IF($D778="V01",cad!$C$35,IF($D778="V02",cad!$D$35,cad!$E$35)))</f>
      </c>
      <c r="M778">
        <f>IF($A778="","",IF($D778="V01",cad!$C$36,IF($D778="V02",cad!$D$36,cad!$E$36)))</f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>
        <f>IF($A779="","",IF($D779="V01",cad!$C$23,IF($D779="V02",cad!$D$23,cad!$E$23)))</f>
      </c>
      <c r="H779">
        <f>IF($A779="","",IF($D779="V01",cad!$C$24,IF($D779="V02",cad!$D$24,cad!$E$24)))</f>
      </c>
      <c r="I779">
        <f>IF($A779="","",IF($D779="V01",cad!$C$32,IF($D779="V02",cad!$D$32,cad!$E$32)))</f>
      </c>
      <c r="J779">
        <f>IF($A779="","",IF($D779="V01",cad!$C$33,IF($D779="V02",cad!$D$33,cad!$E$33)))</f>
      </c>
      <c r="K779">
        <f>IF($A779="","",IF($D779="V01",cad!$C$34,IF($D779="V02",cad!$D$34,cad!$E$34)))</f>
      </c>
      <c r="L779">
        <f>IF($A779="","",IF($D779="V01",cad!$C$35,IF($D779="V02",cad!$D$35,cad!$E$35)))</f>
      </c>
      <c r="M779">
        <f>IF($A779="","",IF($D779="V01",cad!$C$36,IF($D779="V02",cad!$D$36,cad!$E$36)))</f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>
        <f>IF($A780="","",IF($D780="V01",cad!$C$23,IF($D780="V02",cad!$D$23,cad!$E$23)))</f>
      </c>
      <c r="H780">
        <f>IF($A780="","",IF($D780="V01",cad!$C$24,IF($D780="V02",cad!$D$24,cad!$E$24)))</f>
      </c>
      <c r="I780">
        <f>IF($A780="","",IF($D780="V01",cad!$C$32,IF($D780="V02",cad!$D$32,cad!$E$32)))</f>
      </c>
      <c r="J780">
        <f>IF($A780="","",IF($D780="V01",cad!$C$33,IF($D780="V02",cad!$D$33,cad!$E$33)))</f>
      </c>
      <c r="K780">
        <f>IF($A780="","",IF($D780="V01",cad!$C$34,IF($D780="V02",cad!$D$34,cad!$E$34)))</f>
      </c>
      <c r="L780">
        <f>IF($A780="","",IF($D780="V01",cad!$C$35,IF($D780="V02",cad!$D$35,cad!$E$35)))</f>
      </c>
      <c r="M780">
        <f>IF($A780="","",IF($D780="V01",cad!$C$36,IF($D780="V02",cad!$D$36,cad!$E$36)))</f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>
        <f>IF($A781="","",IF($D781="V01",cad!$C$23,IF($D781="V02",cad!$D$23,cad!$E$23)))</f>
      </c>
      <c r="H781">
        <f>IF($A781="","",IF($D781="V01",cad!$C$24,IF($D781="V02",cad!$D$24,cad!$E$24)))</f>
      </c>
      <c r="I781">
        <f>IF($A781="","",IF($D781="V01",cad!$C$32,IF($D781="V02",cad!$D$32,cad!$E$32)))</f>
      </c>
      <c r="J781">
        <f>IF($A781="","",IF($D781="V01",cad!$C$33,IF($D781="V02",cad!$D$33,cad!$E$33)))</f>
      </c>
      <c r="K781">
        <f>IF($A781="","",IF($D781="V01",cad!$C$34,IF($D781="V02",cad!$D$34,cad!$E$34)))</f>
      </c>
      <c r="L781">
        <f>IF($A781="","",IF($D781="V01",cad!$C$35,IF($D781="V02",cad!$D$35,cad!$E$35)))</f>
      </c>
      <c r="M781">
        <f>IF($A781="","",IF($D781="V01",cad!$C$36,IF($D781="V02",cad!$D$36,cad!$E$36)))</f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>
        <f>IF($A782="","",IF($D782="V01",cad!$C$23,IF($D782="V02",cad!$D$23,cad!$E$23)))</f>
      </c>
      <c r="H782">
        <f>IF($A782="","",IF($D782="V01",cad!$C$24,IF($D782="V02",cad!$D$24,cad!$E$24)))</f>
      </c>
      <c r="I782">
        <f>IF($A782="","",IF($D782="V01",cad!$C$32,IF($D782="V02",cad!$D$32,cad!$E$32)))</f>
      </c>
      <c r="J782">
        <f>IF($A782="","",IF($D782="V01",cad!$C$33,IF($D782="V02",cad!$D$33,cad!$E$33)))</f>
      </c>
      <c r="K782">
        <f>IF($A782="","",IF($D782="V01",cad!$C$34,IF($D782="V02",cad!$D$34,cad!$E$34)))</f>
      </c>
      <c r="L782">
        <f>IF($A782="","",IF($D782="V01",cad!$C$35,IF($D782="V02",cad!$D$35,cad!$E$35)))</f>
      </c>
      <c r="M782">
        <f>IF($A782="","",IF($D782="V01",cad!$C$36,IF($D782="V02",cad!$D$36,cad!$E$36)))</f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>
        <f>IF($A783="","",IF($D783="V01",cad!$C$23,IF($D783="V02",cad!$D$23,cad!$E$23)))</f>
      </c>
      <c r="H783">
        <f>IF($A783="","",IF($D783="V01",cad!$C$24,IF($D783="V02",cad!$D$24,cad!$E$24)))</f>
      </c>
      <c r="I783">
        <f>IF($A783="","",IF($D783="V01",cad!$C$32,IF($D783="V02",cad!$D$32,cad!$E$32)))</f>
      </c>
      <c r="J783">
        <f>IF($A783="","",IF($D783="V01",cad!$C$33,IF($D783="V02",cad!$D$33,cad!$E$33)))</f>
      </c>
      <c r="K783">
        <f>IF($A783="","",IF($D783="V01",cad!$C$34,IF($D783="V02",cad!$D$34,cad!$E$34)))</f>
      </c>
      <c r="L783">
        <f>IF($A783="","",IF($D783="V01",cad!$C$35,IF($D783="V02",cad!$D$35,cad!$E$35)))</f>
      </c>
      <c r="M783">
        <f>IF($A783="","",IF($D783="V01",cad!$C$36,IF($D783="V02",cad!$D$36,cad!$E$36)))</f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>
        <f>IF($A784="","",IF($D784="V01",cad!$C$23,IF($D784="V02",cad!$D$23,cad!$E$23)))</f>
      </c>
      <c r="H784">
        <f>IF($A784="","",IF($D784="V01",cad!$C$24,IF($D784="V02",cad!$D$24,cad!$E$24)))</f>
      </c>
      <c r="I784">
        <f>IF($A784="","",IF($D784="V01",cad!$C$32,IF($D784="V02",cad!$D$32,cad!$E$32)))</f>
      </c>
      <c r="J784">
        <f>IF($A784="","",IF($D784="V01",cad!$C$33,IF($D784="V02",cad!$D$33,cad!$E$33)))</f>
      </c>
      <c r="K784">
        <f>IF($A784="","",IF($D784="V01",cad!$C$34,IF($D784="V02",cad!$D$34,cad!$E$34)))</f>
      </c>
      <c r="L784">
        <f>IF($A784="","",IF($D784="V01",cad!$C$35,IF($D784="V02",cad!$D$35,cad!$E$35)))</f>
      </c>
      <c r="M784">
        <f>IF($A784="","",IF($D784="V01",cad!$C$36,IF($D784="V02",cad!$D$36,cad!$E$36)))</f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>
        <f>IF($A785="","",IF($D785="V01",cad!$C$23,IF($D785="V02",cad!$D$23,cad!$E$23)))</f>
      </c>
      <c r="H785">
        <f>IF($A785="","",IF($D785="V01",cad!$C$24,IF($D785="V02",cad!$D$24,cad!$E$24)))</f>
      </c>
      <c r="I785">
        <f>IF($A785="","",IF($D785="V01",cad!$C$32,IF($D785="V02",cad!$D$32,cad!$E$32)))</f>
      </c>
      <c r="J785">
        <f>IF($A785="","",IF($D785="V01",cad!$C$33,IF($D785="V02",cad!$D$33,cad!$E$33)))</f>
      </c>
      <c r="K785">
        <f>IF($A785="","",IF($D785="V01",cad!$C$34,IF($D785="V02",cad!$D$34,cad!$E$34)))</f>
      </c>
      <c r="L785">
        <f>IF($A785="","",IF($D785="V01",cad!$C$35,IF($D785="V02",cad!$D$35,cad!$E$35)))</f>
      </c>
      <c r="M785">
        <f>IF($A785="","",IF($D785="V01",cad!$C$36,IF($D785="V02",cad!$D$36,cad!$E$36)))</f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>
        <f>IF($A786="","",IF($D786="V01",cad!$C$23,IF($D786="V02",cad!$D$23,cad!$E$23)))</f>
      </c>
      <c r="H786">
        <f>IF($A786="","",IF($D786="V01",cad!$C$24,IF($D786="V02",cad!$D$24,cad!$E$24)))</f>
      </c>
      <c r="I786">
        <f>IF($A786="","",IF($D786="V01",cad!$C$32,IF($D786="V02",cad!$D$32,cad!$E$32)))</f>
      </c>
      <c r="J786">
        <f>IF($A786="","",IF($D786="V01",cad!$C$33,IF($D786="V02",cad!$D$33,cad!$E$33)))</f>
      </c>
      <c r="K786">
        <f>IF($A786="","",IF($D786="V01",cad!$C$34,IF($D786="V02",cad!$D$34,cad!$E$34)))</f>
      </c>
      <c r="L786">
        <f>IF($A786="","",IF($D786="V01",cad!$C$35,IF($D786="V02",cad!$D$35,cad!$E$35)))</f>
      </c>
      <c r="M786">
        <f>IF($A786="","",IF($D786="V01",cad!$C$36,IF($D786="V02",cad!$D$36,cad!$E$36)))</f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>
        <f>IF($A787="","",IF($D787="V01",cad!$C$23,IF($D787="V02",cad!$D$23,cad!$E$23)))</f>
      </c>
      <c r="H787">
        <f>IF($A787="","",IF($D787="V01",cad!$C$24,IF($D787="V02",cad!$D$24,cad!$E$24)))</f>
      </c>
      <c r="I787">
        <f>IF($A787="","",IF($D787="V01",cad!$C$32,IF($D787="V02",cad!$D$32,cad!$E$32)))</f>
      </c>
      <c r="J787">
        <f>IF($A787="","",IF($D787="V01",cad!$C$33,IF($D787="V02",cad!$D$33,cad!$E$33)))</f>
      </c>
      <c r="K787">
        <f>IF($A787="","",IF($D787="V01",cad!$C$34,IF($D787="V02",cad!$D$34,cad!$E$34)))</f>
      </c>
      <c r="L787">
        <f>IF($A787="","",IF($D787="V01",cad!$C$35,IF($D787="V02",cad!$D$35,cad!$E$35)))</f>
      </c>
      <c r="M787">
        <f>IF($A787="","",IF($D787="V01",cad!$C$36,IF($D787="V02",cad!$D$36,cad!$E$36)))</f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>
        <f>IF($A788="","",IF($D788="V01",cad!$C$23,IF($D788="V02",cad!$D$23,cad!$E$23)))</f>
      </c>
      <c r="H788">
        <f>IF($A788="","",IF($D788="V01",cad!$C$24,IF($D788="V02",cad!$D$24,cad!$E$24)))</f>
      </c>
      <c r="I788">
        <f>IF($A788="","",IF($D788="V01",cad!$C$32,IF($D788="V02",cad!$D$32,cad!$E$32)))</f>
      </c>
      <c r="J788">
        <f>IF($A788="","",IF($D788="V01",cad!$C$33,IF($D788="V02",cad!$D$33,cad!$E$33)))</f>
      </c>
      <c r="K788">
        <f>IF($A788="","",IF($D788="V01",cad!$C$34,IF($D788="V02",cad!$D$34,cad!$E$34)))</f>
      </c>
      <c r="L788">
        <f>IF($A788="","",IF($D788="V01",cad!$C$35,IF($D788="V02",cad!$D$35,cad!$E$35)))</f>
      </c>
      <c r="M788">
        <f>IF($A788="","",IF($D788="V01",cad!$C$36,IF($D788="V02",cad!$D$36,cad!$E$36)))</f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>
        <f>IF($A789="","",IF($D789="V01",cad!$C$23,IF($D789="V02",cad!$D$23,cad!$E$23)))</f>
      </c>
      <c r="H789">
        <f>IF($A789="","",IF($D789="V01",cad!$C$24,IF($D789="V02",cad!$D$24,cad!$E$24)))</f>
      </c>
      <c r="I789">
        <f>IF($A789="","",IF($D789="V01",cad!$C$32,IF($D789="V02",cad!$D$32,cad!$E$32)))</f>
      </c>
      <c r="J789">
        <f>IF($A789="","",IF($D789="V01",cad!$C$33,IF($D789="V02",cad!$D$33,cad!$E$33)))</f>
      </c>
      <c r="K789">
        <f>IF($A789="","",IF($D789="V01",cad!$C$34,IF($D789="V02",cad!$D$34,cad!$E$34)))</f>
      </c>
      <c r="L789">
        <f>IF($A789="","",IF($D789="V01",cad!$C$35,IF($D789="V02",cad!$D$35,cad!$E$35)))</f>
      </c>
      <c r="M789">
        <f>IF($A789="","",IF($D789="V01",cad!$C$36,IF($D789="V02",cad!$D$36,cad!$E$36)))</f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>
        <f>IF($A790="","",IF($D790="V01",cad!$C$23,IF($D790="V02",cad!$D$23,cad!$E$23)))</f>
      </c>
      <c r="H790">
        <f>IF($A790="","",IF($D790="V01",cad!$C$24,IF($D790="V02",cad!$D$24,cad!$E$24)))</f>
      </c>
      <c r="I790">
        <f>IF($A790="","",IF($D790="V01",cad!$C$32,IF($D790="V02",cad!$D$32,cad!$E$32)))</f>
      </c>
      <c r="J790">
        <f>IF($A790="","",IF($D790="V01",cad!$C$33,IF($D790="V02",cad!$D$33,cad!$E$33)))</f>
      </c>
      <c r="K790">
        <f>IF($A790="","",IF($D790="V01",cad!$C$34,IF($D790="V02",cad!$D$34,cad!$E$34)))</f>
      </c>
      <c r="L790">
        <f>IF($A790="","",IF($D790="V01",cad!$C$35,IF($D790="V02",cad!$D$35,cad!$E$35)))</f>
      </c>
      <c r="M790">
        <f>IF($A790="","",IF($D790="V01",cad!$C$36,IF($D790="V02",cad!$D$36,cad!$E$36)))</f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>
        <f>IF($A791="","",IF($D791="V01",cad!$C$23,IF($D791="V02",cad!$D$23,cad!$E$23)))</f>
      </c>
      <c r="H791">
        <f>IF($A791="","",IF($D791="V01",cad!$C$24,IF($D791="V02",cad!$D$24,cad!$E$24)))</f>
      </c>
      <c r="I791">
        <f>IF($A791="","",IF($D791="V01",cad!$C$32,IF($D791="V02",cad!$D$32,cad!$E$32)))</f>
      </c>
      <c r="J791">
        <f>IF($A791="","",IF($D791="V01",cad!$C$33,IF($D791="V02",cad!$D$33,cad!$E$33)))</f>
      </c>
      <c r="K791">
        <f>IF($A791="","",IF($D791="V01",cad!$C$34,IF($D791="V02",cad!$D$34,cad!$E$34)))</f>
      </c>
      <c r="L791">
        <f>IF($A791="","",IF($D791="V01",cad!$C$35,IF($D791="V02",cad!$D$35,cad!$E$35)))</f>
      </c>
      <c r="M791">
        <f>IF($A791="","",IF($D791="V01",cad!$C$36,IF($D791="V02",cad!$D$36,cad!$E$36)))</f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>
        <f>IF($A792="","",IF($D792="V01",cad!$C$23,IF($D792="V02",cad!$D$23,cad!$E$23)))</f>
      </c>
      <c r="H792">
        <f>IF($A792="","",IF($D792="V01",cad!$C$24,IF($D792="V02",cad!$D$24,cad!$E$24)))</f>
      </c>
      <c r="I792">
        <f>IF($A792="","",IF($D792="V01",cad!$C$32,IF($D792="V02",cad!$D$32,cad!$E$32)))</f>
      </c>
      <c r="J792">
        <f>IF($A792="","",IF($D792="V01",cad!$C$33,IF($D792="V02",cad!$D$33,cad!$E$33)))</f>
      </c>
      <c r="K792">
        <f>IF($A792="","",IF($D792="V01",cad!$C$34,IF($D792="V02",cad!$D$34,cad!$E$34)))</f>
      </c>
      <c r="L792">
        <f>IF($A792="","",IF($D792="V01",cad!$C$35,IF($D792="V02",cad!$D$35,cad!$E$35)))</f>
      </c>
      <c r="M792">
        <f>IF($A792="","",IF($D792="V01",cad!$C$36,IF($D792="V02",cad!$D$36,cad!$E$36)))</f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>
        <f>IF($A793="","",IF($D793="V01",cad!$C$23,IF($D793="V02",cad!$D$23,cad!$E$23)))</f>
      </c>
      <c r="H793">
        <f>IF($A793="","",IF($D793="V01",cad!$C$24,IF($D793="V02",cad!$D$24,cad!$E$24)))</f>
      </c>
      <c r="I793">
        <f>IF($A793="","",IF($D793="V01",cad!$C$32,IF($D793="V02",cad!$D$32,cad!$E$32)))</f>
      </c>
      <c r="J793">
        <f>IF($A793="","",IF($D793="V01",cad!$C$33,IF($D793="V02",cad!$D$33,cad!$E$33)))</f>
      </c>
      <c r="K793">
        <f>IF($A793="","",IF($D793="V01",cad!$C$34,IF($D793="V02",cad!$D$34,cad!$E$34)))</f>
      </c>
      <c r="L793">
        <f>IF($A793="","",IF($D793="V01",cad!$C$35,IF($D793="V02",cad!$D$35,cad!$E$35)))</f>
      </c>
      <c r="M793">
        <f>IF($A793="","",IF($D793="V01",cad!$C$36,IF($D793="V02",cad!$D$36,cad!$E$36)))</f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>
        <f>IF($A794="","",IF($D794="V01",cad!$C$23,IF($D794="V02",cad!$D$23,cad!$E$23)))</f>
      </c>
      <c r="H794">
        <f>IF($A794="","",IF($D794="V01",cad!$C$24,IF($D794="V02",cad!$D$24,cad!$E$24)))</f>
      </c>
      <c r="I794">
        <f>IF($A794="","",IF($D794="V01",cad!$C$32,IF($D794="V02",cad!$D$32,cad!$E$32)))</f>
      </c>
      <c r="J794">
        <f>IF($A794="","",IF($D794="V01",cad!$C$33,IF($D794="V02",cad!$D$33,cad!$E$33)))</f>
      </c>
      <c r="K794">
        <f>IF($A794="","",IF($D794="V01",cad!$C$34,IF($D794="V02",cad!$D$34,cad!$E$34)))</f>
      </c>
      <c r="L794">
        <f>IF($A794="","",IF($D794="V01",cad!$C$35,IF($D794="V02",cad!$D$35,cad!$E$35)))</f>
      </c>
      <c r="M794">
        <f>IF($A794="","",IF($D794="V01",cad!$C$36,IF($D794="V02",cad!$D$36,cad!$E$36)))</f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>
        <f>IF($A795="","",IF($D795="V01",cad!$C$23,IF($D795="V02",cad!$D$23,cad!$E$23)))</f>
      </c>
      <c r="H795">
        <f>IF($A795="","",IF($D795="V01",cad!$C$24,IF($D795="V02",cad!$D$24,cad!$E$24)))</f>
      </c>
      <c r="I795">
        <f>IF($A795="","",IF($D795="V01",cad!$C$32,IF($D795="V02",cad!$D$32,cad!$E$32)))</f>
      </c>
      <c r="J795">
        <f>IF($A795="","",IF($D795="V01",cad!$C$33,IF($D795="V02",cad!$D$33,cad!$E$33)))</f>
      </c>
      <c r="K795">
        <f>IF($A795="","",IF($D795="V01",cad!$C$34,IF($D795="V02",cad!$D$34,cad!$E$34)))</f>
      </c>
      <c r="L795">
        <f>IF($A795="","",IF($D795="V01",cad!$C$35,IF($D795="V02",cad!$D$35,cad!$E$35)))</f>
      </c>
      <c r="M795">
        <f>IF($A795="","",IF($D795="V01",cad!$C$36,IF($D795="V02",cad!$D$36,cad!$E$36)))</f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>
        <f>IF($A796="","",IF($D796="V01",cad!$C$23,IF($D796="V02",cad!$D$23,cad!$E$23)))</f>
      </c>
      <c r="H796">
        <f>IF($A796="","",IF($D796="V01",cad!$C$24,IF($D796="V02",cad!$D$24,cad!$E$24)))</f>
      </c>
      <c r="I796">
        <f>IF($A796="","",IF($D796="V01",cad!$C$32,IF($D796="V02",cad!$D$32,cad!$E$32)))</f>
      </c>
      <c r="J796">
        <f>IF($A796="","",IF($D796="V01",cad!$C$33,IF($D796="V02",cad!$D$33,cad!$E$33)))</f>
      </c>
      <c r="K796">
        <f>IF($A796="","",IF($D796="V01",cad!$C$34,IF($D796="V02",cad!$D$34,cad!$E$34)))</f>
      </c>
      <c r="L796">
        <f>IF($A796="","",IF($D796="V01",cad!$C$35,IF($D796="V02",cad!$D$35,cad!$E$35)))</f>
      </c>
      <c r="M796">
        <f>IF($A796="","",IF($D796="V01",cad!$C$36,IF($D796="V02",cad!$D$36,cad!$E$36)))</f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>
        <f>IF($A797="","",IF($D797="V01",cad!$C$23,IF($D797="V02",cad!$D$23,cad!$E$23)))</f>
      </c>
      <c r="H797">
        <f>IF($A797="","",IF($D797="V01",cad!$C$24,IF($D797="V02",cad!$D$24,cad!$E$24)))</f>
      </c>
      <c r="I797">
        <f>IF($A797="","",IF($D797="V01",cad!$C$32,IF($D797="V02",cad!$D$32,cad!$E$32)))</f>
      </c>
      <c r="J797">
        <f>IF($A797="","",IF($D797="V01",cad!$C$33,IF($D797="V02",cad!$D$33,cad!$E$33)))</f>
      </c>
      <c r="K797">
        <f>IF($A797="","",IF($D797="V01",cad!$C$34,IF($D797="V02",cad!$D$34,cad!$E$34)))</f>
      </c>
      <c r="L797">
        <f>IF($A797="","",IF($D797="V01",cad!$C$35,IF($D797="V02",cad!$D$35,cad!$E$35)))</f>
      </c>
      <c r="M797">
        <f>IF($A797="","",IF($D797="V01",cad!$C$36,IF($D797="V02",cad!$D$36,cad!$E$36)))</f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>
        <f>IF($A798="","",IF($D798="V01",cad!$C$23,IF($D798="V02",cad!$D$23,cad!$E$23)))</f>
      </c>
      <c r="H798">
        <f>IF($A798="","",IF($D798="V01",cad!$C$24,IF($D798="V02",cad!$D$24,cad!$E$24)))</f>
      </c>
      <c r="I798">
        <f>IF($A798="","",IF($D798="V01",cad!$C$32,IF($D798="V02",cad!$D$32,cad!$E$32)))</f>
      </c>
      <c r="J798">
        <f>IF($A798="","",IF($D798="V01",cad!$C$33,IF($D798="V02",cad!$D$33,cad!$E$33)))</f>
      </c>
      <c r="K798">
        <f>IF($A798="","",IF($D798="V01",cad!$C$34,IF($D798="V02",cad!$D$34,cad!$E$34)))</f>
      </c>
      <c r="L798">
        <f>IF($A798="","",IF($D798="V01",cad!$C$35,IF($D798="V02",cad!$D$35,cad!$E$35)))</f>
      </c>
      <c r="M798">
        <f>IF($A798="","",IF($D798="V01",cad!$C$36,IF($D798="V02",cad!$D$36,cad!$E$36)))</f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>
        <f>IF($A799="","",IF($D799="V01",cad!$C$23,IF($D799="V02",cad!$D$23,cad!$E$23)))</f>
      </c>
      <c r="H799">
        <f>IF($A799="","",IF($D799="V01",cad!$C$24,IF($D799="V02",cad!$D$24,cad!$E$24)))</f>
      </c>
      <c r="I799">
        <f>IF($A799="","",IF($D799="V01",cad!$C$32,IF($D799="V02",cad!$D$32,cad!$E$32)))</f>
      </c>
      <c r="J799">
        <f>IF($A799="","",IF($D799="V01",cad!$C$33,IF($D799="V02",cad!$D$33,cad!$E$33)))</f>
      </c>
      <c r="K799">
        <f>IF($A799="","",IF($D799="V01",cad!$C$34,IF($D799="V02",cad!$D$34,cad!$E$34)))</f>
      </c>
      <c r="L799">
        <f>IF($A799="","",IF($D799="V01",cad!$C$35,IF($D799="V02",cad!$D$35,cad!$E$35)))</f>
      </c>
      <c r="M799">
        <f>IF($A799="","",IF($D799="V01",cad!$C$36,IF($D799="V02",cad!$D$36,cad!$E$36)))</f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>
        <f>IF($A800="","",IF($D800="V01",cad!$C$23,IF($D800="V02",cad!$D$23,cad!$E$23)))</f>
      </c>
      <c r="H800">
        <f>IF($A800="","",IF($D800="V01",cad!$C$24,IF($D800="V02",cad!$D$24,cad!$E$24)))</f>
      </c>
      <c r="I800">
        <f>IF($A800="","",IF($D800="V01",cad!$C$32,IF($D800="V02",cad!$D$32,cad!$E$32)))</f>
      </c>
      <c r="J800">
        <f>IF($A800="","",IF($D800="V01",cad!$C$33,IF($D800="V02",cad!$D$33,cad!$E$33)))</f>
      </c>
      <c r="K800">
        <f>IF($A800="","",IF($D800="V01",cad!$C$34,IF($D800="V02",cad!$D$34,cad!$E$34)))</f>
      </c>
      <c r="L800">
        <f>IF($A800="","",IF($D800="V01",cad!$C$35,IF($D800="V02",cad!$D$35,cad!$E$35)))</f>
      </c>
      <c r="M800">
        <f>IF($A800="","",IF($D800="V01",cad!$C$36,IF($D800="V02",cad!$D$36,cad!$E$36)))</f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>
        <f>IF($A801="","",IF($D801="V01",cad!$C$23,IF($D801="V02",cad!$D$23,cad!$E$23)))</f>
      </c>
      <c r="H801">
        <f>IF($A801="","",IF($D801="V01",cad!$C$24,IF($D801="V02",cad!$D$24,cad!$E$24)))</f>
      </c>
      <c r="I801">
        <f>IF($A801="","",IF($D801="V01",cad!$C$32,IF($D801="V02",cad!$D$32,cad!$E$32)))</f>
      </c>
      <c r="J801">
        <f>IF($A801="","",IF($D801="V01",cad!$C$33,IF($D801="V02",cad!$D$33,cad!$E$33)))</f>
      </c>
      <c r="K801">
        <f>IF($A801="","",IF($D801="V01",cad!$C$34,IF($D801="V02",cad!$D$34,cad!$E$34)))</f>
      </c>
      <c r="L801">
        <f>IF($A801="","",IF($D801="V01",cad!$C$35,IF($D801="V02",cad!$D$35,cad!$E$35)))</f>
      </c>
      <c r="M801">
        <f>IF($A801="","",IF($D801="V01",cad!$C$36,IF($D801="V02",cad!$D$36,cad!$E$36)))</f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>
        <f>IF($A802="","",IF($D802="V01",cad!$C$23,IF($D802="V02",cad!$D$23,cad!$E$23)))</f>
      </c>
      <c r="H802">
        <f>IF($A802="","",IF($D802="V01",cad!$C$24,IF($D802="V02",cad!$D$24,cad!$E$24)))</f>
      </c>
      <c r="I802">
        <f>IF($A802="","",IF($D802="V01",cad!$C$32,IF($D802="V02",cad!$D$32,cad!$E$32)))</f>
      </c>
      <c r="J802">
        <f>IF($A802="","",IF($D802="V01",cad!$C$33,IF($D802="V02",cad!$D$33,cad!$E$33)))</f>
      </c>
      <c r="K802">
        <f>IF($A802="","",IF($D802="V01",cad!$C$34,IF($D802="V02",cad!$D$34,cad!$E$34)))</f>
      </c>
      <c r="L802">
        <f>IF($A802="","",IF($D802="V01",cad!$C$35,IF($D802="V02",cad!$D$35,cad!$E$35)))</f>
      </c>
      <c r="M802">
        <f>IF($A802="","",IF($D802="V01",cad!$C$36,IF($D802="V02",cad!$D$36,cad!$E$36)))</f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>
        <f>IF($A803="","",IF($D803="V01",cad!$C$23,IF($D803="V02",cad!$D$23,cad!$E$23)))</f>
      </c>
      <c r="H803">
        <f>IF($A803="","",IF($D803="V01",cad!$C$24,IF($D803="V02",cad!$D$24,cad!$E$24)))</f>
      </c>
      <c r="I803">
        <f>IF($A803="","",IF($D803="V01",cad!$C$32,IF($D803="V02",cad!$D$32,cad!$E$32)))</f>
      </c>
      <c r="J803">
        <f>IF($A803="","",IF($D803="V01",cad!$C$33,IF($D803="V02",cad!$D$33,cad!$E$33)))</f>
      </c>
      <c r="K803">
        <f>IF($A803="","",IF($D803="V01",cad!$C$34,IF($D803="V02",cad!$D$34,cad!$E$34)))</f>
      </c>
      <c r="L803">
        <f>IF($A803="","",IF($D803="V01",cad!$C$35,IF($D803="V02",cad!$D$35,cad!$E$35)))</f>
      </c>
      <c r="M803">
        <f>IF($A803="","",IF($D803="V01",cad!$C$36,IF($D803="V02",cad!$D$36,cad!$E$36)))</f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>
        <f>IF($A804="","",IF($D804="V01",cad!$C$23,IF($D804="V02",cad!$D$23,cad!$E$23)))</f>
      </c>
      <c r="H804">
        <f>IF($A804="","",IF($D804="V01",cad!$C$24,IF($D804="V02",cad!$D$24,cad!$E$24)))</f>
      </c>
      <c r="I804">
        <f>IF($A804="","",IF($D804="V01",cad!$C$32,IF($D804="V02",cad!$D$32,cad!$E$32)))</f>
      </c>
      <c r="J804">
        <f>IF($A804="","",IF($D804="V01",cad!$C$33,IF($D804="V02",cad!$D$33,cad!$E$33)))</f>
      </c>
      <c r="K804">
        <f>IF($A804="","",IF($D804="V01",cad!$C$34,IF($D804="V02",cad!$D$34,cad!$E$34)))</f>
      </c>
      <c r="L804">
        <f>IF($A804="","",IF($D804="V01",cad!$C$35,IF($D804="V02",cad!$D$35,cad!$E$35)))</f>
      </c>
      <c r="M804">
        <f>IF($A804="","",IF($D804="V01",cad!$C$36,IF($D804="V02",cad!$D$36,cad!$E$36)))</f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>
        <f>IF($A805="","",IF($D805="V01",cad!$C$23,IF($D805="V02",cad!$D$23,cad!$E$23)))</f>
      </c>
      <c r="H805">
        <f>IF($A805="","",IF($D805="V01",cad!$C$24,IF($D805="V02",cad!$D$24,cad!$E$24)))</f>
      </c>
      <c r="I805">
        <f>IF($A805="","",IF($D805="V01",cad!$C$32,IF($D805="V02",cad!$D$32,cad!$E$32)))</f>
      </c>
      <c r="J805">
        <f>IF($A805="","",IF($D805="V01",cad!$C$33,IF($D805="V02",cad!$D$33,cad!$E$33)))</f>
      </c>
      <c r="K805">
        <f>IF($A805="","",IF($D805="V01",cad!$C$34,IF($D805="V02",cad!$D$34,cad!$E$34)))</f>
      </c>
      <c r="L805">
        <f>IF($A805="","",IF($D805="V01",cad!$C$35,IF($D805="V02",cad!$D$35,cad!$E$35)))</f>
      </c>
      <c r="M805">
        <f>IF($A805="","",IF($D805="V01",cad!$C$36,IF($D805="V02",cad!$D$36,cad!$E$36)))</f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>
        <f>IF($A806="","",IF($D806="V01",cad!$C$23,IF($D806="V02",cad!$D$23,cad!$E$23)))</f>
      </c>
      <c r="H806">
        <f>IF($A806="","",IF($D806="V01",cad!$C$24,IF($D806="V02",cad!$D$24,cad!$E$24)))</f>
      </c>
      <c r="I806">
        <f>IF($A806="","",IF($D806="V01",cad!$C$32,IF($D806="V02",cad!$D$32,cad!$E$32)))</f>
      </c>
      <c r="J806">
        <f>IF($A806="","",IF($D806="V01",cad!$C$33,IF($D806="V02",cad!$D$33,cad!$E$33)))</f>
      </c>
      <c r="K806">
        <f>IF($A806="","",IF($D806="V01",cad!$C$34,IF($D806="V02",cad!$D$34,cad!$E$34)))</f>
      </c>
      <c r="L806">
        <f>IF($A806="","",IF($D806="V01",cad!$C$35,IF($D806="V02",cad!$D$35,cad!$E$35)))</f>
      </c>
      <c r="M806">
        <f>IF($A806="","",IF($D806="V01",cad!$C$36,IF($D806="V02",cad!$D$36,cad!$E$36)))</f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>
        <f>IF($A807="","",IF($D807="V01",cad!$C$23,IF($D807="V02",cad!$D$23,cad!$E$23)))</f>
      </c>
      <c r="H807">
        <f>IF($A807="","",IF($D807="V01",cad!$C$24,IF($D807="V02",cad!$D$24,cad!$E$24)))</f>
      </c>
      <c r="I807">
        <f>IF($A807="","",IF($D807="V01",cad!$C$32,IF($D807="V02",cad!$D$32,cad!$E$32)))</f>
      </c>
      <c r="J807">
        <f>IF($A807="","",IF($D807="V01",cad!$C$33,IF($D807="V02",cad!$D$33,cad!$E$33)))</f>
      </c>
      <c r="K807">
        <f>IF($A807="","",IF($D807="V01",cad!$C$34,IF($D807="V02",cad!$D$34,cad!$E$34)))</f>
      </c>
      <c r="L807">
        <f>IF($A807="","",IF($D807="V01",cad!$C$35,IF($D807="V02",cad!$D$35,cad!$E$35)))</f>
      </c>
      <c r="M807">
        <f>IF($A807="","",IF($D807="V01",cad!$C$36,IF($D807="V02",cad!$D$36,cad!$E$36)))</f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>
        <f>IF($A808="","",IF($D808="V01",cad!$C$23,IF($D808="V02",cad!$D$23,cad!$E$23)))</f>
      </c>
      <c r="H808">
        <f>IF($A808="","",IF($D808="V01",cad!$C$24,IF($D808="V02",cad!$D$24,cad!$E$24)))</f>
      </c>
      <c r="I808">
        <f>IF($A808="","",IF($D808="V01",cad!$C$32,IF($D808="V02",cad!$D$32,cad!$E$32)))</f>
      </c>
      <c r="J808">
        <f>IF($A808="","",IF($D808="V01",cad!$C$33,IF($D808="V02",cad!$D$33,cad!$E$33)))</f>
      </c>
      <c r="K808">
        <f>IF($A808="","",IF($D808="V01",cad!$C$34,IF($D808="V02",cad!$D$34,cad!$E$34)))</f>
      </c>
      <c r="L808">
        <f>IF($A808="","",IF($D808="V01",cad!$C$35,IF($D808="V02",cad!$D$35,cad!$E$35)))</f>
      </c>
      <c r="M808">
        <f>IF($A808="","",IF($D808="V01",cad!$C$36,IF($D808="V02",cad!$D$36,cad!$E$36)))</f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>
        <f>IF($A809="","",IF($D809="V01",cad!$C$23,IF($D809="V02",cad!$D$23,cad!$E$23)))</f>
      </c>
      <c r="H809">
        <f>IF($A809="","",IF($D809="V01",cad!$C$24,IF($D809="V02",cad!$D$24,cad!$E$24)))</f>
      </c>
      <c r="I809">
        <f>IF($A809="","",IF($D809="V01",cad!$C$32,IF($D809="V02",cad!$D$32,cad!$E$32)))</f>
      </c>
      <c r="J809">
        <f>IF($A809="","",IF($D809="V01",cad!$C$33,IF($D809="V02",cad!$D$33,cad!$E$33)))</f>
      </c>
      <c r="K809">
        <f>IF($A809="","",IF($D809="V01",cad!$C$34,IF($D809="V02",cad!$D$34,cad!$E$34)))</f>
      </c>
      <c r="L809">
        <f>IF($A809="","",IF($D809="V01",cad!$C$35,IF($D809="V02",cad!$D$35,cad!$E$35)))</f>
      </c>
      <c r="M809">
        <f>IF($A809="","",IF($D809="V01",cad!$C$36,IF($D809="V02",cad!$D$36,cad!$E$36)))</f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>
        <f>IF($A810="","",IF($D810="V01",cad!$C$23,IF($D810="V02",cad!$D$23,cad!$E$23)))</f>
      </c>
      <c r="H810">
        <f>IF($A810="","",IF($D810="V01",cad!$C$24,IF($D810="V02",cad!$D$24,cad!$E$24)))</f>
      </c>
      <c r="I810">
        <f>IF($A810="","",IF($D810="V01",cad!$C$32,IF($D810="V02",cad!$D$32,cad!$E$32)))</f>
      </c>
      <c r="J810">
        <f>IF($A810="","",IF($D810="V01",cad!$C$33,IF($D810="V02",cad!$D$33,cad!$E$33)))</f>
      </c>
      <c r="K810">
        <f>IF($A810="","",IF($D810="V01",cad!$C$34,IF($D810="V02",cad!$D$34,cad!$E$34)))</f>
      </c>
      <c r="L810">
        <f>IF($A810="","",IF($D810="V01",cad!$C$35,IF($D810="V02",cad!$D$35,cad!$E$35)))</f>
      </c>
      <c r="M810">
        <f>IF($A810="","",IF($D810="V01",cad!$C$36,IF($D810="V02",cad!$D$36,cad!$E$36)))</f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>
        <f>IF($A811="","",IF($D811="V01",cad!$C$23,IF($D811="V02",cad!$D$23,cad!$E$23)))</f>
      </c>
      <c r="H811">
        <f>IF($A811="","",IF($D811="V01",cad!$C$24,IF($D811="V02",cad!$D$24,cad!$E$24)))</f>
      </c>
      <c r="I811">
        <f>IF($A811="","",IF($D811="V01",cad!$C$32,IF($D811="V02",cad!$D$32,cad!$E$32)))</f>
      </c>
      <c r="J811">
        <f>IF($A811="","",IF($D811="V01",cad!$C$33,IF($D811="V02",cad!$D$33,cad!$E$33)))</f>
      </c>
      <c r="K811">
        <f>IF($A811="","",IF($D811="V01",cad!$C$34,IF($D811="V02",cad!$D$34,cad!$E$34)))</f>
      </c>
      <c r="L811">
        <f>IF($A811="","",IF($D811="V01",cad!$C$35,IF($D811="V02",cad!$D$35,cad!$E$35)))</f>
      </c>
      <c r="M811">
        <f>IF($A811="","",IF($D811="V01",cad!$C$36,IF($D811="V02",cad!$D$36,cad!$E$36)))</f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>
        <f>IF($A812="","",IF($D812="V01",cad!$C$23,IF($D812="V02",cad!$D$23,cad!$E$23)))</f>
      </c>
      <c r="H812">
        <f>IF($A812="","",IF($D812="V01",cad!$C$24,IF($D812="V02",cad!$D$24,cad!$E$24)))</f>
      </c>
      <c r="I812">
        <f>IF($A812="","",IF($D812="V01",cad!$C$32,IF($D812="V02",cad!$D$32,cad!$E$32)))</f>
      </c>
      <c r="J812">
        <f>IF($A812="","",IF($D812="V01",cad!$C$33,IF($D812="V02",cad!$D$33,cad!$E$33)))</f>
      </c>
      <c r="K812">
        <f>IF($A812="","",IF($D812="V01",cad!$C$34,IF($D812="V02",cad!$D$34,cad!$E$34)))</f>
      </c>
      <c r="L812">
        <f>IF($A812="","",IF($D812="V01",cad!$C$35,IF($D812="V02",cad!$D$35,cad!$E$35)))</f>
      </c>
      <c r="M812">
        <f>IF($A812="","",IF($D812="V01",cad!$C$36,IF($D812="V02",cad!$D$36,cad!$E$36)))</f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>
        <f>IF($A813="","",IF($D813="V01",cad!$C$23,IF($D813="V02",cad!$D$23,cad!$E$23)))</f>
      </c>
      <c r="H813">
        <f>IF($A813="","",IF($D813="V01",cad!$C$24,IF($D813="V02",cad!$D$24,cad!$E$24)))</f>
      </c>
      <c r="I813">
        <f>IF($A813="","",IF($D813="V01",cad!$C$32,IF($D813="V02",cad!$D$32,cad!$E$32)))</f>
      </c>
      <c r="J813">
        <f>IF($A813="","",IF($D813="V01",cad!$C$33,IF($D813="V02",cad!$D$33,cad!$E$33)))</f>
      </c>
      <c r="K813">
        <f>IF($A813="","",IF($D813="V01",cad!$C$34,IF($D813="V02",cad!$D$34,cad!$E$34)))</f>
      </c>
      <c r="L813">
        <f>IF($A813="","",IF($D813="V01",cad!$C$35,IF($D813="V02",cad!$D$35,cad!$E$35)))</f>
      </c>
      <c r="M813">
        <f>IF($A813="","",IF($D813="V01",cad!$C$36,IF($D813="V02",cad!$D$36,cad!$E$36)))</f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>
        <f>IF($A814="","",IF($D814="V01",cad!$C$23,IF($D814="V02",cad!$D$23,cad!$E$23)))</f>
      </c>
      <c r="H814">
        <f>IF($A814="","",IF($D814="V01",cad!$C$24,IF($D814="V02",cad!$D$24,cad!$E$24)))</f>
      </c>
      <c r="I814">
        <f>IF($A814="","",IF($D814="V01",cad!$C$32,IF($D814="V02",cad!$D$32,cad!$E$32)))</f>
      </c>
      <c r="J814">
        <f>IF($A814="","",IF($D814="V01",cad!$C$33,IF($D814="V02",cad!$D$33,cad!$E$33)))</f>
      </c>
      <c r="K814">
        <f>IF($A814="","",IF($D814="V01",cad!$C$34,IF($D814="V02",cad!$D$34,cad!$E$34)))</f>
      </c>
      <c r="L814">
        <f>IF($A814="","",IF($D814="V01",cad!$C$35,IF($D814="V02",cad!$D$35,cad!$E$35)))</f>
      </c>
      <c r="M814">
        <f>IF($A814="","",IF($D814="V01",cad!$C$36,IF($D814="V02",cad!$D$36,cad!$E$36)))</f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>
        <f>IF($A815="","",IF($D815="V01",cad!$C$23,IF($D815="V02",cad!$D$23,cad!$E$23)))</f>
      </c>
      <c r="H815">
        <f>IF($A815="","",IF($D815="V01",cad!$C$24,IF($D815="V02",cad!$D$24,cad!$E$24)))</f>
      </c>
      <c r="I815">
        <f>IF($A815="","",IF($D815="V01",cad!$C$32,IF($D815="V02",cad!$D$32,cad!$E$32)))</f>
      </c>
      <c r="J815">
        <f>IF($A815="","",IF($D815="V01",cad!$C$33,IF($D815="V02",cad!$D$33,cad!$E$33)))</f>
      </c>
      <c r="K815">
        <f>IF($A815="","",IF($D815="V01",cad!$C$34,IF($D815="V02",cad!$D$34,cad!$E$34)))</f>
      </c>
      <c r="L815">
        <f>IF($A815="","",IF($D815="V01",cad!$C$35,IF($D815="V02",cad!$D$35,cad!$E$35)))</f>
      </c>
      <c r="M815">
        <f>IF($A815="","",IF($D815="V01",cad!$C$36,IF($D815="V02",cad!$D$36,cad!$E$36)))</f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>
        <f>IF($A816="","",IF($D816="V01",cad!$C$23,IF($D816="V02",cad!$D$23,cad!$E$23)))</f>
      </c>
      <c r="H816">
        <f>IF($A816="","",IF($D816="V01",cad!$C$24,IF($D816="V02",cad!$D$24,cad!$E$24)))</f>
      </c>
      <c r="I816">
        <f>IF($A816="","",IF($D816="V01",cad!$C$32,IF($D816="V02",cad!$D$32,cad!$E$32)))</f>
      </c>
      <c r="J816">
        <f>IF($A816="","",IF($D816="V01",cad!$C$33,IF($D816="V02",cad!$D$33,cad!$E$33)))</f>
      </c>
      <c r="K816">
        <f>IF($A816="","",IF($D816="V01",cad!$C$34,IF($D816="V02",cad!$D$34,cad!$E$34)))</f>
      </c>
      <c r="L816">
        <f>IF($A816="","",IF($D816="V01",cad!$C$35,IF($D816="V02",cad!$D$35,cad!$E$35)))</f>
      </c>
      <c r="M816">
        <f>IF($A816="","",IF($D816="V01",cad!$C$36,IF($D816="V02",cad!$D$36,cad!$E$36)))</f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>
        <f>IF($A817="","",IF($D817="V01",cad!$C$23,IF($D817="V02",cad!$D$23,cad!$E$23)))</f>
      </c>
      <c r="H817">
        <f>IF($A817="","",IF($D817="V01",cad!$C$24,IF($D817="V02",cad!$D$24,cad!$E$24)))</f>
      </c>
      <c r="I817">
        <f>IF($A817="","",IF($D817="V01",cad!$C$32,IF($D817="V02",cad!$D$32,cad!$E$32)))</f>
      </c>
      <c r="J817">
        <f>IF($A817="","",IF($D817="V01",cad!$C$33,IF($D817="V02",cad!$D$33,cad!$E$33)))</f>
      </c>
      <c r="K817">
        <f>IF($A817="","",IF($D817="V01",cad!$C$34,IF($D817="V02",cad!$D$34,cad!$E$34)))</f>
      </c>
      <c r="L817">
        <f>IF($A817="","",IF($D817="V01",cad!$C$35,IF($D817="V02",cad!$D$35,cad!$E$35)))</f>
      </c>
      <c r="M817">
        <f>IF($A817="","",IF($D817="V01",cad!$C$36,IF($D817="V02",cad!$D$36,cad!$E$36)))</f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>
        <f>IF($A818="","",IF($D818="V01",cad!$C$23,IF($D818="V02",cad!$D$23,cad!$E$23)))</f>
      </c>
      <c r="H818">
        <f>IF($A818="","",IF($D818="V01",cad!$C$24,IF($D818="V02",cad!$D$24,cad!$E$24)))</f>
      </c>
      <c r="I818">
        <f>IF($A818="","",IF($D818="V01",cad!$C$32,IF($D818="V02",cad!$D$32,cad!$E$32)))</f>
      </c>
      <c r="J818">
        <f>IF($A818="","",IF($D818="V01",cad!$C$33,IF($D818="V02",cad!$D$33,cad!$E$33)))</f>
      </c>
      <c r="K818">
        <f>IF($A818="","",IF($D818="V01",cad!$C$34,IF($D818="V02",cad!$D$34,cad!$E$34)))</f>
      </c>
      <c r="L818">
        <f>IF($A818="","",IF($D818="V01",cad!$C$35,IF($D818="V02",cad!$D$35,cad!$E$35)))</f>
      </c>
      <c r="M818">
        <f>IF($A818="","",IF($D818="V01",cad!$C$36,IF($D818="V02",cad!$D$36,cad!$E$36)))</f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>
        <f>IF($A819="","",IF($D819="V01",cad!$C$23,IF($D819="V02",cad!$D$23,cad!$E$23)))</f>
      </c>
      <c r="H819">
        <f>IF($A819="","",IF($D819="V01",cad!$C$24,IF($D819="V02",cad!$D$24,cad!$E$24)))</f>
      </c>
      <c r="I819">
        <f>IF($A819="","",IF($D819="V01",cad!$C$32,IF($D819="V02",cad!$D$32,cad!$E$32)))</f>
      </c>
      <c r="J819">
        <f>IF($A819="","",IF($D819="V01",cad!$C$33,IF($D819="V02",cad!$D$33,cad!$E$33)))</f>
      </c>
      <c r="K819">
        <f>IF($A819="","",IF($D819="V01",cad!$C$34,IF($D819="V02",cad!$D$34,cad!$E$34)))</f>
      </c>
      <c r="L819">
        <f>IF($A819="","",IF($D819="V01",cad!$C$35,IF($D819="V02",cad!$D$35,cad!$E$35)))</f>
      </c>
      <c r="M819">
        <f>IF($A819="","",IF($D819="V01",cad!$C$36,IF($D819="V02",cad!$D$36,cad!$E$36)))</f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>
        <f>IF($A820="","",IF($D820="V01",cad!$C$23,IF($D820="V02",cad!$D$23,cad!$E$23)))</f>
      </c>
      <c r="H820">
        <f>IF($A820="","",IF($D820="V01",cad!$C$24,IF($D820="V02",cad!$D$24,cad!$E$24)))</f>
      </c>
      <c r="I820">
        <f>IF($A820="","",IF($D820="V01",cad!$C$32,IF($D820="V02",cad!$D$32,cad!$E$32)))</f>
      </c>
      <c r="J820">
        <f>IF($A820="","",IF($D820="V01",cad!$C$33,IF($D820="V02",cad!$D$33,cad!$E$33)))</f>
      </c>
      <c r="K820">
        <f>IF($A820="","",IF($D820="V01",cad!$C$34,IF($D820="V02",cad!$D$34,cad!$E$34)))</f>
      </c>
      <c r="L820">
        <f>IF($A820="","",IF($D820="V01",cad!$C$35,IF($D820="V02",cad!$D$35,cad!$E$35)))</f>
      </c>
      <c r="M820">
        <f>IF($A820="","",IF($D820="V01",cad!$C$36,IF($D820="V02",cad!$D$36,cad!$E$36)))</f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>
        <f>IF($A821="","",IF($D821="V01",cad!$C$23,IF($D821="V02",cad!$D$23,cad!$E$23)))</f>
      </c>
      <c r="H821">
        <f>IF($A821="","",IF($D821="V01",cad!$C$24,IF($D821="V02",cad!$D$24,cad!$E$24)))</f>
      </c>
      <c r="I821">
        <f>IF($A821="","",IF($D821="V01",cad!$C$32,IF($D821="V02",cad!$D$32,cad!$E$32)))</f>
      </c>
      <c r="J821">
        <f>IF($A821="","",IF($D821="V01",cad!$C$33,IF($D821="V02",cad!$D$33,cad!$E$33)))</f>
      </c>
      <c r="K821">
        <f>IF($A821="","",IF($D821="V01",cad!$C$34,IF($D821="V02",cad!$D$34,cad!$E$34)))</f>
      </c>
      <c r="L821">
        <f>IF($A821="","",IF($D821="V01",cad!$C$35,IF($D821="V02",cad!$D$35,cad!$E$35)))</f>
      </c>
      <c r="M821">
        <f>IF($A821="","",IF($D821="V01",cad!$C$36,IF($D821="V02",cad!$D$36,cad!$E$36)))</f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>
        <f>IF($A822="","",IF($D822="V01",cad!$C$23,IF($D822="V02",cad!$D$23,cad!$E$23)))</f>
      </c>
      <c r="H822">
        <f>IF($A822="","",IF($D822="V01",cad!$C$24,IF($D822="V02",cad!$D$24,cad!$E$24)))</f>
      </c>
      <c r="I822">
        <f>IF($A822="","",IF($D822="V01",cad!$C$32,IF($D822="V02",cad!$D$32,cad!$E$32)))</f>
      </c>
      <c r="J822">
        <f>IF($A822="","",IF($D822="V01",cad!$C$33,IF($D822="V02",cad!$D$33,cad!$E$33)))</f>
      </c>
      <c r="K822">
        <f>IF($A822="","",IF($D822="V01",cad!$C$34,IF($D822="V02",cad!$D$34,cad!$E$34)))</f>
      </c>
      <c r="L822">
        <f>IF($A822="","",IF($D822="V01",cad!$C$35,IF($D822="V02",cad!$D$35,cad!$E$35)))</f>
      </c>
      <c r="M822">
        <f>IF($A822="","",IF($D822="V01",cad!$C$36,IF($D822="V02",cad!$D$36,cad!$E$36)))</f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>
        <f>IF($A823="","",IF($D823="V01",cad!$C$23,IF($D823="V02",cad!$D$23,cad!$E$23)))</f>
      </c>
      <c r="H823">
        <f>IF($A823="","",IF($D823="V01",cad!$C$24,IF($D823="V02",cad!$D$24,cad!$E$24)))</f>
      </c>
      <c r="I823">
        <f>IF($A823="","",IF($D823="V01",cad!$C$32,IF($D823="V02",cad!$D$32,cad!$E$32)))</f>
      </c>
      <c r="J823">
        <f>IF($A823="","",IF($D823="V01",cad!$C$33,IF($D823="V02",cad!$D$33,cad!$E$33)))</f>
      </c>
      <c r="K823">
        <f>IF($A823="","",IF($D823="V01",cad!$C$34,IF($D823="V02",cad!$D$34,cad!$E$34)))</f>
      </c>
      <c r="L823">
        <f>IF($A823="","",IF($D823="V01",cad!$C$35,IF($D823="V02",cad!$D$35,cad!$E$35)))</f>
      </c>
      <c r="M823">
        <f>IF($A823="","",IF($D823="V01",cad!$C$36,IF($D823="V02",cad!$D$36,cad!$E$36)))</f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>
        <f>IF($A824="","",IF($D824="V01",cad!$C$23,IF($D824="V02",cad!$D$23,cad!$E$23)))</f>
      </c>
      <c r="H824">
        <f>IF($A824="","",IF($D824="V01",cad!$C$24,IF($D824="V02",cad!$D$24,cad!$E$24)))</f>
      </c>
      <c r="I824">
        <f>IF($A824="","",IF($D824="V01",cad!$C$32,IF($D824="V02",cad!$D$32,cad!$E$32)))</f>
      </c>
      <c r="J824">
        <f>IF($A824="","",IF($D824="V01",cad!$C$33,IF($D824="V02",cad!$D$33,cad!$E$33)))</f>
      </c>
      <c r="K824">
        <f>IF($A824="","",IF($D824="V01",cad!$C$34,IF($D824="V02",cad!$D$34,cad!$E$34)))</f>
      </c>
      <c r="L824">
        <f>IF($A824="","",IF($D824="V01",cad!$C$35,IF($D824="V02",cad!$D$35,cad!$E$35)))</f>
      </c>
      <c r="M824">
        <f>IF($A824="","",IF($D824="V01",cad!$C$36,IF($D824="V02",cad!$D$36,cad!$E$36)))</f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>
        <f>IF($A825="","",IF($D825="V01",cad!$C$23,IF($D825="V02",cad!$D$23,cad!$E$23)))</f>
      </c>
      <c r="H825">
        <f>IF($A825="","",IF($D825="V01",cad!$C$24,IF($D825="V02",cad!$D$24,cad!$E$24)))</f>
      </c>
      <c r="I825">
        <f>IF($A825="","",IF($D825="V01",cad!$C$32,IF($D825="V02",cad!$D$32,cad!$E$32)))</f>
      </c>
      <c r="J825">
        <f>IF($A825="","",IF($D825="V01",cad!$C$33,IF($D825="V02",cad!$D$33,cad!$E$33)))</f>
      </c>
      <c r="K825">
        <f>IF($A825="","",IF($D825="V01",cad!$C$34,IF($D825="V02",cad!$D$34,cad!$E$34)))</f>
      </c>
      <c r="L825">
        <f>IF($A825="","",IF($D825="V01",cad!$C$35,IF($D825="V02",cad!$D$35,cad!$E$35)))</f>
      </c>
      <c r="M825">
        <f>IF($A825="","",IF($D825="V01",cad!$C$36,IF($D825="V02",cad!$D$36,cad!$E$36)))</f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>
        <f>IF($A826="","",IF($D826="V01",cad!$C$23,IF($D826="V02",cad!$D$23,cad!$E$23)))</f>
      </c>
      <c r="H826">
        <f>IF($A826="","",IF($D826="V01",cad!$C$24,IF($D826="V02",cad!$D$24,cad!$E$24)))</f>
      </c>
      <c r="I826">
        <f>IF($A826="","",IF($D826="V01",cad!$C$32,IF($D826="V02",cad!$D$32,cad!$E$32)))</f>
      </c>
      <c r="J826">
        <f>IF($A826="","",IF($D826="V01",cad!$C$33,IF($D826="V02",cad!$D$33,cad!$E$33)))</f>
      </c>
      <c r="K826">
        <f>IF($A826="","",IF($D826="V01",cad!$C$34,IF($D826="V02",cad!$D$34,cad!$E$34)))</f>
      </c>
      <c r="L826">
        <f>IF($A826="","",IF($D826="V01",cad!$C$35,IF($D826="V02",cad!$D$35,cad!$E$35)))</f>
      </c>
      <c r="M826">
        <f>IF($A826="","",IF($D826="V01",cad!$C$36,IF($D826="V02",cad!$D$36,cad!$E$36)))</f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>
        <f>IF($A827="","",IF($D827="V01",cad!$C$23,IF($D827="V02",cad!$D$23,cad!$E$23)))</f>
      </c>
      <c r="H827">
        <f>IF($A827="","",IF($D827="V01",cad!$C$24,IF($D827="V02",cad!$D$24,cad!$E$24)))</f>
      </c>
      <c r="I827">
        <f>IF($A827="","",IF($D827="V01",cad!$C$32,IF($D827="V02",cad!$D$32,cad!$E$32)))</f>
      </c>
      <c r="J827">
        <f>IF($A827="","",IF($D827="V01",cad!$C$33,IF($D827="V02",cad!$D$33,cad!$E$33)))</f>
      </c>
      <c r="K827">
        <f>IF($A827="","",IF($D827="V01",cad!$C$34,IF($D827="V02",cad!$D$34,cad!$E$34)))</f>
      </c>
      <c r="L827">
        <f>IF($A827="","",IF($D827="V01",cad!$C$35,IF($D827="V02",cad!$D$35,cad!$E$35)))</f>
      </c>
      <c r="M827">
        <f>IF($A827="","",IF($D827="V01",cad!$C$36,IF($D827="V02",cad!$D$36,cad!$E$36)))</f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>
        <f>IF($A828="","",IF($D828="V01",cad!$C$23,IF($D828="V02",cad!$D$23,cad!$E$23)))</f>
      </c>
      <c r="H828">
        <f>IF($A828="","",IF($D828="V01",cad!$C$24,IF($D828="V02",cad!$D$24,cad!$E$24)))</f>
      </c>
      <c r="I828">
        <f>IF($A828="","",IF($D828="V01",cad!$C$32,IF($D828="V02",cad!$D$32,cad!$E$32)))</f>
      </c>
      <c r="J828">
        <f>IF($A828="","",IF($D828="V01",cad!$C$33,IF($D828="V02",cad!$D$33,cad!$E$33)))</f>
      </c>
      <c r="K828">
        <f>IF($A828="","",IF($D828="V01",cad!$C$34,IF($D828="V02",cad!$D$34,cad!$E$34)))</f>
      </c>
      <c r="L828">
        <f>IF($A828="","",IF($D828="V01",cad!$C$35,IF($D828="V02",cad!$D$35,cad!$E$35)))</f>
      </c>
      <c r="M828">
        <f>IF($A828="","",IF($D828="V01",cad!$C$36,IF($D828="V02",cad!$D$36,cad!$E$36)))</f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>
        <f>IF($A829="","",IF($D829="V01",cad!$C$23,IF($D829="V02",cad!$D$23,cad!$E$23)))</f>
      </c>
      <c r="H829">
        <f>IF($A829="","",IF($D829="V01",cad!$C$24,IF($D829="V02",cad!$D$24,cad!$E$24)))</f>
      </c>
      <c r="I829">
        <f>IF($A829="","",IF($D829="V01",cad!$C$32,IF($D829="V02",cad!$D$32,cad!$E$32)))</f>
      </c>
      <c r="J829">
        <f>IF($A829="","",IF($D829="V01",cad!$C$33,IF($D829="V02",cad!$D$33,cad!$E$33)))</f>
      </c>
      <c r="K829">
        <f>IF($A829="","",IF($D829="V01",cad!$C$34,IF($D829="V02",cad!$D$34,cad!$E$34)))</f>
      </c>
      <c r="L829">
        <f>IF($A829="","",IF($D829="V01",cad!$C$35,IF($D829="V02",cad!$D$35,cad!$E$35)))</f>
      </c>
      <c r="M829">
        <f>IF($A829="","",IF($D829="V01",cad!$C$36,IF($D829="V02",cad!$D$36,cad!$E$36)))</f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>
        <f>IF($A830="","",IF($D830="V01",cad!$C$23,IF($D830="V02",cad!$D$23,cad!$E$23)))</f>
      </c>
      <c r="H830">
        <f>IF($A830="","",IF($D830="V01",cad!$C$24,IF($D830="V02",cad!$D$24,cad!$E$24)))</f>
      </c>
      <c r="I830">
        <f>IF($A830="","",IF($D830="V01",cad!$C$32,IF($D830="V02",cad!$D$32,cad!$E$32)))</f>
      </c>
      <c r="J830">
        <f>IF($A830="","",IF($D830="V01",cad!$C$33,IF($D830="V02",cad!$D$33,cad!$E$33)))</f>
      </c>
      <c r="K830">
        <f>IF($A830="","",IF($D830="V01",cad!$C$34,IF($D830="V02",cad!$D$34,cad!$E$34)))</f>
      </c>
      <c r="L830">
        <f>IF($A830="","",IF($D830="V01",cad!$C$35,IF($D830="V02",cad!$D$35,cad!$E$35)))</f>
      </c>
      <c r="M830">
        <f>IF($A830="","",IF($D830="V01",cad!$C$36,IF($D830="V02",cad!$D$36,cad!$E$36)))</f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>
        <f>IF($A831="","",IF($D831="V01",cad!$C$23,IF($D831="V02",cad!$D$23,cad!$E$23)))</f>
      </c>
      <c r="H831">
        <f>IF($A831="","",IF($D831="V01",cad!$C$24,IF($D831="V02",cad!$D$24,cad!$E$24)))</f>
      </c>
      <c r="I831">
        <f>IF($A831="","",IF($D831="V01",cad!$C$32,IF($D831="V02",cad!$D$32,cad!$E$32)))</f>
      </c>
      <c r="J831">
        <f>IF($A831="","",IF($D831="V01",cad!$C$33,IF($D831="V02",cad!$D$33,cad!$E$33)))</f>
      </c>
      <c r="K831">
        <f>IF($A831="","",IF($D831="V01",cad!$C$34,IF($D831="V02",cad!$D$34,cad!$E$34)))</f>
      </c>
      <c r="L831">
        <f>IF($A831="","",IF($D831="V01",cad!$C$35,IF($D831="V02",cad!$D$35,cad!$E$35)))</f>
      </c>
      <c r="M831">
        <f>IF($A831="","",IF($D831="V01",cad!$C$36,IF($D831="V02",cad!$D$36,cad!$E$36)))</f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>
        <f>IF($A832="","",IF($D832="V01",cad!$C$23,IF($D832="V02",cad!$D$23,cad!$E$23)))</f>
      </c>
      <c r="H832">
        <f>IF($A832="","",IF($D832="V01",cad!$C$24,IF($D832="V02",cad!$D$24,cad!$E$24)))</f>
      </c>
      <c r="I832">
        <f>IF($A832="","",IF($D832="V01",cad!$C$32,IF($D832="V02",cad!$D$32,cad!$E$32)))</f>
      </c>
      <c r="J832">
        <f>IF($A832="","",IF($D832="V01",cad!$C$33,IF($D832="V02",cad!$D$33,cad!$E$33)))</f>
      </c>
      <c r="K832">
        <f>IF($A832="","",IF($D832="V01",cad!$C$34,IF($D832="V02",cad!$D$34,cad!$E$34)))</f>
      </c>
      <c r="L832">
        <f>IF($A832="","",IF($D832="V01",cad!$C$35,IF($D832="V02",cad!$D$35,cad!$E$35)))</f>
      </c>
      <c r="M832">
        <f>IF($A832="","",IF($D832="V01",cad!$C$36,IF($D832="V02",cad!$D$36,cad!$E$36)))</f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>
        <f>IF($A833="","",IF($D833="V01",cad!$C$23,IF($D833="V02",cad!$D$23,cad!$E$23)))</f>
      </c>
      <c r="H833">
        <f>IF($A833="","",IF($D833="V01",cad!$C$24,IF($D833="V02",cad!$D$24,cad!$E$24)))</f>
      </c>
      <c r="I833">
        <f>IF($A833="","",IF($D833="V01",cad!$C$32,IF($D833="V02",cad!$D$32,cad!$E$32)))</f>
      </c>
      <c r="J833">
        <f>IF($A833="","",IF($D833="V01",cad!$C$33,IF($D833="V02",cad!$D$33,cad!$E$33)))</f>
      </c>
      <c r="K833">
        <f>IF($A833="","",IF($D833="V01",cad!$C$34,IF($D833="V02",cad!$D$34,cad!$E$34)))</f>
      </c>
      <c r="L833">
        <f>IF($A833="","",IF($D833="V01",cad!$C$35,IF($D833="V02",cad!$D$35,cad!$E$35)))</f>
      </c>
      <c r="M833">
        <f>IF($A833="","",IF($D833="V01",cad!$C$36,IF($D833="V02",cad!$D$36,cad!$E$36)))</f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>
        <f>IF($A834="","",IF($D834="V01",cad!$C$23,IF($D834="V02",cad!$D$23,cad!$E$23)))</f>
      </c>
      <c r="H834">
        <f>IF($A834="","",IF($D834="V01",cad!$C$24,IF($D834="V02",cad!$D$24,cad!$E$24)))</f>
      </c>
      <c r="I834">
        <f>IF($A834="","",IF($D834="V01",cad!$C$32,IF($D834="V02",cad!$D$32,cad!$E$32)))</f>
      </c>
      <c r="J834">
        <f>IF($A834="","",IF($D834="V01",cad!$C$33,IF($D834="V02",cad!$D$33,cad!$E$33)))</f>
      </c>
      <c r="K834">
        <f>IF($A834="","",IF($D834="V01",cad!$C$34,IF($D834="V02",cad!$D$34,cad!$E$34)))</f>
      </c>
      <c r="L834">
        <f>IF($A834="","",IF($D834="V01",cad!$C$35,IF($D834="V02",cad!$D$35,cad!$E$35)))</f>
      </c>
      <c r="M834">
        <f>IF($A834="","",IF($D834="V01",cad!$C$36,IF($D834="V02",cad!$D$36,cad!$E$36)))</f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>
        <f>IF($A835="","",IF($D835="V01",cad!$C$23,IF($D835="V02",cad!$D$23,cad!$E$23)))</f>
      </c>
      <c r="H835">
        <f>IF($A835="","",IF($D835="V01",cad!$C$24,IF($D835="V02",cad!$D$24,cad!$E$24)))</f>
      </c>
      <c r="I835">
        <f>IF($A835="","",IF($D835="V01",cad!$C$32,IF($D835="V02",cad!$D$32,cad!$E$32)))</f>
      </c>
      <c r="J835">
        <f>IF($A835="","",IF($D835="V01",cad!$C$33,IF($D835="V02",cad!$D$33,cad!$E$33)))</f>
      </c>
      <c r="K835">
        <f>IF($A835="","",IF($D835="V01",cad!$C$34,IF($D835="V02",cad!$D$34,cad!$E$34)))</f>
      </c>
      <c r="L835">
        <f>IF($A835="","",IF($D835="V01",cad!$C$35,IF($D835="V02",cad!$D$35,cad!$E$35)))</f>
      </c>
      <c r="M835">
        <f>IF($A835="","",IF($D835="V01",cad!$C$36,IF($D835="V02",cad!$D$36,cad!$E$36)))</f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>
        <f>IF($A836="","",IF($D836="V01",cad!$C$23,IF($D836="V02",cad!$D$23,cad!$E$23)))</f>
      </c>
      <c r="H836">
        <f>IF($A836="","",IF($D836="V01",cad!$C$24,IF($D836="V02",cad!$D$24,cad!$E$24)))</f>
      </c>
      <c r="I836">
        <f>IF($A836="","",IF($D836="V01",cad!$C$32,IF($D836="V02",cad!$D$32,cad!$E$32)))</f>
      </c>
      <c r="J836">
        <f>IF($A836="","",IF($D836="V01",cad!$C$33,IF($D836="V02",cad!$D$33,cad!$E$33)))</f>
      </c>
      <c r="K836">
        <f>IF($A836="","",IF($D836="V01",cad!$C$34,IF($D836="V02",cad!$D$34,cad!$E$34)))</f>
      </c>
      <c r="L836">
        <f>IF($A836="","",IF($D836="V01",cad!$C$35,IF($D836="V02",cad!$D$35,cad!$E$35)))</f>
      </c>
      <c r="M836">
        <f>IF($A836="","",IF($D836="V01",cad!$C$36,IF($D836="V02",cad!$D$36,cad!$E$36)))</f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>
        <f>IF($A837="","",IF($D837="V01",cad!$C$23,IF($D837="V02",cad!$D$23,cad!$E$23)))</f>
      </c>
      <c r="H837">
        <f>IF($A837="","",IF($D837="V01",cad!$C$24,IF($D837="V02",cad!$D$24,cad!$E$24)))</f>
      </c>
      <c r="I837">
        <f>IF($A837="","",IF($D837="V01",cad!$C$32,IF($D837="V02",cad!$D$32,cad!$E$32)))</f>
      </c>
      <c r="J837">
        <f>IF($A837="","",IF($D837="V01",cad!$C$33,IF($D837="V02",cad!$D$33,cad!$E$33)))</f>
      </c>
      <c r="K837">
        <f>IF($A837="","",IF($D837="V01",cad!$C$34,IF($D837="V02",cad!$D$34,cad!$E$34)))</f>
      </c>
      <c r="L837">
        <f>IF($A837="","",IF($D837="V01",cad!$C$35,IF($D837="V02",cad!$D$35,cad!$E$35)))</f>
      </c>
      <c r="M837">
        <f>IF($A837="","",IF($D837="V01",cad!$C$36,IF($D837="V02",cad!$D$36,cad!$E$36)))</f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>
        <f>IF($A838="","",IF($D838="V01",cad!$C$23,IF($D838="V02",cad!$D$23,cad!$E$23)))</f>
      </c>
      <c r="H838">
        <f>IF($A838="","",IF($D838="V01",cad!$C$24,IF($D838="V02",cad!$D$24,cad!$E$24)))</f>
      </c>
      <c r="I838">
        <f>IF($A838="","",IF($D838="V01",cad!$C$32,IF($D838="V02",cad!$D$32,cad!$E$32)))</f>
      </c>
      <c r="J838">
        <f>IF($A838="","",IF($D838="V01",cad!$C$33,IF($D838="V02",cad!$D$33,cad!$E$33)))</f>
      </c>
      <c r="K838">
        <f>IF($A838="","",IF($D838="V01",cad!$C$34,IF($D838="V02",cad!$D$34,cad!$E$34)))</f>
      </c>
      <c r="L838">
        <f>IF($A838="","",IF($D838="V01",cad!$C$35,IF($D838="V02",cad!$D$35,cad!$E$35)))</f>
      </c>
      <c r="M838">
        <f>IF($A838="","",IF($D838="V01",cad!$C$36,IF($D838="V02",cad!$D$36,cad!$E$36)))</f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>
        <f>IF($A839="","",IF($D839="V01",cad!$C$23,IF($D839="V02",cad!$D$23,cad!$E$23)))</f>
      </c>
      <c r="H839">
        <f>IF($A839="","",IF($D839="V01",cad!$C$24,IF($D839="V02",cad!$D$24,cad!$E$24)))</f>
      </c>
      <c r="I839">
        <f>IF($A839="","",IF($D839="V01",cad!$C$32,IF($D839="V02",cad!$D$32,cad!$E$32)))</f>
      </c>
      <c r="J839">
        <f>IF($A839="","",IF($D839="V01",cad!$C$33,IF($D839="V02",cad!$D$33,cad!$E$33)))</f>
      </c>
      <c r="K839">
        <f>IF($A839="","",IF($D839="V01",cad!$C$34,IF($D839="V02",cad!$D$34,cad!$E$34)))</f>
      </c>
      <c r="L839">
        <f>IF($A839="","",IF($D839="V01",cad!$C$35,IF($D839="V02",cad!$D$35,cad!$E$35)))</f>
      </c>
      <c r="M839">
        <f>IF($A839="","",IF($D839="V01",cad!$C$36,IF($D839="V02",cad!$D$36,cad!$E$36)))</f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>
        <f>IF($A840="","",IF($D840="V01",cad!$C$23,IF($D840="V02",cad!$D$23,cad!$E$23)))</f>
      </c>
      <c r="H840">
        <f>IF($A840="","",IF($D840="V01",cad!$C$24,IF($D840="V02",cad!$D$24,cad!$E$24)))</f>
      </c>
      <c r="I840">
        <f>IF($A840="","",IF($D840="V01",cad!$C$32,IF($D840="V02",cad!$D$32,cad!$E$32)))</f>
      </c>
      <c r="J840">
        <f>IF($A840="","",IF($D840="V01",cad!$C$33,IF($D840="V02",cad!$D$33,cad!$E$33)))</f>
      </c>
      <c r="K840">
        <f>IF($A840="","",IF($D840="V01",cad!$C$34,IF($D840="V02",cad!$D$34,cad!$E$34)))</f>
      </c>
      <c r="L840">
        <f>IF($A840="","",IF($D840="V01",cad!$C$35,IF($D840="V02",cad!$D$35,cad!$E$35)))</f>
      </c>
      <c r="M840">
        <f>IF($A840="","",IF($D840="V01",cad!$C$36,IF($D840="V02",cad!$D$36,cad!$E$36)))</f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>
        <f>IF($A841="","",IF($D841="V01",cad!$C$23,IF($D841="V02",cad!$D$23,cad!$E$23)))</f>
      </c>
      <c r="H841">
        <f>IF($A841="","",IF($D841="V01",cad!$C$24,IF($D841="V02",cad!$D$24,cad!$E$24)))</f>
      </c>
      <c r="I841">
        <f>IF($A841="","",IF($D841="V01",cad!$C$32,IF($D841="V02",cad!$D$32,cad!$E$32)))</f>
      </c>
      <c r="J841">
        <f>IF($A841="","",IF($D841="V01",cad!$C$33,IF($D841="V02",cad!$D$33,cad!$E$33)))</f>
      </c>
      <c r="K841">
        <f>IF($A841="","",IF($D841="V01",cad!$C$34,IF($D841="V02",cad!$D$34,cad!$E$34)))</f>
      </c>
      <c r="L841">
        <f>IF($A841="","",IF($D841="V01",cad!$C$35,IF($D841="V02",cad!$D$35,cad!$E$35)))</f>
      </c>
      <c r="M841">
        <f>IF($A841="","",IF($D841="V01",cad!$C$36,IF($D841="V02",cad!$D$36,cad!$E$36)))</f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>
        <f>IF($A842="","",IF($D842="V01",cad!$C$23,IF($D842="V02",cad!$D$23,cad!$E$23)))</f>
      </c>
      <c r="H842">
        <f>IF($A842="","",IF($D842="V01",cad!$C$24,IF($D842="V02",cad!$D$24,cad!$E$24)))</f>
      </c>
      <c r="I842">
        <f>IF($A842="","",IF($D842="V01",cad!$C$32,IF($D842="V02",cad!$D$32,cad!$E$32)))</f>
      </c>
      <c r="J842">
        <f>IF($A842="","",IF($D842="V01",cad!$C$33,IF($D842="V02",cad!$D$33,cad!$E$33)))</f>
      </c>
      <c r="K842">
        <f>IF($A842="","",IF($D842="V01",cad!$C$34,IF($D842="V02",cad!$D$34,cad!$E$34)))</f>
      </c>
      <c r="L842">
        <f>IF($A842="","",IF($D842="V01",cad!$C$35,IF($D842="V02",cad!$D$35,cad!$E$35)))</f>
      </c>
      <c r="M842">
        <f>IF($A842="","",IF($D842="V01",cad!$C$36,IF($D842="V02",cad!$D$36,cad!$E$36)))</f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>
        <f>IF($A843="","",IF($D843="V01",cad!$C$23,IF($D843="V02",cad!$D$23,cad!$E$23)))</f>
      </c>
      <c r="H843">
        <f>IF($A843="","",IF($D843="V01",cad!$C$24,IF($D843="V02",cad!$D$24,cad!$E$24)))</f>
      </c>
      <c r="I843">
        <f>IF($A843="","",IF($D843="V01",cad!$C$32,IF($D843="V02",cad!$D$32,cad!$E$32)))</f>
      </c>
      <c r="J843">
        <f>IF($A843="","",IF($D843="V01",cad!$C$33,IF($D843="V02",cad!$D$33,cad!$E$33)))</f>
      </c>
      <c r="K843">
        <f>IF($A843="","",IF($D843="V01",cad!$C$34,IF($D843="V02",cad!$D$34,cad!$E$34)))</f>
      </c>
      <c r="L843">
        <f>IF($A843="","",IF($D843="V01",cad!$C$35,IF($D843="V02",cad!$D$35,cad!$E$35)))</f>
      </c>
      <c r="M843">
        <f>IF($A843="","",IF($D843="V01",cad!$C$36,IF($D843="V02",cad!$D$36,cad!$E$36)))</f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>
        <f>IF($A844="","",IF($D844="V01",cad!$C$23,IF($D844="V02",cad!$D$23,cad!$E$23)))</f>
      </c>
      <c r="H844">
        <f>IF($A844="","",IF($D844="V01",cad!$C$24,IF($D844="V02",cad!$D$24,cad!$E$24)))</f>
      </c>
      <c r="I844">
        <f>IF($A844="","",IF($D844="V01",cad!$C$32,IF($D844="V02",cad!$D$32,cad!$E$32)))</f>
      </c>
      <c r="J844">
        <f>IF($A844="","",IF($D844="V01",cad!$C$33,IF($D844="V02",cad!$D$33,cad!$E$33)))</f>
      </c>
      <c r="K844">
        <f>IF($A844="","",IF($D844="V01",cad!$C$34,IF($D844="V02",cad!$D$34,cad!$E$34)))</f>
      </c>
      <c r="L844">
        <f>IF($A844="","",IF($D844="V01",cad!$C$35,IF($D844="V02",cad!$D$35,cad!$E$35)))</f>
      </c>
      <c r="M844">
        <f>IF($A844="","",IF($D844="V01",cad!$C$36,IF($D844="V02",cad!$D$36,cad!$E$36)))</f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>
        <f>IF($A845="","",IF($D845="V01",cad!$C$23,IF($D845="V02",cad!$D$23,cad!$E$23)))</f>
      </c>
      <c r="H845">
        <f>IF($A845="","",IF($D845="V01",cad!$C$24,IF($D845="V02",cad!$D$24,cad!$E$24)))</f>
      </c>
      <c r="I845">
        <f>IF($A845="","",IF($D845="V01",cad!$C$32,IF($D845="V02",cad!$D$32,cad!$E$32)))</f>
      </c>
      <c r="J845">
        <f>IF($A845="","",IF($D845="V01",cad!$C$33,IF($D845="V02",cad!$D$33,cad!$E$33)))</f>
      </c>
      <c r="K845">
        <f>IF($A845="","",IF($D845="V01",cad!$C$34,IF($D845="V02",cad!$D$34,cad!$E$34)))</f>
      </c>
      <c r="L845">
        <f>IF($A845="","",IF($D845="V01",cad!$C$35,IF($D845="V02",cad!$D$35,cad!$E$35)))</f>
      </c>
      <c r="M845">
        <f>IF($A845="","",IF($D845="V01",cad!$C$36,IF($D845="V02",cad!$D$36,cad!$E$36)))</f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>
        <f>IF($A846="","",IF($D846="V01",cad!$C$23,IF($D846="V02",cad!$D$23,cad!$E$23)))</f>
      </c>
      <c r="H846">
        <f>IF($A846="","",IF($D846="V01",cad!$C$24,IF($D846="V02",cad!$D$24,cad!$E$24)))</f>
      </c>
      <c r="I846">
        <f>IF($A846="","",IF($D846="V01",cad!$C$32,IF($D846="V02",cad!$D$32,cad!$E$32)))</f>
      </c>
      <c r="J846">
        <f>IF($A846="","",IF($D846="V01",cad!$C$33,IF($D846="V02",cad!$D$33,cad!$E$33)))</f>
      </c>
      <c r="K846">
        <f>IF($A846="","",IF($D846="V01",cad!$C$34,IF($D846="V02",cad!$D$34,cad!$E$34)))</f>
      </c>
      <c r="L846">
        <f>IF($A846="","",IF($D846="V01",cad!$C$35,IF($D846="V02",cad!$D$35,cad!$E$35)))</f>
      </c>
      <c r="M846">
        <f>IF($A846="","",IF($D846="V01",cad!$C$36,IF($D846="V02",cad!$D$36,cad!$E$36)))</f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>
        <f>IF($A847="","",IF($D847="V01",cad!$C$23,IF($D847="V02",cad!$D$23,cad!$E$23)))</f>
      </c>
      <c r="H847">
        <f>IF($A847="","",IF($D847="V01",cad!$C$24,IF($D847="V02",cad!$D$24,cad!$E$24)))</f>
      </c>
      <c r="I847">
        <f>IF($A847="","",IF($D847="V01",cad!$C$32,IF($D847="V02",cad!$D$32,cad!$E$32)))</f>
      </c>
      <c r="J847">
        <f>IF($A847="","",IF($D847="V01",cad!$C$33,IF($D847="V02",cad!$D$33,cad!$E$33)))</f>
      </c>
      <c r="K847">
        <f>IF($A847="","",IF($D847="V01",cad!$C$34,IF($D847="V02",cad!$D$34,cad!$E$34)))</f>
      </c>
      <c r="L847">
        <f>IF($A847="","",IF($D847="V01",cad!$C$35,IF($D847="V02",cad!$D$35,cad!$E$35)))</f>
      </c>
      <c r="M847">
        <f>IF($A847="","",IF($D847="V01",cad!$C$36,IF($D847="V02",cad!$D$36,cad!$E$36)))</f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>
        <f>IF($A848="","",IF($D848="V01",cad!$C$23,IF($D848="V02",cad!$D$23,cad!$E$23)))</f>
      </c>
      <c r="H848">
        <f>IF($A848="","",IF($D848="V01",cad!$C$24,IF($D848="V02",cad!$D$24,cad!$E$24)))</f>
      </c>
      <c r="I848">
        <f>IF($A848="","",IF($D848="V01",cad!$C$32,IF($D848="V02",cad!$D$32,cad!$E$32)))</f>
      </c>
      <c r="J848">
        <f>IF($A848="","",IF($D848="V01",cad!$C$33,IF($D848="V02",cad!$D$33,cad!$E$33)))</f>
      </c>
      <c r="K848">
        <f>IF($A848="","",IF($D848="V01",cad!$C$34,IF($D848="V02",cad!$D$34,cad!$E$34)))</f>
      </c>
      <c r="L848">
        <f>IF($A848="","",IF($D848="V01",cad!$C$35,IF($D848="V02",cad!$D$35,cad!$E$35)))</f>
      </c>
      <c r="M848">
        <f>IF($A848="","",IF($D848="V01",cad!$C$36,IF($D848="V02",cad!$D$36,cad!$E$36)))</f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>
        <f>IF($A849="","",IF($D849="V01",cad!$C$23,IF($D849="V02",cad!$D$23,cad!$E$23)))</f>
      </c>
      <c r="H849">
        <f>IF($A849="","",IF($D849="V01",cad!$C$24,IF($D849="V02",cad!$D$24,cad!$E$24)))</f>
      </c>
      <c r="I849">
        <f>IF($A849="","",IF($D849="V01",cad!$C$32,IF($D849="V02",cad!$D$32,cad!$E$32)))</f>
      </c>
      <c r="J849">
        <f>IF($A849="","",IF($D849="V01",cad!$C$33,IF($D849="V02",cad!$D$33,cad!$E$33)))</f>
      </c>
      <c r="K849">
        <f>IF($A849="","",IF($D849="V01",cad!$C$34,IF($D849="V02",cad!$D$34,cad!$E$34)))</f>
      </c>
      <c r="L849">
        <f>IF($A849="","",IF($D849="V01",cad!$C$35,IF($D849="V02",cad!$D$35,cad!$E$35)))</f>
      </c>
      <c r="M849">
        <f>IF($A849="","",IF($D849="V01",cad!$C$36,IF($D849="V02",cad!$D$36,cad!$E$36)))</f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>
        <f>IF($A850="","",IF($D850="V01",cad!$C$23,IF($D850="V02",cad!$D$23,cad!$E$23)))</f>
      </c>
      <c r="H850">
        <f>IF($A850="","",IF($D850="V01",cad!$C$24,IF($D850="V02",cad!$D$24,cad!$E$24)))</f>
      </c>
      <c r="I850">
        <f>IF($A850="","",IF($D850="V01",cad!$C$32,IF($D850="V02",cad!$D$32,cad!$E$32)))</f>
      </c>
      <c r="J850">
        <f>IF($A850="","",IF($D850="V01",cad!$C$33,IF($D850="V02",cad!$D$33,cad!$E$33)))</f>
      </c>
      <c r="K850">
        <f>IF($A850="","",IF($D850="V01",cad!$C$34,IF($D850="V02",cad!$D$34,cad!$E$34)))</f>
      </c>
      <c r="L850">
        <f>IF($A850="","",IF($D850="V01",cad!$C$35,IF($D850="V02",cad!$D$35,cad!$E$35)))</f>
      </c>
      <c r="M850">
        <f>IF($A850="","",IF($D850="V01",cad!$C$36,IF($D850="V02",cad!$D$36,cad!$E$36)))</f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>
        <f>IF($A851="","",IF($D851="V01",cad!$C$23,IF($D851="V02",cad!$D$23,cad!$E$23)))</f>
      </c>
      <c r="H851">
        <f>IF($A851="","",IF($D851="V01",cad!$C$24,IF($D851="V02",cad!$D$24,cad!$E$24)))</f>
      </c>
      <c r="I851">
        <f>IF($A851="","",IF($D851="V01",cad!$C$32,IF($D851="V02",cad!$D$32,cad!$E$32)))</f>
      </c>
      <c r="J851">
        <f>IF($A851="","",IF($D851="V01",cad!$C$33,IF($D851="V02",cad!$D$33,cad!$E$33)))</f>
      </c>
      <c r="K851">
        <f>IF($A851="","",IF($D851="V01",cad!$C$34,IF($D851="V02",cad!$D$34,cad!$E$34)))</f>
      </c>
      <c r="L851">
        <f>IF($A851="","",IF($D851="V01",cad!$C$35,IF($D851="V02",cad!$D$35,cad!$E$35)))</f>
      </c>
      <c r="M851">
        <f>IF($A851="","",IF($D851="V01",cad!$C$36,IF($D851="V02",cad!$D$36,cad!$E$36)))</f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>
        <f>IF($A852="","",IF($D852="V01",cad!$C$23,IF($D852="V02",cad!$D$23,cad!$E$23)))</f>
      </c>
      <c r="H852">
        <f>IF($A852="","",IF($D852="V01",cad!$C$24,IF($D852="V02",cad!$D$24,cad!$E$24)))</f>
      </c>
      <c r="I852">
        <f>IF($A852="","",IF($D852="V01",cad!$C$32,IF($D852="V02",cad!$D$32,cad!$E$32)))</f>
      </c>
      <c r="J852">
        <f>IF($A852="","",IF($D852="V01",cad!$C$33,IF($D852="V02",cad!$D$33,cad!$E$33)))</f>
      </c>
      <c r="K852">
        <f>IF($A852="","",IF($D852="V01",cad!$C$34,IF($D852="V02",cad!$D$34,cad!$E$34)))</f>
      </c>
      <c r="L852">
        <f>IF($A852="","",IF($D852="V01",cad!$C$35,IF($D852="V02",cad!$D$35,cad!$E$35)))</f>
      </c>
      <c r="M852">
        <f>IF($A852="","",IF($D852="V01",cad!$C$36,IF($D852="V02",cad!$D$36,cad!$E$36)))</f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>
        <f>IF($A853="","",IF($D853="V01",cad!$C$23,IF($D853="V02",cad!$D$23,cad!$E$23)))</f>
      </c>
      <c r="H853">
        <f>IF($A853="","",IF($D853="V01",cad!$C$24,IF($D853="V02",cad!$D$24,cad!$E$24)))</f>
      </c>
      <c r="I853">
        <f>IF($A853="","",IF($D853="V01",cad!$C$32,IF($D853="V02",cad!$D$32,cad!$E$32)))</f>
      </c>
      <c r="J853">
        <f>IF($A853="","",IF($D853="V01",cad!$C$33,IF($D853="V02",cad!$D$33,cad!$E$33)))</f>
      </c>
      <c r="K853">
        <f>IF($A853="","",IF($D853="V01",cad!$C$34,IF($D853="V02",cad!$D$34,cad!$E$34)))</f>
      </c>
      <c r="L853">
        <f>IF($A853="","",IF($D853="V01",cad!$C$35,IF($D853="V02",cad!$D$35,cad!$E$35)))</f>
      </c>
      <c r="M853">
        <f>IF($A853="","",IF($D853="V01",cad!$C$36,IF($D853="V02",cad!$D$36,cad!$E$36)))</f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>
        <f>IF($A854="","",IF($D854="V01",cad!$C$23,IF($D854="V02",cad!$D$23,cad!$E$23)))</f>
      </c>
      <c r="H854">
        <f>IF($A854="","",IF($D854="V01",cad!$C$24,IF($D854="V02",cad!$D$24,cad!$E$24)))</f>
      </c>
      <c r="I854">
        <f>IF($A854="","",IF($D854="V01",cad!$C$32,IF($D854="V02",cad!$D$32,cad!$E$32)))</f>
      </c>
      <c r="J854">
        <f>IF($A854="","",IF($D854="V01",cad!$C$33,IF($D854="V02",cad!$D$33,cad!$E$33)))</f>
      </c>
      <c r="K854">
        <f>IF($A854="","",IF($D854="V01",cad!$C$34,IF($D854="V02",cad!$D$34,cad!$E$34)))</f>
      </c>
      <c r="L854">
        <f>IF($A854="","",IF($D854="V01",cad!$C$35,IF($D854="V02",cad!$D$35,cad!$E$35)))</f>
      </c>
      <c r="M854">
        <f>IF($A854="","",IF($D854="V01",cad!$C$36,IF($D854="V02",cad!$D$36,cad!$E$36)))</f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>
        <f>IF($A855="","",IF($D855="V01",cad!$C$23,IF($D855="V02",cad!$D$23,cad!$E$23)))</f>
      </c>
      <c r="H855">
        <f>IF($A855="","",IF($D855="V01",cad!$C$24,IF($D855="V02",cad!$D$24,cad!$E$24)))</f>
      </c>
      <c r="I855">
        <f>IF($A855="","",IF($D855="V01",cad!$C$32,IF($D855="V02",cad!$D$32,cad!$E$32)))</f>
      </c>
      <c r="J855">
        <f>IF($A855="","",IF($D855="V01",cad!$C$33,IF($D855="V02",cad!$D$33,cad!$E$33)))</f>
      </c>
      <c r="K855">
        <f>IF($A855="","",IF($D855="V01",cad!$C$34,IF($D855="V02",cad!$D$34,cad!$E$34)))</f>
      </c>
      <c r="L855">
        <f>IF($A855="","",IF($D855="V01",cad!$C$35,IF($D855="V02",cad!$D$35,cad!$E$35)))</f>
      </c>
      <c r="M855">
        <f>IF($A855="","",IF($D855="V01",cad!$C$36,IF($D855="V02",cad!$D$36,cad!$E$36)))</f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>
        <f>IF($A856="","",IF($D856="V01",cad!$C$23,IF($D856="V02",cad!$D$23,cad!$E$23)))</f>
      </c>
      <c r="H856">
        <f>IF($A856="","",IF($D856="V01",cad!$C$24,IF($D856="V02",cad!$D$24,cad!$E$24)))</f>
      </c>
      <c r="I856">
        <f>IF($A856="","",IF($D856="V01",cad!$C$32,IF($D856="V02",cad!$D$32,cad!$E$32)))</f>
      </c>
      <c r="J856">
        <f>IF($A856="","",IF($D856="V01",cad!$C$33,IF($D856="V02",cad!$D$33,cad!$E$33)))</f>
      </c>
      <c r="K856">
        <f>IF($A856="","",IF($D856="V01",cad!$C$34,IF($D856="V02",cad!$D$34,cad!$E$34)))</f>
      </c>
      <c r="L856">
        <f>IF($A856="","",IF($D856="V01",cad!$C$35,IF($D856="V02",cad!$D$35,cad!$E$35)))</f>
      </c>
      <c r="M856">
        <f>IF($A856="","",IF($D856="V01",cad!$C$36,IF($D856="V02",cad!$D$36,cad!$E$36)))</f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>
        <f>IF($A857="","",IF($D857="V01",cad!$C$23,IF($D857="V02",cad!$D$23,cad!$E$23)))</f>
      </c>
      <c r="H857">
        <f>IF($A857="","",IF($D857="V01",cad!$C$24,IF($D857="V02",cad!$D$24,cad!$E$24)))</f>
      </c>
      <c r="I857">
        <f>IF($A857="","",IF($D857="V01",cad!$C$32,IF($D857="V02",cad!$D$32,cad!$E$32)))</f>
      </c>
      <c r="J857">
        <f>IF($A857="","",IF($D857="V01",cad!$C$33,IF($D857="V02",cad!$D$33,cad!$E$33)))</f>
      </c>
      <c r="K857">
        <f>IF($A857="","",IF($D857="V01",cad!$C$34,IF($D857="V02",cad!$D$34,cad!$E$34)))</f>
      </c>
      <c r="L857">
        <f>IF($A857="","",IF($D857="V01",cad!$C$35,IF($D857="V02",cad!$D$35,cad!$E$35)))</f>
      </c>
      <c r="M857">
        <f>IF($A857="","",IF($D857="V01",cad!$C$36,IF($D857="V02",cad!$D$36,cad!$E$36)))</f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>
        <f>IF($A858="","",IF($D858="V01",cad!$C$23,IF($D858="V02",cad!$D$23,cad!$E$23)))</f>
      </c>
      <c r="H858">
        <f>IF($A858="","",IF($D858="V01",cad!$C$24,IF($D858="V02",cad!$D$24,cad!$E$24)))</f>
      </c>
      <c r="I858">
        <f>IF($A858="","",IF($D858="V01",cad!$C$32,IF($D858="V02",cad!$D$32,cad!$E$32)))</f>
      </c>
      <c r="J858">
        <f>IF($A858="","",IF($D858="V01",cad!$C$33,IF($D858="V02",cad!$D$33,cad!$E$33)))</f>
      </c>
      <c r="K858">
        <f>IF($A858="","",IF($D858="V01",cad!$C$34,IF($D858="V02",cad!$D$34,cad!$E$34)))</f>
      </c>
      <c r="L858">
        <f>IF($A858="","",IF($D858="V01",cad!$C$35,IF($D858="V02",cad!$D$35,cad!$E$35)))</f>
      </c>
      <c r="M858">
        <f>IF($A858="","",IF($D858="V01",cad!$C$36,IF($D858="V02",cad!$D$36,cad!$E$36)))</f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>
        <f>IF($A859="","",IF($D859="V01",cad!$C$23,IF($D859="V02",cad!$D$23,cad!$E$23)))</f>
      </c>
      <c r="H859">
        <f>IF($A859="","",IF($D859="V01",cad!$C$24,IF($D859="V02",cad!$D$24,cad!$E$24)))</f>
      </c>
      <c r="I859">
        <f>IF($A859="","",IF($D859="V01",cad!$C$32,IF($D859="V02",cad!$D$32,cad!$E$32)))</f>
      </c>
      <c r="J859">
        <f>IF($A859="","",IF($D859="V01",cad!$C$33,IF($D859="V02",cad!$D$33,cad!$E$33)))</f>
      </c>
      <c r="K859">
        <f>IF($A859="","",IF($D859="V01",cad!$C$34,IF($D859="V02",cad!$D$34,cad!$E$34)))</f>
      </c>
      <c r="L859">
        <f>IF($A859="","",IF($D859="V01",cad!$C$35,IF($D859="V02",cad!$D$35,cad!$E$35)))</f>
      </c>
      <c r="M859">
        <f>IF($A859="","",IF($D859="V01",cad!$C$36,IF($D859="V02",cad!$D$36,cad!$E$36)))</f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>
        <f>IF($A860="","",IF($D860="V01",cad!$C$23,IF($D860="V02",cad!$D$23,cad!$E$23)))</f>
      </c>
      <c r="H860">
        <f>IF($A860="","",IF($D860="V01",cad!$C$24,IF($D860="V02",cad!$D$24,cad!$E$24)))</f>
      </c>
      <c r="I860">
        <f>IF($A860="","",IF($D860="V01",cad!$C$32,IF($D860="V02",cad!$D$32,cad!$E$32)))</f>
      </c>
      <c r="J860">
        <f>IF($A860="","",IF($D860="V01",cad!$C$33,IF($D860="V02",cad!$D$33,cad!$E$33)))</f>
      </c>
      <c r="K860">
        <f>IF($A860="","",IF($D860="V01",cad!$C$34,IF($D860="V02",cad!$D$34,cad!$E$34)))</f>
      </c>
      <c r="L860">
        <f>IF($A860="","",IF($D860="V01",cad!$C$35,IF($D860="V02",cad!$D$35,cad!$E$35)))</f>
      </c>
      <c r="M860">
        <f>IF($A860="","",IF($D860="V01",cad!$C$36,IF($D860="V02",cad!$D$36,cad!$E$36)))</f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>
        <f>IF($A861="","",IF($D861="V01",cad!$C$23,IF($D861="V02",cad!$D$23,cad!$E$23)))</f>
      </c>
      <c r="H861">
        <f>IF($A861="","",IF($D861="V01",cad!$C$24,IF($D861="V02",cad!$D$24,cad!$E$24)))</f>
      </c>
      <c r="I861">
        <f>IF($A861="","",IF($D861="V01",cad!$C$32,IF($D861="V02",cad!$D$32,cad!$E$32)))</f>
      </c>
      <c r="J861">
        <f>IF($A861="","",IF($D861="V01",cad!$C$33,IF($D861="V02",cad!$D$33,cad!$E$33)))</f>
      </c>
      <c r="K861">
        <f>IF($A861="","",IF($D861="V01",cad!$C$34,IF($D861="V02",cad!$D$34,cad!$E$34)))</f>
      </c>
      <c r="L861">
        <f>IF($A861="","",IF($D861="V01",cad!$C$35,IF($D861="V02",cad!$D$35,cad!$E$35)))</f>
      </c>
      <c r="M861">
        <f>IF($A861="","",IF($D861="V01",cad!$C$36,IF($D861="V02",cad!$D$36,cad!$E$36)))</f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>
        <f>IF($A862="","",IF($D862="V01",cad!$C$23,IF($D862="V02",cad!$D$23,cad!$E$23)))</f>
      </c>
      <c r="H862">
        <f>IF($A862="","",IF($D862="V01",cad!$C$24,IF($D862="V02",cad!$D$24,cad!$E$24)))</f>
      </c>
      <c r="I862">
        <f>IF($A862="","",IF($D862="V01",cad!$C$32,IF($D862="V02",cad!$D$32,cad!$E$32)))</f>
      </c>
      <c r="J862">
        <f>IF($A862="","",IF($D862="V01",cad!$C$33,IF($D862="V02",cad!$D$33,cad!$E$33)))</f>
      </c>
      <c r="K862">
        <f>IF($A862="","",IF($D862="V01",cad!$C$34,IF($D862="V02",cad!$D$34,cad!$E$34)))</f>
      </c>
      <c r="L862">
        <f>IF($A862="","",IF($D862="V01",cad!$C$35,IF($D862="V02",cad!$D$35,cad!$E$35)))</f>
      </c>
      <c r="M862">
        <f>IF($A862="","",IF($D862="V01",cad!$C$36,IF($D862="V02",cad!$D$36,cad!$E$36)))</f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>
        <f>IF($A863="","",IF($D863="V01",cad!$C$23,IF($D863="V02",cad!$D$23,cad!$E$23)))</f>
      </c>
      <c r="H863">
        <f>IF($A863="","",IF($D863="V01",cad!$C$24,IF($D863="V02",cad!$D$24,cad!$E$24)))</f>
      </c>
      <c r="I863">
        <f>IF($A863="","",IF($D863="V01",cad!$C$32,IF($D863="V02",cad!$D$32,cad!$E$32)))</f>
      </c>
      <c r="J863">
        <f>IF($A863="","",IF($D863="V01",cad!$C$33,IF($D863="V02",cad!$D$33,cad!$E$33)))</f>
      </c>
      <c r="K863">
        <f>IF($A863="","",IF($D863="V01",cad!$C$34,IF($D863="V02",cad!$D$34,cad!$E$34)))</f>
      </c>
      <c r="L863">
        <f>IF($A863="","",IF($D863="V01",cad!$C$35,IF($D863="V02",cad!$D$35,cad!$E$35)))</f>
      </c>
      <c r="M863">
        <f>IF($A863="","",IF($D863="V01",cad!$C$36,IF($D863="V02",cad!$D$36,cad!$E$36)))</f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>
        <f>IF($A864="","",IF($D864="V01",cad!$C$23,IF($D864="V02",cad!$D$23,cad!$E$23)))</f>
      </c>
      <c r="H864">
        <f>IF($A864="","",IF($D864="V01",cad!$C$24,IF($D864="V02",cad!$D$24,cad!$E$24)))</f>
      </c>
      <c r="I864">
        <f>IF($A864="","",IF($D864="V01",cad!$C$32,IF($D864="V02",cad!$D$32,cad!$E$32)))</f>
      </c>
      <c r="J864">
        <f>IF($A864="","",IF($D864="V01",cad!$C$33,IF($D864="V02",cad!$D$33,cad!$E$33)))</f>
      </c>
      <c r="K864">
        <f>IF($A864="","",IF($D864="V01",cad!$C$34,IF($D864="V02",cad!$D$34,cad!$E$34)))</f>
      </c>
      <c r="L864">
        <f>IF($A864="","",IF($D864="V01",cad!$C$35,IF($D864="V02",cad!$D$35,cad!$E$35)))</f>
      </c>
      <c r="M864">
        <f>IF($A864="","",IF($D864="V01",cad!$C$36,IF($D864="V02",cad!$D$36,cad!$E$36)))</f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>
        <f>IF($A865="","",IF($D865="V01",cad!$C$23,IF($D865="V02",cad!$D$23,cad!$E$23)))</f>
      </c>
      <c r="H865">
        <f>IF($A865="","",IF($D865="V01",cad!$C$24,IF($D865="V02",cad!$D$24,cad!$E$24)))</f>
      </c>
      <c r="I865">
        <f>IF($A865="","",IF($D865="V01",cad!$C$32,IF($D865="V02",cad!$D$32,cad!$E$32)))</f>
      </c>
      <c r="J865">
        <f>IF($A865="","",IF($D865="V01",cad!$C$33,IF($D865="V02",cad!$D$33,cad!$E$33)))</f>
      </c>
      <c r="K865">
        <f>IF($A865="","",IF($D865="V01",cad!$C$34,IF($D865="V02",cad!$D$34,cad!$E$34)))</f>
      </c>
      <c r="L865">
        <f>IF($A865="","",IF($D865="V01",cad!$C$35,IF($D865="V02",cad!$D$35,cad!$E$35)))</f>
      </c>
      <c r="M865">
        <f>IF($A865="","",IF($D865="V01",cad!$C$36,IF($D865="V02",cad!$D$36,cad!$E$36)))</f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>
        <f>IF($A866="","",IF($D866="V01",cad!$C$23,IF($D866="V02",cad!$D$23,cad!$E$23)))</f>
      </c>
      <c r="H866">
        <f>IF($A866="","",IF($D866="V01",cad!$C$24,IF($D866="V02",cad!$D$24,cad!$E$24)))</f>
      </c>
      <c r="I866">
        <f>IF($A866="","",IF($D866="V01",cad!$C$32,IF($D866="V02",cad!$D$32,cad!$E$32)))</f>
      </c>
      <c r="J866">
        <f>IF($A866="","",IF($D866="V01",cad!$C$33,IF($D866="V02",cad!$D$33,cad!$E$33)))</f>
      </c>
      <c r="K866">
        <f>IF($A866="","",IF($D866="V01",cad!$C$34,IF($D866="V02",cad!$D$34,cad!$E$34)))</f>
      </c>
      <c r="L866">
        <f>IF($A866="","",IF($D866="V01",cad!$C$35,IF($D866="V02",cad!$D$35,cad!$E$35)))</f>
      </c>
      <c r="M866">
        <f>IF($A866="","",IF($D866="V01",cad!$C$36,IF($D866="V02",cad!$D$36,cad!$E$36)))</f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>
        <f>IF($A867="","",IF($D867="V01",cad!$C$23,IF($D867="V02",cad!$D$23,cad!$E$23)))</f>
      </c>
      <c r="H867">
        <f>IF($A867="","",IF($D867="V01",cad!$C$24,IF($D867="V02",cad!$D$24,cad!$E$24)))</f>
      </c>
      <c r="I867">
        <f>IF($A867="","",IF($D867="V01",cad!$C$32,IF($D867="V02",cad!$D$32,cad!$E$32)))</f>
      </c>
      <c r="J867">
        <f>IF($A867="","",IF($D867="V01",cad!$C$33,IF($D867="V02",cad!$D$33,cad!$E$33)))</f>
      </c>
      <c r="K867">
        <f>IF($A867="","",IF($D867="V01",cad!$C$34,IF($D867="V02",cad!$D$34,cad!$E$34)))</f>
      </c>
      <c r="L867">
        <f>IF($A867="","",IF($D867="V01",cad!$C$35,IF($D867="V02",cad!$D$35,cad!$E$35)))</f>
      </c>
      <c r="M867">
        <f>IF($A867="","",IF($D867="V01",cad!$C$36,IF($D867="V02",cad!$D$36,cad!$E$36)))</f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>
        <f>IF($A868="","",IF($D868="V01",cad!$C$23,IF($D868="V02",cad!$D$23,cad!$E$23)))</f>
      </c>
      <c r="H868">
        <f>IF($A868="","",IF($D868="V01",cad!$C$24,IF($D868="V02",cad!$D$24,cad!$E$24)))</f>
      </c>
      <c r="I868">
        <f>IF($A868="","",IF($D868="V01",cad!$C$32,IF($D868="V02",cad!$D$32,cad!$E$32)))</f>
      </c>
      <c r="J868">
        <f>IF($A868="","",IF($D868="V01",cad!$C$33,IF($D868="V02",cad!$D$33,cad!$E$33)))</f>
      </c>
      <c r="K868">
        <f>IF($A868="","",IF($D868="V01",cad!$C$34,IF($D868="V02",cad!$D$34,cad!$E$34)))</f>
      </c>
      <c r="L868">
        <f>IF($A868="","",IF($D868="V01",cad!$C$35,IF($D868="V02",cad!$D$35,cad!$E$35)))</f>
      </c>
      <c r="M868">
        <f>IF($A868="","",IF($D868="V01",cad!$C$36,IF($D868="V02",cad!$D$36,cad!$E$36)))</f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>
        <f>IF($A869="","",IF($D869="V01",cad!$C$23,IF($D869="V02",cad!$D$23,cad!$E$23)))</f>
      </c>
      <c r="H869">
        <f>IF($A869="","",IF($D869="V01",cad!$C$24,IF($D869="V02",cad!$D$24,cad!$E$24)))</f>
      </c>
      <c r="I869">
        <f>IF($A869="","",IF($D869="V01",cad!$C$32,IF($D869="V02",cad!$D$32,cad!$E$32)))</f>
      </c>
      <c r="J869">
        <f>IF($A869="","",IF($D869="V01",cad!$C$33,IF($D869="V02",cad!$D$33,cad!$E$33)))</f>
      </c>
      <c r="K869">
        <f>IF($A869="","",IF($D869="V01",cad!$C$34,IF($D869="V02",cad!$D$34,cad!$E$34)))</f>
      </c>
      <c r="L869">
        <f>IF($A869="","",IF($D869="V01",cad!$C$35,IF($D869="V02",cad!$D$35,cad!$E$35)))</f>
      </c>
      <c r="M869">
        <f>IF($A869="","",IF($D869="V01",cad!$C$36,IF($D869="V02",cad!$D$36,cad!$E$36)))</f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>
        <f>IF($A870="","",IF($D870="V01",cad!$C$23,IF($D870="V02",cad!$D$23,cad!$E$23)))</f>
      </c>
      <c r="H870">
        <f>IF($A870="","",IF($D870="V01",cad!$C$24,IF($D870="V02",cad!$D$24,cad!$E$24)))</f>
      </c>
      <c r="I870">
        <f>IF($A870="","",IF($D870="V01",cad!$C$32,IF($D870="V02",cad!$D$32,cad!$E$32)))</f>
      </c>
      <c r="J870">
        <f>IF($A870="","",IF($D870="V01",cad!$C$33,IF($D870="V02",cad!$D$33,cad!$E$33)))</f>
      </c>
      <c r="K870">
        <f>IF($A870="","",IF($D870="V01",cad!$C$34,IF($D870="V02",cad!$D$34,cad!$E$34)))</f>
      </c>
      <c r="L870">
        <f>IF($A870="","",IF($D870="V01",cad!$C$35,IF($D870="V02",cad!$D$35,cad!$E$35)))</f>
      </c>
      <c r="M870">
        <f>IF($A870="","",IF($D870="V01",cad!$C$36,IF($D870="V02",cad!$D$36,cad!$E$36)))</f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>
        <f>IF($A871="","",IF($D871="V01",cad!$C$23,IF($D871="V02",cad!$D$23,cad!$E$23)))</f>
      </c>
      <c r="H871">
        <f>IF($A871="","",IF($D871="V01",cad!$C$24,IF($D871="V02",cad!$D$24,cad!$E$24)))</f>
      </c>
      <c r="I871">
        <f>IF($A871="","",IF($D871="V01",cad!$C$32,IF($D871="V02",cad!$D$32,cad!$E$32)))</f>
      </c>
      <c r="J871">
        <f>IF($A871="","",IF($D871="V01",cad!$C$33,IF($D871="V02",cad!$D$33,cad!$E$33)))</f>
      </c>
      <c r="K871">
        <f>IF($A871="","",IF($D871="V01",cad!$C$34,IF($D871="V02",cad!$D$34,cad!$E$34)))</f>
      </c>
      <c r="L871">
        <f>IF($A871="","",IF($D871="V01",cad!$C$35,IF($D871="V02",cad!$D$35,cad!$E$35)))</f>
      </c>
      <c r="M871">
        <f>IF($A871="","",IF($D871="V01",cad!$C$36,IF($D871="V02",cad!$D$36,cad!$E$36)))</f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>
        <f>IF($A872="","",IF($D872="V01",cad!$C$23,IF($D872="V02",cad!$D$23,cad!$E$23)))</f>
      </c>
      <c r="H872">
        <f>IF($A872="","",IF($D872="V01",cad!$C$24,IF($D872="V02",cad!$D$24,cad!$E$24)))</f>
      </c>
      <c r="I872">
        <f>IF($A872="","",IF($D872="V01",cad!$C$32,IF($D872="V02",cad!$D$32,cad!$E$32)))</f>
      </c>
      <c r="J872">
        <f>IF($A872="","",IF($D872="V01",cad!$C$33,IF($D872="V02",cad!$D$33,cad!$E$33)))</f>
      </c>
      <c r="K872">
        <f>IF($A872="","",IF($D872="V01",cad!$C$34,IF($D872="V02",cad!$D$34,cad!$E$34)))</f>
      </c>
      <c r="L872">
        <f>IF($A872="","",IF($D872="V01",cad!$C$35,IF($D872="V02",cad!$D$35,cad!$E$35)))</f>
      </c>
      <c r="M872">
        <f>IF($A872="","",IF($D872="V01",cad!$C$36,IF($D872="V02",cad!$D$36,cad!$E$36)))</f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>
        <f>IF($A873="","",IF($D873="V01",cad!$C$23,IF($D873="V02",cad!$D$23,cad!$E$23)))</f>
      </c>
      <c r="H873">
        <f>IF($A873="","",IF($D873="V01",cad!$C$24,IF($D873="V02",cad!$D$24,cad!$E$24)))</f>
      </c>
      <c r="I873">
        <f>IF($A873="","",IF($D873="V01",cad!$C$32,IF($D873="V02",cad!$D$32,cad!$E$32)))</f>
      </c>
      <c r="J873">
        <f>IF($A873="","",IF($D873="V01",cad!$C$33,IF($D873="V02",cad!$D$33,cad!$E$33)))</f>
      </c>
      <c r="K873">
        <f>IF($A873="","",IF($D873="V01",cad!$C$34,IF($D873="V02",cad!$D$34,cad!$E$34)))</f>
      </c>
      <c r="L873">
        <f>IF($A873="","",IF($D873="V01",cad!$C$35,IF($D873="V02",cad!$D$35,cad!$E$35)))</f>
      </c>
      <c r="M873">
        <f>IF($A873="","",IF($D873="V01",cad!$C$36,IF($D873="V02",cad!$D$36,cad!$E$36)))</f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>
        <f>IF($A874="","",IF($D874="V01",cad!$C$23,IF($D874="V02",cad!$D$23,cad!$E$23)))</f>
      </c>
      <c r="H874">
        <f>IF($A874="","",IF($D874="V01",cad!$C$24,IF($D874="V02",cad!$D$24,cad!$E$24)))</f>
      </c>
      <c r="I874">
        <f>IF($A874="","",IF($D874="V01",cad!$C$32,IF($D874="V02",cad!$D$32,cad!$E$32)))</f>
      </c>
      <c r="J874">
        <f>IF($A874="","",IF($D874="V01",cad!$C$33,IF($D874="V02",cad!$D$33,cad!$E$33)))</f>
      </c>
      <c r="K874">
        <f>IF($A874="","",IF($D874="V01",cad!$C$34,IF($D874="V02",cad!$D$34,cad!$E$34)))</f>
      </c>
      <c r="L874">
        <f>IF($A874="","",IF($D874="V01",cad!$C$35,IF($D874="V02",cad!$D$35,cad!$E$35)))</f>
      </c>
      <c r="M874">
        <f>IF($A874="","",IF($D874="V01",cad!$C$36,IF($D874="V02",cad!$D$36,cad!$E$36)))</f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>
        <f>IF($A875="","",IF($D875="V01",cad!$C$23,IF($D875="V02",cad!$D$23,cad!$E$23)))</f>
      </c>
      <c r="H875">
        <f>IF($A875="","",IF($D875="V01",cad!$C$24,IF($D875="V02",cad!$D$24,cad!$E$24)))</f>
      </c>
      <c r="I875">
        <f>IF($A875="","",IF($D875="V01",cad!$C$32,IF($D875="V02",cad!$D$32,cad!$E$32)))</f>
      </c>
      <c r="J875">
        <f>IF($A875="","",IF($D875="V01",cad!$C$33,IF($D875="V02",cad!$D$33,cad!$E$33)))</f>
      </c>
      <c r="K875">
        <f>IF($A875="","",IF($D875="V01",cad!$C$34,IF($D875="V02",cad!$D$34,cad!$E$34)))</f>
      </c>
      <c r="L875">
        <f>IF($A875="","",IF($D875="V01",cad!$C$35,IF($D875="V02",cad!$D$35,cad!$E$35)))</f>
      </c>
      <c r="M875">
        <f>IF($A875="","",IF($D875="V01",cad!$C$36,IF($D875="V02",cad!$D$36,cad!$E$36)))</f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>
        <f>IF($A876="","",IF($D876="V01",cad!$C$23,IF($D876="V02",cad!$D$23,cad!$E$23)))</f>
      </c>
      <c r="H876">
        <f>IF($A876="","",IF($D876="V01",cad!$C$24,IF($D876="V02",cad!$D$24,cad!$E$24)))</f>
      </c>
      <c r="I876">
        <f>IF($A876="","",IF($D876="V01",cad!$C$32,IF($D876="V02",cad!$D$32,cad!$E$32)))</f>
      </c>
      <c r="J876">
        <f>IF($A876="","",IF($D876="V01",cad!$C$33,IF($D876="V02",cad!$D$33,cad!$E$33)))</f>
      </c>
      <c r="K876">
        <f>IF($A876="","",IF($D876="V01",cad!$C$34,IF($D876="V02",cad!$D$34,cad!$E$34)))</f>
      </c>
      <c r="L876">
        <f>IF($A876="","",IF($D876="V01",cad!$C$35,IF($D876="V02",cad!$D$35,cad!$E$35)))</f>
      </c>
      <c r="M876">
        <f>IF($A876="","",IF($D876="V01",cad!$C$36,IF($D876="V02",cad!$D$36,cad!$E$36)))</f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>
        <f>IF($A877="","",IF($D877="V01",cad!$C$23,IF($D877="V02",cad!$D$23,cad!$E$23)))</f>
      </c>
      <c r="H877">
        <f>IF($A877="","",IF($D877="V01",cad!$C$24,IF($D877="V02",cad!$D$24,cad!$E$24)))</f>
      </c>
      <c r="I877">
        <f>IF($A877="","",IF($D877="V01",cad!$C$32,IF($D877="V02",cad!$D$32,cad!$E$32)))</f>
      </c>
      <c r="J877">
        <f>IF($A877="","",IF($D877="V01",cad!$C$33,IF($D877="V02",cad!$D$33,cad!$E$33)))</f>
      </c>
      <c r="K877">
        <f>IF($A877="","",IF($D877="V01",cad!$C$34,IF($D877="V02",cad!$D$34,cad!$E$34)))</f>
      </c>
      <c r="L877">
        <f>IF($A877="","",IF($D877="V01",cad!$C$35,IF($D877="V02",cad!$D$35,cad!$E$35)))</f>
      </c>
      <c r="M877">
        <f>IF($A877="","",IF($D877="V01",cad!$C$36,IF($D877="V02",cad!$D$36,cad!$E$36)))</f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>
        <f>IF($A878="","",IF($D878="V01",cad!$C$23,IF($D878="V02",cad!$D$23,cad!$E$23)))</f>
      </c>
      <c r="H878">
        <f>IF($A878="","",IF($D878="V01",cad!$C$24,IF($D878="V02",cad!$D$24,cad!$E$24)))</f>
      </c>
      <c r="I878">
        <f>IF($A878="","",IF($D878="V01",cad!$C$32,IF($D878="V02",cad!$D$32,cad!$E$32)))</f>
      </c>
      <c r="J878">
        <f>IF($A878="","",IF($D878="V01",cad!$C$33,IF($D878="V02",cad!$D$33,cad!$E$33)))</f>
      </c>
      <c r="K878">
        <f>IF($A878="","",IF($D878="V01",cad!$C$34,IF($D878="V02",cad!$D$34,cad!$E$34)))</f>
      </c>
      <c r="L878">
        <f>IF($A878="","",IF($D878="V01",cad!$C$35,IF($D878="V02",cad!$D$35,cad!$E$35)))</f>
      </c>
      <c r="M878">
        <f>IF($A878="","",IF($D878="V01",cad!$C$36,IF($D878="V02",cad!$D$36,cad!$E$36)))</f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>
        <f>IF($A879="","",IF($D879="V01",cad!$C$23,IF($D879="V02",cad!$D$23,cad!$E$23)))</f>
      </c>
      <c r="H879">
        <f>IF($A879="","",IF($D879="V01",cad!$C$24,IF($D879="V02",cad!$D$24,cad!$E$24)))</f>
      </c>
      <c r="I879">
        <f>IF($A879="","",IF($D879="V01",cad!$C$32,IF($D879="V02",cad!$D$32,cad!$E$32)))</f>
      </c>
      <c r="J879">
        <f>IF($A879="","",IF($D879="V01",cad!$C$33,IF($D879="V02",cad!$D$33,cad!$E$33)))</f>
      </c>
      <c r="K879">
        <f>IF($A879="","",IF($D879="V01",cad!$C$34,IF($D879="V02",cad!$D$34,cad!$E$34)))</f>
      </c>
      <c r="L879">
        <f>IF($A879="","",IF($D879="V01",cad!$C$35,IF($D879="V02",cad!$D$35,cad!$E$35)))</f>
      </c>
      <c r="M879">
        <f>IF($A879="","",IF($D879="V01",cad!$C$36,IF($D879="V02",cad!$D$36,cad!$E$36)))</f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>
        <f>IF($A880="","",IF($D880="V01",cad!$C$23,IF($D880="V02",cad!$D$23,cad!$E$23)))</f>
      </c>
      <c r="H880">
        <f>IF($A880="","",IF($D880="V01",cad!$C$24,IF($D880="V02",cad!$D$24,cad!$E$24)))</f>
      </c>
      <c r="I880">
        <f>IF($A880="","",IF($D880="V01",cad!$C$32,IF($D880="V02",cad!$D$32,cad!$E$32)))</f>
      </c>
      <c r="J880">
        <f>IF($A880="","",IF($D880="V01",cad!$C$33,IF($D880="V02",cad!$D$33,cad!$E$33)))</f>
      </c>
      <c r="K880">
        <f>IF($A880="","",IF($D880="V01",cad!$C$34,IF($D880="V02",cad!$D$34,cad!$E$34)))</f>
      </c>
      <c r="L880">
        <f>IF($A880="","",IF($D880="V01",cad!$C$35,IF($D880="V02",cad!$D$35,cad!$E$35)))</f>
      </c>
      <c r="M880">
        <f>IF($A880="","",IF($D880="V01",cad!$C$36,IF($D880="V02",cad!$D$36,cad!$E$36)))</f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>
        <f>IF($A881="","",IF($D881="V01",cad!$C$23,IF($D881="V02",cad!$D$23,cad!$E$23)))</f>
      </c>
      <c r="H881">
        <f>IF($A881="","",IF($D881="V01",cad!$C$24,IF($D881="V02",cad!$D$24,cad!$E$24)))</f>
      </c>
      <c r="I881">
        <f>IF($A881="","",IF($D881="V01",cad!$C$32,IF($D881="V02",cad!$D$32,cad!$E$32)))</f>
      </c>
      <c r="J881">
        <f>IF($A881="","",IF($D881="V01",cad!$C$33,IF($D881="V02",cad!$D$33,cad!$E$33)))</f>
      </c>
      <c r="K881">
        <f>IF($A881="","",IF($D881="V01",cad!$C$34,IF($D881="V02",cad!$D$34,cad!$E$34)))</f>
      </c>
      <c r="L881">
        <f>IF($A881="","",IF($D881="V01",cad!$C$35,IF($D881="V02",cad!$D$35,cad!$E$35)))</f>
      </c>
      <c r="M881">
        <f>IF($A881="","",IF($D881="V01",cad!$C$36,IF($D881="V02",cad!$D$36,cad!$E$36)))</f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>
        <f>IF($A882="","",IF($D882="V01",cad!$C$23,IF($D882="V02",cad!$D$23,cad!$E$23)))</f>
      </c>
      <c r="H882">
        <f>IF($A882="","",IF($D882="V01",cad!$C$24,IF($D882="V02",cad!$D$24,cad!$E$24)))</f>
      </c>
      <c r="I882">
        <f>IF($A882="","",IF($D882="V01",cad!$C$32,IF($D882="V02",cad!$D$32,cad!$E$32)))</f>
      </c>
      <c r="J882">
        <f>IF($A882="","",IF($D882="V01",cad!$C$33,IF($D882="V02",cad!$D$33,cad!$E$33)))</f>
      </c>
      <c r="K882">
        <f>IF($A882="","",IF($D882="V01",cad!$C$34,IF($D882="V02",cad!$D$34,cad!$E$34)))</f>
      </c>
      <c r="L882">
        <f>IF($A882="","",IF($D882="V01",cad!$C$35,IF($D882="V02",cad!$D$35,cad!$E$35)))</f>
      </c>
      <c r="M882">
        <f>IF($A882="","",IF($D882="V01",cad!$C$36,IF($D882="V02",cad!$D$36,cad!$E$36)))</f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>
        <f>IF($A883="","",IF($D883="V01",cad!$C$23,IF($D883="V02",cad!$D$23,cad!$E$23)))</f>
      </c>
      <c r="H883">
        <f>IF($A883="","",IF($D883="V01",cad!$C$24,IF($D883="V02",cad!$D$24,cad!$E$24)))</f>
      </c>
      <c r="I883">
        <f>IF($A883="","",IF($D883="V01",cad!$C$32,IF($D883="V02",cad!$D$32,cad!$E$32)))</f>
      </c>
      <c r="J883">
        <f>IF($A883="","",IF($D883="V01",cad!$C$33,IF($D883="V02",cad!$D$33,cad!$E$33)))</f>
      </c>
      <c r="K883">
        <f>IF($A883="","",IF($D883="V01",cad!$C$34,IF($D883="V02",cad!$D$34,cad!$E$34)))</f>
      </c>
      <c r="L883">
        <f>IF($A883="","",IF($D883="V01",cad!$C$35,IF($D883="V02",cad!$D$35,cad!$E$35)))</f>
      </c>
      <c r="M883">
        <f>IF($A883="","",IF($D883="V01",cad!$C$36,IF($D883="V02",cad!$D$36,cad!$E$36)))</f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>
        <f>IF($A884="","",IF($D884="V01",cad!$C$23,IF($D884="V02",cad!$D$23,cad!$E$23)))</f>
      </c>
      <c r="H884">
        <f>IF($A884="","",IF($D884="V01",cad!$C$24,IF($D884="V02",cad!$D$24,cad!$E$24)))</f>
      </c>
      <c r="I884">
        <f>IF($A884="","",IF($D884="V01",cad!$C$32,IF($D884="V02",cad!$D$32,cad!$E$32)))</f>
      </c>
      <c r="J884">
        <f>IF($A884="","",IF($D884="V01",cad!$C$33,IF($D884="V02",cad!$D$33,cad!$E$33)))</f>
      </c>
      <c r="K884">
        <f>IF($A884="","",IF($D884="V01",cad!$C$34,IF($D884="V02",cad!$D$34,cad!$E$34)))</f>
      </c>
      <c r="L884">
        <f>IF($A884="","",IF($D884="V01",cad!$C$35,IF($D884="V02",cad!$D$35,cad!$E$35)))</f>
      </c>
      <c r="M884">
        <f>IF($A884="","",IF($D884="V01",cad!$C$36,IF($D884="V02",cad!$D$36,cad!$E$36)))</f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>
        <f>IF($A885="","",IF($D885="V01",cad!$C$23,IF($D885="V02",cad!$D$23,cad!$E$23)))</f>
      </c>
      <c r="H885">
        <f>IF($A885="","",IF($D885="V01",cad!$C$24,IF($D885="V02",cad!$D$24,cad!$E$24)))</f>
      </c>
      <c r="I885">
        <f>IF($A885="","",IF($D885="V01",cad!$C$32,IF($D885="V02",cad!$D$32,cad!$E$32)))</f>
      </c>
      <c r="J885">
        <f>IF($A885="","",IF($D885="V01",cad!$C$33,IF($D885="V02",cad!$D$33,cad!$E$33)))</f>
      </c>
      <c r="K885">
        <f>IF($A885="","",IF($D885="V01",cad!$C$34,IF($D885="V02",cad!$D$34,cad!$E$34)))</f>
      </c>
      <c r="L885">
        <f>IF($A885="","",IF($D885="V01",cad!$C$35,IF($D885="V02",cad!$D$35,cad!$E$35)))</f>
      </c>
      <c r="M885">
        <f>IF($A885="","",IF($D885="V01",cad!$C$36,IF($D885="V02",cad!$D$36,cad!$E$36)))</f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>
        <f>IF($A886="","",IF($D886="V01",cad!$C$23,IF($D886="V02",cad!$D$23,cad!$E$23)))</f>
      </c>
      <c r="H886">
        <f>IF($A886="","",IF($D886="V01",cad!$C$24,IF($D886="V02",cad!$D$24,cad!$E$24)))</f>
      </c>
      <c r="I886">
        <f>IF($A886="","",IF($D886="V01",cad!$C$32,IF($D886="V02",cad!$D$32,cad!$E$32)))</f>
      </c>
      <c r="J886">
        <f>IF($A886="","",IF($D886="V01",cad!$C$33,IF($D886="V02",cad!$D$33,cad!$E$33)))</f>
      </c>
      <c r="K886">
        <f>IF($A886="","",IF($D886="V01",cad!$C$34,IF($D886="V02",cad!$D$34,cad!$E$34)))</f>
      </c>
      <c r="L886">
        <f>IF($A886="","",IF($D886="V01",cad!$C$35,IF($D886="V02",cad!$D$35,cad!$E$35)))</f>
      </c>
      <c r="M886">
        <f>IF($A886="","",IF($D886="V01",cad!$C$36,IF($D886="V02",cad!$D$36,cad!$E$36)))</f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>
        <f>IF($A887="","",IF($D887="V01",cad!$C$23,IF($D887="V02",cad!$D$23,cad!$E$23)))</f>
      </c>
      <c r="H887">
        <f>IF($A887="","",IF($D887="V01",cad!$C$24,IF($D887="V02",cad!$D$24,cad!$E$24)))</f>
      </c>
      <c r="I887">
        <f>IF($A887="","",IF($D887="V01",cad!$C$32,IF($D887="V02",cad!$D$32,cad!$E$32)))</f>
      </c>
      <c r="J887">
        <f>IF($A887="","",IF($D887="V01",cad!$C$33,IF($D887="V02",cad!$D$33,cad!$E$33)))</f>
      </c>
      <c r="K887">
        <f>IF($A887="","",IF($D887="V01",cad!$C$34,IF($D887="V02",cad!$D$34,cad!$E$34)))</f>
      </c>
      <c r="L887">
        <f>IF($A887="","",IF($D887="V01",cad!$C$35,IF($D887="V02",cad!$D$35,cad!$E$35)))</f>
      </c>
      <c r="M887">
        <f>IF($A887="","",IF($D887="V01",cad!$C$36,IF($D887="V02",cad!$D$36,cad!$E$36)))</f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>
        <f>IF($A888="","",IF($D888="V01",cad!$C$23,IF($D888="V02",cad!$D$23,cad!$E$23)))</f>
      </c>
      <c r="H888">
        <f>IF($A888="","",IF($D888="V01",cad!$C$24,IF($D888="V02",cad!$D$24,cad!$E$24)))</f>
      </c>
      <c r="I888">
        <f>IF($A888="","",IF($D888="V01",cad!$C$32,IF($D888="V02",cad!$D$32,cad!$E$32)))</f>
      </c>
      <c r="J888">
        <f>IF($A888="","",IF($D888="V01",cad!$C$33,IF($D888="V02",cad!$D$33,cad!$E$33)))</f>
      </c>
      <c r="K888">
        <f>IF($A888="","",IF($D888="V01",cad!$C$34,IF($D888="V02",cad!$D$34,cad!$E$34)))</f>
      </c>
      <c r="L888">
        <f>IF($A888="","",IF($D888="V01",cad!$C$35,IF($D888="V02",cad!$D$35,cad!$E$35)))</f>
      </c>
      <c r="M888">
        <f>IF($A888="","",IF($D888="V01",cad!$C$36,IF($D888="V02",cad!$D$36,cad!$E$36)))</f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>
        <f>IF($A889="","",IF($D889="V01",cad!$C$23,IF($D889="V02",cad!$D$23,cad!$E$23)))</f>
      </c>
      <c r="H889">
        <f>IF($A889="","",IF($D889="V01",cad!$C$24,IF($D889="V02",cad!$D$24,cad!$E$24)))</f>
      </c>
      <c r="I889">
        <f>IF($A889="","",IF($D889="V01",cad!$C$32,IF($D889="V02",cad!$D$32,cad!$E$32)))</f>
      </c>
      <c r="J889">
        <f>IF($A889="","",IF($D889="V01",cad!$C$33,IF($D889="V02",cad!$D$33,cad!$E$33)))</f>
      </c>
      <c r="K889">
        <f>IF($A889="","",IF($D889="V01",cad!$C$34,IF($D889="V02",cad!$D$34,cad!$E$34)))</f>
      </c>
      <c r="L889">
        <f>IF($A889="","",IF($D889="V01",cad!$C$35,IF($D889="V02",cad!$D$35,cad!$E$35)))</f>
      </c>
      <c r="M889">
        <f>IF($A889="","",IF($D889="V01",cad!$C$36,IF($D889="V02",cad!$D$36,cad!$E$36)))</f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>
        <f>IF($A890="","",IF($D890="V01",cad!$C$23,IF($D890="V02",cad!$D$23,cad!$E$23)))</f>
      </c>
      <c r="H890">
        <f>IF($A890="","",IF($D890="V01",cad!$C$24,IF($D890="V02",cad!$D$24,cad!$E$24)))</f>
      </c>
      <c r="I890">
        <f>IF($A890="","",IF($D890="V01",cad!$C$32,IF($D890="V02",cad!$D$32,cad!$E$32)))</f>
      </c>
      <c r="J890">
        <f>IF($A890="","",IF($D890="V01",cad!$C$33,IF($D890="V02",cad!$D$33,cad!$E$33)))</f>
      </c>
      <c r="K890">
        <f>IF($A890="","",IF($D890="V01",cad!$C$34,IF($D890="V02",cad!$D$34,cad!$E$34)))</f>
      </c>
      <c r="L890">
        <f>IF($A890="","",IF($D890="V01",cad!$C$35,IF($D890="V02",cad!$D$35,cad!$E$35)))</f>
      </c>
      <c r="M890">
        <f>IF($A890="","",IF($D890="V01",cad!$C$36,IF($D890="V02",cad!$D$36,cad!$E$36)))</f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>
        <f>IF($A891="","",IF($D891="V01",cad!$C$23,IF($D891="V02",cad!$D$23,cad!$E$23)))</f>
      </c>
      <c r="H891">
        <f>IF($A891="","",IF($D891="V01",cad!$C$24,IF($D891="V02",cad!$D$24,cad!$E$24)))</f>
      </c>
      <c r="I891">
        <f>IF($A891="","",IF($D891="V01",cad!$C$32,IF($D891="V02",cad!$D$32,cad!$E$32)))</f>
      </c>
      <c r="J891">
        <f>IF($A891="","",IF($D891="V01",cad!$C$33,IF($D891="V02",cad!$D$33,cad!$E$33)))</f>
      </c>
      <c r="K891">
        <f>IF($A891="","",IF($D891="V01",cad!$C$34,IF($D891="V02",cad!$D$34,cad!$E$34)))</f>
      </c>
      <c r="L891">
        <f>IF($A891="","",IF($D891="V01",cad!$C$35,IF($D891="V02",cad!$D$35,cad!$E$35)))</f>
      </c>
      <c r="M891">
        <f>IF($A891="","",IF($D891="V01",cad!$C$36,IF($D891="V02",cad!$D$36,cad!$E$36)))</f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>
        <f>IF($A892="","",IF($D892="V01",cad!$C$23,IF($D892="V02",cad!$D$23,cad!$E$23)))</f>
      </c>
      <c r="H892">
        <f>IF($A892="","",IF($D892="V01",cad!$C$24,IF($D892="V02",cad!$D$24,cad!$E$24)))</f>
      </c>
      <c r="I892">
        <f>IF($A892="","",IF($D892="V01",cad!$C$32,IF($D892="V02",cad!$D$32,cad!$E$32)))</f>
      </c>
      <c r="J892">
        <f>IF($A892="","",IF($D892="V01",cad!$C$33,IF($D892="V02",cad!$D$33,cad!$E$33)))</f>
      </c>
      <c r="K892">
        <f>IF($A892="","",IF($D892="V01",cad!$C$34,IF($D892="V02",cad!$D$34,cad!$E$34)))</f>
      </c>
      <c r="L892">
        <f>IF($A892="","",IF($D892="V01",cad!$C$35,IF($D892="V02",cad!$D$35,cad!$E$35)))</f>
      </c>
      <c r="M892">
        <f>IF($A892="","",IF($D892="V01",cad!$C$36,IF($D892="V02",cad!$D$36,cad!$E$36)))</f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>
        <f>IF($A893="","",IF($D893="V01",cad!$C$23,IF($D893="V02",cad!$D$23,cad!$E$23)))</f>
      </c>
      <c r="H893">
        <f>IF($A893="","",IF($D893="V01",cad!$C$24,IF($D893="V02",cad!$D$24,cad!$E$24)))</f>
      </c>
      <c r="I893">
        <f>IF($A893="","",IF($D893="V01",cad!$C$32,IF($D893="V02",cad!$D$32,cad!$E$32)))</f>
      </c>
      <c r="J893">
        <f>IF($A893="","",IF($D893="V01",cad!$C$33,IF($D893="V02",cad!$D$33,cad!$E$33)))</f>
      </c>
      <c r="K893">
        <f>IF($A893="","",IF($D893="V01",cad!$C$34,IF($D893="V02",cad!$D$34,cad!$E$34)))</f>
      </c>
      <c r="L893">
        <f>IF($A893="","",IF($D893="V01",cad!$C$35,IF($D893="V02",cad!$D$35,cad!$E$35)))</f>
      </c>
      <c r="M893">
        <f>IF($A893="","",IF($D893="V01",cad!$C$36,IF($D893="V02",cad!$D$36,cad!$E$36)))</f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>
        <f>IF($A894="","",IF($D894="V01",cad!$C$23,IF($D894="V02",cad!$D$23,cad!$E$23)))</f>
      </c>
      <c r="H894">
        <f>IF($A894="","",IF($D894="V01",cad!$C$24,IF($D894="V02",cad!$D$24,cad!$E$24)))</f>
      </c>
      <c r="I894">
        <f>IF($A894="","",IF($D894="V01",cad!$C$32,IF($D894="V02",cad!$D$32,cad!$E$32)))</f>
      </c>
      <c r="J894">
        <f>IF($A894="","",IF($D894="V01",cad!$C$33,IF($D894="V02",cad!$D$33,cad!$E$33)))</f>
      </c>
      <c r="K894">
        <f>IF($A894="","",IF($D894="V01",cad!$C$34,IF($D894="V02",cad!$D$34,cad!$E$34)))</f>
      </c>
      <c r="L894">
        <f>IF($A894="","",IF($D894="V01",cad!$C$35,IF($D894="V02",cad!$D$35,cad!$E$35)))</f>
      </c>
      <c r="M894">
        <f>IF($A894="","",IF($D894="V01",cad!$C$36,IF($D894="V02",cad!$D$36,cad!$E$36)))</f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>
        <f>IF($A895="","",IF($D895="V01",cad!$C$23,IF($D895="V02",cad!$D$23,cad!$E$23)))</f>
      </c>
      <c r="H895">
        <f>IF($A895="","",IF($D895="V01",cad!$C$24,IF($D895="V02",cad!$D$24,cad!$E$24)))</f>
      </c>
      <c r="I895">
        <f>IF($A895="","",IF($D895="V01",cad!$C$32,IF($D895="V02",cad!$D$32,cad!$E$32)))</f>
      </c>
      <c r="J895">
        <f>IF($A895="","",IF($D895="V01",cad!$C$33,IF($D895="V02",cad!$D$33,cad!$E$33)))</f>
      </c>
      <c r="K895">
        <f>IF($A895="","",IF($D895="V01",cad!$C$34,IF($D895="V02",cad!$D$34,cad!$E$34)))</f>
      </c>
      <c r="L895">
        <f>IF($A895="","",IF($D895="V01",cad!$C$35,IF($D895="V02",cad!$D$35,cad!$E$35)))</f>
      </c>
      <c r="M895">
        <f>IF($A895="","",IF($D895="V01",cad!$C$36,IF($D895="V02",cad!$D$36,cad!$E$36)))</f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>
        <f>IF($A896="","",IF($D896="V01",cad!$C$23,IF($D896="V02",cad!$D$23,cad!$E$23)))</f>
      </c>
      <c r="H896">
        <f>IF($A896="","",IF($D896="V01",cad!$C$24,IF($D896="V02",cad!$D$24,cad!$E$24)))</f>
      </c>
      <c r="I896">
        <f>IF($A896="","",IF($D896="V01",cad!$C$32,IF($D896="V02",cad!$D$32,cad!$E$32)))</f>
      </c>
      <c r="J896">
        <f>IF($A896="","",IF($D896="V01",cad!$C$33,IF($D896="V02",cad!$D$33,cad!$E$33)))</f>
      </c>
      <c r="K896">
        <f>IF($A896="","",IF($D896="V01",cad!$C$34,IF($D896="V02",cad!$D$34,cad!$E$34)))</f>
      </c>
      <c r="L896">
        <f>IF($A896="","",IF($D896="V01",cad!$C$35,IF($D896="V02",cad!$D$35,cad!$E$35)))</f>
      </c>
      <c r="M896">
        <f>IF($A896="","",IF($D896="V01",cad!$C$36,IF($D896="V02",cad!$D$36,cad!$E$36)))</f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>
        <f>IF($A897="","",IF($D897="V01",cad!$C$23,IF($D897="V02",cad!$D$23,cad!$E$23)))</f>
      </c>
      <c r="H897">
        <f>IF($A897="","",IF($D897="V01",cad!$C$24,IF($D897="V02",cad!$D$24,cad!$E$24)))</f>
      </c>
      <c r="I897">
        <f>IF($A897="","",IF($D897="V01",cad!$C$32,IF($D897="V02",cad!$D$32,cad!$E$32)))</f>
      </c>
      <c r="J897">
        <f>IF($A897="","",IF($D897="V01",cad!$C$33,IF($D897="V02",cad!$D$33,cad!$E$33)))</f>
      </c>
      <c r="K897">
        <f>IF($A897="","",IF($D897="V01",cad!$C$34,IF($D897="V02",cad!$D$34,cad!$E$34)))</f>
      </c>
      <c r="L897">
        <f>IF($A897="","",IF($D897="V01",cad!$C$35,IF($D897="V02",cad!$D$35,cad!$E$35)))</f>
      </c>
      <c r="M897">
        <f>IF($A897="","",IF($D897="V01",cad!$C$36,IF($D897="V02",cad!$D$36,cad!$E$36)))</f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>
        <f>IF($A898="","",IF($D898="V01",cad!$C$23,IF($D898="V02",cad!$D$23,cad!$E$23)))</f>
      </c>
      <c r="H898">
        <f>IF($A898="","",IF($D898="V01",cad!$C$24,IF($D898="V02",cad!$D$24,cad!$E$24)))</f>
      </c>
      <c r="I898">
        <f>IF($A898="","",IF($D898="V01",cad!$C$32,IF($D898="V02",cad!$D$32,cad!$E$32)))</f>
      </c>
      <c r="J898">
        <f>IF($A898="","",IF($D898="V01",cad!$C$33,IF($D898="V02",cad!$D$33,cad!$E$33)))</f>
      </c>
      <c r="K898">
        <f>IF($A898="","",IF($D898="V01",cad!$C$34,IF($D898="V02",cad!$D$34,cad!$E$34)))</f>
      </c>
      <c r="L898">
        <f>IF($A898="","",IF($D898="V01",cad!$C$35,IF($D898="V02",cad!$D$35,cad!$E$35)))</f>
      </c>
      <c r="M898">
        <f>IF($A898="","",IF($D898="V01",cad!$C$36,IF($D898="V02",cad!$D$36,cad!$E$36)))</f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>
        <f>IF($A899="","",IF($D899="V01",cad!$C$23,IF($D899="V02",cad!$D$23,cad!$E$23)))</f>
      </c>
      <c r="H899">
        <f>IF($A899="","",IF($D899="V01",cad!$C$24,IF($D899="V02",cad!$D$24,cad!$E$24)))</f>
      </c>
      <c r="I899">
        <f>IF($A899="","",IF($D899="V01",cad!$C$32,IF($D899="V02",cad!$D$32,cad!$E$32)))</f>
      </c>
      <c r="J899">
        <f>IF($A899="","",IF($D899="V01",cad!$C$33,IF($D899="V02",cad!$D$33,cad!$E$33)))</f>
      </c>
      <c r="K899">
        <f>IF($A899="","",IF($D899="V01",cad!$C$34,IF($D899="V02",cad!$D$34,cad!$E$34)))</f>
      </c>
      <c r="L899">
        <f>IF($A899="","",IF($D899="V01",cad!$C$35,IF($D899="V02",cad!$D$35,cad!$E$35)))</f>
      </c>
      <c r="M899">
        <f>IF($A899="","",IF($D899="V01",cad!$C$36,IF($D899="V02",cad!$D$36,cad!$E$36)))</f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>
        <f>IF($A900="","",IF($D900="V01",cad!$C$23,IF($D900="V02",cad!$D$23,cad!$E$23)))</f>
      </c>
      <c r="H900">
        <f>IF($A900="","",IF($D900="V01",cad!$C$24,IF($D900="V02",cad!$D$24,cad!$E$24)))</f>
      </c>
      <c r="I900">
        <f>IF($A900="","",IF($D900="V01",cad!$C$32,IF($D900="V02",cad!$D$32,cad!$E$32)))</f>
      </c>
      <c r="J900">
        <f>IF($A900="","",IF($D900="V01",cad!$C$33,IF($D900="V02",cad!$D$33,cad!$E$33)))</f>
      </c>
      <c r="K900">
        <f>IF($A900="","",IF($D900="V01",cad!$C$34,IF($D900="V02",cad!$D$34,cad!$E$34)))</f>
      </c>
      <c r="L900">
        <f>IF($A900="","",IF($D900="V01",cad!$C$35,IF($D900="V02",cad!$D$35,cad!$E$35)))</f>
      </c>
      <c r="M900">
        <f>IF($A900="","",IF($D900="V01",cad!$C$36,IF($D900="V02",cad!$D$36,cad!$E$36)))</f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>
        <f>IF($A901="","",IF($D901="V01",cad!$C$23,IF($D901="V02",cad!$D$23,cad!$E$23)))</f>
      </c>
      <c r="H901">
        <f>IF($A901="","",IF($D901="V01",cad!$C$24,IF($D901="V02",cad!$D$24,cad!$E$24)))</f>
      </c>
      <c r="I901">
        <f>IF($A901="","",IF($D901="V01",cad!$C$32,IF($D901="V02",cad!$D$32,cad!$E$32)))</f>
      </c>
      <c r="J901">
        <f>IF($A901="","",IF($D901="V01",cad!$C$33,IF($D901="V02",cad!$D$33,cad!$E$33)))</f>
      </c>
      <c r="K901">
        <f>IF($A901="","",IF($D901="V01",cad!$C$34,IF($D901="V02",cad!$D$34,cad!$E$34)))</f>
      </c>
      <c r="L901">
        <f>IF($A901="","",IF($D901="V01",cad!$C$35,IF($D901="V02",cad!$D$35,cad!$E$35)))</f>
      </c>
      <c r="M901">
        <f>IF($A901="","",IF($D901="V01",cad!$C$36,IF($D901="V02",cad!$D$36,cad!$E$36)))</f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>
        <f>IF($A902="","",IF($D902="V01",cad!$C$23,IF($D902="V02",cad!$D$23,cad!$E$23)))</f>
      </c>
      <c r="H902">
        <f>IF($A902="","",IF($D902="V01",cad!$C$24,IF($D902="V02",cad!$D$24,cad!$E$24)))</f>
      </c>
      <c r="I902">
        <f>IF($A902="","",IF($D902="V01",cad!$C$32,IF($D902="V02",cad!$D$32,cad!$E$32)))</f>
      </c>
      <c r="J902">
        <f>IF($A902="","",IF($D902="V01",cad!$C$33,IF($D902="V02",cad!$D$33,cad!$E$33)))</f>
      </c>
      <c r="K902">
        <f>IF($A902="","",IF($D902="V01",cad!$C$34,IF($D902="V02",cad!$D$34,cad!$E$34)))</f>
      </c>
      <c r="L902">
        <f>IF($A902="","",IF($D902="V01",cad!$C$35,IF($D902="V02",cad!$D$35,cad!$E$35)))</f>
      </c>
      <c r="M902">
        <f>IF($A902="","",IF($D902="V01",cad!$C$36,IF($D902="V02",cad!$D$36,cad!$E$36)))</f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>
        <f>IF($A903="","",IF($D903="V01",cad!$C$23,IF($D903="V02",cad!$D$23,cad!$E$23)))</f>
      </c>
      <c r="H903">
        <f>IF($A903="","",IF($D903="V01",cad!$C$24,IF($D903="V02",cad!$D$24,cad!$E$24)))</f>
      </c>
      <c r="I903">
        <f>IF($A903="","",IF($D903="V01",cad!$C$32,IF($D903="V02",cad!$D$32,cad!$E$32)))</f>
      </c>
      <c r="J903">
        <f>IF($A903="","",IF($D903="V01",cad!$C$33,IF($D903="V02",cad!$D$33,cad!$E$33)))</f>
      </c>
      <c r="K903">
        <f>IF($A903="","",IF($D903="V01",cad!$C$34,IF($D903="V02",cad!$D$34,cad!$E$34)))</f>
      </c>
      <c r="L903">
        <f>IF($A903="","",IF($D903="V01",cad!$C$35,IF($D903="V02",cad!$D$35,cad!$E$35)))</f>
      </c>
      <c r="M903">
        <f>IF($A903="","",IF($D903="V01",cad!$C$36,IF($D903="V02",cad!$D$36,cad!$E$36)))</f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>
        <f>IF($A904="","",IF($D904="V01",cad!$C$23,IF($D904="V02",cad!$D$23,cad!$E$23)))</f>
      </c>
      <c r="H904">
        <f>IF($A904="","",IF($D904="V01",cad!$C$24,IF($D904="V02",cad!$D$24,cad!$E$24)))</f>
      </c>
      <c r="I904">
        <f>IF($A904="","",IF($D904="V01",cad!$C$32,IF($D904="V02",cad!$D$32,cad!$E$32)))</f>
      </c>
      <c r="J904">
        <f>IF($A904="","",IF($D904="V01",cad!$C$33,IF($D904="V02",cad!$D$33,cad!$E$33)))</f>
      </c>
      <c r="K904">
        <f>IF($A904="","",IF($D904="V01",cad!$C$34,IF($D904="V02",cad!$D$34,cad!$E$34)))</f>
      </c>
      <c r="L904">
        <f>IF($A904="","",IF($D904="V01",cad!$C$35,IF($D904="V02",cad!$D$35,cad!$E$35)))</f>
      </c>
      <c r="M904">
        <f>IF($A904="","",IF($D904="V01",cad!$C$36,IF($D904="V02",cad!$D$36,cad!$E$36)))</f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>
        <f>IF($A905="","",IF($D905="V01",cad!$C$23,IF($D905="V02",cad!$D$23,cad!$E$23)))</f>
      </c>
      <c r="H905">
        <f>IF($A905="","",IF($D905="V01",cad!$C$24,IF($D905="V02",cad!$D$24,cad!$E$24)))</f>
      </c>
      <c r="I905">
        <f>IF($A905="","",IF($D905="V01",cad!$C$32,IF($D905="V02",cad!$D$32,cad!$E$32)))</f>
      </c>
      <c r="J905">
        <f>IF($A905="","",IF($D905="V01",cad!$C$33,IF($D905="V02",cad!$D$33,cad!$E$33)))</f>
      </c>
      <c r="K905">
        <f>IF($A905="","",IF($D905="V01",cad!$C$34,IF($D905="V02",cad!$D$34,cad!$E$34)))</f>
      </c>
      <c r="L905">
        <f>IF($A905="","",IF($D905="V01",cad!$C$35,IF($D905="V02",cad!$D$35,cad!$E$35)))</f>
      </c>
      <c r="M905">
        <f>IF($A905="","",IF($D905="V01",cad!$C$36,IF($D905="V02",cad!$D$36,cad!$E$36)))</f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>
        <f>IF($A906="","",IF($D906="V01",cad!$C$23,IF($D906="V02",cad!$D$23,cad!$E$23)))</f>
      </c>
      <c r="H906">
        <f>IF($A906="","",IF($D906="V01",cad!$C$24,IF($D906="V02",cad!$D$24,cad!$E$24)))</f>
      </c>
      <c r="I906">
        <f>IF($A906="","",IF($D906="V01",cad!$C$32,IF($D906="V02",cad!$D$32,cad!$E$32)))</f>
      </c>
      <c r="J906">
        <f>IF($A906="","",IF($D906="V01",cad!$C$33,IF($D906="V02",cad!$D$33,cad!$E$33)))</f>
      </c>
      <c r="K906">
        <f>IF($A906="","",IF($D906="V01",cad!$C$34,IF($D906="V02",cad!$D$34,cad!$E$34)))</f>
      </c>
      <c r="L906">
        <f>IF($A906="","",IF($D906="V01",cad!$C$35,IF($D906="V02",cad!$D$35,cad!$E$35)))</f>
      </c>
      <c r="M906">
        <f>IF($A906="","",IF($D906="V01",cad!$C$36,IF($D906="V02",cad!$D$36,cad!$E$36)))</f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>
        <f>IF($A907="","",IF($D907="V01",cad!$C$23,IF($D907="V02",cad!$D$23,cad!$E$23)))</f>
      </c>
      <c r="H907">
        <f>IF($A907="","",IF($D907="V01",cad!$C$24,IF($D907="V02",cad!$D$24,cad!$E$24)))</f>
      </c>
      <c r="I907">
        <f>IF($A907="","",IF($D907="V01",cad!$C$32,IF($D907="V02",cad!$D$32,cad!$E$32)))</f>
      </c>
      <c r="J907">
        <f>IF($A907="","",IF($D907="V01",cad!$C$33,IF($D907="V02",cad!$D$33,cad!$E$33)))</f>
      </c>
      <c r="K907">
        <f>IF($A907="","",IF($D907="V01",cad!$C$34,IF($D907="V02",cad!$D$34,cad!$E$34)))</f>
      </c>
      <c r="L907">
        <f>IF($A907="","",IF($D907="V01",cad!$C$35,IF($D907="V02",cad!$D$35,cad!$E$35)))</f>
      </c>
      <c r="M907">
        <f>IF($A907="","",IF($D907="V01",cad!$C$36,IF($D907="V02",cad!$D$36,cad!$E$36)))</f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>
        <f>IF($A908="","",IF($D908="V01",cad!$C$23,IF($D908="V02",cad!$D$23,cad!$E$23)))</f>
      </c>
      <c r="H908">
        <f>IF($A908="","",IF($D908="V01",cad!$C$24,IF($D908="V02",cad!$D$24,cad!$E$24)))</f>
      </c>
      <c r="I908">
        <f>IF($A908="","",IF($D908="V01",cad!$C$32,IF($D908="V02",cad!$D$32,cad!$E$32)))</f>
      </c>
      <c r="J908">
        <f>IF($A908="","",IF($D908="V01",cad!$C$33,IF($D908="V02",cad!$D$33,cad!$E$33)))</f>
      </c>
      <c r="K908">
        <f>IF($A908="","",IF($D908="V01",cad!$C$34,IF($D908="V02",cad!$D$34,cad!$E$34)))</f>
      </c>
      <c r="L908">
        <f>IF($A908="","",IF($D908="V01",cad!$C$35,IF($D908="V02",cad!$D$35,cad!$E$35)))</f>
      </c>
      <c r="M908">
        <f>IF($A908="","",IF($D908="V01",cad!$C$36,IF($D908="V02",cad!$D$36,cad!$E$36)))</f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>
        <f>IF($A909="","",IF($D909="V01",cad!$C$23,IF($D909="V02",cad!$D$23,cad!$E$23)))</f>
      </c>
      <c r="H909">
        <f>IF($A909="","",IF($D909="V01",cad!$C$24,IF($D909="V02",cad!$D$24,cad!$E$24)))</f>
      </c>
      <c r="I909">
        <f>IF($A909="","",IF($D909="V01",cad!$C$32,IF($D909="V02",cad!$D$32,cad!$E$32)))</f>
      </c>
      <c r="J909">
        <f>IF($A909="","",IF($D909="V01",cad!$C$33,IF($D909="V02",cad!$D$33,cad!$E$33)))</f>
      </c>
      <c r="K909">
        <f>IF($A909="","",IF($D909="V01",cad!$C$34,IF($D909="V02",cad!$D$34,cad!$E$34)))</f>
      </c>
      <c r="L909">
        <f>IF($A909="","",IF($D909="V01",cad!$C$35,IF($D909="V02",cad!$D$35,cad!$E$35)))</f>
      </c>
      <c r="M909">
        <f>IF($A909="","",IF($D909="V01",cad!$C$36,IF($D909="V02",cad!$D$36,cad!$E$36)))</f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>
        <f>IF($A910="","",IF($D910="V01",cad!$C$23,IF($D910="V02",cad!$D$23,cad!$E$23)))</f>
      </c>
      <c r="H910">
        <f>IF($A910="","",IF($D910="V01",cad!$C$24,IF($D910="V02",cad!$D$24,cad!$E$24)))</f>
      </c>
      <c r="I910">
        <f>IF($A910="","",IF($D910="V01",cad!$C$32,IF($D910="V02",cad!$D$32,cad!$E$32)))</f>
      </c>
      <c r="J910">
        <f>IF($A910="","",IF($D910="V01",cad!$C$33,IF($D910="V02",cad!$D$33,cad!$E$33)))</f>
      </c>
      <c r="K910">
        <f>IF($A910="","",IF($D910="V01",cad!$C$34,IF($D910="V02",cad!$D$34,cad!$E$34)))</f>
      </c>
      <c r="L910">
        <f>IF($A910="","",IF($D910="V01",cad!$C$35,IF($D910="V02",cad!$D$35,cad!$E$35)))</f>
      </c>
      <c r="M910">
        <f>IF($A910="","",IF($D910="V01",cad!$C$36,IF($D910="V02",cad!$D$36,cad!$E$36)))</f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>
        <f>IF($A911="","",IF($D911="V01",cad!$C$23,IF($D911="V02",cad!$D$23,cad!$E$23)))</f>
      </c>
      <c r="H911">
        <f>IF($A911="","",IF($D911="V01",cad!$C$24,IF($D911="V02",cad!$D$24,cad!$E$24)))</f>
      </c>
      <c r="I911">
        <f>IF($A911="","",IF($D911="V01",cad!$C$32,IF($D911="V02",cad!$D$32,cad!$E$32)))</f>
      </c>
      <c r="J911">
        <f>IF($A911="","",IF($D911="V01",cad!$C$33,IF($D911="V02",cad!$D$33,cad!$E$33)))</f>
      </c>
      <c r="K911">
        <f>IF($A911="","",IF($D911="V01",cad!$C$34,IF($D911="V02",cad!$D$34,cad!$E$34)))</f>
      </c>
      <c r="L911">
        <f>IF($A911="","",IF($D911="V01",cad!$C$35,IF($D911="V02",cad!$D$35,cad!$E$35)))</f>
      </c>
      <c r="M911">
        <f>IF($A911="","",IF($D911="V01",cad!$C$36,IF($D911="V02",cad!$D$36,cad!$E$36)))</f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>
        <f>IF($A912="","",IF($D912="V01",cad!$C$23,IF($D912="V02",cad!$D$23,cad!$E$23)))</f>
      </c>
      <c r="H912">
        <f>IF($A912="","",IF($D912="V01",cad!$C$24,IF($D912="V02",cad!$D$24,cad!$E$24)))</f>
      </c>
      <c r="I912">
        <f>IF($A912="","",IF($D912="V01",cad!$C$32,IF($D912="V02",cad!$D$32,cad!$E$32)))</f>
      </c>
      <c r="J912">
        <f>IF($A912="","",IF($D912="V01",cad!$C$33,IF($D912="V02",cad!$D$33,cad!$E$33)))</f>
      </c>
      <c r="K912">
        <f>IF($A912="","",IF($D912="V01",cad!$C$34,IF($D912="V02",cad!$D$34,cad!$E$34)))</f>
      </c>
      <c r="L912">
        <f>IF($A912="","",IF($D912="V01",cad!$C$35,IF($D912="V02",cad!$D$35,cad!$E$35)))</f>
      </c>
      <c r="M912">
        <f>IF($A912="","",IF($D912="V01",cad!$C$36,IF($D912="V02",cad!$D$36,cad!$E$36)))</f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>
        <f>IF($A913="","",IF($D913="V01",cad!$C$23,IF($D913="V02",cad!$D$23,cad!$E$23)))</f>
      </c>
      <c r="H913">
        <f>IF($A913="","",IF($D913="V01",cad!$C$24,IF($D913="V02",cad!$D$24,cad!$E$24)))</f>
      </c>
      <c r="I913">
        <f>IF($A913="","",IF($D913="V01",cad!$C$32,IF($D913="V02",cad!$D$32,cad!$E$32)))</f>
      </c>
      <c r="J913">
        <f>IF($A913="","",IF($D913="V01",cad!$C$33,IF($D913="V02",cad!$D$33,cad!$E$33)))</f>
      </c>
      <c r="K913">
        <f>IF($A913="","",IF($D913="V01",cad!$C$34,IF($D913="V02",cad!$D$34,cad!$E$34)))</f>
      </c>
      <c r="L913">
        <f>IF($A913="","",IF($D913="V01",cad!$C$35,IF($D913="V02",cad!$D$35,cad!$E$35)))</f>
      </c>
      <c r="M913">
        <f>IF($A913="","",IF($D913="V01",cad!$C$36,IF($D913="V02",cad!$D$36,cad!$E$36)))</f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>
        <f>IF($A914="","",IF($D914="V01",cad!$C$23,IF($D914="V02",cad!$D$23,cad!$E$23)))</f>
      </c>
      <c r="H914">
        <f>IF($A914="","",IF($D914="V01",cad!$C$24,IF($D914="V02",cad!$D$24,cad!$E$24)))</f>
      </c>
      <c r="I914">
        <f>IF($A914="","",IF($D914="V01",cad!$C$32,IF($D914="V02",cad!$D$32,cad!$E$32)))</f>
      </c>
      <c r="J914">
        <f>IF($A914="","",IF($D914="V01",cad!$C$33,IF($D914="V02",cad!$D$33,cad!$E$33)))</f>
      </c>
      <c r="K914">
        <f>IF($A914="","",IF($D914="V01",cad!$C$34,IF($D914="V02",cad!$D$34,cad!$E$34)))</f>
      </c>
      <c r="L914">
        <f>IF($A914="","",IF($D914="V01",cad!$C$35,IF($D914="V02",cad!$D$35,cad!$E$35)))</f>
      </c>
      <c r="M914">
        <f>IF($A914="","",IF($D914="V01",cad!$C$36,IF($D914="V02",cad!$D$36,cad!$E$36)))</f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>
        <f>IF($A915="","",IF($D915="V01",cad!$C$23,IF($D915="V02",cad!$D$23,cad!$E$23)))</f>
      </c>
      <c r="H915">
        <f>IF($A915="","",IF($D915="V01",cad!$C$24,IF($D915="V02",cad!$D$24,cad!$E$24)))</f>
      </c>
      <c r="I915">
        <f>IF($A915="","",IF($D915="V01",cad!$C$32,IF($D915="V02",cad!$D$32,cad!$E$32)))</f>
      </c>
      <c r="J915">
        <f>IF($A915="","",IF($D915="V01",cad!$C$33,IF($D915="V02",cad!$D$33,cad!$E$33)))</f>
      </c>
      <c r="K915">
        <f>IF($A915="","",IF($D915="V01",cad!$C$34,IF($D915="V02",cad!$D$34,cad!$E$34)))</f>
      </c>
      <c r="L915">
        <f>IF($A915="","",IF($D915="V01",cad!$C$35,IF($D915="V02",cad!$D$35,cad!$E$35)))</f>
      </c>
      <c r="M915">
        <f>IF($A915="","",IF($D915="V01",cad!$C$36,IF($D915="V02",cad!$D$36,cad!$E$36)))</f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>
        <f>IF($A916="","",IF($D916="V01",cad!$C$23,IF($D916="V02",cad!$D$23,cad!$E$23)))</f>
      </c>
      <c r="H916">
        <f>IF($A916="","",IF($D916="V01",cad!$C$24,IF($D916="V02",cad!$D$24,cad!$E$24)))</f>
      </c>
      <c r="I916">
        <f>IF($A916="","",IF($D916="V01",cad!$C$32,IF($D916="V02",cad!$D$32,cad!$E$32)))</f>
      </c>
      <c r="J916">
        <f>IF($A916="","",IF($D916="V01",cad!$C$33,IF($D916="V02",cad!$D$33,cad!$E$33)))</f>
      </c>
      <c r="K916">
        <f>IF($A916="","",IF($D916="V01",cad!$C$34,IF($D916="V02",cad!$D$34,cad!$E$34)))</f>
      </c>
      <c r="L916">
        <f>IF($A916="","",IF($D916="V01",cad!$C$35,IF($D916="V02",cad!$D$35,cad!$E$35)))</f>
      </c>
      <c r="M916">
        <f>IF($A916="","",IF($D916="V01",cad!$C$36,IF($D916="V02",cad!$D$36,cad!$E$36)))</f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>
        <f>IF($A917="","",IF($D917="V01",cad!$C$23,IF($D917="V02",cad!$D$23,cad!$E$23)))</f>
      </c>
      <c r="H917">
        <f>IF($A917="","",IF($D917="V01",cad!$C$24,IF($D917="V02",cad!$D$24,cad!$E$24)))</f>
      </c>
      <c r="I917">
        <f>IF($A917="","",IF($D917="V01",cad!$C$32,IF($D917="V02",cad!$D$32,cad!$E$32)))</f>
      </c>
      <c r="J917">
        <f>IF($A917="","",IF($D917="V01",cad!$C$33,IF($D917="V02",cad!$D$33,cad!$E$33)))</f>
      </c>
      <c r="K917">
        <f>IF($A917="","",IF($D917="V01",cad!$C$34,IF($D917="V02",cad!$D$34,cad!$E$34)))</f>
      </c>
      <c r="L917">
        <f>IF($A917="","",IF($D917="V01",cad!$C$35,IF($D917="V02",cad!$D$35,cad!$E$35)))</f>
      </c>
      <c r="M917">
        <f>IF($A917="","",IF($D917="V01",cad!$C$36,IF($D917="V02",cad!$D$36,cad!$E$36)))</f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>
        <f>IF($A918="","",IF($D918="V01",cad!$C$23,IF($D918="V02",cad!$D$23,cad!$E$23)))</f>
      </c>
      <c r="H918">
        <f>IF($A918="","",IF($D918="V01",cad!$C$24,IF($D918="V02",cad!$D$24,cad!$E$24)))</f>
      </c>
      <c r="I918">
        <f>IF($A918="","",IF($D918="V01",cad!$C$32,IF($D918="V02",cad!$D$32,cad!$E$32)))</f>
      </c>
      <c r="J918">
        <f>IF($A918="","",IF($D918="V01",cad!$C$33,IF($D918="V02",cad!$D$33,cad!$E$33)))</f>
      </c>
      <c r="K918">
        <f>IF($A918="","",IF($D918="V01",cad!$C$34,IF($D918="V02",cad!$D$34,cad!$E$34)))</f>
      </c>
      <c r="L918">
        <f>IF($A918="","",IF($D918="V01",cad!$C$35,IF($D918="V02",cad!$D$35,cad!$E$35)))</f>
      </c>
      <c r="M918">
        <f>IF($A918="","",IF($D918="V01",cad!$C$36,IF($D918="V02",cad!$D$36,cad!$E$36)))</f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>
        <f>IF($A919="","",IF($D919="V01",cad!$C$23,IF($D919="V02",cad!$D$23,cad!$E$23)))</f>
      </c>
      <c r="H919">
        <f>IF($A919="","",IF($D919="V01",cad!$C$24,IF($D919="V02",cad!$D$24,cad!$E$24)))</f>
      </c>
      <c r="I919">
        <f>IF($A919="","",IF($D919="V01",cad!$C$32,IF($D919="V02",cad!$D$32,cad!$E$32)))</f>
      </c>
      <c r="J919">
        <f>IF($A919="","",IF($D919="V01",cad!$C$33,IF($D919="V02",cad!$D$33,cad!$E$33)))</f>
      </c>
      <c r="K919">
        <f>IF($A919="","",IF($D919="V01",cad!$C$34,IF($D919="V02",cad!$D$34,cad!$E$34)))</f>
      </c>
      <c r="L919">
        <f>IF($A919="","",IF($D919="V01",cad!$C$35,IF($D919="V02",cad!$D$35,cad!$E$35)))</f>
      </c>
      <c r="M919">
        <f>IF($A919="","",IF($D919="V01",cad!$C$36,IF($D919="V02",cad!$D$36,cad!$E$36)))</f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>
        <f>IF($A920="","",IF($D920="V01",cad!$C$23,IF($D920="V02",cad!$D$23,cad!$E$23)))</f>
      </c>
      <c r="H920">
        <f>IF($A920="","",IF($D920="V01",cad!$C$24,IF($D920="V02",cad!$D$24,cad!$E$24)))</f>
      </c>
      <c r="I920">
        <f>IF($A920="","",IF($D920="V01",cad!$C$32,IF($D920="V02",cad!$D$32,cad!$E$32)))</f>
      </c>
      <c r="J920">
        <f>IF($A920="","",IF($D920="V01",cad!$C$33,IF($D920="V02",cad!$D$33,cad!$E$33)))</f>
      </c>
      <c r="K920">
        <f>IF($A920="","",IF($D920="V01",cad!$C$34,IF($D920="V02",cad!$D$34,cad!$E$34)))</f>
      </c>
      <c r="L920">
        <f>IF($A920="","",IF($D920="V01",cad!$C$35,IF($D920="V02",cad!$D$35,cad!$E$35)))</f>
      </c>
      <c r="M920">
        <f>IF($A920="","",IF($D920="V01",cad!$C$36,IF($D920="V02",cad!$D$36,cad!$E$36)))</f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>
        <f>IF($A921="","",IF($D921="V01",cad!$C$23,IF($D921="V02",cad!$D$23,cad!$E$23)))</f>
      </c>
      <c r="H921">
        <f>IF($A921="","",IF($D921="V01",cad!$C$24,IF($D921="V02",cad!$D$24,cad!$E$24)))</f>
      </c>
      <c r="I921">
        <f>IF($A921="","",IF($D921="V01",cad!$C$32,IF($D921="V02",cad!$D$32,cad!$E$32)))</f>
      </c>
      <c r="J921">
        <f>IF($A921="","",IF($D921="V01",cad!$C$33,IF($D921="V02",cad!$D$33,cad!$E$33)))</f>
      </c>
      <c r="K921">
        <f>IF($A921="","",IF($D921="V01",cad!$C$34,IF($D921="V02",cad!$D$34,cad!$E$34)))</f>
      </c>
      <c r="L921">
        <f>IF($A921="","",IF($D921="V01",cad!$C$35,IF($D921="V02",cad!$D$35,cad!$E$35)))</f>
      </c>
      <c r="M921">
        <f>IF($A921="","",IF($D921="V01",cad!$C$36,IF($D921="V02",cad!$D$36,cad!$E$36)))</f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>
        <f>IF($A922="","",IF($D922="V01",cad!$C$23,IF($D922="V02",cad!$D$23,cad!$E$23)))</f>
      </c>
      <c r="H922">
        <f>IF($A922="","",IF($D922="V01",cad!$C$24,IF($D922="V02",cad!$D$24,cad!$E$24)))</f>
      </c>
      <c r="I922">
        <f>IF($A922="","",IF($D922="V01",cad!$C$32,IF($D922="V02",cad!$D$32,cad!$E$32)))</f>
      </c>
      <c r="J922">
        <f>IF($A922="","",IF($D922="V01",cad!$C$33,IF($D922="V02",cad!$D$33,cad!$E$33)))</f>
      </c>
      <c r="K922">
        <f>IF($A922="","",IF($D922="V01",cad!$C$34,IF($D922="V02",cad!$D$34,cad!$E$34)))</f>
      </c>
      <c r="L922">
        <f>IF($A922="","",IF($D922="V01",cad!$C$35,IF($D922="V02",cad!$D$35,cad!$E$35)))</f>
      </c>
      <c r="M922">
        <f>IF($A922="","",IF($D922="V01",cad!$C$36,IF($D922="V02",cad!$D$36,cad!$E$36)))</f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>
        <f>IF($A923="","",IF($D923="V01",cad!$C$23,IF($D923="V02",cad!$D$23,cad!$E$23)))</f>
      </c>
      <c r="H923">
        <f>IF($A923="","",IF($D923="V01",cad!$C$24,IF($D923="V02",cad!$D$24,cad!$E$24)))</f>
      </c>
      <c r="I923">
        <f>IF($A923="","",IF($D923="V01",cad!$C$32,IF($D923="V02",cad!$D$32,cad!$E$32)))</f>
      </c>
      <c r="J923">
        <f>IF($A923="","",IF($D923="V01",cad!$C$33,IF($D923="V02",cad!$D$33,cad!$E$33)))</f>
      </c>
      <c r="K923">
        <f>IF($A923="","",IF($D923="V01",cad!$C$34,IF($D923="V02",cad!$D$34,cad!$E$34)))</f>
      </c>
      <c r="L923">
        <f>IF($A923="","",IF($D923="V01",cad!$C$35,IF($D923="V02",cad!$D$35,cad!$E$35)))</f>
      </c>
      <c r="M923">
        <f>IF($A923="","",IF($D923="V01",cad!$C$36,IF($D923="V02",cad!$D$36,cad!$E$36)))</f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>
        <f>IF($A924="","",IF($D924="V01",cad!$C$23,IF($D924="V02",cad!$D$23,cad!$E$23)))</f>
      </c>
      <c r="H924">
        <f>IF($A924="","",IF($D924="V01",cad!$C$24,IF($D924="V02",cad!$D$24,cad!$E$24)))</f>
      </c>
      <c r="I924">
        <f>IF($A924="","",IF($D924="V01",cad!$C$32,IF($D924="V02",cad!$D$32,cad!$E$32)))</f>
      </c>
      <c r="J924">
        <f>IF($A924="","",IF($D924="V01",cad!$C$33,IF($D924="V02",cad!$D$33,cad!$E$33)))</f>
      </c>
      <c r="K924">
        <f>IF($A924="","",IF($D924="V01",cad!$C$34,IF($D924="V02",cad!$D$34,cad!$E$34)))</f>
      </c>
      <c r="L924">
        <f>IF($A924="","",IF($D924="V01",cad!$C$35,IF($D924="V02",cad!$D$35,cad!$E$35)))</f>
      </c>
      <c r="M924">
        <f>IF($A924="","",IF($D924="V01",cad!$C$36,IF($D924="V02",cad!$D$36,cad!$E$36)))</f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>
        <f>IF($A925="","",IF($D925="V01",cad!$C$23,IF($D925="V02",cad!$D$23,cad!$E$23)))</f>
      </c>
      <c r="H925">
        <f>IF($A925="","",IF($D925="V01",cad!$C$24,IF($D925="V02",cad!$D$24,cad!$E$24)))</f>
      </c>
      <c r="I925">
        <f>IF($A925="","",IF($D925="V01",cad!$C$32,IF($D925="V02",cad!$D$32,cad!$E$32)))</f>
      </c>
      <c r="J925">
        <f>IF($A925="","",IF($D925="V01",cad!$C$33,IF($D925="V02",cad!$D$33,cad!$E$33)))</f>
      </c>
      <c r="K925">
        <f>IF($A925="","",IF($D925="V01",cad!$C$34,IF($D925="V02",cad!$D$34,cad!$E$34)))</f>
      </c>
      <c r="L925">
        <f>IF($A925="","",IF($D925="V01",cad!$C$35,IF($D925="V02",cad!$D$35,cad!$E$35)))</f>
      </c>
      <c r="M925">
        <f>IF($A925="","",IF($D925="V01",cad!$C$36,IF($D925="V02",cad!$D$36,cad!$E$36)))</f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>
        <f>IF($A926="","",IF($D926="V01",cad!$C$23,IF($D926="V02",cad!$D$23,cad!$E$23)))</f>
      </c>
      <c r="H926">
        <f>IF($A926="","",IF($D926="V01",cad!$C$24,IF($D926="V02",cad!$D$24,cad!$E$24)))</f>
      </c>
      <c r="I926">
        <f>IF($A926="","",IF($D926="V01",cad!$C$32,IF($D926="V02",cad!$D$32,cad!$E$32)))</f>
      </c>
      <c r="J926">
        <f>IF($A926="","",IF($D926="V01",cad!$C$33,IF($D926="V02",cad!$D$33,cad!$E$33)))</f>
      </c>
      <c r="K926">
        <f>IF($A926="","",IF($D926="V01",cad!$C$34,IF($D926="V02",cad!$D$34,cad!$E$34)))</f>
      </c>
      <c r="L926">
        <f>IF($A926="","",IF($D926="V01",cad!$C$35,IF($D926="V02",cad!$D$35,cad!$E$35)))</f>
      </c>
      <c r="M926">
        <f>IF($A926="","",IF($D926="V01",cad!$C$36,IF($D926="V02",cad!$D$36,cad!$E$36)))</f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>
        <f>IF($A927="","",IF($D927="V01",cad!$C$23,IF($D927="V02",cad!$D$23,cad!$E$23)))</f>
      </c>
      <c r="H927">
        <f>IF($A927="","",IF($D927="V01",cad!$C$24,IF($D927="V02",cad!$D$24,cad!$E$24)))</f>
      </c>
      <c r="I927">
        <f>IF($A927="","",IF($D927="V01",cad!$C$32,IF($D927="V02",cad!$D$32,cad!$E$32)))</f>
      </c>
      <c r="J927">
        <f>IF($A927="","",IF($D927="V01",cad!$C$33,IF($D927="V02",cad!$D$33,cad!$E$33)))</f>
      </c>
      <c r="K927">
        <f>IF($A927="","",IF($D927="V01",cad!$C$34,IF($D927="V02",cad!$D$34,cad!$E$34)))</f>
      </c>
      <c r="L927">
        <f>IF($A927="","",IF($D927="V01",cad!$C$35,IF($D927="V02",cad!$D$35,cad!$E$35)))</f>
      </c>
      <c r="M927">
        <f>IF($A927="","",IF($D927="V01",cad!$C$36,IF($D927="V02",cad!$D$36,cad!$E$36)))</f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>
        <f>IF($A928="","",IF($D928="V01",cad!$C$23,IF($D928="V02",cad!$D$23,cad!$E$23)))</f>
      </c>
      <c r="H928">
        <f>IF($A928="","",IF($D928="V01",cad!$C$24,IF($D928="V02",cad!$D$24,cad!$E$24)))</f>
      </c>
      <c r="I928">
        <f>IF($A928="","",IF($D928="V01",cad!$C$32,IF($D928="V02",cad!$D$32,cad!$E$32)))</f>
      </c>
      <c r="J928">
        <f>IF($A928="","",IF($D928="V01",cad!$C$33,IF($D928="V02",cad!$D$33,cad!$E$33)))</f>
      </c>
      <c r="K928">
        <f>IF($A928="","",IF($D928="V01",cad!$C$34,IF($D928="V02",cad!$D$34,cad!$E$34)))</f>
      </c>
      <c r="L928">
        <f>IF($A928="","",IF($D928="V01",cad!$C$35,IF($D928="V02",cad!$D$35,cad!$E$35)))</f>
      </c>
      <c r="M928">
        <f>IF($A928="","",IF($D928="V01",cad!$C$36,IF($D928="V02",cad!$D$36,cad!$E$36)))</f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>
        <f>IF($A929="","",IF($D929="V01",cad!$C$23,IF($D929="V02",cad!$D$23,cad!$E$23)))</f>
      </c>
      <c r="H929">
        <f>IF($A929="","",IF($D929="V01",cad!$C$24,IF($D929="V02",cad!$D$24,cad!$E$24)))</f>
      </c>
      <c r="I929">
        <f>IF($A929="","",IF($D929="V01",cad!$C$32,IF($D929="V02",cad!$D$32,cad!$E$32)))</f>
      </c>
      <c r="J929">
        <f>IF($A929="","",IF($D929="V01",cad!$C$33,IF($D929="V02",cad!$D$33,cad!$E$33)))</f>
      </c>
      <c r="K929">
        <f>IF($A929="","",IF($D929="V01",cad!$C$34,IF($D929="V02",cad!$D$34,cad!$E$34)))</f>
      </c>
      <c r="L929">
        <f>IF($A929="","",IF($D929="V01",cad!$C$35,IF($D929="V02",cad!$D$35,cad!$E$35)))</f>
      </c>
      <c r="M929">
        <f>IF($A929="","",IF($D929="V01",cad!$C$36,IF($D929="V02",cad!$D$36,cad!$E$36)))</f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>
        <f>IF($A930="","",IF($D930="V01",cad!$C$23,IF($D930="V02",cad!$D$23,cad!$E$23)))</f>
      </c>
      <c r="H930">
        <f>IF($A930="","",IF($D930="V01",cad!$C$24,IF($D930="V02",cad!$D$24,cad!$E$24)))</f>
      </c>
      <c r="I930">
        <f>IF($A930="","",IF($D930="V01",cad!$C$32,IF($D930="V02",cad!$D$32,cad!$E$32)))</f>
      </c>
      <c r="J930">
        <f>IF($A930="","",IF($D930="V01",cad!$C$33,IF($D930="V02",cad!$D$33,cad!$E$33)))</f>
      </c>
      <c r="K930">
        <f>IF($A930="","",IF($D930="V01",cad!$C$34,IF($D930="V02",cad!$D$34,cad!$E$34)))</f>
      </c>
      <c r="L930">
        <f>IF($A930="","",IF($D930="V01",cad!$C$35,IF($D930="V02",cad!$D$35,cad!$E$35)))</f>
      </c>
      <c r="M930">
        <f>IF($A930="","",IF($D930="V01",cad!$C$36,IF($D930="V02",cad!$D$36,cad!$E$36)))</f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>
        <f>IF($A931="","",IF($D931="V01",cad!$C$23,IF($D931="V02",cad!$D$23,cad!$E$23)))</f>
      </c>
      <c r="H931">
        <f>IF($A931="","",IF($D931="V01",cad!$C$24,IF($D931="V02",cad!$D$24,cad!$E$24)))</f>
      </c>
      <c r="I931">
        <f>IF($A931="","",IF($D931="V01",cad!$C$32,IF($D931="V02",cad!$D$32,cad!$E$32)))</f>
      </c>
      <c r="J931">
        <f>IF($A931="","",IF($D931="V01",cad!$C$33,IF($D931="V02",cad!$D$33,cad!$E$33)))</f>
      </c>
      <c r="K931">
        <f>IF($A931="","",IF($D931="V01",cad!$C$34,IF($D931="V02",cad!$D$34,cad!$E$34)))</f>
      </c>
      <c r="L931">
        <f>IF($A931="","",IF($D931="V01",cad!$C$35,IF($D931="V02",cad!$D$35,cad!$E$35)))</f>
      </c>
      <c r="M931">
        <f>IF($A931="","",IF($D931="V01",cad!$C$36,IF($D931="V02",cad!$D$36,cad!$E$36)))</f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>
        <f>IF($A932="","",IF($D932="V01",cad!$C$23,IF($D932="V02",cad!$D$23,cad!$E$23)))</f>
      </c>
      <c r="H932">
        <f>IF($A932="","",IF($D932="V01",cad!$C$24,IF($D932="V02",cad!$D$24,cad!$E$24)))</f>
      </c>
      <c r="I932">
        <f>IF($A932="","",IF($D932="V01",cad!$C$32,IF($D932="V02",cad!$D$32,cad!$E$32)))</f>
      </c>
      <c r="J932">
        <f>IF($A932="","",IF($D932="V01",cad!$C$33,IF($D932="V02",cad!$D$33,cad!$E$33)))</f>
      </c>
      <c r="K932">
        <f>IF($A932="","",IF($D932="V01",cad!$C$34,IF($D932="V02",cad!$D$34,cad!$E$34)))</f>
      </c>
      <c r="L932">
        <f>IF($A932="","",IF($D932="V01",cad!$C$35,IF($D932="V02",cad!$D$35,cad!$E$35)))</f>
      </c>
      <c r="M932">
        <f>IF($A932="","",IF($D932="V01",cad!$C$36,IF($D932="V02",cad!$D$36,cad!$E$36)))</f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>
        <f>IF($A933="","",IF($D933="V01",cad!$C$23,IF($D933="V02",cad!$D$23,cad!$E$23)))</f>
      </c>
      <c r="H933">
        <f>IF($A933="","",IF($D933="V01",cad!$C$24,IF($D933="V02",cad!$D$24,cad!$E$24)))</f>
      </c>
      <c r="I933">
        <f>IF($A933="","",IF($D933="V01",cad!$C$32,IF($D933="V02",cad!$D$32,cad!$E$32)))</f>
      </c>
      <c r="J933">
        <f>IF($A933="","",IF($D933="V01",cad!$C$33,IF($D933="V02",cad!$D$33,cad!$E$33)))</f>
      </c>
      <c r="K933">
        <f>IF($A933="","",IF($D933="V01",cad!$C$34,IF($D933="V02",cad!$D$34,cad!$E$34)))</f>
      </c>
      <c r="L933">
        <f>IF($A933="","",IF($D933="V01",cad!$C$35,IF($D933="V02",cad!$D$35,cad!$E$35)))</f>
      </c>
      <c r="M933">
        <f>IF($A933="","",IF($D933="V01",cad!$C$36,IF($D933="V02",cad!$D$36,cad!$E$36)))</f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>
        <f>IF($A934="","",IF($D934="V01",cad!$C$23,IF($D934="V02",cad!$D$23,cad!$E$23)))</f>
      </c>
      <c r="H934">
        <f>IF($A934="","",IF($D934="V01",cad!$C$24,IF($D934="V02",cad!$D$24,cad!$E$24)))</f>
      </c>
      <c r="I934">
        <f>IF($A934="","",IF($D934="V01",cad!$C$32,IF($D934="V02",cad!$D$32,cad!$E$32)))</f>
      </c>
      <c r="J934">
        <f>IF($A934="","",IF($D934="V01",cad!$C$33,IF($D934="V02",cad!$D$33,cad!$E$33)))</f>
      </c>
      <c r="K934">
        <f>IF($A934="","",IF($D934="V01",cad!$C$34,IF($D934="V02",cad!$D$34,cad!$E$34)))</f>
      </c>
      <c r="L934">
        <f>IF($A934="","",IF($D934="V01",cad!$C$35,IF($D934="V02",cad!$D$35,cad!$E$35)))</f>
      </c>
      <c r="M934">
        <f>IF($A934="","",IF($D934="V01",cad!$C$36,IF($D934="V02",cad!$D$36,cad!$E$36)))</f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>
        <f>IF($A935="","",IF($D935="V01",cad!$C$23,IF($D935="V02",cad!$D$23,cad!$E$23)))</f>
      </c>
      <c r="H935">
        <f>IF($A935="","",IF($D935="V01",cad!$C$24,IF($D935="V02",cad!$D$24,cad!$E$24)))</f>
      </c>
      <c r="I935">
        <f>IF($A935="","",IF($D935="V01",cad!$C$32,IF($D935="V02",cad!$D$32,cad!$E$32)))</f>
      </c>
      <c r="J935">
        <f>IF($A935="","",IF($D935="V01",cad!$C$33,IF($D935="V02",cad!$D$33,cad!$E$33)))</f>
      </c>
      <c r="K935">
        <f>IF($A935="","",IF($D935="V01",cad!$C$34,IF($D935="V02",cad!$D$34,cad!$E$34)))</f>
      </c>
      <c r="L935">
        <f>IF($A935="","",IF($D935="V01",cad!$C$35,IF($D935="V02",cad!$D$35,cad!$E$35)))</f>
      </c>
      <c r="M935">
        <f>IF($A935="","",IF($D935="V01",cad!$C$36,IF($D935="V02",cad!$D$36,cad!$E$36)))</f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>
        <f>IF($A936="","",IF($D936="V01",cad!$C$23,IF($D936="V02",cad!$D$23,cad!$E$23)))</f>
      </c>
      <c r="H936">
        <f>IF($A936="","",IF($D936="V01",cad!$C$24,IF($D936="V02",cad!$D$24,cad!$E$24)))</f>
      </c>
      <c r="I936">
        <f>IF($A936="","",IF($D936="V01",cad!$C$32,IF($D936="V02",cad!$D$32,cad!$E$32)))</f>
      </c>
      <c r="J936">
        <f>IF($A936="","",IF($D936="V01",cad!$C$33,IF($D936="V02",cad!$D$33,cad!$E$33)))</f>
      </c>
      <c r="K936">
        <f>IF($A936="","",IF($D936="V01",cad!$C$34,IF($D936="V02",cad!$D$34,cad!$E$34)))</f>
      </c>
      <c r="L936">
        <f>IF($A936="","",IF($D936="V01",cad!$C$35,IF($D936="V02",cad!$D$35,cad!$E$35)))</f>
      </c>
      <c r="M936">
        <f>IF($A936="","",IF($D936="V01",cad!$C$36,IF($D936="V02",cad!$D$36,cad!$E$36)))</f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>
        <f>IF($A937="","",IF($D937="V01",cad!$C$23,IF($D937="V02",cad!$D$23,cad!$E$23)))</f>
      </c>
      <c r="H937">
        <f>IF($A937="","",IF($D937="V01",cad!$C$24,IF($D937="V02",cad!$D$24,cad!$E$24)))</f>
      </c>
      <c r="I937">
        <f>IF($A937="","",IF($D937="V01",cad!$C$32,IF($D937="V02",cad!$D$32,cad!$E$32)))</f>
      </c>
      <c r="J937">
        <f>IF($A937="","",IF($D937="V01",cad!$C$33,IF($D937="V02",cad!$D$33,cad!$E$33)))</f>
      </c>
      <c r="K937">
        <f>IF($A937="","",IF($D937="V01",cad!$C$34,IF($D937="V02",cad!$D$34,cad!$E$34)))</f>
      </c>
      <c r="L937">
        <f>IF($A937="","",IF($D937="V01",cad!$C$35,IF($D937="V02",cad!$D$35,cad!$E$35)))</f>
      </c>
      <c r="M937">
        <f>IF($A937="","",IF($D937="V01",cad!$C$36,IF($D937="V02",cad!$D$36,cad!$E$36)))</f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>
        <f>IF($A938="","",IF($D938="V01",cad!$C$23,IF($D938="V02",cad!$D$23,cad!$E$23)))</f>
      </c>
      <c r="H938">
        <f>IF($A938="","",IF($D938="V01",cad!$C$24,IF($D938="V02",cad!$D$24,cad!$E$24)))</f>
      </c>
      <c r="I938">
        <f>IF($A938="","",IF($D938="V01",cad!$C$32,IF($D938="V02",cad!$D$32,cad!$E$32)))</f>
      </c>
      <c r="J938">
        <f>IF($A938="","",IF($D938="V01",cad!$C$33,IF($D938="V02",cad!$D$33,cad!$E$33)))</f>
      </c>
      <c r="K938">
        <f>IF($A938="","",IF($D938="V01",cad!$C$34,IF($D938="V02",cad!$D$34,cad!$E$34)))</f>
      </c>
      <c r="L938">
        <f>IF($A938="","",IF($D938="V01",cad!$C$35,IF($D938="V02",cad!$D$35,cad!$E$35)))</f>
      </c>
      <c r="M938">
        <f>IF($A938="","",IF($D938="V01",cad!$C$36,IF($D938="V02",cad!$D$36,cad!$E$36)))</f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>
        <f>IF($A939="","",IF($D939="V01",cad!$C$23,IF($D939="V02",cad!$D$23,cad!$E$23)))</f>
      </c>
      <c r="H939">
        <f>IF($A939="","",IF($D939="V01",cad!$C$24,IF($D939="V02",cad!$D$24,cad!$E$24)))</f>
      </c>
      <c r="I939">
        <f>IF($A939="","",IF($D939="V01",cad!$C$32,IF($D939="V02",cad!$D$32,cad!$E$32)))</f>
      </c>
      <c r="J939">
        <f>IF($A939="","",IF($D939="V01",cad!$C$33,IF($D939="V02",cad!$D$33,cad!$E$33)))</f>
      </c>
      <c r="K939">
        <f>IF($A939="","",IF($D939="V01",cad!$C$34,IF($D939="V02",cad!$D$34,cad!$E$34)))</f>
      </c>
      <c r="L939">
        <f>IF($A939="","",IF($D939="V01",cad!$C$35,IF($D939="V02",cad!$D$35,cad!$E$35)))</f>
      </c>
      <c r="M939">
        <f>IF($A939="","",IF($D939="V01",cad!$C$36,IF($D939="V02",cad!$D$36,cad!$E$36)))</f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>
        <f>IF($A940="","",IF($D940="V01",cad!$C$23,IF($D940="V02",cad!$D$23,cad!$E$23)))</f>
      </c>
      <c r="H940">
        <f>IF($A940="","",IF($D940="V01",cad!$C$24,IF($D940="V02",cad!$D$24,cad!$E$24)))</f>
      </c>
      <c r="I940">
        <f>IF($A940="","",IF($D940="V01",cad!$C$32,IF($D940="V02",cad!$D$32,cad!$E$32)))</f>
      </c>
      <c r="J940">
        <f>IF($A940="","",IF($D940="V01",cad!$C$33,IF($D940="V02",cad!$D$33,cad!$E$33)))</f>
      </c>
      <c r="K940">
        <f>IF($A940="","",IF($D940="V01",cad!$C$34,IF($D940="V02",cad!$D$34,cad!$E$34)))</f>
      </c>
      <c r="L940">
        <f>IF($A940="","",IF($D940="V01",cad!$C$35,IF($D940="V02",cad!$D$35,cad!$E$35)))</f>
      </c>
      <c r="M940">
        <f>IF($A940="","",IF($D940="V01",cad!$C$36,IF($D940="V02",cad!$D$36,cad!$E$36)))</f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>
        <f>IF($A941="","",IF($D941="V01",cad!$C$23,IF($D941="V02",cad!$D$23,cad!$E$23)))</f>
      </c>
      <c r="H941">
        <f>IF($A941="","",IF($D941="V01",cad!$C$24,IF($D941="V02",cad!$D$24,cad!$E$24)))</f>
      </c>
      <c r="I941">
        <f>IF($A941="","",IF($D941="V01",cad!$C$32,IF($D941="V02",cad!$D$32,cad!$E$32)))</f>
      </c>
      <c r="J941">
        <f>IF($A941="","",IF($D941="V01",cad!$C$33,IF($D941="V02",cad!$D$33,cad!$E$33)))</f>
      </c>
      <c r="K941">
        <f>IF($A941="","",IF($D941="V01",cad!$C$34,IF($D941="V02",cad!$D$34,cad!$E$34)))</f>
      </c>
      <c r="L941">
        <f>IF($A941="","",IF($D941="V01",cad!$C$35,IF($D941="V02",cad!$D$35,cad!$E$35)))</f>
      </c>
      <c r="M941">
        <f>IF($A941="","",IF($D941="V01",cad!$C$36,IF($D941="V02",cad!$D$36,cad!$E$36)))</f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>
        <f>IF($A942="","",IF($D942="V01",cad!$C$23,IF($D942="V02",cad!$D$23,cad!$E$23)))</f>
      </c>
      <c r="H942">
        <f>IF($A942="","",IF($D942="V01",cad!$C$24,IF($D942="V02",cad!$D$24,cad!$E$24)))</f>
      </c>
      <c r="I942">
        <f>IF($A942="","",IF($D942="V01",cad!$C$32,IF($D942="V02",cad!$D$32,cad!$E$32)))</f>
      </c>
      <c r="J942">
        <f>IF($A942="","",IF($D942="V01",cad!$C$33,IF($D942="V02",cad!$D$33,cad!$E$33)))</f>
      </c>
      <c r="K942">
        <f>IF($A942="","",IF($D942="V01",cad!$C$34,IF($D942="V02",cad!$D$34,cad!$E$34)))</f>
      </c>
      <c r="L942">
        <f>IF($A942="","",IF($D942="V01",cad!$C$35,IF($D942="V02",cad!$D$35,cad!$E$35)))</f>
      </c>
      <c r="M942">
        <f>IF($A942="","",IF($D942="V01",cad!$C$36,IF($D942="V02",cad!$D$36,cad!$E$36)))</f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>
        <f>IF($A943="","",IF($D943="V01",cad!$C$23,IF($D943="V02",cad!$D$23,cad!$E$23)))</f>
      </c>
      <c r="H943">
        <f>IF($A943="","",IF($D943="V01",cad!$C$24,IF($D943="V02",cad!$D$24,cad!$E$24)))</f>
      </c>
      <c r="I943">
        <f>IF($A943="","",IF($D943="V01",cad!$C$32,IF($D943="V02",cad!$D$32,cad!$E$32)))</f>
      </c>
      <c r="J943">
        <f>IF($A943="","",IF($D943="V01",cad!$C$33,IF($D943="V02",cad!$D$33,cad!$E$33)))</f>
      </c>
      <c r="K943">
        <f>IF($A943="","",IF($D943="V01",cad!$C$34,IF($D943="V02",cad!$D$34,cad!$E$34)))</f>
      </c>
      <c r="L943">
        <f>IF($A943="","",IF($D943="V01",cad!$C$35,IF($D943="V02",cad!$D$35,cad!$E$35)))</f>
      </c>
      <c r="M943">
        <f>IF($A943="","",IF($D943="V01",cad!$C$36,IF($D943="V02",cad!$D$36,cad!$E$36)))</f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>
        <f>IF($A944="","",IF($D944="V01",cad!$C$23,IF($D944="V02",cad!$D$23,cad!$E$23)))</f>
      </c>
      <c r="H944">
        <f>IF($A944="","",IF($D944="V01",cad!$C$24,IF($D944="V02",cad!$D$24,cad!$E$24)))</f>
      </c>
      <c r="I944">
        <f>IF($A944="","",IF($D944="V01",cad!$C$32,IF($D944="V02",cad!$D$32,cad!$E$32)))</f>
      </c>
      <c r="J944">
        <f>IF($A944="","",IF($D944="V01",cad!$C$33,IF($D944="V02",cad!$D$33,cad!$E$33)))</f>
      </c>
      <c r="K944">
        <f>IF($A944="","",IF($D944="V01",cad!$C$34,IF($D944="V02",cad!$D$34,cad!$E$34)))</f>
      </c>
      <c r="L944">
        <f>IF($A944="","",IF($D944="V01",cad!$C$35,IF($D944="V02",cad!$D$35,cad!$E$35)))</f>
      </c>
      <c r="M944">
        <f>IF($A944="","",IF($D944="V01",cad!$C$36,IF($D944="V02",cad!$D$36,cad!$E$36)))</f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>
        <f>IF($A945="","",IF($D945="V01",cad!$C$23,IF($D945="V02",cad!$D$23,cad!$E$23)))</f>
      </c>
      <c r="H945">
        <f>IF($A945="","",IF($D945="V01",cad!$C$24,IF($D945="V02",cad!$D$24,cad!$E$24)))</f>
      </c>
      <c r="I945">
        <f>IF($A945="","",IF($D945="V01",cad!$C$32,IF($D945="V02",cad!$D$32,cad!$E$32)))</f>
      </c>
      <c r="J945">
        <f>IF($A945="","",IF($D945="V01",cad!$C$33,IF($D945="V02",cad!$D$33,cad!$E$33)))</f>
      </c>
      <c r="K945">
        <f>IF($A945="","",IF($D945="V01",cad!$C$34,IF($D945="V02",cad!$D$34,cad!$E$34)))</f>
      </c>
      <c r="L945">
        <f>IF($A945="","",IF($D945="V01",cad!$C$35,IF($D945="V02",cad!$D$35,cad!$E$35)))</f>
      </c>
      <c r="M945">
        <f>IF($A945="","",IF($D945="V01",cad!$C$36,IF($D945="V02",cad!$D$36,cad!$E$36)))</f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>
        <f>IF($A946="","",IF($D946="V01",cad!$C$23,IF($D946="V02",cad!$D$23,cad!$E$23)))</f>
      </c>
      <c r="H946">
        <f>IF($A946="","",IF($D946="V01",cad!$C$24,IF($D946="V02",cad!$D$24,cad!$E$24)))</f>
      </c>
      <c r="I946">
        <f>IF($A946="","",IF($D946="V01",cad!$C$32,IF($D946="V02",cad!$D$32,cad!$E$32)))</f>
      </c>
      <c r="J946">
        <f>IF($A946="","",IF($D946="V01",cad!$C$33,IF($D946="V02",cad!$D$33,cad!$E$33)))</f>
      </c>
      <c r="K946">
        <f>IF($A946="","",IF($D946="V01",cad!$C$34,IF($D946="V02",cad!$D$34,cad!$E$34)))</f>
      </c>
      <c r="L946">
        <f>IF($A946="","",IF($D946="V01",cad!$C$35,IF($D946="V02",cad!$D$35,cad!$E$35)))</f>
      </c>
      <c r="M946">
        <f>IF($A946="","",IF($D946="V01",cad!$C$36,IF($D946="V02",cad!$D$36,cad!$E$36)))</f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>
        <f>IF($A947="","",IF($D947="V01",cad!$C$23,IF($D947="V02",cad!$D$23,cad!$E$23)))</f>
      </c>
      <c r="H947">
        <f>IF($A947="","",IF($D947="V01",cad!$C$24,IF($D947="V02",cad!$D$24,cad!$E$24)))</f>
      </c>
      <c r="I947">
        <f>IF($A947="","",IF($D947="V01",cad!$C$32,IF($D947="V02",cad!$D$32,cad!$E$32)))</f>
      </c>
      <c r="J947">
        <f>IF($A947="","",IF($D947="V01",cad!$C$33,IF($D947="V02",cad!$D$33,cad!$E$33)))</f>
      </c>
      <c r="K947">
        <f>IF($A947="","",IF($D947="V01",cad!$C$34,IF($D947="V02",cad!$D$34,cad!$E$34)))</f>
      </c>
      <c r="L947">
        <f>IF($A947="","",IF($D947="V01",cad!$C$35,IF($D947="V02",cad!$D$35,cad!$E$35)))</f>
      </c>
      <c r="M947">
        <f>IF($A947="","",IF($D947="V01",cad!$C$36,IF($D947="V02",cad!$D$36,cad!$E$36)))</f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>
        <f>IF($A948="","",IF($D948="V01",cad!$C$23,IF($D948="V02",cad!$D$23,cad!$E$23)))</f>
      </c>
      <c r="H948">
        <f>IF($A948="","",IF($D948="V01",cad!$C$24,IF($D948="V02",cad!$D$24,cad!$E$24)))</f>
      </c>
      <c r="I948">
        <f>IF($A948="","",IF($D948="V01",cad!$C$32,IF($D948="V02",cad!$D$32,cad!$E$32)))</f>
      </c>
      <c r="J948">
        <f>IF($A948="","",IF($D948="V01",cad!$C$33,IF($D948="V02",cad!$D$33,cad!$E$33)))</f>
      </c>
      <c r="K948">
        <f>IF($A948="","",IF($D948="V01",cad!$C$34,IF($D948="V02",cad!$D$34,cad!$E$34)))</f>
      </c>
      <c r="L948">
        <f>IF($A948="","",IF($D948="V01",cad!$C$35,IF($D948="V02",cad!$D$35,cad!$E$35)))</f>
      </c>
      <c r="M948">
        <f>IF($A948="","",IF($D948="V01",cad!$C$36,IF($D948="V02",cad!$D$36,cad!$E$36)))</f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>
        <f>IF($A949="","",IF($D949="V01",cad!$C$23,IF($D949="V02",cad!$D$23,cad!$E$23)))</f>
      </c>
      <c r="H949">
        <f>IF($A949="","",IF($D949="V01",cad!$C$24,IF($D949="V02",cad!$D$24,cad!$E$24)))</f>
      </c>
      <c r="I949">
        <f>IF($A949="","",IF($D949="V01",cad!$C$32,IF($D949="V02",cad!$D$32,cad!$E$32)))</f>
      </c>
      <c r="J949">
        <f>IF($A949="","",IF($D949="V01",cad!$C$33,IF($D949="V02",cad!$D$33,cad!$E$33)))</f>
      </c>
      <c r="K949">
        <f>IF($A949="","",IF($D949="V01",cad!$C$34,IF($D949="V02",cad!$D$34,cad!$E$34)))</f>
      </c>
      <c r="L949">
        <f>IF($A949="","",IF($D949="V01",cad!$C$35,IF($D949="V02",cad!$D$35,cad!$E$35)))</f>
      </c>
      <c r="M949">
        <f>IF($A949="","",IF($D949="V01",cad!$C$36,IF($D949="V02",cad!$D$36,cad!$E$36)))</f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>
        <f>IF($A950="","",IF($D950="V01",cad!$C$23,IF($D950="V02",cad!$D$23,cad!$E$23)))</f>
      </c>
      <c r="H950">
        <f>IF($A950="","",IF($D950="V01",cad!$C$24,IF($D950="V02",cad!$D$24,cad!$E$24)))</f>
      </c>
      <c r="I950">
        <f>IF($A950="","",IF($D950="V01",cad!$C$32,IF($D950="V02",cad!$D$32,cad!$E$32)))</f>
      </c>
      <c r="J950">
        <f>IF($A950="","",IF($D950="V01",cad!$C$33,IF($D950="V02",cad!$D$33,cad!$E$33)))</f>
      </c>
      <c r="K950">
        <f>IF($A950="","",IF($D950="V01",cad!$C$34,IF($D950="V02",cad!$D$34,cad!$E$34)))</f>
      </c>
      <c r="L950">
        <f>IF($A950="","",IF($D950="V01",cad!$C$35,IF($D950="V02",cad!$D$35,cad!$E$35)))</f>
      </c>
      <c r="M950">
        <f>IF($A950="","",IF($D950="V01",cad!$C$36,IF($D950="V02",cad!$D$36,cad!$E$36)))</f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>
        <f>IF($A951="","",IF($D951="V01",cad!$C$23,IF($D951="V02",cad!$D$23,cad!$E$23)))</f>
      </c>
      <c r="H951">
        <f>IF($A951="","",IF($D951="V01",cad!$C$24,IF($D951="V02",cad!$D$24,cad!$E$24)))</f>
      </c>
      <c r="I951">
        <f>IF($A951="","",IF($D951="V01",cad!$C$32,IF($D951="V02",cad!$D$32,cad!$E$32)))</f>
      </c>
      <c r="J951">
        <f>IF($A951="","",IF($D951="V01",cad!$C$33,IF($D951="V02",cad!$D$33,cad!$E$33)))</f>
      </c>
      <c r="K951">
        <f>IF($A951="","",IF($D951="V01",cad!$C$34,IF($D951="V02",cad!$D$34,cad!$E$34)))</f>
      </c>
      <c r="L951">
        <f>IF($A951="","",IF($D951="V01",cad!$C$35,IF($D951="V02",cad!$D$35,cad!$E$35)))</f>
      </c>
      <c r="M951">
        <f>IF($A951="","",IF($D951="V01",cad!$C$36,IF($D951="V02",cad!$D$36,cad!$E$36)))</f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>
        <f>IF($A952="","",IF($D952="V01",cad!$C$23,IF($D952="V02",cad!$D$23,cad!$E$23)))</f>
      </c>
      <c r="H952">
        <f>IF($A952="","",IF($D952="V01",cad!$C$24,IF($D952="V02",cad!$D$24,cad!$E$24)))</f>
      </c>
      <c r="I952">
        <f>IF($A952="","",IF($D952="V01",cad!$C$32,IF($D952="V02",cad!$D$32,cad!$E$32)))</f>
      </c>
      <c r="J952">
        <f>IF($A952="","",IF($D952="V01",cad!$C$33,IF($D952="V02",cad!$D$33,cad!$E$33)))</f>
      </c>
      <c r="K952">
        <f>IF($A952="","",IF($D952="V01",cad!$C$34,IF($D952="V02",cad!$D$34,cad!$E$34)))</f>
      </c>
      <c r="L952">
        <f>IF($A952="","",IF($D952="V01",cad!$C$35,IF($D952="V02",cad!$D$35,cad!$E$35)))</f>
      </c>
      <c r="M952">
        <f>IF($A952="","",IF($D952="V01",cad!$C$36,IF($D952="V02",cad!$D$36,cad!$E$36)))</f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>
        <f>IF($A953="","",IF($D953="V01",cad!$C$23,IF($D953="V02",cad!$D$23,cad!$E$23)))</f>
      </c>
      <c r="H953">
        <f>IF($A953="","",IF($D953="V01",cad!$C$24,IF($D953="V02",cad!$D$24,cad!$E$24)))</f>
      </c>
      <c r="I953">
        <f>IF($A953="","",IF($D953="V01",cad!$C$32,IF($D953="V02",cad!$D$32,cad!$E$32)))</f>
      </c>
      <c r="J953">
        <f>IF($A953="","",IF($D953="V01",cad!$C$33,IF($D953="V02",cad!$D$33,cad!$E$33)))</f>
      </c>
      <c r="K953">
        <f>IF($A953="","",IF($D953="V01",cad!$C$34,IF($D953="V02",cad!$D$34,cad!$E$34)))</f>
      </c>
      <c r="L953">
        <f>IF($A953="","",IF($D953="V01",cad!$C$35,IF($D953="V02",cad!$D$35,cad!$E$35)))</f>
      </c>
      <c r="M953">
        <f>IF($A953="","",IF($D953="V01",cad!$C$36,IF($D953="V02",cad!$D$36,cad!$E$36)))</f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>
        <f>IF($A954="","",IF($D954="V01",cad!$C$23,IF($D954="V02",cad!$D$23,cad!$E$23)))</f>
      </c>
      <c r="H954">
        <f>IF($A954="","",IF($D954="V01",cad!$C$24,IF($D954="V02",cad!$D$24,cad!$E$24)))</f>
      </c>
      <c r="I954">
        <f>IF($A954="","",IF($D954="V01",cad!$C$32,IF($D954="V02",cad!$D$32,cad!$E$32)))</f>
      </c>
      <c r="J954">
        <f>IF($A954="","",IF($D954="V01",cad!$C$33,IF($D954="V02",cad!$D$33,cad!$E$33)))</f>
      </c>
      <c r="K954">
        <f>IF($A954="","",IF($D954="V01",cad!$C$34,IF($D954="V02",cad!$D$34,cad!$E$34)))</f>
      </c>
      <c r="L954">
        <f>IF($A954="","",IF($D954="V01",cad!$C$35,IF($D954="V02",cad!$D$35,cad!$E$35)))</f>
      </c>
      <c r="M954">
        <f>IF($A954="","",IF($D954="V01",cad!$C$36,IF($D954="V02",cad!$D$36,cad!$E$36)))</f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>
        <f>IF($A955="","",IF($D955="V01",cad!$C$23,IF($D955="V02",cad!$D$23,cad!$E$23)))</f>
      </c>
      <c r="H955">
        <f>IF($A955="","",IF($D955="V01",cad!$C$24,IF($D955="V02",cad!$D$24,cad!$E$24)))</f>
      </c>
      <c r="I955">
        <f>IF($A955="","",IF($D955="V01",cad!$C$32,IF($D955="V02",cad!$D$32,cad!$E$32)))</f>
      </c>
      <c r="J955">
        <f>IF($A955="","",IF($D955="V01",cad!$C$33,IF($D955="V02",cad!$D$33,cad!$E$33)))</f>
      </c>
      <c r="K955">
        <f>IF($A955="","",IF($D955="V01",cad!$C$34,IF($D955="V02",cad!$D$34,cad!$E$34)))</f>
      </c>
      <c r="L955">
        <f>IF($A955="","",IF($D955="V01",cad!$C$35,IF($D955="V02",cad!$D$35,cad!$E$35)))</f>
      </c>
      <c r="M955">
        <f>IF($A955="","",IF($D955="V01",cad!$C$36,IF($D955="V02",cad!$D$36,cad!$E$36)))</f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>
        <f>IF($A956="","",IF($D956="V01",cad!$C$23,IF($D956="V02",cad!$D$23,cad!$E$23)))</f>
      </c>
      <c r="H956">
        <f>IF($A956="","",IF($D956="V01",cad!$C$24,IF($D956="V02",cad!$D$24,cad!$E$24)))</f>
      </c>
      <c r="I956">
        <f>IF($A956="","",IF($D956="V01",cad!$C$32,IF($D956="V02",cad!$D$32,cad!$E$32)))</f>
      </c>
      <c r="J956">
        <f>IF($A956="","",IF($D956="V01",cad!$C$33,IF($D956="V02",cad!$D$33,cad!$E$33)))</f>
      </c>
      <c r="K956">
        <f>IF($A956="","",IF($D956="V01",cad!$C$34,IF($D956="V02",cad!$D$34,cad!$E$34)))</f>
      </c>
      <c r="L956">
        <f>IF($A956="","",IF($D956="V01",cad!$C$35,IF($D956="V02",cad!$D$35,cad!$E$35)))</f>
      </c>
      <c r="M956">
        <f>IF($A956="","",IF($D956="V01",cad!$C$36,IF($D956="V02",cad!$D$36,cad!$E$36)))</f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>
        <f>IF($A957="","",IF($D957="V01",cad!$C$23,IF($D957="V02",cad!$D$23,cad!$E$23)))</f>
      </c>
      <c r="H957">
        <f>IF($A957="","",IF($D957="V01",cad!$C$24,IF($D957="V02",cad!$D$24,cad!$E$24)))</f>
      </c>
      <c r="I957">
        <f>IF($A957="","",IF($D957="V01",cad!$C$32,IF($D957="V02",cad!$D$32,cad!$E$32)))</f>
      </c>
      <c r="J957">
        <f>IF($A957="","",IF($D957="V01",cad!$C$33,IF($D957="V02",cad!$D$33,cad!$E$33)))</f>
      </c>
      <c r="K957">
        <f>IF($A957="","",IF($D957="V01",cad!$C$34,IF($D957="V02",cad!$D$34,cad!$E$34)))</f>
      </c>
      <c r="L957">
        <f>IF($A957="","",IF($D957="V01",cad!$C$35,IF($D957="V02",cad!$D$35,cad!$E$35)))</f>
      </c>
      <c r="M957">
        <f>IF($A957="","",IF($D957="V01",cad!$C$36,IF($D957="V02",cad!$D$36,cad!$E$36)))</f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>
        <f>IF($A958="","",IF($D958="V01",cad!$C$23,IF($D958="V02",cad!$D$23,cad!$E$23)))</f>
      </c>
      <c r="H958">
        <f>IF($A958="","",IF($D958="V01",cad!$C$24,IF($D958="V02",cad!$D$24,cad!$E$24)))</f>
      </c>
      <c r="I958">
        <f>IF($A958="","",IF($D958="V01",cad!$C$32,IF($D958="V02",cad!$D$32,cad!$E$32)))</f>
      </c>
      <c r="J958">
        <f>IF($A958="","",IF($D958="V01",cad!$C$33,IF($D958="V02",cad!$D$33,cad!$E$33)))</f>
      </c>
      <c r="K958">
        <f>IF($A958="","",IF($D958="V01",cad!$C$34,IF($D958="V02",cad!$D$34,cad!$E$34)))</f>
      </c>
      <c r="L958">
        <f>IF($A958="","",IF($D958="V01",cad!$C$35,IF($D958="V02",cad!$D$35,cad!$E$35)))</f>
      </c>
      <c r="M958">
        <f>IF($A958="","",IF($D958="V01",cad!$C$36,IF($D958="V02",cad!$D$36,cad!$E$36)))</f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>
        <f>IF($A959="","",IF($D959="V01",cad!$C$23,IF($D959="V02",cad!$D$23,cad!$E$23)))</f>
      </c>
      <c r="H959">
        <f>IF($A959="","",IF($D959="V01",cad!$C$24,IF($D959="V02",cad!$D$24,cad!$E$24)))</f>
      </c>
      <c r="I959">
        <f>IF($A959="","",IF($D959="V01",cad!$C$32,IF($D959="V02",cad!$D$32,cad!$E$32)))</f>
      </c>
      <c r="J959">
        <f>IF($A959="","",IF($D959="V01",cad!$C$33,IF($D959="V02",cad!$D$33,cad!$E$33)))</f>
      </c>
      <c r="K959">
        <f>IF($A959="","",IF($D959="V01",cad!$C$34,IF($D959="V02",cad!$D$34,cad!$E$34)))</f>
      </c>
      <c r="L959">
        <f>IF($A959="","",IF($D959="V01",cad!$C$35,IF($D959="V02",cad!$D$35,cad!$E$35)))</f>
      </c>
      <c r="M959">
        <f>IF($A959="","",IF($D959="V01",cad!$C$36,IF($D959="V02",cad!$D$36,cad!$E$36)))</f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>
        <f>IF($A960="","",IF($D960="V01",cad!$C$23,IF($D960="V02",cad!$D$23,cad!$E$23)))</f>
      </c>
      <c r="H960">
        <f>IF($A960="","",IF($D960="V01",cad!$C$24,IF($D960="V02",cad!$D$24,cad!$E$24)))</f>
      </c>
      <c r="I960">
        <f>IF($A960="","",IF($D960="V01",cad!$C$32,IF($D960="V02",cad!$D$32,cad!$E$32)))</f>
      </c>
      <c r="J960">
        <f>IF($A960="","",IF($D960="V01",cad!$C$33,IF($D960="V02",cad!$D$33,cad!$E$33)))</f>
      </c>
      <c r="K960">
        <f>IF($A960="","",IF($D960="V01",cad!$C$34,IF($D960="V02",cad!$D$34,cad!$E$34)))</f>
      </c>
      <c r="L960">
        <f>IF($A960="","",IF($D960="V01",cad!$C$35,IF($D960="V02",cad!$D$35,cad!$E$35)))</f>
      </c>
      <c r="M960">
        <f>IF($A960="","",IF($D960="V01",cad!$C$36,IF($D960="V02",cad!$D$36,cad!$E$36)))</f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>
        <f>IF($A961="","",IF($D961="V01",cad!$C$23,IF($D961="V02",cad!$D$23,cad!$E$23)))</f>
      </c>
      <c r="H961">
        <f>IF($A961="","",IF($D961="V01",cad!$C$24,IF($D961="V02",cad!$D$24,cad!$E$24)))</f>
      </c>
      <c r="I961">
        <f>IF($A961="","",IF($D961="V01",cad!$C$32,IF($D961="V02",cad!$D$32,cad!$E$32)))</f>
      </c>
      <c r="J961">
        <f>IF($A961="","",IF($D961="V01",cad!$C$33,IF($D961="V02",cad!$D$33,cad!$E$33)))</f>
      </c>
      <c r="K961">
        <f>IF($A961="","",IF($D961="V01",cad!$C$34,IF($D961="V02",cad!$D$34,cad!$E$34)))</f>
      </c>
      <c r="L961">
        <f>IF($A961="","",IF($D961="V01",cad!$C$35,IF($D961="V02",cad!$D$35,cad!$E$35)))</f>
      </c>
      <c r="M961">
        <f>IF($A961="","",IF($D961="V01",cad!$C$36,IF($D961="V02",cad!$D$36,cad!$E$36)))</f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>
        <f>IF($A962="","",IF($D962="V01",cad!$C$23,IF($D962="V02",cad!$D$23,cad!$E$23)))</f>
      </c>
      <c r="H962">
        <f>IF($A962="","",IF($D962="V01",cad!$C$24,IF($D962="V02",cad!$D$24,cad!$E$24)))</f>
      </c>
      <c r="I962">
        <f>IF($A962="","",IF($D962="V01",cad!$C$32,IF($D962="V02",cad!$D$32,cad!$E$32)))</f>
      </c>
      <c r="J962">
        <f>IF($A962="","",IF($D962="V01",cad!$C$33,IF($D962="V02",cad!$D$33,cad!$E$33)))</f>
      </c>
      <c r="K962">
        <f>IF($A962="","",IF($D962="V01",cad!$C$34,IF($D962="V02",cad!$D$34,cad!$E$34)))</f>
      </c>
      <c r="L962">
        <f>IF($A962="","",IF($D962="V01",cad!$C$35,IF($D962="V02",cad!$D$35,cad!$E$35)))</f>
      </c>
      <c r="M962">
        <f>IF($A962="","",IF($D962="V01",cad!$C$36,IF($D962="V02",cad!$D$36,cad!$E$36)))</f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>
        <f>IF($A963="","",IF($D963="V01",cad!$C$23,IF($D963="V02",cad!$D$23,cad!$E$23)))</f>
      </c>
      <c r="H963">
        <f>IF($A963="","",IF($D963="V01",cad!$C$24,IF($D963="V02",cad!$D$24,cad!$E$24)))</f>
      </c>
      <c r="I963">
        <f>IF($A963="","",IF($D963="V01",cad!$C$32,IF($D963="V02",cad!$D$32,cad!$E$32)))</f>
      </c>
      <c r="J963">
        <f>IF($A963="","",IF($D963="V01",cad!$C$33,IF($D963="V02",cad!$D$33,cad!$E$33)))</f>
      </c>
      <c r="K963">
        <f>IF($A963="","",IF($D963="V01",cad!$C$34,IF($D963="V02",cad!$D$34,cad!$E$34)))</f>
      </c>
      <c r="L963">
        <f>IF($A963="","",IF($D963="V01",cad!$C$35,IF($D963="V02",cad!$D$35,cad!$E$35)))</f>
      </c>
      <c r="M963">
        <f>IF($A963="","",IF($D963="V01",cad!$C$36,IF($D963="V02",cad!$D$36,cad!$E$36)))</f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>
        <f>IF($A964="","",IF($D964="V01",cad!$C$23,IF($D964="V02",cad!$D$23,cad!$E$23)))</f>
      </c>
      <c r="H964">
        <f>IF($A964="","",IF($D964="V01",cad!$C$24,IF($D964="V02",cad!$D$24,cad!$E$24)))</f>
      </c>
      <c r="I964">
        <f>IF($A964="","",IF($D964="V01",cad!$C$32,IF($D964="V02",cad!$D$32,cad!$E$32)))</f>
      </c>
      <c r="J964">
        <f>IF($A964="","",IF($D964="V01",cad!$C$33,IF($D964="V02",cad!$D$33,cad!$E$33)))</f>
      </c>
      <c r="K964">
        <f>IF($A964="","",IF($D964="V01",cad!$C$34,IF($D964="V02",cad!$D$34,cad!$E$34)))</f>
      </c>
      <c r="L964">
        <f>IF($A964="","",IF($D964="V01",cad!$C$35,IF($D964="V02",cad!$D$35,cad!$E$35)))</f>
      </c>
      <c r="M964">
        <f>IF($A964="","",IF($D964="V01",cad!$C$36,IF($D964="V02",cad!$D$36,cad!$E$36)))</f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>
        <f>IF($A965="","",IF($D965="V01",cad!$C$23,IF($D965="V02",cad!$D$23,cad!$E$23)))</f>
      </c>
      <c r="H965">
        <f>IF($A965="","",IF($D965="V01",cad!$C$24,IF($D965="V02",cad!$D$24,cad!$E$24)))</f>
      </c>
      <c r="I965">
        <f>IF($A965="","",IF($D965="V01",cad!$C$32,IF($D965="V02",cad!$D$32,cad!$E$32)))</f>
      </c>
      <c r="J965">
        <f>IF($A965="","",IF($D965="V01",cad!$C$33,IF($D965="V02",cad!$D$33,cad!$E$33)))</f>
      </c>
      <c r="K965">
        <f>IF($A965="","",IF($D965="V01",cad!$C$34,IF($D965="V02",cad!$D$34,cad!$E$34)))</f>
      </c>
      <c r="L965">
        <f>IF($A965="","",IF($D965="V01",cad!$C$35,IF($D965="V02",cad!$D$35,cad!$E$35)))</f>
      </c>
      <c r="M965">
        <f>IF($A965="","",IF($D965="V01",cad!$C$36,IF($D965="V02",cad!$D$36,cad!$E$36)))</f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>
        <f>IF($A966="","",IF($D966="V01",cad!$C$23,IF($D966="V02",cad!$D$23,cad!$E$23)))</f>
      </c>
      <c r="H966">
        <f>IF($A966="","",IF($D966="V01",cad!$C$24,IF($D966="V02",cad!$D$24,cad!$E$24)))</f>
      </c>
      <c r="I966">
        <f>IF($A966="","",IF($D966="V01",cad!$C$32,IF($D966="V02",cad!$D$32,cad!$E$32)))</f>
      </c>
      <c r="J966">
        <f>IF($A966="","",IF($D966="V01",cad!$C$33,IF($D966="V02",cad!$D$33,cad!$E$33)))</f>
      </c>
      <c r="K966">
        <f>IF($A966="","",IF($D966="V01",cad!$C$34,IF($D966="V02",cad!$D$34,cad!$E$34)))</f>
      </c>
      <c r="L966">
        <f>IF($A966="","",IF($D966="V01",cad!$C$35,IF($D966="V02",cad!$D$35,cad!$E$35)))</f>
      </c>
      <c r="M966">
        <f>IF($A966="","",IF($D966="V01",cad!$C$36,IF($D966="V02",cad!$D$36,cad!$E$36)))</f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>
        <f>IF($A967="","",IF($D967="V01",cad!$C$23,IF($D967="V02",cad!$D$23,cad!$E$23)))</f>
      </c>
      <c r="H967">
        <f>IF($A967="","",IF($D967="V01",cad!$C$24,IF($D967="V02",cad!$D$24,cad!$E$24)))</f>
      </c>
      <c r="I967">
        <f>IF($A967="","",IF($D967="V01",cad!$C$32,IF($D967="V02",cad!$D$32,cad!$E$32)))</f>
      </c>
      <c r="J967">
        <f>IF($A967="","",IF($D967="V01",cad!$C$33,IF($D967="V02",cad!$D$33,cad!$E$33)))</f>
      </c>
      <c r="K967">
        <f>IF($A967="","",IF($D967="V01",cad!$C$34,IF($D967="V02",cad!$D$34,cad!$E$34)))</f>
      </c>
      <c r="L967">
        <f>IF($A967="","",IF($D967="V01",cad!$C$35,IF($D967="V02",cad!$D$35,cad!$E$35)))</f>
      </c>
      <c r="M967">
        <f>IF($A967="","",IF($D967="V01",cad!$C$36,IF($D967="V02",cad!$D$36,cad!$E$36)))</f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>
        <f>IF($A968="","",IF($D968="V01",cad!$C$23,IF($D968="V02",cad!$D$23,cad!$E$23)))</f>
      </c>
      <c r="H968">
        <f>IF($A968="","",IF($D968="V01",cad!$C$24,IF($D968="V02",cad!$D$24,cad!$E$24)))</f>
      </c>
      <c r="I968">
        <f>IF($A968="","",IF($D968="V01",cad!$C$32,IF($D968="V02",cad!$D$32,cad!$E$32)))</f>
      </c>
      <c r="J968">
        <f>IF($A968="","",IF($D968="V01",cad!$C$33,IF($D968="V02",cad!$D$33,cad!$E$33)))</f>
      </c>
      <c r="K968">
        <f>IF($A968="","",IF($D968="V01",cad!$C$34,IF($D968="V02",cad!$D$34,cad!$E$34)))</f>
      </c>
      <c r="L968">
        <f>IF($A968="","",IF($D968="V01",cad!$C$35,IF($D968="V02",cad!$D$35,cad!$E$35)))</f>
      </c>
      <c r="M968">
        <f>IF($A968="","",IF($D968="V01",cad!$C$36,IF($D968="V02",cad!$D$36,cad!$E$36)))</f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>
        <f>IF($A969="","",IF($D969="V01",cad!$C$23,IF($D969="V02",cad!$D$23,cad!$E$23)))</f>
      </c>
      <c r="H969">
        <f>IF($A969="","",IF($D969="V01",cad!$C$24,IF($D969="V02",cad!$D$24,cad!$E$24)))</f>
      </c>
      <c r="I969">
        <f>IF($A969="","",IF($D969="V01",cad!$C$32,IF($D969="V02",cad!$D$32,cad!$E$32)))</f>
      </c>
      <c r="J969">
        <f>IF($A969="","",IF($D969="V01",cad!$C$33,IF($D969="V02",cad!$D$33,cad!$E$33)))</f>
      </c>
      <c r="K969">
        <f>IF($A969="","",IF($D969="V01",cad!$C$34,IF($D969="V02",cad!$D$34,cad!$E$34)))</f>
      </c>
      <c r="L969">
        <f>IF($A969="","",IF($D969="V01",cad!$C$35,IF($D969="V02",cad!$D$35,cad!$E$35)))</f>
      </c>
      <c r="M969">
        <f>IF($A969="","",IF($D969="V01",cad!$C$36,IF($D969="V02",cad!$D$36,cad!$E$36)))</f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>
        <f>IF($A970="","",IF($D970="V01",cad!$C$23,IF($D970="V02",cad!$D$23,cad!$E$23)))</f>
      </c>
      <c r="H970">
        <f>IF($A970="","",IF($D970="V01",cad!$C$24,IF($D970="V02",cad!$D$24,cad!$E$24)))</f>
      </c>
      <c r="I970">
        <f>IF($A970="","",IF($D970="V01",cad!$C$32,IF($D970="V02",cad!$D$32,cad!$E$32)))</f>
      </c>
      <c r="J970">
        <f>IF($A970="","",IF($D970="V01",cad!$C$33,IF($D970="V02",cad!$D$33,cad!$E$33)))</f>
      </c>
      <c r="K970">
        <f>IF($A970="","",IF($D970="V01",cad!$C$34,IF($D970="V02",cad!$D$34,cad!$E$34)))</f>
      </c>
      <c r="L970">
        <f>IF($A970="","",IF($D970="V01",cad!$C$35,IF($D970="V02",cad!$D$35,cad!$E$35)))</f>
      </c>
      <c r="M970">
        <f>IF($A970="","",IF($D970="V01",cad!$C$36,IF($D970="V02",cad!$D$36,cad!$E$36)))</f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>
        <f>IF($A971="","",IF($D971="V01",cad!$C$23,IF($D971="V02",cad!$D$23,cad!$E$23)))</f>
      </c>
      <c r="H971">
        <f>IF($A971="","",IF($D971="V01",cad!$C$24,IF($D971="V02",cad!$D$24,cad!$E$24)))</f>
      </c>
      <c r="I971">
        <f>IF($A971="","",IF($D971="V01",cad!$C$32,IF($D971="V02",cad!$D$32,cad!$E$32)))</f>
      </c>
      <c r="J971">
        <f>IF($A971="","",IF($D971="V01",cad!$C$33,IF($D971="V02",cad!$D$33,cad!$E$33)))</f>
      </c>
      <c r="K971">
        <f>IF($A971="","",IF($D971="V01",cad!$C$34,IF($D971="V02",cad!$D$34,cad!$E$34)))</f>
      </c>
      <c r="L971">
        <f>IF($A971="","",IF($D971="V01",cad!$C$35,IF($D971="V02",cad!$D$35,cad!$E$35)))</f>
      </c>
      <c r="M971">
        <f>IF($A971="","",IF($D971="V01",cad!$C$36,IF($D971="V02",cad!$D$36,cad!$E$36)))</f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>
        <f>IF($A972="","",IF($D972="V01",cad!$C$23,IF($D972="V02",cad!$D$23,cad!$E$23)))</f>
      </c>
      <c r="H972">
        <f>IF($A972="","",IF($D972="V01",cad!$C$24,IF($D972="V02",cad!$D$24,cad!$E$24)))</f>
      </c>
      <c r="I972">
        <f>IF($A972="","",IF($D972="V01",cad!$C$32,IF($D972="V02",cad!$D$32,cad!$E$32)))</f>
      </c>
      <c r="J972">
        <f>IF($A972="","",IF($D972="V01",cad!$C$33,IF($D972="V02",cad!$D$33,cad!$E$33)))</f>
      </c>
      <c r="K972">
        <f>IF($A972="","",IF($D972="V01",cad!$C$34,IF($D972="V02",cad!$D$34,cad!$E$34)))</f>
      </c>
      <c r="L972">
        <f>IF($A972="","",IF($D972="V01",cad!$C$35,IF($D972="V02",cad!$D$35,cad!$E$35)))</f>
      </c>
      <c r="M972">
        <f>IF($A972="","",IF($D972="V01",cad!$C$36,IF($D972="V02",cad!$D$36,cad!$E$36)))</f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>
        <f>IF($A973="","",IF($D973="V01",cad!$C$23,IF($D973="V02",cad!$D$23,cad!$E$23)))</f>
      </c>
      <c r="H973">
        <f>IF($A973="","",IF($D973="V01",cad!$C$24,IF($D973="V02",cad!$D$24,cad!$E$24)))</f>
      </c>
      <c r="I973">
        <f>IF($A973="","",IF($D973="V01",cad!$C$32,IF($D973="V02",cad!$D$32,cad!$E$32)))</f>
      </c>
      <c r="J973">
        <f>IF($A973="","",IF($D973="V01",cad!$C$33,IF($D973="V02",cad!$D$33,cad!$E$33)))</f>
      </c>
      <c r="K973">
        <f>IF($A973="","",IF($D973="V01",cad!$C$34,IF($D973="V02",cad!$D$34,cad!$E$34)))</f>
      </c>
      <c r="L973">
        <f>IF($A973="","",IF($D973="V01",cad!$C$35,IF($D973="V02",cad!$D$35,cad!$E$35)))</f>
      </c>
      <c r="M973">
        <f>IF($A973="","",IF($D973="V01",cad!$C$36,IF($D973="V02",cad!$D$36,cad!$E$36)))</f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>
        <f>IF($A974="","",IF($D974="V01",cad!$C$23,IF($D974="V02",cad!$D$23,cad!$E$23)))</f>
      </c>
      <c r="H974">
        <f>IF($A974="","",IF($D974="V01",cad!$C$24,IF($D974="V02",cad!$D$24,cad!$E$24)))</f>
      </c>
      <c r="I974">
        <f>IF($A974="","",IF($D974="V01",cad!$C$32,IF($D974="V02",cad!$D$32,cad!$E$32)))</f>
      </c>
      <c r="J974">
        <f>IF($A974="","",IF($D974="V01",cad!$C$33,IF($D974="V02",cad!$D$33,cad!$E$33)))</f>
      </c>
      <c r="K974">
        <f>IF($A974="","",IF($D974="V01",cad!$C$34,IF($D974="V02",cad!$D$34,cad!$E$34)))</f>
      </c>
      <c r="L974">
        <f>IF($A974="","",IF($D974="V01",cad!$C$35,IF($D974="V02",cad!$D$35,cad!$E$35)))</f>
      </c>
      <c r="M974">
        <f>IF($A974="","",IF($D974="V01",cad!$C$36,IF($D974="V02",cad!$D$36,cad!$E$36)))</f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>
        <f>IF($A975="","",IF($D975="V01",cad!$C$23,IF($D975="V02",cad!$D$23,cad!$E$23)))</f>
      </c>
      <c r="H975">
        <f>IF($A975="","",IF($D975="V01",cad!$C$24,IF($D975="V02",cad!$D$24,cad!$E$24)))</f>
      </c>
      <c r="I975">
        <f>IF($A975="","",IF($D975="V01",cad!$C$32,IF($D975="V02",cad!$D$32,cad!$E$32)))</f>
      </c>
      <c r="J975">
        <f>IF($A975="","",IF($D975="V01",cad!$C$33,IF($D975="V02",cad!$D$33,cad!$E$33)))</f>
      </c>
      <c r="K975">
        <f>IF($A975="","",IF($D975="V01",cad!$C$34,IF($D975="V02",cad!$D$34,cad!$E$34)))</f>
      </c>
      <c r="L975">
        <f>IF($A975="","",IF($D975="V01",cad!$C$35,IF($D975="V02",cad!$D$35,cad!$E$35)))</f>
      </c>
      <c r="M975">
        <f>IF($A975="","",IF($D975="V01",cad!$C$36,IF($D975="V02",cad!$D$36,cad!$E$36)))</f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>
        <f>IF($A976="","",IF($D976="V01",cad!$C$23,IF($D976="V02",cad!$D$23,cad!$E$23)))</f>
      </c>
      <c r="H976">
        <f>IF($A976="","",IF($D976="V01",cad!$C$24,IF($D976="V02",cad!$D$24,cad!$E$24)))</f>
      </c>
      <c r="I976">
        <f>IF($A976="","",IF($D976="V01",cad!$C$32,IF($D976="V02",cad!$D$32,cad!$E$32)))</f>
      </c>
      <c r="J976">
        <f>IF($A976="","",IF($D976="V01",cad!$C$33,IF($D976="V02",cad!$D$33,cad!$E$33)))</f>
      </c>
      <c r="K976">
        <f>IF($A976="","",IF($D976="V01",cad!$C$34,IF($D976="V02",cad!$D$34,cad!$E$34)))</f>
      </c>
      <c r="L976">
        <f>IF($A976="","",IF($D976="V01",cad!$C$35,IF($D976="V02",cad!$D$35,cad!$E$35)))</f>
      </c>
      <c r="M976">
        <f>IF($A976="","",IF($D976="V01",cad!$C$36,IF($D976="V02",cad!$D$36,cad!$E$36)))</f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>
        <f>IF($A977="","",IF($D977="V01",cad!$C$23,IF($D977="V02",cad!$D$23,cad!$E$23)))</f>
      </c>
      <c r="H977">
        <f>IF($A977="","",IF($D977="V01",cad!$C$24,IF($D977="V02",cad!$D$24,cad!$E$24)))</f>
      </c>
      <c r="I977">
        <f>IF($A977="","",IF($D977="V01",cad!$C$32,IF($D977="V02",cad!$D$32,cad!$E$32)))</f>
      </c>
      <c r="J977">
        <f>IF($A977="","",IF($D977="V01",cad!$C$33,IF($D977="V02",cad!$D$33,cad!$E$33)))</f>
      </c>
      <c r="K977">
        <f>IF($A977="","",IF($D977="V01",cad!$C$34,IF($D977="V02",cad!$D$34,cad!$E$34)))</f>
      </c>
      <c r="L977">
        <f>IF($A977="","",IF($D977="V01",cad!$C$35,IF($D977="V02",cad!$D$35,cad!$E$35)))</f>
      </c>
      <c r="M977">
        <f>IF($A977="","",IF($D977="V01",cad!$C$36,IF($D977="V02",cad!$D$36,cad!$E$36)))</f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>
        <f>IF($A978="","",IF($D978="V01",cad!$C$23,IF($D978="V02",cad!$D$23,cad!$E$23)))</f>
      </c>
      <c r="H978">
        <f>IF($A978="","",IF($D978="V01",cad!$C$24,IF($D978="V02",cad!$D$24,cad!$E$24)))</f>
      </c>
      <c r="I978">
        <f>IF($A978="","",IF($D978="V01",cad!$C$32,IF($D978="V02",cad!$D$32,cad!$E$32)))</f>
      </c>
      <c r="J978">
        <f>IF($A978="","",IF($D978="V01",cad!$C$33,IF($D978="V02",cad!$D$33,cad!$E$33)))</f>
      </c>
      <c r="K978">
        <f>IF($A978="","",IF($D978="V01",cad!$C$34,IF($D978="V02",cad!$D$34,cad!$E$34)))</f>
      </c>
      <c r="L978">
        <f>IF($A978="","",IF($D978="V01",cad!$C$35,IF($D978="V02",cad!$D$35,cad!$E$35)))</f>
      </c>
      <c r="M978">
        <f>IF($A978="","",IF($D978="V01",cad!$C$36,IF($D978="V02",cad!$D$36,cad!$E$36)))</f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>
        <f>IF($A979="","",IF($D979="V01",cad!$C$23,IF($D979="V02",cad!$D$23,cad!$E$23)))</f>
      </c>
      <c r="H979">
        <f>IF($A979="","",IF($D979="V01",cad!$C$24,IF($D979="V02",cad!$D$24,cad!$E$24)))</f>
      </c>
      <c r="I979">
        <f>IF($A979="","",IF($D979="V01",cad!$C$32,IF($D979="V02",cad!$D$32,cad!$E$32)))</f>
      </c>
      <c r="J979">
        <f>IF($A979="","",IF($D979="V01",cad!$C$33,IF($D979="V02",cad!$D$33,cad!$E$33)))</f>
      </c>
      <c r="K979">
        <f>IF($A979="","",IF($D979="V01",cad!$C$34,IF($D979="V02",cad!$D$34,cad!$E$34)))</f>
      </c>
      <c r="L979">
        <f>IF($A979="","",IF($D979="V01",cad!$C$35,IF($D979="V02",cad!$D$35,cad!$E$35)))</f>
      </c>
      <c r="M979">
        <f>IF($A979="","",IF($D979="V01",cad!$C$36,IF($D979="V02",cad!$D$36,cad!$E$36)))</f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>
        <f>IF($A980="","",IF($D980="V01",cad!$C$23,IF($D980="V02",cad!$D$23,cad!$E$23)))</f>
      </c>
      <c r="H980">
        <f>IF($A980="","",IF($D980="V01",cad!$C$24,IF($D980="V02",cad!$D$24,cad!$E$24)))</f>
      </c>
      <c r="I980">
        <f>IF($A980="","",IF($D980="V01",cad!$C$32,IF($D980="V02",cad!$D$32,cad!$E$32)))</f>
      </c>
      <c r="J980">
        <f>IF($A980="","",IF($D980="V01",cad!$C$33,IF($D980="V02",cad!$D$33,cad!$E$33)))</f>
      </c>
      <c r="K980">
        <f>IF($A980="","",IF($D980="V01",cad!$C$34,IF($D980="V02",cad!$D$34,cad!$E$34)))</f>
      </c>
      <c r="L980">
        <f>IF($A980="","",IF($D980="V01",cad!$C$35,IF($D980="V02",cad!$D$35,cad!$E$35)))</f>
      </c>
      <c r="M980">
        <f>IF($A980="","",IF($D980="V01",cad!$C$36,IF($D980="V02",cad!$D$36,cad!$E$36)))</f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>
        <f>IF($A981="","",IF($D981="V01",cad!$C$23,IF($D981="V02",cad!$D$23,cad!$E$23)))</f>
      </c>
      <c r="H981">
        <f>IF($A981="","",IF($D981="V01",cad!$C$24,IF($D981="V02",cad!$D$24,cad!$E$24)))</f>
      </c>
      <c r="I981">
        <f>IF($A981="","",IF($D981="V01",cad!$C$32,IF($D981="V02",cad!$D$32,cad!$E$32)))</f>
      </c>
      <c r="J981">
        <f>IF($A981="","",IF($D981="V01",cad!$C$33,IF($D981="V02",cad!$D$33,cad!$E$33)))</f>
      </c>
      <c r="K981">
        <f>IF($A981="","",IF($D981="V01",cad!$C$34,IF($D981="V02",cad!$D$34,cad!$E$34)))</f>
      </c>
      <c r="L981">
        <f>IF($A981="","",IF($D981="V01",cad!$C$35,IF($D981="V02",cad!$D$35,cad!$E$35)))</f>
      </c>
      <c r="M981">
        <f>IF($A981="","",IF($D981="V01",cad!$C$36,IF($D981="V02",cad!$D$36,cad!$E$36)))</f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>
        <f>IF($A982="","",IF($D982="V01",cad!$C$23,IF($D982="V02",cad!$D$23,cad!$E$23)))</f>
      </c>
      <c r="H982">
        <f>IF($A982="","",IF($D982="V01",cad!$C$24,IF($D982="V02",cad!$D$24,cad!$E$24)))</f>
      </c>
      <c r="I982">
        <f>IF($A982="","",IF($D982="V01",cad!$C$32,IF($D982="V02",cad!$D$32,cad!$E$32)))</f>
      </c>
      <c r="J982">
        <f>IF($A982="","",IF($D982="V01",cad!$C$33,IF($D982="V02",cad!$D$33,cad!$E$33)))</f>
      </c>
      <c r="K982">
        <f>IF($A982="","",IF($D982="V01",cad!$C$34,IF($D982="V02",cad!$D$34,cad!$E$34)))</f>
      </c>
      <c r="L982">
        <f>IF($A982="","",IF($D982="V01",cad!$C$35,IF($D982="V02",cad!$D$35,cad!$E$35)))</f>
      </c>
      <c r="M982">
        <f>IF($A982="","",IF($D982="V01",cad!$C$36,IF($D982="V02",cad!$D$36,cad!$E$36)))</f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>
        <f>IF($A983="","",IF($D983="V01",cad!$C$23,IF($D983="V02",cad!$D$23,cad!$E$23)))</f>
      </c>
      <c r="H983">
        <f>IF($A983="","",IF($D983="V01",cad!$C$24,IF($D983="V02",cad!$D$24,cad!$E$24)))</f>
      </c>
      <c r="I983">
        <f>IF($A983="","",IF($D983="V01",cad!$C$32,IF($D983="V02",cad!$D$32,cad!$E$32)))</f>
      </c>
      <c r="J983">
        <f>IF($A983="","",IF($D983="V01",cad!$C$33,IF($D983="V02",cad!$D$33,cad!$E$33)))</f>
      </c>
      <c r="K983">
        <f>IF($A983="","",IF($D983="V01",cad!$C$34,IF($D983="V02",cad!$D$34,cad!$E$34)))</f>
      </c>
      <c r="L983">
        <f>IF($A983="","",IF($D983="V01",cad!$C$35,IF($D983="V02",cad!$D$35,cad!$E$35)))</f>
      </c>
      <c r="M983">
        <f>IF($A983="","",IF($D983="V01",cad!$C$36,IF($D983="V02",cad!$D$36,cad!$E$36)))</f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>
        <f>IF($A984="","",IF($D984="V01",cad!$C$23,IF($D984="V02",cad!$D$23,cad!$E$23)))</f>
      </c>
      <c r="H984">
        <f>IF($A984="","",IF($D984="V01",cad!$C$24,IF($D984="V02",cad!$D$24,cad!$E$24)))</f>
      </c>
      <c r="I984">
        <f>IF($A984="","",IF($D984="V01",cad!$C$32,IF($D984="V02",cad!$D$32,cad!$E$32)))</f>
      </c>
      <c r="J984">
        <f>IF($A984="","",IF($D984="V01",cad!$C$33,IF($D984="V02",cad!$D$33,cad!$E$33)))</f>
      </c>
      <c r="K984">
        <f>IF($A984="","",IF($D984="V01",cad!$C$34,IF($D984="V02",cad!$D$34,cad!$E$34)))</f>
      </c>
      <c r="L984">
        <f>IF($A984="","",IF($D984="V01",cad!$C$35,IF($D984="V02",cad!$D$35,cad!$E$35)))</f>
      </c>
      <c r="M984">
        <f>IF($A984="","",IF($D984="V01",cad!$C$36,IF($D984="V02",cad!$D$36,cad!$E$36)))</f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>
        <f>IF($A985="","",IF($D985="V01",cad!$C$23,IF($D985="V02",cad!$D$23,cad!$E$23)))</f>
      </c>
      <c r="H985">
        <f>IF($A985="","",IF($D985="V01",cad!$C$24,IF($D985="V02",cad!$D$24,cad!$E$24)))</f>
      </c>
      <c r="I985">
        <f>IF($A985="","",IF($D985="V01",cad!$C$32,IF($D985="V02",cad!$D$32,cad!$E$32)))</f>
      </c>
      <c r="J985">
        <f>IF($A985="","",IF($D985="V01",cad!$C$33,IF($D985="V02",cad!$D$33,cad!$E$33)))</f>
      </c>
      <c r="K985">
        <f>IF($A985="","",IF($D985="V01",cad!$C$34,IF($D985="V02",cad!$D$34,cad!$E$34)))</f>
      </c>
      <c r="L985">
        <f>IF($A985="","",IF($D985="V01",cad!$C$35,IF($D985="V02",cad!$D$35,cad!$E$35)))</f>
      </c>
      <c r="M985">
        <f>IF($A985="","",IF($D985="V01",cad!$C$36,IF($D985="V02",cad!$D$36,cad!$E$36)))</f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>
        <f>IF($A986="","",IF($D986="V01",cad!$C$23,IF($D986="V02",cad!$D$23,cad!$E$23)))</f>
      </c>
      <c r="H986">
        <f>IF($A986="","",IF($D986="V01",cad!$C$24,IF($D986="V02",cad!$D$24,cad!$E$24)))</f>
      </c>
      <c r="I986">
        <f>IF($A986="","",IF($D986="V01",cad!$C$32,IF($D986="V02",cad!$D$32,cad!$E$32)))</f>
      </c>
      <c r="J986">
        <f>IF($A986="","",IF($D986="V01",cad!$C$33,IF($D986="V02",cad!$D$33,cad!$E$33)))</f>
      </c>
      <c r="K986">
        <f>IF($A986="","",IF($D986="V01",cad!$C$34,IF($D986="V02",cad!$D$34,cad!$E$34)))</f>
      </c>
      <c r="L986">
        <f>IF($A986="","",IF($D986="V01",cad!$C$35,IF($D986="V02",cad!$D$35,cad!$E$35)))</f>
      </c>
      <c r="M986">
        <f>IF($A986="","",IF($D986="V01",cad!$C$36,IF($D986="V02",cad!$D$36,cad!$E$36)))</f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>
        <f>IF($A987="","",IF($D987="V01",cad!$C$23,IF($D987="V02",cad!$D$23,cad!$E$23)))</f>
      </c>
      <c r="H987">
        <f>IF($A987="","",IF($D987="V01",cad!$C$24,IF($D987="V02",cad!$D$24,cad!$E$24)))</f>
      </c>
      <c r="I987">
        <f>IF($A987="","",IF($D987="V01",cad!$C$32,IF($D987="V02",cad!$D$32,cad!$E$32)))</f>
      </c>
      <c r="J987">
        <f>IF($A987="","",IF($D987="V01",cad!$C$33,IF($D987="V02",cad!$D$33,cad!$E$33)))</f>
      </c>
      <c r="K987">
        <f>IF($A987="","",IF($D987="V01",cad!$C$34,IF($D987="V02",cad!$D$34,cad!$E$34)))</f>
      </c>
      <c r="L987">
        <f>IF($A987="","",IF($D987="V01",cad!$C$35,IF($D987="V02",cad!$D$35,cad!$E$35)))</f>
      </c>
      <c r="M987">
        <f>IF($A987="","",IF($D987="V01",cad!$C$36,IF($D987="V02",cad!$D$36,cad!$E$36)))</f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>
        <f>IF($A988="","",IF($D988="V01",cad!$C$23,IF($D988="V02",cad!$D$23,cad!$E$23)))</f>
      </c>
      <c r="H988">
        <f>IF($A988="","",IF($D988="V01",cad!$C$24,IF($D988="V02",cad!$D$24,cad!$E$24)))</f>
      </c>
      <c r="I988">
        <f>IF($A988="","",IF($D988="V01",cad!$C$32,IF($D988="V02",cad!$D$32,cad!$E$32)))</f>
      </c>
      <c r="J988">
        <f>IF($A988="","",IF($D988="V01",cad!$C$33,IF($D988="V02",cad!$D$33,cad!$E$33)))</f>
      </c>
      <c r="K988">
        <f>IF($A988="","",IF($D988="V01",cad!$C$34,IF($D988="V02",cad!$D$34,cad!$E$34)))</f>
      </c>
      <c r="L988">
        <f>IF($A988="","",IF($D988="V01",cad!$C$35,IF($D988="V02",cad!$D$35,cad!$E$35)))</f>
      </c>
      <c r="M988">
        <f>IF($A988="","",IF($D988="V01",cad!$C$36,IF($D988="V02",cad!$D$36,cad!$E$36)))</f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>
        <f>IF($A989="","",IF($D989="V01",cad!$C$23,IF($D989="V02",cad!$D$23,cad!$E$23)))</f>
      </c>
      <c r="H989">
        <f>IF($A989="","",IF($D989="V01",cad!$C$24,IF($D989="V02",cad!$D$24,cad!$E$24)))</f>
      </c>
      <c r="I989">
        <f>IF($A989="","",IF($D989="V01",cad!$C$32,IF($D989="V02",cad!$D$32,cad!$E$32)))</f>
      </c>
      <c r="J989">
        <f>IF($A989="","",IF($D989="V01",cad!$C$33,IF($D989="V02",cad!$D$33,cad!$E$33)))</f>
      </c>
      <c r="K989">
        <f>IF($A989="","",IF($D989="V01",cad!$C$34,IF($D989="V02",cad!$D$34,cad!$E$34)))</f>
      </c>
      <c r="L989">
        <f>IF($A989="","",IF($D989="V01",cad!$C$35,IF($D989="V02",cad!$D$35,cad!$E$35)))</f>
      </c>
      <c r="M989">
        <f>IF($A989="","",IF($D989="V01",cad!$C$36,IF($D989="V02",cad!$D$36,cad!$E$36)))</f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>
        <f>IF($A990="","",IF($D990="V01",cad!$C$23,IF($D990="V02",cad!$D$23,cad!$E$23)))</f>
      </c>
      <c r="H990">
        <f>IF($A990="","",IF($D990="V01",cad!$C$24,IF($D990="V02",cad!$D$24,cad!$E$24)))</f>
      </c>
      <c r="I990">
        <f>IF($A990="","",IF($D990="V01",cad!$C$32,IF($D990="V02",cad!$D$32,cad!$E$32)))</f>
      </c>
      <c r="J990">
        <f>IF($A990="","",IF($D990="V01",cad!$C$33,IF($D990="V02",cad!$D$33,cad!$E$33)))</f>
      </c>
      <c r="K990">
        <f>IF($A990="","",IF($D990="V01",cad!$C$34,IF($D990="V02",cad!$D$34,cad!$E$34)))</f>
      </c>
      <c r="L990">
        <f>IF($A990="","",IF($D990="V01",cad!$C$35,IF($D990="V02",cad!$D$35,cad!$E$35)))</f>
      </c>
      <c r="M990">
        <f>IF($A990="","",IF($D990="V01",cad!$C$36,IF($D990="V02",cad!$D$36,cad!$E$36)))</f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>
        <f>IF($A991="","",IF($D991="V01",cad!$C$23,IF($D991="V02",cad!$D$23,cad!$E$23)))</f>
      </c>
      <c r="H991">
        <f>IF($A991="","",IF($D991="V01",cad!$C$24,IF($D991="V02",cad!$D$24,cad!$E$24)))</f>
      </c>
      <c r="I991">
        <f>IF($A991="","",IF($D991="V01",cad!$C$32,IF($D991="V02",cad!$D$32,cad!$E$32)))</f>
      </c>
      <c r="J991">
        <f>IF($A991="","",IF($D991="V01",cad!$C$33,IF($D991="V02",cad!$D$33,cad!$E$33)))</f>
      </c>
      <c r="K991">
        <f>IF($A991="","",IF($D991="V01",cad!$C$34,IF($D991="V02",cad!$D$34,cad!$E$34)))</f>
      </c>
      <c r="L991">
        <f>IF($A991="","",IF($D991="V01",cad!$C$35,IF($D991="V02",cad!$D$35,cad!$E$35)))</f>
      </c>
      <c r="M991">
        <f>IF($A991="","",IF($D991="V01",cad!$C$36,IF($D991="V02",cad!$D$36,cad!$E$36)))</f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>
        <f>IF($A992="","",IF($D992="V01",cad!$C$23,IF($D992="V02",cad!$D$23,cad!$E$23)))</f>
      </c>
      <c r="H992">
        <f>IF($A992="","",IF($D992="V01",cad!$C$24,IF($D992="V02",cad!$D$24,cad!$E$24)))</f>
      </c>
      <c r="I992">
        <f>IF($A992="","",IF($D992="V01",cad!$C$32,IF($D992="V02",cad!$D$32,cad!$E$32)))</f>
      </c>
      <c r="J992">
        <f>IF($A992="","",IF($D992="V01",cad!$C$33,IF($D992="V02",cad!$D$33,cad!$E$33)))</f>
      </c>
      <c r="K992">
        <f>IF($A992="","",IF($D992="V01",cad!$C$34,IF($D992="V02",cad!$D$34,cad!$E$34)))</f>
      </c>
      <c r="L992">
        <f>IF($A992="","",IF($D992="V01",cad!$C$35,IF($D992="V02",cad!$D$35,cad!$E$35)))</f>
      </c>
      <c r="M992">
        <f>IF($A992="","",IF($D992="V01",cad!$C$36,IF($D992="V02",cad!$D$36,cad!$E$36)))</f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>
        <f>IF($A993="","",IF($D993="V01",cad!$C$23,IF($D993="V02",cad!$D$23,cad!$E$23)))</f>
      </c>
      <c r="H993">
        <f>IF($A993="","",IF($D993="V01",cad!$C$24,IF($D993="V02",cad!$D$24,cad!$E$24)))</f>
      </c>
      <c r="I993">
        <f>IF($A993="","",IF($D993="V01",cad!$C$32,IF($D993="V02",cad!$D$32,cad!$E$32)))</f>
      </c>
      <c r="J993">
        <f>IF($A993="","",IF($D993="V01",cad!$C$33,IF($D993="V02",cad!$D$33,cad!$E$33)))</f>
      </c>
      <c r="K993">
        <f>IF($A993="","",IF($D993="V01",cad!$C$34,IF($D993="V02",cad!$D$34,cad!$E$34)))</f>
      </c>
      <c r="L993">
        <f>IF($A993="","",IF($D993="V01",cad!$C$35,IF($D993="V02",cad!$D$35,cad!$E$35)))</f>
      </c>
      <c r="M993">
        <f>IF($A993="","",IF($D993="V01",cad!$C$36,IF($D993="V02",cad!$D$36,cad!$E$36)))</f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>
        <f>IF($A994="","",IF($D994="V01",cad!$C$23,IF($D994="V02",cad!$D$23,cad!$E$23)))</f>
      </c>
      <c r="H994">
        <f>IF($A994="","",IF($D994="V01",cad!$C$24,IF($D994="V02",cad!$D$24,cad!$E$24)))</f>
      </c>
      <c r="I994">
        <f>IF($A994="","",IF($D994="V01",cad!$C$32,IF($D994="V02",cad!$D$32,cad!$E$32)))</f>
      </c>
      <c r="J994">
        <f>IF($A994="","",IF($D994="V01",cad!$C$33,IF($D994="V02",cad!$D$33,cad!$E$33)))</f>
      </c>
      <c r="K994">
        <f>IF($A994="","",IF($D994="V01",cad!$C$34,IF($D994="V02",cad!$D$34,cad!$E$34)))</f>
      </c>
      <c r="L994">
        <f>IF($A994="","",IF($D994="V01",cad!$C$35,IF($D994="V02",cad!$D$35,cad!$E$35)))</f>
      </c>
      <c r="M994">
        <f>IF($A994="","",IF($D994="V01",cad!$C$36,IF($D994="V02",cad!$D$36,cad!$E$36)))</f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>
        <f>IF($A995="","",IF($D995="V01",cad!$C$23,IF($D995="V02",cad!$D$23,cad!$E$23)))</f>
      </c>
      <c r="H995">
        <f>IF($A995="","",IF($D995="V01",cad!$C$24,IF($D995="V02",cad!$D$24,cad!$E$24)))</f>
      </c>
      <c r="I995">
        <f>IF($A995="","",IF($D995="V01",cad!$C$32,IF($D995="V02",cad!$D$32,cad!$E$32)))</f>
      </c>
      <c r="J995">
        <f>IF($A995="","",IF($D995="V01",cad!$C$33,IF($D995="V02",cad!$D$33,cad!$E$33)))</f>
      </c>
      <c r="K995">
        <f>IF($A995="","",IF($D995="V01",cad!$C$34,IF($D995="V02",cad!$D$34,cad!$E$34)))</f>
      </c>
      <c r="L995">
        <f>IF($A995="","",IF($D995="V01",cad!$C$35,IF($D995="V02",cad!$D$35,cad!$E$35)))</f>
      </c>
      <c r="M995">
        <f>IF($A995="","",IF($D995="V01",cad!$C$36,IF($D995="V02",cad!$D$36,cad!$E$36)))</f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>
        <f>IF($A996="","",IF($D996="V01",cad!$C$23,IF($D996="V02",cad!$D$23,cad!$E$23)))</f>
      </c>
      <c r="H996">
        <f>IF($A996="","",IF($D996="V01",cad!$C$24,IF($D996="V02",cad!$D$24,cad!$E$24)))</f>
      </c>
      <c r="I996">
        <f>IF($A996="","",IF($D996="V01",cad!$C$32,IF($D996="V02",cad!$D$32,cad!$E$32)))</f>
      </c>
      <c r="J996">
        <f>IF($A996="","",IF($D996="V01",cad!$C$33,IF($D996="V02",cad!$D$33,cad!$E$33)))</f>
      </c>
      <c r="K996">
        <f>IF($A996="","",IF($D996="V01",cad!$C$34,IF($D996="V02",cad!$D$34,cad!$E$34)))</f>
      </c>
      <c r="L996">
        <f>IF($A996="","",IF($D996="V01",cad!$C$35,IF($D996="V02",cad!$D$35,cad!$E$35)))</f>
      </c>
      <c r="M996">
        <f>IF($A996="","",IF($D996="V01",cad!$C$36,IF($D996="V02",cad!$D$36,cad!$E$36)))</f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>
        <f>IF($A997="","",IF($D997="V01",cad!$C$23,IF($D997="V02",cad!$D$23,cad!$E$23)))</f>
      </c>
      <c r="H997">
        <f>IF($A997="","",IF($D997="V01",cad!$C$24,IF($D997="V02",cad!$D$24,cad!$E$24)))</f>
      </c>
      <c r="I997">
        <f>IF($A997="","",IF($D997="V01",cad!$C$32,IF($D997="V02",cad!$D$32,cad!$E$32)))</f>
      </c>
      <c r="J997">
        <f>IF($A997="","",IF($D997="V01",cad!$C$33,IF($D997="V02",cad!$D$33,cad!$E$33)))</f>
      </c>
      <c r="K997">
        <f>IF($A997="","",IF($D997="V01",cad!$C$34,IF($D997="V02",cad!$D$34,cad!$E$34)))</f>
      </c>
      <c r="L997">
        <f>IF($A997="","",IF($D997="V01",cad!$C$35,IF($D997="V02",cad!$D$35,cad!$E$35)))</f>
      </c>
      <c r="M997">
        <f>IF($A997="","",IF($D997="V01",cad!$C$36,IF($D997="V02",cad!$D$36,cad!$E$36)))</f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>
        <f>IF($A998="","",IF($D998="V01",cad!$C$23,IF($D998="V02",cad!$D$23,cad!$E$23)))</f>
      </c>
      <c r="H998">
        <f>IF($A998="","",IF($D998="V01",cad!$C$24,IF($D998="V02",cad!$D$24,cad!$E$24)))</f>
      </c>
      <c r="I998">
        <f>IF($A998="","",IF($D998="V01",cad!$C$32,IF($D998="V02",cad!$D$32,cad!$E$32)))</f>
      </c>
      <c r="J998">
        <f>IF($A998="","",IF($D998="V01",cad!$C$33,IF($D998="V02",cad!$D$33,cad!$E$33)))</f>
      </c>
      <c r="K998">
        <f>IF($A998="","",IF($D998="V01",cad!$C$34,IF($D998="V02",cad!$D$34,cad!$E$34)))</f>
      </c>
      <c r="L998">
        <f>IF($A998="","",IF($D998="V01",cad!$C$35,IF($D998="V02",cad!$D$35,cad!$E$35)))</f>
      </c>
      <c r="M998">
        <f>IF($A998="","",IF($D998="V01",cad!$C$36,IF($D998="V02",cad!$D$36,cad!$E$36)))</f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>
        <f>IF($A999="","",IF($D999="V01",cad!$C$23,IF($D999="V02",cad!$D$23,cad!$E$23)))</f>
      </c>
      <c r="H999">
        <f>IF($A999="","",IF($D999="V01",cad!$C$24,IF($D999="V02",cad!$D$24,cad!$E$24)))</f>
      </c>
      <c r="I999">
        <f>IF($A999="","",IF($D999="V01",cad!$C$32,IF($D999="V02",cad!$D$32,cad!$E$32)))</f>
      </c>
      <c r="J999">
        <f>IF($A999="","",IF($D999="V01",cad!$C$33,IF($D999="V02",cad!$D$33,cad!$E$33)))</f>
      </c>
      <c r="K999">
        <f>IF($A999="","",IF($D999="V01",cad!$C$34,IF($D999="V02",cad!$D$34,cad!$E$34)))</f>
      </c>
      <c r="L999">
        <f>IF($A999="","",IF($D999="V01",cad!$C$35,IF($D999="V02",cad!$D$35,cad!$E$35)))</f>
      </c>
      <c r="M999">
        <f>IF($A999="","",IF($D999="V01",cad!$C$36,IF($D999="V02",cad!$D$36,cad!$E$36)))</f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>
        <f>IF($A1000="","",IF($D1000="V01",cad!$C$23,IF($D1000="V02",cad!$D$23,cad!$E$23)))</f>
      </c>
      <c r="H1000">
        <f>IF($A1000="","",IF($D1000="V01",cad!$C$24,IF($D1000="V02",cad!$D$24,cad!$E$24)))</f>
      </c>
      <c r="I1000">
        <f>IF($A1000="","",IF($D1000="V01",cad!$C$32,IF($D1000="V02",cad!$D$32,cad!$E$32)))</f>
      </c>
      <c r="J1000">
        <f>IF($A1000="","",IF($D1000="V01",cad!$C$33,IF($D1000="V02",cad!$D$33,cad!$E$33)))</f>
      </c>
      <c r="K1000">
        <f>IF($A1000="","",IF($D1000="V01",cad!$C$34,IF($D1000="V02",cad!$D$34,cad!$E$34)))</f>
      </c>
      <c r="L1000">
        <f>IF($A1000="","",IF($D1000="V01",cad!$C$35,IF($D1000="V02",cad!$D$35,cad!$E$35)))</f>
      </c>
      <c r="M1000">
        <f>IF($A1000="","",IF($D1000="V01",cad!$C$36,IF($D1000="V02",cad!$D$36,cad!$E$36)))</f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>
        <f>IF($A1001="","",IF($D1001="V01",cad!$C$23,IF($D1001="V02",cad!$D$23,cad!$E$23)))</f>
      </c>
      <c r="H1001">
        <f>IF($A1001="","",IF($D1001="V01",cad!$C$24,IF($D1001="V02",cad!$D$24,cad!$E$24)))</f>
      </c>
      <c r="I1001">
        <f>IF($A1001="","",IF($D1001="V01",cad!$C$32,IF($D1001="V02",cad!$D$32,cad!$E$32)))</f>
      </c>
      <c r="J1001">
        <f>IF($A1001="","",IF($D1001="V01",cad!$C$33,IF($D1001="V02",cad!$D$33,cad!$E$33)))</f>
      </c>
      <c r="K1001">
        <f>IF($A1001="","",IF($D1001="V01",cad!$C$34,IF($D1001="V02",cad!$D$34,cad!$E$34)))</f>
      </c>
      <c r="L1001">
        <f>IF($A1001="","",IF($D1001="V01",cad!$C$35,IF($D1001="V02",cad!$D$35,cad!$E$35)))</f>
      </c>
      <c r="M1001">
        <f>IF($A1001="","",IF($D1001="V01",cad!$C$36,IF($D1001="V02",cad!$D$36,cad!$E$36)))</f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>
        <f>IF($A1002="","",IF($D1002="V01",cad!$C$23,IF($D1002="V02",cad!$D$23,cad!$E$23)))</f>
      </c>
      <c r="H1002">
        <f>IF($A1002="","",IF($D1002="V01",cad!$C$24,IF($D1002="V02",cad!$D$24,cad!$E$24)))</f>
      </c>
      <c r="I1002">
        <f>IF($A1002="","",IF($D1002="V01",cad!$C$32,IF($D1002="V02",cad!$D$32,cad!$E$32)))</f>
      </c>
      <c r="J1002">
        <f>IF($A1002="","",IF($D1002="V01",cad!$C$33,IF($D1002="V02",cad!$D$33,cad!$E$33)))</f>
      </c>
      <c r="K1002">
        <f>IF($A1002="","",IF($D1002="V01",cad!$C$34,IF($D1002="V02",cad!$D$34,cad!$E$34)))</f>
      </c>
      <c r="L1002">
        <f>IF($A1002="","",IF($D1002="V01",cad!$C$35,IF($D1002="V02",cad!$D$35,cad!$E$35)))</f>
      </c>
      <c r="M1002">
        <f>IF($A1002="","",IF($D1002="V01",cad!$C$36,IF($D1002="V02",cad!$D$36,cad!$E$36)))</f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>
        <f>IF($A1003="","",IF($D1003="V01",cad!$C$23,IF($D1003="V02",cad!$D$23,cad!$E$23)))</f>
      </c>
      <c r="H1003">
        <f>IF($A1003="","",IF($D1003="V01",cad!$C$24,IF($D1003="V02",cad!$D$24,cad!$E$24)))</f>
      </c>
      <c r="I1003">
        <f>IF($A1003="","",IF($D1003="V01",cad!$C$32,IF($D1003="V02",cad!$D$32,cad!$E$32)))</f>
      </c>
      <c r="J1003">
        <f>IF($A1003="","",IF($D1003="V01",cad!$C$33,IF($D1003="V02",cad!$D$33,cad!$E$33)))</f>
      </c>
      <c r="K1003">
        <f>IF($A1003="","",IF($D1003="V01",cad!$C$34,IF($D1003="V02",cad!$D$34,cad!$E$34)))</f>
      </c>
      <c r="L1003">
        <f>IF($A1003="","",IF($D1003="V01",cad!$C$35,IF($D1003="V02",cad!$D$35,cad!$E$35)))</f>
      </c>
      <c r="M1003">
        <f>IF($A1003="","",IF($D1003="V01",cad!$C$36,IF($D1003="V02",cad!$D$36,cad!$E$36)))</f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>
        <f>IF($A1004="","",IF($D1004="V01",cad!$C$23,IF($D1004="V02",cad!$D$23,cad!$E$23)))</f>
      </c>
      <c r="H1004">
        <f>IF($A1004="","",IF($D1004="V01",cad!$C$24,IF($D1004="V02",cad!$D$24,cad!$E$24)))</f>
      </c>
      <c r="I1004">
        <f>IF($A1004="","",IF($D1004="V01",cad!$C$32,IF($D1004="V02",cad!$D$32,cad!$E$32)))</f>
      </c>
      <c r="J1004">
        <f>IF($A1004="","",IF($D1004="V01",cad!$C$33,IF($D1004="V02",cad!$D$33,cad!$E$33)))</f>
      </c>
      <c r="K1004">
        <f>IF($A1004="","",IF($D1004="V01",cad!$C$34,IF($D1004="V02",cad!$D$34,cad!$E$34)))</f>
      </c>
      <c r="L1004">
        <f>IF($A1004="","",IF($D1004="V01",cad!$C$35,IF($D1004="V02",cad!$D$35,cad!$E$35)))</f>
      </c>
      <c r="M1004">
        <f>IF($A1004="","",IF($D1004="V01",cad!$C$36,IF($D1004="V02",cad!$D$36,cad!$E$36)))</f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>
        <f>IF($A1005="","",IF($D1005="V01",cad!$C$23,IF($D1005="V02",cad!$D$23,cad!$E$23)))</f>
      </c>
      <c r="H1005">
        <f>IF($A1005="","",IF($D1005="V01",cad!$C$24,IF($D1005="V02",cad!$D$24,cad!$E$24)))</f>
      </c>
      <c r="I1005">
        <f>IF($A1005="","",IF($D1005="V01",cad!$C$32,IF($D1005="V02",cad!$D$32,cad!$E$32)))</f>
      </c>
      <c r="J1005">
        <f>IF($A1005="","",IF($D1005="V01",cad!$C$33,IF($D1005="V02",cad!$D$33,cad!$E$33)))</f>
      </c>
      <c r="K1005">
        <f>IF($A1005="","",IF($D1005="V01",cad!$C$34,IF($D1005="V02",cad!$D$34,cad!$E$34)))</f>
      </c>
      <c r="L1005">
        <f>IF($A1005="","",IF($D1005="V01",cad!$C$35,IF($D1005="V02",cad!$D$35,cad!$E$35)))</f>
      </c>
      <c r="M1005">
        <f>IF($A1005="","",IF($D1005="V01",cad!$C$36,IF($D1005="V02",cad!$D$36,cad!$E$36)))</f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>
        <f>IF($A1006="","",IF($D1006="V01",cad!$C$23,IF($D1006="V02",cad!$D$23,cad!$E$23)))</f>
      </c>
      <c r="H1006">
        <f>IF($A1006="","",IF($D1006="V01",cad!$C$24,IF($D1006="V02",cad!$D$24,cad!$E$24)))</f>
      </c>
      <c r="I1006">
        <f>IF($A1006="","",IF($D1006="V01",cad!$C$32,IF($D1006="V02",cad!$D$32,cad!$E$32)))</f>
      </c>
      <c r="J1006">
        <f>IF($A1006="","",IF($D1006="V01",cad!$C$33,IF($D1006="V02",cad!$D$33,cad!$E$33)))</f>
      </c>
      <c r="K1006">
        <f>IF($A1006="","",IF($D1006="V01",cad!$C$34,IF($D1006="V02",cad!$D$34,cad!$E$34)))</f>
      </c>
      <c r="L1006">
        <f>IF($A1006="","",IF($D1006="V01",cad!$C$35,IF($D1006="V02",cad!$D$35,cad!$E$35)))</f>
      </c>
      <c r="M1006">
        <f>IF($A1006="","",IF($D1006="V01",cad!$C$36,IF($D1006="V02",cad!$D$36,cad!$E$36)))</f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>
        <f>IF($A1007="","",IF($D1007="V01",cad!$C$23,IF($D1007="V02",cad!$D$23,cad!$E$23)))</f>
      </c>
      <c r="H1007">
        <f>IF($A1007="","",IF($D1007="V01",cad!$C$24,IF($D1007="V02",cad!$D$24,cad!$E$24)))</f>
      </c>
      <c r="I1007">
        <f>IF($A1007="","",IF($D1007="V01",cad!$C$32,IF($D1007="V02",cad!$D$32,cad!$E$32)))</f>
      </c>
      <c r="J1007">
        <f>IF($A1007="","",IF($D1007="V01",cad!$C$33,IF($D1007="V02",cad!$D$33,cad!$E$33)))</f>
      </c>
      <c r="K1007">
        <f>IF($A1007="","",IF($D1007="V01",cad!$C$34,IF($D1007="V02",cad!$D$34,cad!$E$34)))</f>
      </c>
      <c r="L1007">
        <f>IF($A1007="","",IF($D1007="V01",cad!$C$35,IF($D1007="V02",cad!$D$35,cad!$E$35)))</f>
      </c>
      <c r="M1007">
        <f>IF($A1007="","",IF($D1007="V01",cad!$C$36,IF($D1007="V02",cad!$D$36,cad!$E$36)))</f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>
        <f>IF($A1008="","",IF($D1008="V01",cad!$C$23,IF($D1008="V02",cad!$D$23,cad!$E$23)))</f>
      </c>
      <c r="H1008">
        <f>IF($A1008="","",IF($D1008="V01",cad!$C$24,IF($D1008="V02",cad!$D$24,cad!$E$24)))</f>
      </c>
      <c r="I1008">
        <f>IF($A1008="","",IF($D1008="V01",cad!$C$32,IF($D1008="V02",cad!$D$32,cad!$E$32)))</f>
      </c>
      <c r="J1008">
        <f>IF($A1008="","",IF($D1008="V01",cad!$C$33,IF($D1008="V02",cad!$D$33,cad!$E$33)))</f>
      </c>
      <c r="K1008">
        <f>IF($A1008="","",IF($D1008="V01",cad!$C$34,IF($D1008="V02",cad!$D$34,cad!$E$34)))</f>
      </c>
      <c r="L1008">
        <f>IF($A1008="","",IF($D1008="V01",cad!$C$35,IF($D1008="V02",cad!$D$35,cad!$E$35)))</f>
      </c>
      <c r="M1008">
        <f>IF($A1008="","",IF($D1008="V01",cad!$C$36,IF($D1008="V02",cad!$D$36,cad!$E$36)))</f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>
        <f>IF($A1009="","",IF($D1009="V01",cad!$C$23,IF($D1009="V02",cad!$D$23,cad!$E$23)))</f>
      </c>
      <c r="H1009">
        <f>IF($A1009="","",IF($D1009="V01",cad!$C$24,IF($D1009="V02",cad!$D$24,cad!$E$24)))</f>
      </c>
      <c r="I1009">
        <f>IF($A1009="","",IF($D1009="V01",cad!$C$32,IF($D1009="V02",cad!$D$32,cad!$E$32)))</f>
      </c>
      <c r="J1009">
        <f>IF($A1009="","",IF($D1009="V01",cad!$C$33,IF($D1009="V02",cad!$D$33,cad!$E$33)))</f>
      </c>
      <c r="K1009">
        <f>IF($A1009="","",IF($D1009="V01",cad!$C$34,IF($D1009="V02",cad!$D$34,cad!$E$34)))</f>
      </c>
      <c r="L1009">
        <f>IF($A1009="","",IF($D1009="V01",cad!$C$35,IF($D1009="V02",cad!$D$35,cad!$E$35)))</f>
      </c>
      <c r="M1009">
        <f>IF($A1009="","",IF($D1009="V01",cad!$C$36,IF($D1009="V02",cad!$D$36,cad!$E$36)))</f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>
        <f>IF($A1010="","",IF($D1010="V01",cad!$C$23,IF($D1010="V02",cad!$D$23,cad!$E$23)))</f>
      </c>
      <c r="H1010">
        <f>IF($A1010="","",IF($D1010="V01",cad!$C$24,IF($D1010="V02",cad!$D$24,cad!$E$24)))</f>
      </c>
      <c r="I1010">
        <f>IF($A1010="","",IF($D1010="V01",cad!$C$32,IF($D1010="V02",cad!$D$32,cad!$E$32)))</f>
      </c>
      <c r="J1010">
        <f>IF($A1010="","",IF($D1010="V01",cad!$C$33,IF($D1010="V02",cad!$D$33,cad!$E$33)))</f>
      </c>
      <c r="K1010">
        <f>IF($A1010="","",IF($D1010="V01",cad!$C$34,IF($D1010="V02",cad!$D$34,cad!$E$34)))</f>
      </c>
      <c r="L1010">
        <f>IF($A1010="","",IF($D1010="V01",cad!$C$35,IF($D1010="V02",cad!$D$35,cad!$E$35)))</f>
      </c>
      <c r="M1010">
        <f>IF($A1010="","",IF($D1010="V01",cad!$C$36,IF($D1010="V02",cad!$D$36,cad!$E$36)))</f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>
        <f>IF($A1011="","",IF($D1011="V01",cad!$C$23,IF($D1011="V02",cad!$D$23,cad!$E$23)))</f>
      </c>
      <c r="H1011">
        <f>IF($A1011="","",IF($D1011="V01",cad!$C$24,IF($D1011="V02",cad!$D$24,cad!$E$24)))</f>
      </c>
      <c r="I1011">
        <f>IF($A1011="","",IF($D1011="V01",cad!$C$32,IF($D1011="V02",cad!$D$32,cad!$E$32)))</f>
      </c>
      <c r="J1011">
        <f>IF($A1011="","",IF($D1011="V01",cad!$C$33,IF($D1011="V02",cad!$D$33,cad!$E$33)))</f>
      </c>
      <c r="K1011">
        <f>IF($A1011="","",IF($D1011="V01",cad!$C$34,IF($D1011="V02",cad!$D$34,cad!$E$34)))</f>
      </c>
      <c r="L1011">
        <f>IF($A1011="","",IF($D1011="V01",cad!$C$35,IF($D1011="V02",cad!$D$35,cad!$E$35)))</f>
      </c>
      <c r="M1011">
        <f>IF($A1011="","",IF($D1011="V01",cad!$C$36,IF($D1011="V02",cad!$D$36,cad!$E$36)))</f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>
        <f>IF($A1012="","",IF($D1012="V01",cad!$C$23,IF($D1012="V02",cad!$D$23,cad!$E$23)))</f>
      </c>
      <c r="H1012">
        <f>IF($A1012="","",IF($D1012="V01",cad!$C$24,IF($D1012="V02",cad!$D$24,cad!$E$24)))</f>
      </c>
      <c r="I1012">
        <f>IF($A1012="","",IF($D1012="V01",cad!$C$32,IF($D1012="V02",cad!$D$32,cad!$E$32)))</f>
      </c>
      <c r="J1012">
        <f>IF($A1012="","",IF($D1012="V01",cad!$C$33,IF($D1012="V02",cad!$D$33,cad!$E$33)))</f>
      </c>
      <c r="K1012">
        <f>IF($A1012="","",IF($D1012="V01",cad!$C$34,IF($D1012="V02",cad!$D$34,cad!$E$34)))</f>
      </c>
      <c r="L1012">
        <f>IF($A1012="","",IF($D1012="V01",cad!$C$35,IF($D1012="V02",cad!$D$35,cad!$E$35)))</f>
      </c>
      <c r="M1012">
        <f>IF($A1012="","",IF($D1012="V01",cad!$C$36,IF($D1012="V02",cad!$D$36,cad!$E$36)))</f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>
        <f>IF($A1013="","",IF($D1013="V01",cad!$C$23,IF($D1013="V02",cad!$D$23,cad!$E$23)))</f>
      </c>
      <c r="H1013">
        <f>IF($A1013="","",IF($D1013="V01",cad!$C$24,IF($D1013="V02",cad!$D$24,cad!$E$24)))</f>
      </c>
      <c r="I1013">
        <f>IF($A1013="","",IF($D1013="V01",cad!$C$32,IF($D1013="V02",cad!$D$32,cad!$E$32)))</f>
      </c>
      <c r="J1013">
        <f>IF($A1013="","",IF($D1013="V01",cad!$C$33,IF($D1013="V02",cad!$D$33,cad!$E$33)))</f>
      </c>
      <c r="K1013">
        <f>IF($A1013="","",IF($D1013="V01",cad!$C$34,IF($D1013="V02",cad!$D$34,cad!$E$34)))</f>
      </c>
      <c r="L1013">
        <f>IF($A1013="","",IF($D1013="V01",cad!$C$35,IF($D1013="V02",cad!$D$35,cad!$E$35)))</f>
      </c>
      <c r="M1013">
        <f>IF($A1013="","",IF($D1013="V01",cad!$C$36,IF($D1013="V02",cad!$D$36,cad!$E$36)))</f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>
        <f>IF($A1014="","",IF($D1014="V01",cad!$C$23,IF($D1014="V02",cad!$D$23,cad!$E$23)))</f>
      </c>
      <c r="H1014">
        <f>IF($A1014="","",IF($D1014="V01",cad!$C$24,IF($D1014="V02",cad!$D$24,cad!$E$24)))</f>
      </c>
      <c r="I1014">
        <f>IF($A1014="","",IF($D1014="V01",cad!$C$32,IF($D1014="V02",cad!$D$32,cad!$E$32)))</f>
      </c>
      <c r="J1014">
        <f>IF($A1014="","",IF($D1014="V01",cad!$C$33,IF($D1014="V02",cad!$D$33,cad!$E$33)))</f>
      </c>
      <c r="K1014">
        <f>IF($A1014="","",IF($D1014="V01",cad!$C$34,IF($D1014="V02",cad!$D$34,cad!$E$34)))</f>
      </c>
      <c r="L1014">
        <f>IF($A1014="","",IF($D1014="V01",cad!$C$35,IF($D1014="V02",cad!$D$35,cad!$E$35)))</f>
      </c>
      <c r="M1014">
        <f>IF($A1014="","",IF($D1014="V01",cad!$C$36,IF($D1014="V02",cad!$D$36,cad!$E$36)))</f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>
        <f>IF($A1015="","",IF($D1015="V01",cad!$C$23,IF($D1015="V02",cad!$D$23,cad!$E$23)))</f>
      </c>
      <c r="H1015">
        <f>IF($A1015="","",IF($D1015="V01",cad!$C$24,IF($D1015="V02",cad!$D$24,cad!$E$24)))</f>
      </c>
      <c r="I1015">
        <f>IF($A1015="","",IF($D1015="V01",cad!$C$32,IF($D1015="V02",cad!$D$32,cad!$E$32)))</f>
      </c>
      <c r="J1015">
        <f>IF($A1015="","",IF($D1015="V01",cad!$C$33,IF($D1015="V02",cad!$D$33,cad!$E$33)))</f>
      </c>
      <c r="K1015">
        <f>IF($A1015="","",IF($D1015="V01",cad!$C$34,IF($D1015="V02",cad!$D$34,cad!$E$34)))</f>
      </c>
      <c r="L1015">
        <f>IF($A1015="","",IF($D1015="V01",cad!$C$35,IF($D1015="V02",cad!$D$35,cad!$E$35)))</f>
      </c>
      <c r="M1015">
        <f>IF($A1015="","",IF($D1015="V01",cad!$C$36,IF($D1015="V02",cad!$D$36,cad!$E$36)))</f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>
        <f>IF($A1016="","",IF($D1016="V01",cad!$C$23,IF($D1016="V02",cad!$D$23,cad!$E$23)))</f>
      </c>
      <c r="H1016">
        <f>IF($A1016="","",IF($D1016="V01",cad!$C$24,IF($D1016="V02",cad!$D$24,cad!$E$24)))</f>
      </c>
      <c r="I1016">
        <f>IF($A1016="","",IF($D1016="V01",cad!$C$32,IF($D1016="V02",cad!$D$32,cad!$E$32)))</f>
      </c>
      <c r="J1016">
        <f>IF($A1016="","",IF($D1016="V01",cad!$C$33,IF($D1016="V02",cad!$D$33,cad!$E$33)))</f>
      </c>
      <c r="K1016">
        <f>IF($A1016="","",IF($D1016="V01",cad!$C$34,IF($D1016="V02",cad!$D$34,cad!$E$34)))</f>
      </c>
      <c r="L1016">
        <f>IF($A1016="","",IF($D1016="V01",cad!$C$35,IF($D1016="V02",cad!$D$35,cad!$E$35)))</f>
      </c>
      <c r="M1016">
        <f>IF($A1016="","",IF($D1016="V01",cad!$C$36,IF($D1016="V02",cad!$D$36,cad!$E$36)))</f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>
        <f>IF($A1017="","",IF($D1017="V01",cad!$C$23,IF($D1017="V02",cad!$D$23,cad!$E$23)))</f>
      </c>
      <c r="H1017">
        <f>IF($A1017="","",IF($D1017="V01",cad!$C$24,IF($D1017="V02",cad!$D$24,cad!$E$24)))</f>
      </c>
      <c r="I1017">
        <f>IF($A1017="","",IF($D1017="V01",cad!$C$32,IF($D1017="V02",cad!$D$32,cad!$E$32)))</f>
      </c>
      <c r="J1017">
        <f>IF($A1017="","",IF($D1017="V01",cad!$C$33,IF($D1017="V02",cad!$D$33,cad!$E$33)))</f>
      </c>
      <c r="K1017">
        <f>IF($A1017="","",IF($D1017="V01",cad!$C$34,IF($D1017="V02",cad!$D$34,cad!$E$34)))</f>
      </c>
      <c r="L1017">
        <f>IF($A1017="","",IF($D1017="V01",cad!$C$35,IF($D1017="V02",cad!$D$35,cad!$E$35)))</f>
      </c>
      <c r="M1017">
        <f>IF($A1017="","",IF($D1017="V01",cad!$C$36,IF($D1017="V02",cad!$D$36,cad!$E$36)))</f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>
        <f>IF($A1018="","",IF($D1018="V01",cad!$C$23,IF($D1018="V02",cad!$D$23,cad!$E$23)))</f>
      </c>
      <c r="H1018">
        <f>IF($A1018="","",IF($D1018="V01",cad!$C$24,IF($D1018="V02",cad!$D$24,cad!$E$24)))</f>
      </c>
      <c r="I1018">
        <f>IF($A1018="","",IF($D1018="V01",cad!$C$32,IF($D1018="V02",cad!$D$32,cad!$E$32)))</f>
      </c>
      <c r="J1018">
        <f>IF($A1018="","",IF($D1018="V01",cad!$C$33,IF($D1018="V02",cad!$D$33,cad!$E$33)))</f>
      </c>
      <c r="K1018">
        <f>IF($A1018="","",IF($D1018="V01",cad!$C$34,IF($D1018="V02",cad!$D$34,cad!$E$34)))</f>
      </c>
      <c r="L1018">
        <f>IF($A1018="","",IF($D1018="V01",cad!$C$35,IF($D1018="V02",cad!$D$35,cad!$E$35)))</f>
      </c>
      <c r="M1018">
        <f>IF($A1018="","",IF($D1018="V01",cad!$C$36,IF($D1018="V02",cad!$D$36,cad!$E$36)))</f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>
        <f>IF($A1019="","",IF($D1019="V01",cad!$C$23,IF($D1019="V02",cad!$D$23,cad!$E$23)))</f>
      </c>
      <c r="H1019">
        <f>IF($A1019="","",IF($D1019="V01",cad!$C$24,IF($D1019="V02",cad!$D$24,cad!$E$24)))</f>
      </c>
      <c r="I1019">
        <f>IF($A1019="","",IF($D1019="V01",cad!$C$32,IF($D1019="V02",cad!$D$32,cad!$E$32)))</f>
      </c>
      <c r="J1019">
        <f>IF($A1019="","",IF($D1019="V01",cad!$C$33,IF($D1019="V02",cad!$D$33,cad!$E$33)))</f>
      </c>
      <c r="K1019">
        <f>IF($A1019="","",IF($D1019="V01",cad!$C$34,IF($D1019="V02",cad!$D$34,cad!$E$34)))</f>
      </c>
      <c r="L1019">
        <f>IF($A1019="","",IF($D1019="V01",cad!$C$35,IF($D1019="V02",cad!$D$35,cad!$E$35)))</f>
      </c>
      <c r="M1019">
        <f>IF($A1019="","",IF($D1019="V01",cad!$C$36,IF($D1019="V02",cad!$D$36,cad!$E$36)))</f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>
        <f>IF($A1020="","",IF($D1020="V01",cad!$C$23,IF($D1020="V02",cad!$D$23,cad!$E$23)))</f>
      </c>
      <c r="H1020">
        <f>IF($A1020="","",IF($D1020="V01",cad!$C$24,IF($D1020="V02",cad!$D$24,cad!$E$24)))</f>
      </c>
      <c r="I1020">
        <f>IF($A1020="","",IF($D1020="V01",cad!$C$32,IF($D1020="V02",cad!$D$32,cad!$E$32)))</f>
      </c>
      <c r="J1020">
        <f>IF($A1020="","",IF($D1020="V01",cad!$C$33,IF($D1020="V02",cad!$D$33,cad!$E$33)))</f>
      </c>
      <c r="K1020">
        <f>IF($A1020="","",IF($D1020="V01",cad!$C$34,IF($D1020="V02",cad!$D$34,cad!$E$34)))</f>
      </c>
      <c r="L1020">
        <f>IF($A1020="","",IF($D1020="V01",cad!$C$35,IF($D1020="V02",cad!$D$35,cad!$E$35)))</f>
      </c>
      <c r="M1020">
        <f>IF($A1020="","",IF($D1020="V01",cad!$C$36,IF($D1020="V02",cad!$D$36,cad!$E$36)))</f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>
        <f>IF($A1021="","",IF($D1021="V01",cad!$C$23,IF($D1021="V02",cad!$D$23,cad!$E$23)))</f>
      </c>
      <c r="H1021">
        <f>IF($A1021="","",IF($D1021="V01",cad!$C$24,IF($D1021="V02",cad!$D$24,cad!$E$24)))</f>
      </c>
      <c r="I1021">
        <f>IF($A1021="","",IF($D1021="V01",cad!$C$32,IF($D1021="V02",cad!$D$32,cad!$E$32)))</f>
      </c>
      <c r="J1021">
        <f>IF($A1021="","",IF($D1021="V01",cad!$C$33,IF($D1021="V02",cad!$D$33,cad!$E$33)))</f>
      </c>
      <c r="K1021">
        <f>IF($A1021="","",IF($D1021="V01",cad!$C$34,IF($D1021="V02",cad!$D$34,cad!$E$34)))</f>
      </c>
      <c r="L1021">
        <f>IF($A1021="","",IF($D1021="V01",cad!$C$35,IF($D1021="V02",cad!$D$35,cad!$E$35)))</f>
      </c>
      <c r="M1021">
        <f>IF($A1021="","",IF($D1021="V01",cad!$C$36,IF($D1021="V02",cad!$D$36,cad!$E$36)))</f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>
        <f>IF($A1022="","",IF($D1022="V01",cad!$C$23,IF($D1022="V02",cad!$D$23,cad!$E$23)))</f>
      </c>
      <c r="H1022">
        <f>IF($A1022="","",IF($D1022="V01",cad!$C$24,IF($D1022="V02",cad!$D$24,cad!$E$24)))</f>
      </c>
      <c r="I1022">
        <f>IF($A1022="","",IF($D1022="V01",cad!$C$32,IF($D1022="V02",cad!$D$32,cad!$E$32)))</f>
      </c>
      <c r="J1022">
        <f>IF($A1022="","",IF($D1022="V01",cad!$C$33,IF($D1022="V02",cad!$D$33,cad!$E$33)))</f>
      </c>
      <c r="K1022">
        <f>IF($A1022="","",IF($D1022="V01",cad!$C$34,IF($D1022="V02",cad!$D$34,cad!$E$34)))</f>
      </c>
      <c r="L1022">
        <f>IF($A1022="","",IF($D1022="V01",cad!$C$35,IF($D1022="V02",cad!$D$35,cad!$E$35)))</f>
      </c>
      <c r="M1022">
        <f>IF($A1022="","",IF($D1022="V01",cad!$C$36,IF($D1022="V02",cad!$D$36,cad!$E$36)))</f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>
        <f>IF($A1023="","",IF($D1023="V01",cad!$C$23,IF($D1023="V02",cad!$D$23,cad!$E$23)))</f>
      </c>
      <c r="H1023">
        <f>IF($A1023="","",IF($D1023="V01",cad!$C$24,IF($D1023="V02",cad!$D$24,cad!$E$24)))</f>
      </c>
      <c r="I1023">
        <f>IF($A1023="","",IF($D1023="V01",cad!$C$32,IF($D1023="V02",cad!$D$32,cad!$E$32)))</f>
      </c>
      <c r="J1023">
        <f>IF($A1023="","",IF($D1023="V01",cad!$C$33,IF($D1023="V02",cad!$D$33,cad!$E$33)))</f>
      </c>
      <c r="K1023">
        <f>IF($A1023="","",IF($D1023="V01",cad!$C$34,IF($D1023="V02",cad!$D$34,cad!$E$34)))</f>
      </c>
      <c r="L1023">
        <f>IF($A1023="","",IF($D1023="V01",cad!$C$35,IF($D1023="V02",cad!$D$35,cad!$E$35)))</f>
      </c>
      <c r="M1023">
        <f>IF($A1023="","",IF($D1023="V01",cad!$C$36,IF($D1023="V02",cad!$D$36,cad!$E$36)))</f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>
        <f>IF($A1024="","",IF($D1024="V01",cad!$C$23,IF($D1024="V02",cad!$D$23,cad!$E$23)))</f>
      </c>
      <c r="H1024">
        <f>IF($A1024="","",IF($D1024="V01",cad!$C$24,IF($D1024="V02",cad!$D$24,cad!$E$24)))</f>
      </c>
      <c r="I1024">
        <f>IF($A1024="","",IF($D1024="V01",cad!$C$32,IF($D1024="V02",cad!$D$32,cad!$E$32)))</f>
      </c>
      <c r="J1024">
        <f>IF($A1024="","",IF($D1024="V01",cad!$C$33,IF($D1024="V02",cad!$D$33,cad!$E$33)))</f>
      </c>
      <c r="K1024">
        <f>IF($A1024="","",IF($D1024="V01",cad!$C$34,IF($D1024="V02",cad!$D$34,cad!$E$34)))</f>
      </c>
      <c r="L1024">
        <f>IF($A1024="","",IF($D1024="V01",cad!$C$35,IF($D1024="V02",cad!$D$35,cad!$E$35)))</f>
      </c>
      <c r="M1024">
        <f>IF($A1024="","",IF($D1024="V01",cad!$C$36,IF($D1024="V02",cad!$D$36,cad!$E$36)))</f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>
        <f>IF($A1025="","",IF($D1025="V01",cad!$C$23,IF($D1025="V02",cad!$D$23,cad!$E$23)))</f>
      </c>
      <c r="H1025">
        <f>IF($A1025="","",IF($D1025="V01",cad!$C$24,IF($D1025="V02",cad!$D$24,cad!$E$24)))</f>
      </c>
      <c r="I1025">
        <f>IF($A1025="","",IF($D1025="V01",cad!$C$32,IF($D1025="V02",cad!$D$32,cad!$E$32)))</f>
      </c>
      <c r="J1025">
        <f>IF($A1025="","",IF($D1025="V01",cad!$C$33,IF($D1025="V02",cad!$D$33,cad!$E$33)))</f>
      </c>
      <c r="K1025">
        <f>IF($A1025="","",IF($D1025="V01",cad!$C$34,IF($D1025="V02",cad!$D$34,cad!$E$34)))</f>
      </c>
      <c r="L1025">
        <f>IF($A1025="","",IF($D1025="V01",cad!$C$35,IF($D1025="V02",cad!$D$35,cad!$E$35)))</f>
      </c>
      <c r="M1025">
        <f>IF($A1025="","",IF($D1025="V01",cad!$C$36,IF($D1025="V02",cad!$D$36,cad!$E$36)))</f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>
        <f>IF($A1026="","",IF($D1026="V01",cad!$C$23,IF($D1026="V02",cad!$D$23,cad!$E$23)))</f>
      </c>
      <c r="H1026">
        <f>IF($A1026="","",IF($D1026="V01",cad!$C$24,IF($D1026="V02",cad!$D$24,cad!$E$24)))</f>
      </c>
      <c r="I1026">
        <f>IF($A1026="","",IF($D1026="V01",cad!$C$32,IF($D1026="V02",cad!$D$32,cad!$E$32)))</f>
      </c>
      <c r="J1026">
        <f>IF($A1026="","",IF($D1026="V01",cad!$C$33,IF($D1026="V02",cad!$D$33,cad!$E$33)))</f>
      </c>
      <c r="K1026">
        <f>IF($A1026="","",IF($D1026="V01",cad!$C$34,IF($D1026="V02",cad!$D$34,cad!$E$34)))</f>
      </c>
      <c r="L1026">
        <f>IF($A1026="","",IF($D1026="V01",cad!$C$35,IF($D1026="V02",cad!$D$35,cad!$E$35)))</f>
      </c>
      <c r="M1026">
        <f>IF($A1026="","",IF($D1026="V01",cad!$C$36,IF($D1026="V02",cad!$D$36,cad!$E$36)))</f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>
        <f>IF($A1027="","",IF($D1027="V01",cad!$C$23,IF($D1027="V02",cad!$D$23,cad!$E$23)))</f>
      </c>
      <c r="H1027">
        <f>IF($A1027="","",IF($D1027="V01",cad!$C$24,IF($D1027="V02",cad!$D$24,cad!$E$24)))</f>
      </c>
      <c r="I1027">
        <f>IF($A1027="","",IF($D1027="V01",cad!$C$32,IF($D1027="V02",cad!$D$32,cad!$E$32)))</f>
      </c>
      <c r="J1027">
        <f>IF($A1027="","",IF($D1027="V01",cad!$C$33,IF($D1027="V02",cad!$D$33,cad!$E$33)))</f>
      </c>
      <c r="K1027">
        <f>IF($A1027="","",IF($D1027="V01",cad!$C$34,IF($D1027="V02",cad!$D$34,cad!$E$34)))</f>
      </c>
      <c r="L1027">
        <f>IF($A1027="","",IF($D1027="V01",cad!$C$35,IF($D1027="V02",cad!$D$35,cad!$E$35)))</f>
      </c>
      <c r="M1027">
        <f>IF($A1027="","",IF($D1027="V01",cad!$C$36,IF($D1027="V02",cad!$D$36,cad!$E$36)))</f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>
        <f>IF($A1028="","",IF($D1028="V01",cad!$C$23,IF($D1028="V02",cad!$D$23,cad!$E$23)))</f>
      </c>
      <c r="H1028">
        <f>IF($A1028="","",IF($D1028="V01",cad!$C$24,IF($D1028="V02",cad!$D$24,cad!$E$24)))</f>
      </c>
      <c r="I1028">
        <f>IF($A1028="","",IF($D1028="V01",cad!$C$32,IF($D1028="V02",cad!$D$32,cad!$E$32)))</f>
      </c>
      <c r="J1028">
        <f>IF($A1028="","",IF($D1028="V01",cad!$C$33,IF($D1028="V02",cad!$D$33,cad!$E$33)))</f>
      </c>
      <c r="K1028">
        <f>IF($A1028="","",IF($D1028="V01",cad!$C$34,IF($D1028="V02",cad!$D$34,cad!$E$34)))</f>
      </c>
      <c r="L1028">
        <f>IF($A1028="","",IF($D1028="V01",cad!$C$35,IF($D1028="V02",cad!$D$35,cad!$E$35)))</f>
      </c>
      <c r="M1028">
        <f>IF($A1028="","",IF($D1028="V01",cad!$C$36,IF($D1028="V02",cad!$D$36,cad!$E$36)))</f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>
        <f>IF($A1029="","",IF($D1029="V01",cad!$C$23,IF($D1029="V02",cad!$D$23,cad!$E$23)))</f>
      </c>
      <c r="H1029">
        <f>IF($A1029="","",IF($D1029="V01",cad!$C$24,IF($D1029="V02",cad!$D$24,cad!$E$24)))</f>
      </c>
      <c r="I1029">
        <f>IF($A1029="","",IF($D1029="V01",cad!$C$32,IF($D1029="V02",cad!$D$32,cad!$E$32)))</f>
      </c>
      <c r="J1029">
        <f>IF($A1029="","",IF($D1029="V01",cad!$C$33,IF($D1029="V02",cad!$D$33,cad!$E$33)))</f>
      </c>
      <c r="K1029">
        <f>IF($A1029="","",IF($D1029="V01",cad!$C$34,IF($D1029="V02",cad!$D$34,cad!$E$34)))</f>
      </c>
      <c r="L1029">
        <f>IF($A1029="","",IF($D1029="V01",cad!$C$35,IF($D1029="V02",cad!$D$35,cad!$E$35)))</f>
      </c>
      <c r="M1029">
        <f>IF($A1029="","",IF($D1029="V01",cad!$C$36,IF($D1029="V02",cad!$D$36,cad!$E$36)))</f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>
        <f>IF($A1030="","",IF($D1030="V01",cad!$C$23,IF($D1030="V02",cad!$D$23,cad!$E$23)))</f>
      </c>
      <c r="H1030">
        <f>IF($A1030="","",IF($D1030="V01",cad!$C$24,IF($D1030="V02",cad!$D$24,cad!$E$24)))</f>
      </c>
      <c r="I1030">
        <f>IF($A1030="","",IF($D1030="V01",cad!$C$32,IF($D1030="V02",cad!$D$32,cad!$E$32)))</f>
      </c>
      <c r="J1030">
        <f>IF($A1030="","",IF($D1030="V01",cad!$C$33,IF($D1030="V02",cad!$D$33,cad!$E$33)))</f>
      </c>
      <c r="K1030">
        <f>IF($A1030="","",IF($D1030="V01",cad!$C$34,IF($D1030="V02",cad!$D$34,cad!$E$34)))</f>
      </c>
      <c r="L1030">
        <f>IF($A1030="","",IF($D1030="V01",cad!$C$35,IF($D1030="V02",cad!$D$35,cad!$E$35)))</f>
      </c>
      <c r="M1030">
        <f>IF($A1030="","",IF($D1030="V01",cad!$C$36,IF($D1030="V02",cad!$D$36,cad!$E$36)))</f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>
        <f>IF($A1031="","",IF($D1031="V01",cad!$C$23,IF($D1031="V02",cad!$D$23,cad!$E$23)))</f>
      </c>
      <c r="H1031">
        <f>IF($A1031="","",IF($D1031="V01",cad!$C$24,IF($D1031="V02",cad!$D$24,cad!$E$24)))</f>
      </c>
      <c r="I1031">
        <f>IF($A1031="","",IF($D1031="V01",cad!$C$32,IF($D1031="V02",cad!$D$32,cad!$E$32)))</f>
      </c>
      <c r="J1031">
        <f>IF($A1031="","",IF($D1031="V01",cad!$C$33,IF($D1031="V02",cad!$D$33,cad!$E$33)))</f>
      </c>
      <c r="K1031">
        <f>IF($A1031="","",IF($D1031="V01",cad!$C$34,IF($D1031="V02",cad!$D$34,cad!$E$34)))</f>
      </c>
      <c r="L1031">
        <f>IF($A1031="","",IF($D1031="V01",cad!$C$35,IF($D1031="V02",cad!$D$35,cad!$E$35)))</f>
      </c>
      <c r="M1031">
        <f>IF($A1031="","",IF($D1031="V01",cad!$C$36,IF($D1031="V02",cad!$D$36,cad!$E$36)))</f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>
        <f>IF($A1032="","",IF($D1032="V01",cad!$C$23,IF($D1032="V02",cad!$D$23,cad!$E$23)))</f>
      </c>
      <c r="H1032">
        <f>IF($A1032="","",IF($D1032="V01",cad!$C$24,IF($D1032="V02",cad!$D$24,cad!$E$24)))</f>
      </c>
      <c r="I1032">
        <f>IF($A1032="","",IF($D1032="V01",cad!$C$32,IF($D1032="V02",cad!$D$32,cad!$E$32)))</f>
      </c>
      <c r="J1032">
        <f>IF($A1032="","",IF($D1032="V01",cad!$C$33,IF($D1032="V02",cad!$D$33,cad!$E$33)))</f>
      </c>
      <c r="K1032">
        <f>IF($A1032="","",IF($D1032="V01",cad!$C$34,IF($D1032="V02",cad!$D$34,cad!$E$34)))</f>
      </c>
      <c r="L1032">
        <f>IF($A1032="","",IF($D1032="V01",cad!$C$35,IF($D1032="V02",cad!$D$35,cad!$E$35)))</f>
      </c>
      <c r="M1032">
        <f>IF($A1032="","",IF($D1032="V01",cad!$C$36,IF($D1032="V02",cad!$D$36,cad!$E$36)))</f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>
        <f>IF($A1033="","",IF($D1033="V01",cad!$C$23,IF($D1033="V02",cad!$D$23,cad!$E$23)))</f>
      </c>
      <c r="H1033">
        <f>IF($A1033="","",IF($D1033="V01",cad!$C$24,IF($D1033="V02",cad!$D$24,cad!$E$24)))</f>
      </c>
      <c r="I1033">
        <f>IF($A1033="","",IF($D1033="V01",cad!$C$32,IF($D1033="V02",cad!$D$32,cad!$E$32)))</f>
      </c>
      <c r="J1033">
        <f>IF($A1033="","",IF($D1033="V01",cad!$C$33,IF($D1033="V02",cad!$D$33,cad!$E$33)))</f>
      </c>
      <c r="K1033">
        <f>IF($A1033="","",IF($D1033="V01",cad!$C$34,IF($D1033="V02",cad!$D$34,cad!$E$34)))</f>
      </c>
      <c r="L1033">
        <f>IF($A1033="","",IF($D1033="V01",cad!$C$35,IF($D1033="V02",cad!$D$35,cad!$E$35)))</f>
      </c>
      <c r="M1033">
        <f>IF($A1033="","",IF($D1033="V01",cad!$C$36,IF($D1033="V02",cad!$D$36,cad!$E$36)))</f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>
        <f>IF($A1034="","",IF($D1034="V01",cad!$C$23,IF($D1034="V02",cad!$D$23,cad!$E$23)))</f>
      </c>
      <c r="H1034">
        <f>IF($A1034="","",IF($D1034="V01",cad!$C$24,IF($D1034="V02",cad!$D$24,cad!$E$24)))</f>
      </c>
      <c r="I1034">
        <f>IF($A1034="","",IF($D1034="V01",cad!$C$32,IF($D1034="V02",cad!$D$32,cad!$E$32)))</f>
      </c>
      <c r="J1034">
        <f>IF($A1034="","",IF($D1034="V01",cad!$C$33,IF($D1034="V02",cad!$D$33,cad!$E$33)))</f>
      </c>
      <c r="K1034">
        <f>IF($A1034="","",IF($D1034="V01",cad!$C$34,IF($D1034="V02",cad!$D$34,cad!$E$34)))</f>
      </c>
      <c r="L1034">
        <f>IF($A1034="","",IF($D1034="V01",cad!$C$35,IF($D1034="V02",cad!$D$35,cad!$E$35)))</f>
      </c>
      <c r="M1034">
        <f>IF($A1034="","",IF($D1034="V01",cad!$C$36,IF($D1034="V02",cad!$D$36,cad!$E$36)))</f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>
        <f>IF($A1035="","",IF($D1035="V01",cad!$C$23,IF($D1035="V02",cad!$D$23,cad!$E$23)))</f>
      </c>
      <c r="H1035">
        <f>IF($A1035="","",IF($D1035="V01",cad!$C$24,IF($D1035="V02",cad!$D$24,cad!$E$24)))</f>
      </c>
      <c r="I1035">
        <f>IF($A1035="","",IF($D1035="V01",cad!$C$32,IF($D1035="V02",cad!$D$32,cad!$E$32)))</f>
      </c>
      <c r="J1035">
        <f>IF($A1035="","",IF($D1035="V01",cad!$C$33,IF($D1035="V02",cad!$D$33,cad!$E$33)))</f>
      </c>
      <c r="K1035">
        <f>IF($A1035="","",IF($D1035="V01",cad!$C$34,IF($D1035="V02",cad!$D$34,cad!$E$34)))</f>
      </c>
      <c r="L1035">
        <f>IF($A1035="","",IF($D1035="V01",cad!$C$35,IF($D1035="V02",cad!$D$35,cad!$E$35)))</f>
      </c>
      <c r="M1035">
        <f>IF($A1035="","",IF($D1035="V01",cad!$C$36,IF($D1035="V02",cad!$D$36,cad!$E$36)))</f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>
        <f>IF($A1036="","",IF($D1036="V01",cad!$C$23,IF($D1036="V02",cad!$D$23,cad!$E$23)))</f>
      </c>
      <c r="H1036">
        <f>IF($A1036="","",IF($D1036="V01",cad!$C$24,IF($D1036="V02",cad!$D$24,cad!$E$24)))</f>
      </c>
      <c r="I1036">
        <f>IF($A1036="","",IF($D1036="V01",cad!$C$32,IF($D1036="V02",cad!$D$32,cad!$E$32)))</f>
      </c>
      <c r="J1036">
        <f>IF($A1036="","",IF($D1036="V01",cad!$C$33,IF($D1036="V02",cad!$D$33,cad!$E$33)))</f>
      </c>
      <c r="K1036">
        <f>IF($A1036="","",IF($D1036="V01",cad!$C$34,IF($D1036="V02",cad!$D$34,cad!$E$34)))</f>
      </c>
      <c r="L1036">
        <f>IF($A1036="","",IF($D1036="V01",cad!$C$35,IF($D1036="V02",cad!$D$35,cad!$E$35)))</f>
      </c>
      <c r="M1036">
        <f>IF($A1036="","",IF($D1036="V01",cad!$C$36,IF($D1036="V02",cad!$D$36,cad!$E$36)))</f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>
        <f>IF($A1037="","",IF($D1037="V01",cad!$C$23,IF($D1037="V02",cad!$D$23,cad!$E$23)))</f>
      </c>
      <c r="H1037">
        <f>IF($A1037="","",IF($D1037="V01",cad!$C$24,IF($D1037="V02",cad!$D$24,cad!$E$24)))</f>
      </c>
      <c r="I1037">
        <f>IF($A1037="","",IF($D1037="V01",cad!$C$32,IF($D1037="V02",cad!$D$32,cad!$E$32)))</f>
      </c>
      <c r="J1037">
        <f>IF($A1037="","",IF($D1037="V01",cad!$C$33,IF($D1037="V02",cad!$D$33,cad!$E$33)))</f>
      </c>
      <c r="K1037">
        <f>IF($A1037="","",IF($D1037="V01",cad!$C$34,IF($D1037="V02",cad!$D$34,cad!$E$34)))</f>
      </c>
      <c r="L1037">
        <f>IF($A1037="","",IF($D1037="V01",cad!$C$35,IF($D1037="V02",cad!$D$35,cad!$E$35)))</f>
      </c>
      <c r="M1037">
        <f>IF($A1037="","",IF($D1037="V01",cad!$C$36,IF($D1037="V02",cad!$D$36,cad!$E$36)))</f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>
        <f>IF($A1038="","",IF($D1038="V01",cad!$C$23,IF($D1038="V02",cad!$D$23,cad!$E$23)))</f>
      </c>
      <c r="H1038">
        <f>IF($A1038="","",IF($D1038="V01",cad!$C$24,IF($D1038="V02",cad!$D$24,cad!$E$24)))</f>
      </c>
      <c r="I1038">
        <f>IF($A1038="","",IF($D1038="V01",cad!$C$32,IF($D1038="V02",cad!$D$32,cad!$E$32)))</f>
      </c>
      <c r="J1038">
        <f>IF($A1038="","",IF($D1038="V01",cad!$C$33,IF($D1038="V02",cad!$D$33,cad!$E$33)))</f>
      </c>
      <c r="K1038">
        <f>IF($A1038="","",IF($D1038="V01",cad!$C$34,IF($D1038="V02",cad!$D$34,cad!$E$34)))</f>
      </c>
      <c r="L1038">
        <f>IF($A1038="","",IF($D1038="V01",cad!$C$35,IF($D1038="V02",cad!$D$35,cad!$E$35)))</f>
      </c>
      <c r="M1038">
        <f>IF($A1038="","",IF($D1038="V01",cad!$C$36,IF($D1038="V02",cad!$D$36,cad!$E$36)))</f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>
        <f>IF($A1039="","",IF($D1039="V01",cad!$C$23,IF($D1039="V02",cad!$D$23,cad!$E$23)))</f>
      </c>
      <c r="H1039">
        <f>IF($A1039="","",IF($D1039="V01",cad!$C$24,IF($D1039="V02",cad!$D$24,cad!$E$24)))</f>
      </c>
      <c r="I1039">
        <f>IF($A1039="","",IF($D1039="V01",cad!$C$32,IF($D1039="V02",cad!$D$32,cad!$E$32)))</f>
      </c>
      <c r="J1039">
        <f>IF($A1039="","",IF($D1039="V01",cad!$C$33,IF($D1039="V02",cad!$D$33,cad!$E$33)))</f>
      </c>
      <c r="K1039">
        <f>IF($A1039="","",IF($D1039="V01",cad!$C$34,IF($D1039="V02",cad!$D$34,cad!$E$34)))</f>
      </c>
      <c r="L1039">
        <f>IF($A1039="","",IF($D1039="V01",cad!$C$35,IF($D1039="V02",cad!$D$35,cad!$E$35)))</f>
      </c>
      <c r="M1039">
        <f>IF($A1039="","",IF($D1039="V01",cad!$C$36,IF($D1039="V02",cad!$D$36,cad!$E$36)))</f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>
        <f>IF($A1040="","",IF($D1040="V01",cad!$C$23,IF($D1040="V02",cad!$D$23,cad!$E$23)))</f>
      </c>
      <c r="H1040">
        <f>IF($A1040="","",IF($D1040="V01",cad!$C$24,IF($D1040="V02",cad!$D$24,cad!$E$24)))</f>
      </c>
      <c r="I1040">
        <f>IF($A1040="","",IF($D1040="V01",cad!$C$32,IF($D1040="V02",cad!$D$32,cad!$E$32)))</f>
      </c>
      <c r="J1040">
        <f>IF($A1040="","",IF($D1040="V01",cad!$C$33,IF($D1040="V02",cad!$D$33,cad!$E$33)))</f>
      </c>
      <c r="K1040">
        <f>IF($A1040="","",IF($D1040="V01",cad!$C$34,IF($D1040="V02",cad!$D$34,cad!$E$34)))</f>
      </c>
      <c r="L1040">
        <f>IF($A1040="","",IF($D1040="V01",cad!$C$35,IF($D1040="V02",cad!$D$35,cad!$E$35)))</f>
      </c>
      <c r="M1040">
        <f>IF($A1040="","",IF($D1040="V01",cad!$C$36,IF($D1040="V02",cad!$D$36,cad!$E$36)))</f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>
        <f>IF($A1041="","",IF($D1041="V01",cad!$C$23,IF($D1041="V02",cad!$D$23,cad!$E$23)))</f>
      </c>
      <c r="H1041">
        <f>IF($A1041="","",IF($D1041="V01",cad!$C$24,IF($D1041="V02",cad!$D$24,cad!$E$24)))</f>
      </c>
      <c r="I1041">
        <f>IF($A1041="","",IF($D1041="V01",cad!$C$32,IF($D1041="V02",cad!$D$32,cad!$E$32)))</f>
      </c>
      <c r="J1041">
        <f>IF($A1041="","",IF($D1041="V01",cad!$C$33,IF($D1041="V02",cad!$D$33,cad!$E$33)))</f>
      </c>
      <c r="K1041">
        <f>IF($A1041="","",IF($D1041="V01",cad!$C$34,IF($D1041="V02",cad!$D$34,cad!$E$34)))</f>
      </c>
      <c r="L1041">
        <f>IF($A1041="","",IF($D1041="V01",cad!$C$35,IF($D1041="V02",cad!$D$35,cad!$E$35)))</f>
      </c>
      <c r="M1041">
        <f>IF($A1041="","",IF($D1041="V01",cad!$C$36,IF($D1041="V02",cad!$D$36,cad!$E$36)))</f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>
        <f>IF($A1042="","",IF($D1042="V01",cad!$C$23,IF($D1042="V02",cad!$D$23,cad!$E$23)))</f>
      </c>
      <c r="H1042">
        <f>IF($A1042="","",IF($D1042="V01",cad!$C$24,IF($D1042="V02",cad!$D$24,cad!$E$24)))</f>
      </c>
      <c r="I1042">
        <f>IF($A1042="","",IF($D1042="V01",cad!$C$32,IF($D1042="V02",cad!$D$32,cad!$E$32)))</f>
      </c>
      <c r="J1042">
        <f>IF($A1042="","",IF($D1042="V01",cad!$C$33,IF($D1042="V02",cad!$D$33,cad!$E$33)))</f>
      </c>
      <c r="K1042">
        <f>IF($A1042="","",IF($D1042="V01",cad!$C$34,IF($D1042="V02",cad!$D$34,cad!$E$34)))</f>
      </c>
      <c r="L1042">
        <f>IF($A1042="","",IF($D1042="V01",cad!$C$35,IF($D1042="V02",cad!$D$35,cad!$E$35)))</f>
      </c>
      <c r="M1042">
        <f>IF($A1042="","",IF($D1042="V01",cad!$C$36,IF($D1042="V02",cad!$D$36,cad!$E$36)))</f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>
        <f>IF($A1043="","",IF($D1043="V01",cad!$C$23,IF($D1043="V02",cad!$D$23,cad!$E$23)))</f>
      </c>
      <c r="H1043">
        <f>IF($A1043="","",IF($D1043="V01",cad!$C$24,IF($D1043="V02",cad!$D$24,cad!$E$24)))</f>
      </c>
      <c r="I1043">
        <f>IF($A1043="","",IF($D1043="V01",cad!$C$32,IF($D1043="V02",cad!$D$32,cad!$E$32)))</f>
      </c>
      <c r="J1043">
        <f>IF($A1043="","",IF($D1043="V01",cad!$C$33,IF($D1043="V02",cad!$D$33,cad!$E$33)))</f>
      </c>
      <c r="K1043">
        <f>IF($A1043="","",IF($D1043="V01",cad!$C$34,IF($D1043="V02",cad!$D$34,cad!$E$34)))</f>
      </c>
      <c r="L1043">
        <f>IF($A1043="","",IF($D1043="V01",cad!$C$35,IF($D1043="V02",cad!$D$35,cad!$E$35)))</f>
      </c>
      <c r="M1043">
        <f>IF($A1043="","",IF($D1043="V01",cad!$C$36,IF($D1043="V02",cad!$D$36,cad!$E$36)))</f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>
        <f>IF($A1044="","",IF($D1044="V01",cad!$C$23,IF($D1044="V02",cad!$D$23,cad!$E$23)))</f>
      </c>
      <c r="H1044">
        <f>IF($A1044="","",IF($D1044="V01",cad!$C$24,IF($D1044="V02",cad!$D$24,cad!$E$24)))</f>
      </c>
      <c r="I1044">
        <f>IF($A1044="","",IF($D1044="V01",cad!$C$32,IF($D1044="V02",cad!$D$32,cad!$E$32)))</f>
      </c>
      <c r="J1044">
        <f>IF($A1044="","",IF($D1044="V01",cad!$C$33,IF($D1044="V02",cad!$D$33,cad!$E$33)))</f>
      </c>
      <c r="K1044">
        <f>IF($A1044="","",IF($D1044="V01",cad!$C$34,IF($D1044="V02",cad!$D$34,cad!$E$34)))</f>
      </c>
      <c r="L1044">
        <f>IF($A1044="","",IF($D1044="V01",cad!$C$35,IF($D1044="V02",cad!$D$35,cad!$E$35)))</f>
      </c>
      <c r="M1044">
        <f>IF($A1044="","",IF($D1044="V01",cad!$C$36,IF($D1044="V02",cad!$D$36,cad!$E$36)))</f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>
        <f>IF($A1045="","",IF($D1045="V01",cad!$C$23,IF($D1045="V02",cad!$D$23,cad!$E$23)))</f>
      </c>
      <c r="H1045">
        <f>IF($A1045="","",IF($D1045="V01",cad!$C$24,IF($D1045="V02",cad!$D$24,cad!$E$24)))</f>
      </c>
      <c r="I1045">
        <f>IF($A1045="","",IF($D1045="V01",cad!$C$32,IF($D1045="V02",cad!$D$32,cad!$E$32)))</f>
      </c>
      <c r="J1045">
        <f>IF($A1045="","",IF($D1045="V01",cad!$C$33,IF($D1045="V02",cad!$D$33,cad!$E$33)))</f>
      </c>
      <c r="K1045">
        <f>IF($A1045="","",IF($D1045="V01",cad!$C$34,IF($D1045="V02",cad!$D$34,cad!$E$34)))</f>
      </c>
      <c r="L1045">
        <f>IF($A1045="","",IF($D1045="V01",cad!$C$35,IF($D1045="V02",cad!$D$35,cad!$E$35)))</f>
      </c>
      <c r="M1045">
        <f>IF($A1045="","",IF($D1045="V01",cad!$C$36,IF($D1045="V02",cad!$D$36,cad!$E$36)))</f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>
        <f>IF($A1046="","",IF($D1046="V01",cad!$C$23,IF($D1046="V02",cad!$D$23,cad!$E$23)))</f>
      </c>
      <c r="H1046">
        <f>IF($A1046="","",IF($D1046="V01",cad!$C$24,IF($D1046="V02",cad!$D$24,cad!$E$24)))</f>
      </c>
      <c r="I1046">
        <f>IF($A1046="","",IF($D1046="V01",cad!$C$32,IF($D1046="V02",cad!$D$32,cad!$E$32)))</f>
      </c>
      <c r="J1046">
        <f>IF($A1046="","",IF($D1046="V01",cad!$C$33,IF($D1046="V02",cad!$D$33,cad!$E$33)))</f>
      </c>
      <c r="K1046">
        <f>IF($A1046="","",IF($D1046="V01",cad!$C$34,IF($D1046="V02",cad!$D$34,cad!$E$34)))</f>
      </c>
      <c r="L1046">
        <f>IF($A1046="","",IF($D1046="V01",cad!$C$35,IF($D1046="V02",cad!$D$35,cad!$E$35)))</f>
      </c>
      <c r="M1046">
        <f>IF($A1046="","",IF($D1046="V01",cad!$C$36,IF($D1046="V02",cad!$D$36,cad!$E$36)))</f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>
        <f>IF($A1047="","",IF($D1047="V01",cad!$C$23,IF($D1047="V02",cad!$D$23,cad!$E$23)))</f>
      </c>
      <c r="H1047">
        <f>IF($A1047="","",IF($D1047="V01",cad!$C$24,IF($D1047="V02",cad!$D$24,cad!$E$24)))</f>
      </c>
      <c r="I1047">
        <f>IF($A1047="","",IF($D1047="V01",cad!$C$32,IF($D1047="V02",cad!$D$32,cad!$E$32)))</f>
      </c>
      <c r="J1047">
        <f>IF($A1047="","",IF($D1047="V01",cad!$C$33,IF($D1047="V02",cad!$D$33,cad!$E$33)))</f>
      </c>
      <c r="K1047">
        <f>IF($A1047="","",IF($D1047="V01",cad!$C$34,IF($D1047="V02",cad!$D$34,cad!$E$34)))</f>
      </c>
      <c r="L1047">
        <f>IF($A1047="","",IF($D1047="V01",cad!$C$35,IF($D1047="V02",cad!$D$35,cad!$E$35)))</f>
      </c>
      <c r="M1047">
        <f>IF($A1047="","",IF($D1047="V01",cad!$C$36,IF($D1047="V02",cad!$D$36,cad!$E$36)))</f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>
        <f>IF($A1048="","",IF($D1048="V01",cad!$C$23,IF($D1048="V02",cad!$D$23,cad!$E$23)))</f>
      </c>
      <c r="H1048">
        <f>IF($A1048="","",IF($D1048="V01",cad!$C$24,IF($D1048="V02",cad!$D$24,cad!$E$24)))</f>
      </c>
      <c r="I1048">
        <f>IF($A1048="","",IF($D1048="V01",cad!$C$32,IF($D1048="V02",cad!$D$32,cad!$E$32)))</f>
      </c>
      <c r="J1048">
        <f>IF($A1048="","",IF($D1048="V01",cad!$C$33,IF($D1048="V02",cad!$D$33,cad!$E$33)))</f>
      </c>
      <c r="K1048">
        <f>IF($A1048="","",IF($D1048="V01",cad!$C$34,IF($D1048="V02",cad!$D$34,cad!$E$34)))</f>
      </c>
      <c r="L1048">
        <f>IF($A1048="","",IF($D1048="V01",cad!$C$35,IF($D1048="V02",cad!$D$35,cad!$E$35)))</f>
      </c>
      <c r="M1048">
        <f>IF($A1048="","",IF($D1048="V01",cad!$C$36,IF($D1048="V02",cad!$D$36,cad!$E$36)))</f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>
        <f>IF($A1049="","",IF($D1049="V01",cad!$C$23,IF($D1049="V02",cad!$D$23,cad!$E$23)))</f>
      </c>
      <c r="H1049">
        <f>IF($A1049="","",IF($D1049="V01",cad!$C$24,IF($D1049="V02",cad!$D$24,cad!$E$24)))</f>
      </c>
      <c r="I1049">
        <f>IF($A1049="","",IF($D1049="V01",cad!$C$32,IF($D1049="V02",cad!$D$32,cad!$E$32)))</f>
      </c>
      <c r="J1049">
        <f>IF($A1049="","",IF($D1049="V01",cad!$C$33,IF($D1049="V02",cad!$D$33,cad!$E$33)))</f>
      </c>
      <c r="K1049">
        <f>IF($A1049="","",IF($D1049="V01",cad!$C$34,IF($D1049="V02",cad!$D$34,cad!$E$34)))</f>
      </c>
      <c r="L1049">
        <f>IF($A1049="","",IF($D1049="V01",cad!$C$35,IF($D1049="V02",cad!$D$35,cad!$E$35)))</f>
      </c>
      <c r="M1049">
        <f>IF($A1049="","",IF($D1049="V01",cad!$C$36,IF($D1049="V02",cad!$D$36,cad!$E$36)))</f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>
        <f>IF($A1050="","",IF($D1050="V01",cad!$C$23,IF($D1050="V02",cad!$D$23,cad!$E$23)))</f>
      </c>
      <c r="H1050">
        <f>IF($A1050="","",IF($D1050="V01",cad!$C$24,IF($D1050="V02",cad!$D$24,cad!$E$24)))</f>
      </c>
      <c r="I1050">
        <f>IF($A1050="","",IF($D1050="V01",cad!$C$32,IF($D1050="V02",cad!$D$32,cad!$E$32)))</f>
      </c>
      <c r="J1050">
        <f>IF($A1050="","",IF($D1050="V01",cad!$C$33,IF($D1050="V02",cad!$D$33,cad!$E$33)))</f>
      </c>
      <c r="K1050">
        <f>IF($A1050="","",IF($D1050="V01",cad!$C$34,IF($D1050="V02",cad!$D$34,cad!$E$34)))</f>
      </c>
      <c r="L1050">
        <f>IF($A1050="","",IF($D1050="V01",cad!$C$35,IF($D1050="V02",cad!$D$35,cad!$E$35)))</f>
      </c>
      <c r="M1050">
        <f>IF($A1050="","",IF($D1050="V01",cad!$C$36,IF($D1050="V02",cad!$D$36,cad!$E$36)))</f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>
        <f>IF($A1051="","",IF($D1051="V01",cad!$C$23,IF($D1051="V02",cad!$D$23,cad!$E$23)))</f>
      </c>
      <c r="H1051">
        <f>IF($A1051="","",IF($D1051="V01",cad!$C$24,IF($D1051="V02",cad!$D$24,cad!$E$24)))</f>
      </c>
      <c r="I1051">
        <f>IF($A1051="","",IF($D1051="V01",cad!$C$32,IF($D1051="V02",cad!$D$32,cad!$E$32)))</f>
      </c>
      <c r="J1051">
        <f>IF($A1051="","",IF($D1051="V01",cad!$C$33,IF($D1051="V02",cad!$D$33,cad!$E$33)))</f>
      </c>
      <c r="K1051">
        <f>IF($A1051="","",IF($D1051="V01",cad!$C$34,IF($D1051="V02",cad!$D$34,cad!$E$34)))</f>
      </c>
      <c r="L1051">
        <f>IF($A1051="","",IF($D1051="V01",cad!$C$35,IF($D1051="V02",cad!$D$35,cad!$E$35)))</f>
      </c>
      <c r="M1051">
        <f>IF($A1051="","",IF($D1051="V01",cad!$C$36,IF($D1051="V02",cad!$D$36,cad!$E$36)))</f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>
        <f>IF($A1052="","",IF($D1052="V01",cad!$C$23,IF($D1052="V02",cad!$D$23,cad!$E$23)))</f>
      </c>
      <c r="H1052">
        <f>IF($A1052="","",IF($D1052="V01",cad!$C$24,IF($D1052="V02",cad!$D$24,cad!$E$24)))</f>
      </c>
      <c r="I1052">
        <f>IF($A1052="","",IF($D1052="V01",cad!$C$32,IF($D1052="V02",cad!$D$32,cad!$E$32)))</f>
      </c>
      <c r="J1052">
        <f>IF($A1052="","",IF($D1052="V01",cad!$C$33,IF($D1052="V02",cad!$D$33,cad!$E$33)))</f>
      </c>
      <c r="K1052">
        <f>IF($A1052="","",IF($D1052="V01",cad!$C$34,IF($D1052="V02",cad!$D$34,cad!$E$34)))</f>
      </c>
      <c r="L1052">
        <f>IF($A1052="","",IF($D1052="V01",cad!$C$35,IF($D1052="V02",cad!$D$35,cad!$E$35)))</f>
      </c>
      <c r="M1052">
        <f>IF($A1052="","",IF($D1052="V01",cad!$C$36,IF($D1052="V02",cad!$D$36,cad!$E$36)))</f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>
        <f>IF($A1053="","",IF($D1053="V01",cad!$C$23,IF($D1053="V02",cad!$D$23,cad!$E$23)))</f>
      </c>
      <c r="H1053">
        <f>IF($A1053="","",IF($D1053="V01",cad!$C$24,IF($D1053="V02",cad!$D$24,cad!$E$24)))</f>
      </c>
      <c r="I1053">
        <f>IF($A1053="","",IF($D1053="V01",cad!$C$32,IF($D1053="V02",cad!$D$32,cad!$E$32)))</f>
      </c>
      <c r="J1053">
        <f>IF($A1053="","",IF($D1053="V01",cad!$C$33,IF($D1053="V02",cad!$D$33,cad!$E$33)))</f>
      </c>
      <c r="K1053">
        <f>IF($A1053="","",IF($D1053="V01",cad!$C$34,IF($D1053="V02",cad!$D$34,cad!$E$34)))</f>
      </c>
      <c r="L1053">
        <f>IF($A1053="","",IF($D1053="V01",cad!$C$35,IF($D1053="V02",cad!$D$35,cad!$E$35)))</f>
      </c>
      <c r="M1053">
        <f>IF($A1053="","",IF($D1053="V01",cad!$C$36,IF($D1053="V02",cad!$D$36,cad!$E$36)))</f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>
        <f>IF($A1054="","",IF($D1054="V01",cad!$C$23,IF($D1054="V02",cad!$D$23,cad!$E$23)))</f>
      </c>
      <c r="H1054">
        <f>IF($A1054="","",IF($D1054="V01",cad!$C$24,IF($D1054="V02",cad!$D$24,cad!$E$24)))</f>
      </c>
      <c r="I1054">
        <f>IF($A1054="","",IF($D1054="V01",cad!$C$32,IF($D1054="V02",cad!$D$32,cad!$E$32)))</f>
      </c>
      <c r="J1054">
        <f>IF($A1054="","",IF($D1054="V01",cad!$C$33,IF($D1054="V02",cad!$D$33,cad!$E$33)))</f>
      </c>
      <c r="K1054">
        <f>IF($A1054="","",IF($D1054="V01",cad!$C$34,IF($D1054="V02",cad!$D$34,cad!$E$34)))</f>
      </c>
      <c r="L1054">
        <f>IF($A1054="","",IF($D1054="V01",cad!$C$35,IF($D1054="V02",cad!$D$35,cad!$E$35)))</f>
      </c>
      <c r="M1054">
        <f>IF($A1054="","",IF($D1054="V01",cad!$C$36,IF($D1054="V02",cad!$D$36,cad!$E$36)))</f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>
        <f>IF($A1055="","",IF($D1055="V01",cad!$C$23,IF($D1055="V02",cad!$D$23,cad!$E$23)))</f>
      </c>
      <c r="H1055">
        <f>IF($A1055="","",IF($D1055="V01",cad!$C$24,IF($D1055="V02",cad!$D$24,cad!$E$24)))</f>
      </c>
      <c r="I1055">
        <f>IF($A1055="","",IF($D1055="V01",cad!$C$32,IF($D1055="V02",cad!$D$32,cad!$E$32)))</f>
      </c>
      <c r="J1055">
        <f>IF($A1055="","",IF($D1055="V01",cad!$C$33,IF($D1055="V02",cad!$D$33,cad!$E$33)))</f>
      </c>
      <c r="K1055">
        <f>IF($A1055="","",IF($D1055="V01",cad!$C$34,IF($D1055="V02",cad!$D$34,cad!$E$34)))</f>
      </c>
      <c r="L1055">
        <f>IF($A1055="","",IF($D1055="V01",cad!$C$35,IF($D1055="V02",cad!$D$35,cad!$E$35)))</f>
      </c>
      <c r="M1055">
        <f>IF($A1055="","",IF($D1055="V01",cad!$C$36,IF($D1055="V02",cad!$D$36,cad!$E$36)))</f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>
        <f>IF($A1056="","",IF($D1056="V01",cad!$C$23,IF($D1056="V02",cad!$D$23,cad!$E$23)))</f>
      </c>
      <c r="H1056">
        <f>IF($A1056="","",IF($D1056="V01",cad!$C$24,IF($D1056="V02",cad!$D$24,cad!$E$24)))</f>
      </c>
      <c r="I1056">
        <f>IF($A1056="","",IF($D1056="V01",cad!$C$32,IF($D1056="V02",cad!$D$32,cad!$E$32)))</f>
      </c>
      <c r="J1056">
        <f>IF($A1056="","",IF($D1056="V01",cad!$C$33,IF($D1056="V02",cad!$D$33,cad!$E$33)))</f>
      </c>
      <c r="K1056">
        <f>IF($A1056="","",IF($D1056="V01",cad!$C$34,IF($D1056="V02",cad!$D$34,cad!$E$34)))</f>
      </c>
      <c r="L1056">
        <f>IF($A1056="","",IF($D1056="V01",cad!$C$35,IF($D1056="V02",cad!$D$35,cad!$E$35)))</f>
      </c>
      <c r="M1056">
        <f>IF($A1056="","",IF($D1056="V01",cad!$C$36,IF($D1056="V02",cad!$D$36,cad!$E$36)))</f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>
        <f>IF($A1057="","",IF($D1057="V01",cad!$C$23,IF($D1057="V02",cad!$D$23,cad!$E$23)))</f>
      </c>
      <c r="H1057">
        <f>IF($A1057="","",IF($D1057="V01",cad!$C$24,IF($D1057="V02",cad!$D$24,cad!$E$24)))</f>
      </c>
      <c r="I1057">
        <f>IF($A1057="","",IF($D1057="V01",cad!$C$32,IF($D1057="V02",cad!$D$32,cad!$E$32)))</f>
      </c>
      <c r="J1057">
        <f>IF($A1057="","",IF($D1057="V01",cad!$C$33,IF($D1057="V02",cad!$D$33,cad!$E$33)))</f>
      </c>
      <c r="K1057">
        <f>IF($A1057="","",IF($D1057="V01",cad!$C$34,IF($D1057="V02",cad!$D$34,cad!$E$34)))</f>
      </c>
      <c r="L1057">
        <f>IF($A1057="","",IF($D1057="V01",cad!$C$35,IF($D1057="V02",cad!$D$35,cad!$E$35)))</f>
      </c>
      <c r="M1057">
        <f>IF($A1057="","",IF($D1057="V01",cad!$C$36,IF($D1057="V02",cad!$D$36,cad!$E$36)))</f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>
        <f>IF($A1058="","",IF($D1058="V01",cad!$C$23,IF($D1058="V02",cad!$D$23,cad!$E$23)))</f>
      </c>
      <c r="H1058">
        <f>IF($A1058="","",IF($D1058="V01",cad!$C$24,IF($D1058="V02",cad!$D$24,cad!$E$24)))</f>
      </c>
      <c r="I1058">
        <f>IF($A1058="","",IF($D1058="V01",cad!$C$32,IF($D1058="V02",cad!$D$32,cad!$E$32)))</f>
      </c>
      <c r="J1058">
        <f>IF($A1058="","",IF($D1058="V01",cad!$C$33,IF($D1058="V02",cad!$D$33,cad!$E$33)))</f>
      </c>
      <c r="K1058">
        <f>IF($A1058="","",IF($D1058="V01",cad!$C$34,IF($D1058="V02",cad!$D$34,cad!$E$34)))</f>
      </c>
      <c r="L1058">
        <f>IF($A1058="","",IF($D1058="V01",cad!$C$35,IF($D1058="V02",cad!$D$35,cad!$E$35)))</f>
      </c>
      <c r="M1058">
        <f>IF($A1058="","",IF($D1058="V01",cad!$C$36,IF($D1058="V02",cad!$D$36,cad!$E$36)))</f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>
        <f>IF($A1059="","",IF($D1059="V01",cad!$C$23,IF($D1059="V02",cad!$D$23,cad!$E$23)))</f>
      </c>
      <c r="H1059">
        <f>IF($A1059="","",IF($D1059="V01",cad!$C$24,IF($D1059="V02",cad!$D$24,cad!$E$24)))</f>
      </c>
      <c r="I1059">
        <f>IF($A1059="","",IF($D1059="V01",cad!$C$32,IF($D1059="V02",cad!$D$32,cad!$E$32)))</f>
      </c>
      <c r="J1059">
        <f>IF($A1059="","",IF($D1059="V01",cad!$C$33,IF($D1059="V02",cad!$D$33,cad!$E$33)))</f>
      </c>
      <c r="K1059">
        <f>IF($A1059="","",IF($D1059="V01",cad!$C$34,IF($D1059="V02",cad!$D$34,cad!$E$34)))</f>
      </c>
      <c r="L1059">
        <f>IF($A1059="","",IF($D1059="V01",cad!$C$35,IF($D1059="V02",cad!$D$35,cad!$E$35)))</f>
      </c>
      <c r="M1059">
        <f>IF($A1059="","",IF($D1059="V01",cad!$C$36,IF($D1059="V02",cad!$D$36,cad!$E$36)))</f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>
        <f>IF($A1060="","",IF($D1060="V01",cad!$C$23,IF($D1060="V02",cad!$D$23,cad!$E$23)))</f>
      </c>
      <c r="H1060">
        <f>IF($A1060="","",IF($D1060="V01",cad!$C$24,IF($D1060="V02",cad!$D$24,cad!$E$24)))</f>
      </c>
      <c r="I1060">
        <f>IF($A1060="","",IF($D1060="V01",cad!$C$32,IF($D1060="V02",cad!$D$32,cad!$E$32)))</f>
      </c>
      <c r="J1060">
        <f>IF($A1060="","",IF($D1060="V01",cad!$C$33,IF($D1060="V02",cad!$D$33,cad!$E$33)))</f>
      </c>
      <c r="K1060">
        <f>IF($A1060="","",IF($D1060="V01",cad!$C$34,IF($D1060="V02",cad!$D$34,cad!$E$34)))</f>
      </c>
      <c r="L1060">
        <f>IF($A1060="","",IF($D1060="V01",cad!$C$35,IF($D1060="V02",cad!$D$35,cad!$E$35)))</f>
      </c>
      <c r="M1060">
        <f>IF($A1060="","",IF($D1060="V01",cad!$C$36,IF($D1060="V02",cad!$D$36,cad!$E$36)))</f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>
        <f>IF($A1061="","",IF($D1061="V01",cad!$C$23,IF($D1061="V02",cad!$D$23,cad!$E$23)))</f>
      </c>
      <c r="H1061">
        <f>IF($A1061="","",IF($D1061="V01",cad!$C$24,IF($D1061="V02",cad!$D$24,cad!$E$24)))</f>
      </c>
      <c r="I1061">
        <f>IF($A1061="","",IF($D1061="V01",cad!$C$32,IF($D1061="V02",cad!$D$32,cad!$E$32)))</f>
      </c>
      <c r="J1061">
        <f>IF($A1061="","",IF($D1061="V01",cad!$C$33,IF($D1061="V02",cad!$D$33,cad!$E$33)))</f>
      </c>
      <c r="K1061">
        <f>IF($A1061="","",IF($D1061="V01",cad!$C$34,IF($D1061="V02",cad!$D$34,cad!$E$34)))</f>
      </c>
      <c r="L1061">
        <f>IF($A1061="","",IF($D1061="V01",cad!$C$35,IF($D1061="V02",cad!$D$35,cad!$E$35)))</f>
      </c>
      <c r="M1061">
        <f>IF($A1061="","",IF($D1061="V01",cad!$C$36,IF($D1061="V02",cad!$D$36,cad!$E$36)))</f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>
        <f>IF($A1062="","",IF($D1062="V01",cad!$C$23,IF($D1062="V02",cad!$D$23,cad!$E$23)))</f>
      </c>
      <c r="H1062">
        <f>IF($A1062="","",IF($D1062="V01",cad!$C$24,IF($D1062="V02",cad!$D$24,cad!$E$24)))</f>
      </c>
      <c r="I1062">
        <f>IF($A1062="","",IF($D1062="V01",cad!$C$32,IF($D1062="V02",cad!$D$32,cad!$E$32)))</f>
      </c>
      <c r="J1062">
        <f>IF($A1062="","",IF($D1062="V01",cad!$C$33,IF($D1062="V02",cad!$D$33,cad!$E$33)))</f>
      </c>
      <c r="K1062">
        <f>IF($A1062="","",IF($D1062="V01",cad!$C$34,IF($D1062="V02",cad!$D$34,cad!$E$34)))</f>
      </c>
      <c r="L1062">
        <f>IF($A1062="","",IF($D1062="V01",cad!$C$35,IF($D1062="V02",cad!$D$35,cad!$E$35)))</f>
      </c>
      <c r="M1062">
        <f>IF($A1062="","",IF($D1062="V01",cad!$C$36,IF($D1062="V02",cad!$D$36,cad!$E$36)))</f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>
        <f>IF($A1063="","",IF($D1063="V01",cad!$C$23,IF($D1063="V02",cad!$D$23,cad!$E$23)))</f>
      </c>
      <c r="H1063">
        <f>IF($A1063="","",IF($D1063="V01",cad!$C$24,IF($D1063="V02",cad!$D$24,cad!$E$24)))</f>
      </c>
      <c r="I1063">
        <f>IF($A1063="","",IF($D1063="V01",cad!$C$32,IF($D1063="V02",cad!$D$32,cad!$E$32)))</f>
      </c>
      <c r="J1063">
        <f>IF($A1063="","",IF($D1063="V01",cad!$C$33,IF($D1063="V02",cad!$D$33,cad!$E$33)))</f>
      </c>
      <c r="K1063">
        <f>IF($A1063="","",IF($D1063="V01",cad!$C$34,IF($D1063="V02",cad!$D$34,cad!$E$34)))</f>
      </c>
      <c r="L1063">
        <f>IF($A1063="","",IF($D1063="V01",cad!$C$35,IF($D1063="V02",cad!$D$35,cad!$E$35)))</f>
      </c>
      <c r="M1063">
        <f>IF($A1063="","",IF($D1063="V01",cad!$C$36,IF($D1063="V02",cad!$D$36,cad!$E$36)))</f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>
        <f>IF($A1064="","",IF($D1064="V01",cad!$C$23,IF($D1064="V02",cad!$D$23,cad!$E$23)))</f>
      </c>
      <c r="H1064">
        <f>IF($A1064="","",IF($D1064="V01",cad!$C$24,IF($D1064="V02",cad!$D$24,cad!$E$24)))</f>
      </c>
      <c r="I1064">
        <f>IF($A1064="","",IF($D1064="V01",cad!$C$32,IF($D1064="V02",cad!$D$32,cad!$E$32)))</f>
      </c>
      <c r="J1064">
        <f>IF($A1064="","",IF($D1064="V01",cad!$C$33,IF($D1064="V02",cad!$D$33,cad!$E$33)))</f>
      </c>
      <c r="K1064">
        <f>IF($A1064="","",IF($D1064="V01",cad!$C$34,IF($D1064="V02",cad!$D$34,cad!$E$34)))</f>
      </c>
      <c r="L1064">
        <f>IF($A1064="","",IF($D1064="V01",cad!$C$35,IF($D1064="V02",cad!$D$35,cad!$E$35)))</f>
      </c>
      <c r="M1064">
        <f>IF($A1064="","",IF($D1064="V01",cad!$C$36,IF($D1064="V02",cad!$D$36,cad!$E$36)))</f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>
        <f>IF($A1065="","",IF($D1065="V01",cad!$C$23,IF($D1065="V02",cad!$D$23,cad!$E$23)))</f>
      </c>
      <c r="H1065">
        <f>IF($A1065="","",IF($D1065="V01",cad!$C$24,IF($D1065="V02",cad!$D$24,cad!$E$24)))</f>
      </c>
      <c r="I1065">
        <f>IF($A1065="","",IF($D1065="V01",cad!$C$32,IF($D1065="V02",cad!$D$32,cad!$E$32)))</f>
      </c>
      <c r="J1065">
        <f>IF($A1065="","",IF($D1065="V01",cad!$C$33,IF($D1065="V02",cad!$D$33,cad!$E$33)))</f>
      </c>
      <c r="K1065">
        <f>IF($A1065="","",IF($D1065="V01",cad!$C$34,IF($D1065="V02",cad!$D$34,cad!$E$34)))</f>
      </c>
      <c r="L1065">
        <f>IF($A1065="","",IF($D1065="V01",cad!$C$35,IF($D1065="V02",cad!$D$35,cad!$E$35)))</f>
      </c>
      <c r="M1065">
        <f>IF($A1065="","",IF($D1065="V01",cad!$C$36,IF($D1065="V02",cad!$D$36,cad!$E$36)))</f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>
        <f>IF($A1066="","",IF($D1066="V01",cad!$C$23,IF($D1066="V02",cad!$D$23,cad!$E$23)))</f>
      </c>
      <c r="H1066">
        <f>IF($A1066="","",IF($D1066="V01",cad!$C$24,IF($D1066="V02",cad!$D$24,cad!$E$24)))</f>
      </c>
      <c r="I1066">
        <f>IF($A1066="","",IF($D1066="V01",cad!$C$32,IF($D1066="V02",cad!$D$32,cad!$E$32)))</f>
      </c>
      <c r="J1066">
        <f>IF($A1066="","",IF($D1066="V01",cad!$C$33,IF($D1066="V02",cad!$D$33,cad!$E$33)))</f>
      </c>
      <c r="K1066">
        <f>IF($A1066="","",IF($D1066="V01",cad!$C$34,IF($D1066="V02",cad!$D$34,cad!$E$34)))</f>
      </c>
      <c r="L1066">
        <f>IF($A1066="","",IF($D1066="V01",cad!$C$35,IF($D1066="V02",cad!$D$35,cad!$E$35)))</f>
      </c>
      <c r="M1066">
        <f>IF($A1066="","",IF($D1066="V01",cad!$C$36,IF($D1066="V02",cad!$D$36,cad!$E$36)))</f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>
        <f>IF($A1067="","",IF($D1067="V01",cad!$C$23,IF($D1067="V02",cad!$D$23,cad!$E$23)))</f>
      </c>
      <c r="H1067">
        <f>IF($A1067="","",IF($D1067="V01",cad!$C$24,IF($D1067="V02",cad!$D$24,cad!$E$24)))</f>
      </c>
      <c r="I1067">
        <f>IF($A1067="","",IF($D1067="V01",cad!$C$32,IF($D1067="V02",cad!$D$32,cad!$E$32)))</f>
      </c>
      <c r="J1067">
        <f>IF($A1067="","",IF($D1067="V01",cad!$C$33,IF($D1067="V02",cad!$D$33,cad!$E$33)))</f>
      </c>
      <c r="K1067">
        <f>IF($A1067="","",IF($D1067="V01",cad!$C$34,IF($D1067="V02",cad!$D$34,cad!$E$34)))</f>
      </c>
      <c r="L1067">
        <f>IF($A1067="","",IF($D1067="V01",cad!$C$35,IF($D1067="V02",cad!$D$35,cad!$E$35)))</f>
      </c>
      <c r="M1067">
        <f>IF($A1067="","",IF($D1067="V01",cad!$C$36,IF($D1067="V02",cad!$D$36,cad!$E$36)))</f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>
        <f>IF($A1068="","",IF($D1068="V01",cad!$C$23,IF($D1068="V02",cad!$D$23,cad!$E$23)))</f>
      </c>
      <c r="H1068">
        <f>IF($A1068="","",IF($D1068="V01",cad!$C$24,IF($D1068="V02",cad!$D$24,cad!$E$24)))</f>
      </c>
      <c r="I1068">
        <f>IF($A1068="","",IF($D1068="V01",cad!$C$32,IF($D1068="V02",cad!$D$32,cad!$E$32)))</f>
      </c>
      <c r="J1068">
        <f>IF($A1068="","",IF($D1068="V01",cad!$C$33,IF($D1068="V02",cad!$D$33,cad!$E$33)))</f>
      </c>
      <c r="K1068">
        <f>IF($A1068="","",IF($D1068="V01",cad!$C$34,IF($D1068="V02",cad!$D$34,cad!$E$34)))</f>
      </c>
      <c r="L1068">
        <f>IF($A1068="","",IF($D1068="V01",cad!$C$35,IF($D1068="V02",cad!$D$35,cad!$E$35)))</f>
      </c>
      <c r="M1068">
        <f>IF($A1068="","",IF($D1068="V01",cad!$C$36,IF($D1068="V02",cad!$D$36,cad!$E$36)))</f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>
        <f>IF($A1069="","",IF($D1069="V01",cad!$C$23,IF($D1069="V02",cad!$D$23,cad!$E$23)))</f>
      </c>
      <c r="H1069">
        <f>IF($A1069="","",IF($D1069="V01",cad!$C$24,IF($D1069="V02",cad!$D$24,cad!$E$24)))</f>
      </c>
      <c r="I1069">
        <f>IF($A1069="","",IF($D1069="V01",cad!$C$32,IF($D1069="V02",cad!$D$32,cad!$E$32)))</f>
      </c>
      <c r="J1069">
        <f>IF($A1069="","",IF($D1069="V01",cad!$C$33,IF($D1069="V02",cad!$D$33,cad!$E$33)))</f>
      </c>
      <c r="K1069">
        <f>IF($A1069="","",IF($D1069="V01",cad!$C$34,IF($D1069="V02",cad!$D$34,cad!$E$34)))</f>
      </c>
      <c r="L1069">
        <f>IF($A1069="","",IF($D1069="V01",cad!$C$35,IF($D1069="V02",cad!$D$35,cad!$E$35)))</f>
      </c>
      <c r="M1069">
        <f>IF($A1069="","",IF($D1069="V01",cad!$C$36,IF($D1069="V02",cad!$D$36,cad!$E$36)))</f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>
        <f>IF($A1070="","",IF($D1070="V01",cad!$C$23,IF($D1070="V02",cad!$D$23,cad!$E$23)))</f>
      </c>
      <c r="H1070">
        <f>IF($A1070="","",IF($D1070="V01",cad!$C$24,IF($D1070="V02",cad!$D$24,cad!$E$24)))</f>
      </c>
      <c r="I1070">
        <f>IF($A1070="","",IF($D1070="V01",cad!$C$32,IF($D1070="V02",cad!$D$32,cad!$E$32)))</f>
      </c>
      <c r="J1070">
        <f>IF($A1070="","",IF($D1070="V01",cad!$C$33,IF($D1070="V02",cad!$D$33,cad!$E$33)))</f>
      </c>
      <c r="K1070">
        <f>IF($A1070="","",IF($D1070="V01",cad!$C$34,IF($D1070="V02",cad!$D$34,cad!$E$34)))</f>
      </c>
      <c r="L1070">
        <f>IF($A1070="","",IF($D1070="V01",cad!$C$35,IF($D1070="V02",cad!$D$35,cad!$E$35)))</f>
      </c>
      <c r="M1070">
        <f>IF($A1070="","",IF($D1070="V01",cad!$C$36,IF($D1070="V02",cad!$D$36,cad!$E$36)))</f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>
        <f>IF($A1071="","",IF($D1071="V01",cad!$C$23,IF($D1071="V02",cad!$D$23,cad!$E$23)))</f>
      </c>
      <c r="H1071">
        <f>IF($A1071="","",IF($D1071="V01",cad!$C$24,IF($D1071="V02",cad!$D$24,cad!$E$24)))</f>
      </c>
      <c r="I1071">
        <f>IF($A1071="","",IF($D1071="V01",cad!$C$32,IF($D1071="V02",cad!$D$32,cad!$E$32)))</f>
      </c>
      <c r="J1071">
        <f>IF($A1071="","",IF($D1071="V01",cad!$C$33,IF($D1071="V02",cad!$D$33,cad!$E$33)))</f>
      </c>
      <c r="K1071">
        <f>IF($A1071="","",IF($D1071="V01",cad!$C$34,IF($D1071="V02",cad!$D$34,cad!$E$34)))</f>
      </c>
      <c r="L1071">
        <f>IF($A1071="","",IF($D1071="V01",cad!$C$35,IF($D1071="V02",cad!$D$35,cad!$E$35)))</f>
      </c>
      <c r="M1071">
        <f>IF($A1071="","",IF($D1071="V01",cad!$C$36,IF($D1071="V02",cad!$D$36,cad!$E$36)))</f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>
        <f>IF($A1072="","",IF($D1072="V01",cad!$C$23,IF($D1072="V02",cad!$D$23,cad!$E$23)))</f>
      </c>
      <c r="H1072">
        <f>IF($A1072="","",IF($D1072="V01",cad!$C$24,IF($D1072="V02",cad!$D$24,cad!$E$24)))</f>
      </c>
      <c r="I1072">
        <f>IF($A1072="","",IF($D1072="V01",cad!$C$32,IF($D1072="V02",cad!$D$32,cad!$E$32)))</f>
      </c>
      <c r="J1072">
        <f>IF($A1072="","",IF($D1072="V01",cad!$C$33,IF($D1072="V02",cad!$D$33,cad!$E$33)))</f>
      </c>
      <c r="K1072">
        <f>IF($A1072="","",IF($D1072="V01",cad!$C$34,IF($D1072="V02",cad!$D$34,cad!$E$34)))</f>
      </c>
      <c r="L1072">
        <f>IF($A1072="","",IF($D1072="V01",cad!$C$35,IF($D1072="V02",cad!$D$35,cad!$E$35)))</f>
      </c>
      <c r="M1072">
        <f>IF($A1072="","",IF($D1072="V01",cad!$C$36,IF($D1072="V02",cad!$D$36,cad!$E$36)))</f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>
        <f>IF($A1073="","",IF($D1073="V01",cad!$C$23,IF($D1073="V02",cad!$D$23,cad!$E$23)))</f>
      </c>
      <c r="H1073">
        <f>IF($A1073="","",IF($D1073="V01",cad!$C$24,IF($D1073="V02",cad!$D$24,cad!$E$24)))</f>
      </c>
      <c r="I1073">
        <f>IF($A1073="","",IF($D1073="V01",cad!$C$32,IF($D1073="V02",cad!$D$32,cad!$E$32)))</f>
      </c>
      <c r="J1073">
        <f>IF($A1073="","",IF($D1073="V01",cad!$C$33,IF($D1073="V02",cad!$D$33,cad!$E$33)))</f>
      </c>
      <c r="K1073">
        <f>IF($A1073="","",IF($D1073="V01",cad!$C$34,IF($D1073="V02",cad!$D$34,cad!$E$34)))</f>
      </c>
      <c r="L1073">
        <f>IF($A1073="","",IF($D1073="V01",cad!$C$35,IF($D1073="V02",cad!$D$35,cad!$E$35)))</f>
      </c>
      <c r="M1073">
        <f>IF($A1073="","",IF($D1073="V01",cad!$C$36,IF($D1073="V02",cad!$D$36,cad!$E$36)))</f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>
        <f>IF($A1074="","",IF($D1074="V01",cad!$C$23,IF($D1074="V02",cad!$D$23,cad!$E$23)))</f>
      </c>
      <c r="H1074">
        <f>IF($A1074="","",IF($D1074="V01",cad!$C$24,IF($D1074="V02",cad!$D$24,cad!$E$24)))</f>
      </c>
      <c r="I1074">
        <f>IF($A1074="","",IF($D1074="V01",cad!$C$32,IF($D1074="V02",cad!$D$32,cad!$E$32)))</f>
      </c>
      <c r="J1074">
        <f>IF($A1074="","",IF($D1074="V01",cad!$C$33,IF($D1074="V02",cad!$D$33,cad!$E$33)))</f>
      </c>
      <c r="K1074">
        <f>IF($A1074="","",IF($D1074="V01",cad!$C$34,IF($D1074="V02",cad!$D$34,cad!$E$34)))</f>
      </c>
      <c r="L1074">
        <f>IF($A1074="","",IF($D1074="V01",cad!$C$35,IF($D1074="V02",cad!$D$35,cad!$E$35)))</f>
      </c>
      <c r="M1074">
        <f>IF($A1074="","",IF($D1074="V01",cad!$C$36,IF($D1074="V02",cad!$D$36,cad!$E$36)))</f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>
        <f>IF($A1075="","",IF($D1075="V01",cad!$C$23,IF($D1075="V02",cad!$D$23,cad!$E$23)))</f>
      </c>
      <c r="H1075">
        <f>IF($A1075="","",IF($D1075="V01",cad!$C$24,IF($D1075="V02",cad!$D$24,cad!$E$24)))</f>
      </c>
      <c r="I1075">
        <f>IF($A1075="","",IF($D1075="V01",cad!$C$32,IF($D1075="V02",cad!$D$32,cad!$E$32)))</f>
      </c>
      <c r="J1075">
        <f>IF($A1075="","",IF($D1075="V01",cad!$C$33,IF($D1075="V02",cad!$D$33,cad!$E$33)))</f>
      </c>
      <c r="K1075">
        <f>IF($A1075="","",IF($D1075="V01",cad!$C$34,IF($D1075="V02",cad!$D$34,cad!$E$34)))</f>
      </c>
      <c r="L1075">
        <f>IF($A1075="","",IF($D1075="V01",cad!$C$35,IF($D1075="V02",cad!$D$35,cad!$E$35)))</f>
      </c>
      <c r="M1075">
        <f>IF($A1075="","",IF($D1075="V01",cad!$C$36,IF($D1075="V02",cad!$D$36,cad!$E$36)))</f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>
        <f>IF($A1076="","",IF($D1076="V01",cad!$C$23,IF($D1076="V02",cad!$D$23,cad!$E$23)))</f>
      </c>
      <c r="H1076">
        <f>IF($A1076="","",IF($D1076="V01",cad!$C$24,IF($D1076="V02",cad!$D$24,cad!$E$24)))</f>
      </c>
      <c r="I1076">
        <f>IF($A1076="","",IF($D1076="V01",cad!$C$32,IF($D1076="V02",cad!$D$32,cad!$E$32)))</f>
      </c>
      <c r="J1076">
        <f>IF($A1076="","",IF($D1076="V01",cad!$C$33,IF($D1076="V02",cad!$D$33,cad!$E$33)))</f>
      </c>
      <c r="K1076">
        <f>IF($A1076="","",IF($D1076="V01",cad!$C$34,IF($D1076="V02",cad!$D$34,cad!$E$34)))</f>
      </c>
      <c r="L1076">
        <f>IF($A1076="","",IF($D1076="V01",cad!$C$35,IF($D1076="V02",cad!$D$35,cad!$E$35)))</f>
      </c>
      <c r="M1076">
        <f>IF($A1076="","",IF($D1076="V01",cad!$C$36,IF($D1076="V02",cad!$D$36,cad!$E$36)))</f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>
        <f>IF($A1077="","",IF($D1077="V01",cad!$C$23,IF($D1077="V02",cad!$D$23,cad!$E$23)))</f>
      </c>
      <c r="H1077">
        <f>IF($A1077="","",IF($D1077="V01",cad!$C$24,IF($D1077="V02",cad!$D$24,cad!$E$24)))</f>
      </c>
      <c r="I1077">
        <f>IF($A1077="","",IF($D1077="V01",cad!$C$32,IF($D1077="V02",cad!$D$32,cad!$E$32)))</f>
      </c>
      <c r="J1077">
        <f>IF($A1077="","",IF($D1077="V01",cad!$C$33,IF($D1077="V02",cad!$D$33,cad!$E$33)))</f>
      </c>
      <c r="K1077">
        <f>IF($A1077="","",IF($D1077="V01",cad!$C$34,IF($D1077="V02",cad!$D$34,cad!$E$34)))</f>
      </c>
      <c r="L1077">
        <f>IF($A1077="","",IF($D1077="V01",cad!$C$35,IF($D1077="V02",cad!$D$35,cad!$E$35)))</f>
      </c>
      <c r="M1077">
        <f>IF($A1077="","",IF($D1077="V01",cad!$C$36,IF($D1077="V02",cad!$D$36,cad!$E$36)))</f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>
        <f>IF($A1078="","",IF($D1078="V01",cad!$C$23,IF($D1078="V02",cad!$D$23,cad!$E$23)))</f>
      </c>
      <c r="H1078">
        <f>IF($A1078="","",IF($D1078="V01",cad!$C$24,IF($D1078="V02",cad!$D$24,cad!$E$24)))</f>
      </c>
      <c r="I1078">
        <f>IF($A1078="","",IF($D1078="V01",cad!$C$32,IF($D1078="V02",cad!$D$32,cad!$E$32)))</f>
      </c>
      <c r="J1078">
        <f>IF($A1078="","",IF($D1078="V01",cad!$C$33,IF($D1078="V02",cad!$D$33,cad!$E$33)))</f>
      </c>
      <c r="K1078">
        <f>IF($A1078="","",IF($D1078="V01",cad!$C$34,IF($D1078="V02",cad!$D$34,cad!$E$34)))</f>
      </c>
      <c r="L1078">
        <f>IF($A1078="","",IF($D1078="V01",cad!$C$35,IF($D1078="V02",cad!$D$35,cad!$E$35)))</f>
      </c>
      <c r="M1078">
        <f>IF($A1078="","",IF($D1078="V01",cad!$C$36,IF($D1078="V02",cad!$D$36,cad!$E$36)))</f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>
        <f>IF($A1079="","",IF($D1079="V01",cad!$C$23,IF($D1079="V02",cad!$D$23,cad!$E$23)))</f>
      </c>
      <c r="H1079">
        <f>IF($A1079="","",IF($D1079="V01",cad!$C$24,IF($D1079="V02",cad!$D$24,cad!$E$24)))</f>
      </c>
      <c r="I1079">
        <f>IF($A1079="","",IF($D1079="V01",cad!$C$32,IF($D1079="V02",cad!$D$32,cad!$E$32)))</f>
      </c>
      <c r="J1079">
        <f>IF($A1079="","",IF($D1079="V01",cad!$C$33,IF($D1079="V02",cad!$D$33,cad!$E$33)))</f>
      </c>
      <c r="K1079">
        <f>IF($A1079="","",IF($D1079="V01",cad!$C$34,IF($D1079="V02",cad!$D$34,cad!$E$34)))</f>
      </c>
      <c r="L1079">
        <f>IF($A1079="","",IF($D1079="V01",cad!$C$35,IF($D1079="V02",cad!$D$35,cad!$E$35)))</f>
      </c>
      <c r="M1079">
        <f>IF($A1079="","",IF($D1079="V01",cad!$C$36,IF($D1079="V02",cad!$D$36,cad!$E$36)))</f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>
        <f>IF($A1080="","",IF($D1080="V01",cad!$C$23,IF($D1080="V02",cad!$D$23,cad!$E$23)))</f>
      </c>
      <c r="H1080">
        <f>IF($A1080="","",IF($D1080="V01",cad!$C$24,IF($D1080="V02",cad!$D$24,cad!$E$24)))</f>
      </c>
      <c r="I1080">
        <f>IF($A1080="","",IF($D1080="V01",cad!$C$32,IF($D1080="V02",cad!$D$32,cad!$E$32)))</f>
      </c>
      <c r="J1080">
        <f>IF($A1080="","",IF($D1080="V01",cad!$C$33,IF($D1080="V02",cad!$D$33,cad!$E$33)))</f>
      </c>
      <c r="K1080">
        <f>IF($A1080="","",IF($D1080="V01",cad!$C$34,IF($D1080="V02",cad!$D$34,cad!$E$34)))</f>
      </c>
      <c r="L1080">
        <f>IF($A1080="","",IF($D1080="V01",cad!$C$35,IF($D1080="V02",cad!$D$35,cad!$E$35)))</f>
      </c>
      <c r="M1080">
        <f>IF($A1080="","",IF($D1080="V01",cad!$C$36,IF($D1080="V02",cad!$D$36,cad!$E$36)))</f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>
        <f>IF($A1081="","",IF($D1081="V01",cad!$C$23,IF($D1081="V02",cad!$D$23,cad!$E$23)))</f>
      </c>
      <c r="H1081">
        <f>IF($A1081="","",IF($D1081="V01",cad!$C$24,IF($D1081="V02",cad!$D$24,cad!$E$24)))</f>
      </c>
      <c r="I1081">
        <f>IF($A1081="","",IF($D1081="V01",cad!$C$32,IF($D1081="V02",cad!$D$32,cad!$E$32)))</f>
      </c>
      <c r="J1081">
        <f>IF($A1081="","",IF($D1081="V01",cad!$C$33,IF($D1081="V02",cad!$D$33,cad!$E$33)))</f>
      </c>
      <c r="K1081">
        <f>IF($A1081="","",IF($D1081="V01",cad!$C$34,IF($D1081="V02",cad!$D$34,cad!$E$34)))</f>
      </c>
      <c r="L1081">
        <f>IF($A1081="","",IF($D1081="V01",cad!$C$35,IF($D1081="V02",cad!$D$35,cad!$E$35)))</f>
      </c>
      <c r="M1081">
        <f>IF($A1081="","",IF($D1081="V01",cad!$C$36,IF($D1081="V02",cad!$D$36,cad!$E$36)))</f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>
        <f>IF($A1082="","",IF($D1082="V01",cad!$C$23,IF($D1082="V02",cad!$D$23,cad!$E$23)))</f>
      </c>
      <c r="H1082">
        <f>IF($A1082="","",IF($D1082="V01",cad!$C$24,IF($D1082="V02",cad!$D$24,cad!$E$24)))</f>
      </c>
      <c r="I1082">
        <f>IF($A1082="","",IF($D1082="V01",cad!$C$32,IF($D1082="V02",cad!$D$32,cad!$E$32)))</f>
      </c>
      <c r="J1082">
        <f>IF($A1082="","",IF($D1082="V01",cad!$C$33,IF($D1082="V02",cad!$D$33,cad!$E$33)))</f>
      </c>
      <c r="K1082">
        <f>IF($A1082="","",IF($D1082="V01",cad!$C$34,IF($D1082="V02",cad!$D$34,cad!$E$34)))</f>
      </c>
      <c r="L1082">
        <f>IF($A1082="","",IF($D1082="V01",cad!$C$35,IF($D1082="V02",cad!$D$35,cad!$E$35)))</f>
      </c>
      <c r="M1082">
        <f>IF($A1082="","",IF($D1082="V01",cad!$C$36,IF($D1082="V02",cad!$D$36,cad!$E$36)))</f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>
        <f>IF($A1083="","",IF($D1083="V01",cad!$C$23,IF($D1083="V02",cad!$D$23,cad!$E$23)))</f>
      </c>
      <c r="H1083">
        <f>IF($A1083="","",IF($D1083="V01",cad!$C$24,IF($D1083="V02",cad!$D$24,cad!$E$24)))</f>
      </c>
      <c r="I1083">
        <f>IF($A1083="","",IF($D1083="V01",cad!$C$32,IF($D1083="V02",cad!$D$32,cad!$E$32)))</f>
      </c>
      <c r="J1083">
        <f>IF($A1083="","",IF($D1083="V01",cad!$C$33,IF($D1083="V02",cad!$D$33,cad!$E$33)))</f>
      </c>
      <c r="K1083">
        <f>IF($A1083="","",IF($D1083="V01",cad!$C$34,IF($D1083="V02",cad!$D$34,cad!$E$34)))</f>
      </c>
      <c r="L1083">
        <f>IF($A1083="","",IF($D1083="V01",cad!$C$35,IF($D1083="V02",cad!$D$35,cad!$E$35)))</f>
      </c>
      <c r="M1083">
        <f>IF($A1083="","",IF($D1083="V01",cad!$C$36,IF($D1083="V02",cad!$D$36,cad!$E$36)))</f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>
        <f>IF($A1084="","",IF($D1084="V01",cad!$C$23,IF($D1084="V02",cad!$D$23,cad!$E$23)))</f>
      </c>
      <c r="H1084">
        <f>IF($A1084="","",IF($D1084="V01",cad!$C$24,IF($D1084="V02",cad!$D$24,cad!$E$24)))</f>
      </c>
      <c r="I1084">
        <f>IF($A1084="","",IF($D1084="V01",cad!$C$32,IF($D1084="V02",cad!$D$32,cad!$E$32)))</f>
      </c>
      <c r="J1084">
        <f>IF($A1084="","",IF($D1084="V01",cad!$C$33,IF($D1084="V02",cad!$D$33,cad!$E$33)))</f>
      </c>
      <c r="K1084">
        <f>IF($A1084="","",IF($D1084="V01",cad!$C$34,IF($D1084="V02",cad!$D$34,cad!$E$34)))</f>
      </c>
      <c r="L1084">
        <f>IF($A1084="","",IF($D1084="V01",cad!$C$35,IF($D1084="V02",cad!$D$35,cad!$E$35)))</f>
      </c>
      <c r="M1084">
        <f>IF($A1084="","",IF($D1084="V01",cad!$C$36,IF($D1084="V02",cad!$D$36,cad!$E$36)))</f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>
        <f>IF($A1085="","",IF($D1085="V01",cad!$C$23,IF($D1085="V02",cad!$D$23,cad!$E$23)))</f>
      </c>
      <c r="H1085">
        <f>IF($A1085="","",IF($D1085="V01",cad!$C$24,IF($D1085="V02",cad!$D$24,cad!$E$24)))</f>
      </c>
      <c r="I1085">
        <f>IF($A1085="","",IF($D1085="V01",cad!$C$32,IF($D1085="V02",cad!$D$32,cad!$E$32)))</f>
      </c>
      <c r="J1085">
        <f>IF($A1085="","",IF($D1085="V01",cad!$C$33,IF($D1085="V02",cad!$D$33,cad!$E$33)))</f>
      </c>
      <c r="K1085">
        <f>IF($A1085="","",IF($D1085="V01",cad!$C$34,IF($D1085="V02",cad!$D$34,cad!$E$34)))</f>
      </c>
      <c r="L1085">
        <f>IF($A1085="","",IF($D1085="V01",cad!$C$35,IF($D1085="V02",cad!$D$35,cad!$E$35)))</f>
      </c>
      <c r="M1085">
        <f>IF($A1085="","",IF($D1085="V01",cad!$C$36,IF($D1085="V02",cad!$D$36,cad!$E$36)))</f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>
        <f>IF($A1086="","",IF($D1086="V01",cad!$C$23,IF($D1086="V02",cad!$D$23,cad!$E$23)))</f>
      </c>
      <c r="H1086">
        <f>IF($A1086="","",IF($D1086="V01",cad!$C$24,IF($D1086="V02",cad!$D$24,cad!$E$24)))</f>
      </c>
      <c r="I1086">
        <f>IF($A1086="","",IF($D1086="V01",cad!$C$32,IF($D1086="V02",cad!$D$32,cad!$E$32)))</f>
      </c>
      <c r="J1086">
        <f>IF($A1086="","",IF($D1086="V01",cad!$C$33,IF($D1086="V02",cad!$D$33,cad!$E$33)))</f>
      </c>
      <c r="K1086">
        <f>IF($A1086="","",IF($D1086="V01",cad!$C$34,IF($D1086="V02",cad!$D$34,cad!$E$34)))</f>
      </c>
      <c r="L1086">
        <f>IF($A1086="","",IF($D1086="V01",cad!$C$35,IF($D1086="V02",cad!$D$35,cad!$E$35)))</f>
      </c>
      <c r="M1086">
        <f>IF($A1086="","",IF($D1086="V01",cad!$C$36,IF($D1086="V02",cad!$D$36,cad!$E$36)))</f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>
        <f>IF($A1087="","",IF($D1087="V01",cad!$C$23,IF($D1087="V02",cad!$D$23,cad!$E$23)))</f>
      </c>
      <c r="H1087">
        <f>IF($A1087="","",IF($D1087="V01",cad!$C$24,IF($D1087="V02",cad!$D$24,cad!$E$24)))</f>
      </c>
      <c r="I1087">
        <f>IF($A1087="","",IF($D1087="V01",cad!$C$32,IF($D1087="V02",cad!$D$32,cad!$E$32)))</f>
      </c>
      <c r="J1087">
        <f>IF($A1087="","",IF($D1087="V01",cad!$C$33,IF($D1087="V02",cad!$D$33,cad!$E$33)))</f>
      </c>
      <c r="K1087">
        <f>IF($A1087="","",IF($D1087="V01",cad!$C$34,IF($D1087="V02",cad!$D$34,cad!$E$34)))</f>
      </c>
      <c r="L1087">
        <f>IF($A1087="","",IF($D1087="V01",cad!$C$35,IF($D1087="V02",cad!$D$35,cad!$E$35)))</f>
      </c>
      <c r="M1087">
        <f>IF($A1087="","",IF($D1087="V01",cad!$C$36,IF($D1087="V02",cad!$D$36,cad!$E$36)))</f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>
        <f>IF($A1088="","",IF($D1088="V01",cad!$C$23,IF($D1088="V02",cad!$D$23,cad!$E$23)))</f>
      </c>
      <c r="H1088">
        <f>IF($A1088="","",IF($D1088="V01",cad!$C$24,IF($D1088="V02",cad!$D$24,cad!$E$24)))</f>
      </c>
      <c r="I1088">
        <f>IF($A1088="","",IF($D1088="V01",cad!$C$32,IF($D1088="V02",cad!$D$32,cad!$E$32)))</f>
      </c>
      <c r="J1088">
        <f>IF($A1088="","",IF($D1088="V01",cad!$C$33,IF($D1088="V02",cad!$D$33,cad!$E$33)))</f>
      </c>
      <c r="K1088">
        <f>IF($A1088="","",IF($D1088="V01",cad!$C$34,IF($D1088="V02",cad!$D$34,cad!$E$34)))</f>
      </c>
      <c r="L1088">
        <f>IF($A1088="","",IF($D1088="V01",cad!$C$35,IF($D1088="V02",cad!$D$35,cad!$E$35)))</f>
      </c>
      <c r="M1088">
        <f>IF($A1088="","",IF($D1088="V01",cad!$C$36,IF($D1088="V02",cad!$D$36,cad!$E$36)))</f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>
        <f>IF($A1089="","",IF($D1089="V01",cad!$C$23,IF($D1089="V02",cad!$D$23,cad!$E$23)))</f>
      </c>
      <c r="H1089">
        <f>IF($A1089="","",IF($D1089="V01",cad!$C$24,IF($D1089="V02",cad!$D$24,cad!$E$24)))</f>
      </c>
      <c r="I1089">
        <f>IF($A1089="","",IF($D1089="V01",cad!$C$32,IF($D1089="V02",cad!$D$32,cad!$E$32)))</f>
      </c>
      <c r="J1089">
        <f>IF($A1089="","",IF($D1089="V01",cad!$C$33,IF($D1089="V02",cad!$D$33,cad!$E$33)))</f>
      </c>
      <c r="K1089">
        <f>IF($A1089="","",IF($D1089="V01",cad!$C$34,IF($D1089="V02",cad!$D$34,cad!$E$34)))</f>
      </c>
      <c r="L1089">
        <f>IF($A1089="","",IF($D1089="V01",cad!$C$35,IF($D1089="V02",cad!$D$35,cad!$E$35)))</f>
      </c>
      <c r="M1089">
        <f>IF($A1089="","",IF($D1089="V01",cad!$C$36,IF($D1089="V02",cad!$D$36,cad!$E$36)))</f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>
        <f>IF($A1090="","",IF($D1090="V01",cad!$C$23,IF($D1090="V02",cad!$D$23,cad!$E$23)))</f>
      </c>
      <c r="H1090">
        <f>IF($A1090="","",IF($D1090="V01",cad!$C$24,IF($D1090="V02",cad!$D$24,cad!$E$24)))</f>
      </c>
      <c r="I1090">
        <f>IF($A1090="","",IF($D1090="V01",cad!$C$32,IF($D1090="V02",cad!$D$32,cad!$E$32)))</f>
      </c>
      <c r="J1090">
        <f>IF($A1090="","",IF($D1090="V01",cad!$C$33,IF($D1090="V02",cad!$D$33,cad!$E$33)))</f>
      </c>
      <c r="K1090">
        <f>IF($A1090="","",IF($D1090="V01",cad!$C$34,IF($D1090="V02",cad!$D$34,cad!$E$34)))</f>
      </c>
      <c r="L1090">
        <f>IF($A1090="","",IF($D1090="V01",cad!$C$35,IF($D1090="V02",cad!$D$35,cad!$E$35)))</f>
      </c>
      <c r="M1090">
        <f>IF($A1090="","",IF($D1090="V01",cad!$C$36,IF($D1090="V02",cad!$D$36,cad!$E$36)))</f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>
        <f>IF($A1091="","",IF($D1091="V01",cad!$C$23,IF($D1091="V02",cad!$D$23,cad!$E$23)))</f>
      </c>
      <c r="H1091">
        <f>IF($A1091="","",IF($D1091="V01",cad!$C$24,IF($D1091="V02",cad!$D$24,cad!$E$24)))</f>
      </c>
      <c r="I1091">
        <f>IF($A1091="","",IF($D1091="V01",cad!$C$32,IF($D1091="V02",cad!$D$32,cad!$E$32)))</f>
      </c>
      <c r="J1091">
        <f>IF($A1091="","",IF($D1091="V01",cad!$C$33,IF($D1091="V02",cad!$D$33,cad!$E$33)))</f>
      </c>
      <c r="K1091">
        <f>IF($A1091="","",IF($D1091="V01",cad!$C$34,IF($D1091="V02",cad!$D$34,cad!$E$34)))</f>
      </c>
      <c r="L1091">
        <f>IF($A1091="","",IF($D1091="V01",cad!$C$35,IF($D1091="V02",cad!$D$35,cad!$E$35)))</f>
      </c>
      <c r="M1091">
        <f>IF($A1091="","",IF($D1091="V01",cad!$C$36,IF($D1091="V02",cad!$D$36,cad!$E$36)))</f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>
        <f>IF($A1092="","",IF($D1092="V01",cad!$C$23,IF($D1092="V02",cad!$D$23,cad!$E$23)))</f>
      </c>
      <c r="H1092">
        <f>IF($A1092="","",IF($D1092="V01",cad!$C$24,IF($D1092="V02",cad!$D$24,cad!$E$24)))</f>
      </c>
      <c r="I1092">
        <f>IF($A1092="","",IF($D1092="V01",cad!$C$32,IF($D1092="V02",cad!$D$32,cad!$E$32)))</f>
      </c>
      <c r="J1092">
        <f>IF($A1092="","",IF($D1092="V01",cad!$C$33,IF($D1092="V02",cad!$D$33,cad!$E$33)))</f>
      </c>
      <c r="K1092">
        <f>IF($A1092="","",IF($D1092="V01",cad!$C$34,IF($D1092="V02",cad!$D$34,cad!$E$34)))</f>
      </c>
      <c r="L1092">
        <f>IF($A1092="","",IF($D1092="V01",cad!$C$35,IF($D1092="V02",cad!$D$35,cad!$E$35)))</f>
      </c>
      <c r="M1092">
        <f>IF($A1092="","",IF($D1092="V01",cad!$C$36,IF($D1092="V02",cad!$D$36,cad!$E$36)))</f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>
        <f>IF($A1093="","",IF($D1093="V01",cad!$C$23,IF($D1093="V02",cad!$D$23,cad!$E$23)))</f>
      </c>
      <c r="H1093">
        <f>IF($A1093="","",IF($D1093="V01",cad!$C$24,IF($D1093="V02",cad!$D$24,cad!$E$24)))</f>
      </c>
      <c r="I1093">
        <f>IF($A1093="","",IF($D1093="V01",cad!$C$32,IF($D1093="V02",cad!$D$32,cad!$E$32)))</f>
      </c>
      <c r="J1093">
        <f>IF($A1093="","",IF($D1093="V01",cad!$C$33,IF($D1093="V02",cad!$D$33,cad!$E$33)))</f>
      </c>
      <c r="K1093">
        <f>IF($A1093="","",IF($D1093="V01",cad!$C$34,IF($D1093="V02",cad!$D$34,cad!$E$34)))</f>
      </c>
      <c r="L1093">
        <f>IF($A1093="","",IF($D1093="V01",cad!$C$35,IF($D1093="V02",cad!$D$35,cad!$E$35)))</f>
      </c>
      <c r="M1093">
        <f>IF($A1093="","",IF($D1093="V01",cad!$C$36,IF($D1093="V02",cad!$D$36,cad!$E$36)))</f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>
        <f>IF($A1094="","",IF($D1094="V01",cad!$C$23,IF($D1094="V02",cad!$D$23,cad!$E$23)))</f>
      </c>
      <c r="H1094">
        <f>IF($A1094="","",IF($D1094="V01",cad!$C$24,IF($D1094="V02",cad!$D$24,cad!$E$24)))</f>
      </c>
      <c r="I1094">
        <f>IF($A1094="","",IF($D1094="V01",cad!$C$32,IF($D1094="V02",cad!$D$32,cad!$E$32)))</f>
      </c>
      <c r="J1094">
        <f>IF($A1094="","",IF($D1094="V01",cad!$C$33,IF($D1094="V02",cad!$D$33,cad!$E$33)))</f>
      </c>
      <c r="K1094">
        <f>IF($A1094="","",IF($D1094="V01",cad!$C$34,IF($D1094="V02",cad!$D$34,cad!$E$34)))</f>
      </c>
      <c r="L1094">
        <f>IF($A1094="","",IF($D1094="V01",cad!$C$35,IF($D1094="V02",cad!$D$35,cad!$E$35)))</f>
      </c>
      <c r="M1094">
        <f>IF($A1094="","",IF($D1094="V01",cad!$C$36,IF($D1094="V02",cad!$D$36,cad!$E$36)))</f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>
        <f>IF($A1095="","",IF($D1095="V01",cad!$C$23,IF($D1095="V02",cad!$D$23,cad!$E$23)))</f>
      </c>
      <c r="H1095">
        <f>IF($A1095="","",IF($D1095="V01",cad!$C$24,IF($D1095="V02",cad!$D$24,cad!$E$24)))</f>
      </c>
      <c r="I1095">
        <f>IF($A1095="","",IF($D1095="V01",cad!$C$32,IF($D1095="V02",cad!$D$32,cad!$E$32)))</f>
      </c>
      <c r="J1095">
        <f>IF($A1095="","",IF($D1095="V01",cad!$C$33,IF($D1095="V02",cad!$D$33,cad!$E$33)))</f>
      </c>
      <c r="K1095">
        <f>IF($A1095="","",IF($D1095="V01",cad!$C$34,IF($D1095="V02",cad!$D$34,cad!$E$34)))</f>
      </c>
      <c r="L1095">
        <f>IF($A1095="","",IF($D1095="V01",cad!$C$35,IF($D1095="V02",cad!$D$35,cad!$E$35)))</f>
      </c>
      <c r="M1095">
        <f>IF($A1095="","",IF($D1095="V01",cad!$C$36,IF($D1095="V02",cad!$D$36,cad!$E$36)))</f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>
        <f>IF($A1096="","",IF($D1096="V01",cad!$C$23,IF($D1096="V02",cad!$D$23,cad!$E$23)))</f>
      </c>
      <c r="H1096">
        <f>IF($A1096="","",IF($D1096="V01",cad!$C$24,IF($D1096="V02",cad!$D$24,cad!$E$24)))</f>
      </c>
      <c r="I1096">
        <f>IF($A1096="","",IF($D1096="V01",cad!$C$32,IF($D1096="V02",cad!$D$32,cad!$E$32)))</f>
      </c>
      <c r="J1096">
        <f>IF($A1096="","",IF($D1096="V01",cad!$C$33,IF($D1096="V02",cad!$D$33,cad!$E$33)))</f>
      </c>
      <c r="K1096">
        <f>IF($A1096="","",IF($D1096="V01",cad!$C$34,IF($D1096="V02",cad!$D$34,cad!$E$34)))</f>
      </c>
      <c r="L1096">
        <f>IF($A1096="","",IF($D1096="V01",cad!$C$35,IF($D1096="V02",cad!$D$35,cad!$E$35)))</f>
      </c>
      <c r="M1096">
        <f>IF($A1096="","",IF($D1096="V01",cad!$C$36,IF($D1096="V02",cad!$D$36,cad!$E$36)))</f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>
        <f>IF($A1097="","",IF($D1097="V01",cad!$C$23,IF($D1097="V02",cad!$D$23,cad!$E$23)))</f>
      </c>
      <c r="H1097">
        <f>IF($A1097="","",IF($D1097="V01",cad!$C$24,IF($D1097="V02",cad!$D$24,cad!$E$24)))</f>
      </c>
      <c r="I1097">
        <f>IF($A1097="","",IF($D1097="V01",cad!$C$32,IF($D1097="V02",cad!$D$32,cad!$E$32)))</f>
      </c>
      <c r="J1097">
        <f>IF($A1097="","",IF($D1097="V01",cad!$C$33,IF($D1097="V02",cad!$D$33,cad!$E$33)))</f>
      </c>
      <c r="K1097">
        <f>IF($A1097="","",IF($D1097="V01",cad!$C$34,IF($D1097="V02",cad!$D$34,cad!$E$34)))</f>
      </c>
      <c r="L1097">
        <f>IF($A1097="","",IF($D1097="V01",cad!$C$35,IF($D1097="V02",cad!$D$35,cad!$E$35)))</f>
      </c>
      <c r="M1097">
        <f>IF($A1097="","",IF($D1097="V01",cad!$C$36,IF($D1097="V02",cad!$D$36,cad!$E$36)))</f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>
        <f>IF($A1098="","",IF($D1098="V01",cad!$C$23,IF($D1098="V02",cad!$D$23,cad!$E$23)))</f>
      </c>
      <c r="H1098">
        <f>IF($A1098="","",IF($D1098="V01",cad!$C$24,IF($D1098="V02",cad!$D$24,cad!$E$24)))</f>
      </c>
      <c r="I1098">
        <f>IF($A1098="","",IF($D1098="V01",cad!$C$32,IF($D1098="V02",cad!$D$32,cad!$E$32)))</f>
      </c>
      <c r="J1098">
        <f>IF($A1098="","",IF($D1098="V01",cad!$C$33,IF($D1098="V02",cad!$D$33,cad!$E$33)))</f>
      </c>
      <c r="K1098">
        <f>IF($A1098="","",IF($D1098="V01",cad!$C$34,IF($D1098="V02",cad!$D$34,cad!$E$34)))</f>
      </c>
      <c r="L1098">
        <f>IF($A1098="","",IF($D1098="V01",cad!$C$35,IF($D1098="V02",cad!$D$35,cad!$E$35)))</f>
      </c>
      <c r="M1098">
        <f>IF($A1098="","",IF($D1098="V01",cad!$C$36,IF($D1098="V02",cad!$D$36,cad!$E$36)))</f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>
        <f>IF($A1099="","",IF($D1099="V01",cad!$C$23,IF($D1099="V02",cad!$D$23,cad!$E$23)))</f>
      </c>
      <c r="H1099">
        <f>IF($A1099="","",IF($D1099="V01",cad!$C$24,IF($D1099="V02",cad!$D$24,cad!$E$24)))</f>
      </c>
      <c r="I1099">
        <f>IF($A1099="","",IF($D1099="V01",cad!$C$32,IF($D1099="V02",cad!$D$32,cad!$E$32)))</f>
      </c>
      <c r="J1099">
        <f>IF($A1099="","",IF($D1099="V01",cad!$C$33,IF($D1099="V02",cad!$D$33,cad!$E$33)))</f>
      </c>
      <c r="K1099">
        <f>IF($A1099="","",IF($D1099="V01",cad!$C$34,IF($D1099="V02",cad!$D$34,cad!$E$34)))</f>
      </c>
      <c r="L1099">
        <f>IF($A1099="","",IF($D1099="V01",cad!$C$35,IF($D1099="V02",cad!$D$35,cad!$E$35)))</f>
      </c>
      <c r="M1099">
        <f>IF($A1099="","",IF($D1099="V01",cad!$C$36,IF($D1099="V02",cad!$D$36,cad!$E$36)))</f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>
        <f>IF($A1100="","",IF($D1100="V01",cad!$C$23,IF($D1100="V02",cad!$D$23,cad!$E$23)))</f>
      </c>
      <c r="H1100">
        <f>IF($A1100="","",IF($D1100="V01",cad!$C$24,IF($D1100="V02",cad!$D$24,cad!$E$24)))</f>
      </c>
      <c r="I1100">
        <f>IF($A1100="","",IF($D1100="V01",cad!$C$32,IF($D1100="V02",cad!$D$32,cad!$E$32)))</f>
      </c>
      <c r="J1100">
        <f>IF($A1100="","",IF($D1100="V01",cad!$C$33,IF($D1100="V02",cad!$D$33,cad!$E$33)))</f>
      </c>
      <c r="K1100">
        <f>IF($A1100="","",IF($D1100="V01",cad!$C$34,IF($D1100="V02",cad!$D$34,cad!$E$34)))</f>
      </c>
      <c r="L1100">
        <f>IF($A1100="","",IF($D1100="V01",cad!$C$35,IF($D1100="V02",cad!$D$35,cad!$E$35)))</f>
      </c>
      <c r="M1100">
        <f>IF($A1100="","",IF($D1100="V01",cad!$C$36,IF($D1100="V02",cad!$D$36,cad!$E$36)))</f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>
        <f>IF($A1101="","",IF($D1101="V01",cad!$C$23,IF($D1101="V02",cad!$D$23,cad!$E$23)))</f>
      </c>
      <c r="H1101">
        <f>IF($A1101="","",IF($D1101="V01",cad!$C$24,IF($D1101="V02",cad!$D$24,cad!$E$24)))</f>
      </c>
      <c r="I1101">
        <f>IF($A1101="","",IF($D1101="V01",cad!$C$32,IF($D1101="V02",cad!$D$32,cad!$E$32)))</f>
      </c>
      <c r="J1101">
        <f>IF($A1101="","",IF($D1101="V01",cad!$C$33,IF($D1101="V02",cad!$D$33,cad!$E$33)))</f>
      </c>
      <c r="K1101">
        <f>IF($A1101="","",IF($D1101="V01",cad!$C$34,IF($D1101="V02",cad!$D$34,cad!$E$34)))</f>
      </c>
      <c r="L1101">
        <f>IF($A1101="","",IF($D1101="V01",cad!$C$35,IF($D1101="V02",cad!$D$35,cad!$E$35)))</f>
      </c>
      <c r="M1101">
        <f>IF($A1101="","",IF($D1101="V01",cad!$C$36,IF($D1101="V02",cad!$D$36,cad!$E$36)))</f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>
        <f>IF($A1102="","",IF($D1102="V01",cad!$C$23,IF($D1102="V02",cad!$D$23,cad!$E$23)))</f>
      </c>
      <c r="H1102">
        <f>IF($A1102="","",IF($D1102="V01",cad!$C$24,IF($D1102="V02",cad!$D$24,cad!$E$24)))</f>
      </c>
      <c r="I1102">
        <f>IF($A1102="","",IF($D1102="V01",cad!$C$32,IF($D1102="V02",cad!$D$32,cad!$E$32)))</f>
      </c>
      <c r="J1102">
        <f>IF($A1102="","",IF($D1102="V01",cad!$C$33,IF($D1102="V02",cad!$D$33,cad!$E$33)))</f>
      </c>
      <c r="K1102">
        <f>IF($A1102="","",IF($D1102="V01",cad!$C$34,IF($D1102="V02",cad!$D$34,cad!$E$34)))</f>
      </c>
      <c r="L1102">
        <f>IF($A1102="","",IF($D1102="V01",cad!$C$35,IF($D1102="V02",cad!$D$35,cad!$E$35)))</f>
      </c>
      <c r="M1102">
        <f>IF($A1102="","",IF($D1102="V01",cad!$C$36,IF($D1102="V02",cad!$D$36,cad!$E$36)))</f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>
        <f>IF($A1103="","",IF($D1103="V01",cad!$C$23,IF($D1103="V02",cad!$D$23,cad!$E$23)))</f>
      </c>
      <c r="H1103">
        <f>IF($A1103="","",IF($D1103="V01",cad!$C$24,IF($D1103="V02",cad!$D$24,cad!$E$24)))</f>
      </c>
      <c r="I1103">
        <f>IF($A1103="","",IF($D1103="V01",cad!$C$32,IF($D1103="V02",cad!$D$32,cad!$E$32)))</f>
      </c>
      <c r="J1103">
        <f>IF($A1103="","",IF($D1103="V01",cad!$C$33,IF($D1103="V02",cad!$D$33,cad!$E$33)))</f>
      </c>
      <c r="K1103">
        <f>IF($A1103="","",IF($D1103="V01",cad!$C$34,IF($D1103="V02",cad!$D$34,cad!$E$34)))</f>
      </c>
      <c r="L1103">
        <f>IF($A1103="","",IF($D1103="V01",cad!$C$35,IF($D1103="V02",cad!$D$35,cad!$E$35)))</f>
      </c>
      <c r="M1103">
        <f>IF($A1103="","",IF($D1103="V01",cad!$C$36,IF($D1103="V02",cad!$D$36,cad!$E$36)))</f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>
        <f>IF($A1104="","",IF($D1104="V01",cad!$C$23,IF($D1104="V02",cad!$D$23,cad!$E$23)))</f>
      </c>
      <c r="H1104">
        <f>IF($A1104="","",IF($D1104="V01",cad!$C$24,IF($D1104="V02",cad!$D$24,cad!$E$24)))</f>
      </c>
      <c r="I1104">
        <f>IF($A1104="","",IF($D1104="V01",cad!$C$32,IF($D1104="V02",cad!$D$32,cad!$E$32)))</f>
      </c>
      <c r="J1104">
        <f>IF($A1104="","",IF($D1104="V01",cad!$C$33,IF($D1104="V02",cad!$D$33,cad!$E$33)))</f>
      </c>
      <c r="K1104">
        <f>IF($A1104="","",IF($D1104="V01",cad!$C$34,IF($D1104="V02",cad!$D$34,cad!$E$34)))</f>
      </c>
      <c r="L1104">
        <f>IF($A1104="","",IF($D1104="V01",cad!$C$35,IF($D1104="V02",cad!$D$35,cad!$E$35)))</f>
      </c>
      <c r="M1104">
        <f>IF($A1104="","",IF($D1104="V01",cad!$C$36,IF($D1104="V02",cad!$D$36,cad!$E$36)))</f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>
        <f>IF($A1105="","",IF($D1105="V01",cad!$C$23,IF($D1105="V02",cad!$D$23,cad!$E$23)))</f>
      </c>
      <c r="H1105">
        <f>IF($A1105="","",IF($D1105="V01",cad!$C$24,IF($D1105="V02",cad!$D$24,cad!$E$24)))</f>
      </c>
      <c r="I1105">
        <f>IF($A1105="","",IF($D1105="V01",cad!$C$32,IF($D1105="V02",cad!$D$32,cad!$E$32)))</f>
      </c>
      <c r="J1105">
        <f>IF($A1105="","",IF($D1105="V01",cad!$C$33,IF($D1105="V02",cad!$D$33,cad!$E$33)))</f>
      </c>
      <c r="K1105">
        <f>IF($A1105="","",IF($D1105="V01",cad!$C$34,IF($D1105="V02",cad!$D$34,cad!$E$34)))</f>
      </c>
      <c r="L1105">
        <f>IF($A1105="","",IF($D1105="V01",cad!$C$35,IF($D1105="V02",cad!$D$35,cad!$E$35)))</f>
      </c>
      <c r="M1105">
        <f>IF($A1105="","",IF($D1105="V01",cad!$C$36,IF($D1105="V02",cad!$D$36,cad!$E$36)))</f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>
        <f>IF($A1106="","",IF($D1106="V01",cad!$C$23,IF($D1106="V02",cad!$D$23,cad!$E$23)))</f>
      </c>
      <c r="H1106">
        <f>IF($A1106="","",IF($D1106="V01",cad!$C$24,IF($D1106="V02",cad!$D$24,cad!$E$24)))</f>
      </c>
      <c r="I1106">
        <f>IF($A1106="","",IF($D1106="V01",cad!$C$32,IF($D1106="V02",cad!$D$32,cad!$E$32)))</f>
      </c>
      <c r="J1106">
        <f>IF($A1106="","",IF($D1106="V01",cad!$C$33,IF($D1106="V02",cad!$D$33,cad!$E$33)))</f>
      </c>
      <c r="K1106">
        <f>IF($A1106="","",IF($D1106="V01",cad!$C$34,IF($D1106="V02",cad!$D$34,cad!$E$34)))</f>
      </c>
      <c r="L1106">
        <f>IF($A1106="","",IF($D1106="V01",cad!$C$35,IF($D1106="V02",cad!$D$35,cad!$E$35)))</f>
      </c>
      <c r="M1106">
        <f>IF($A1106="","",IF($D1106="V01",cad!$C$36,IF($D1106="V02",cad!$D$36,cad!$E$36)))</f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>
        <f>IF($A1107="","",IF($D1107="V01",cad!$C$23,IF($D1107="V02",cad!$D$23,cad!$E$23)))</f>
      </c>
      <c r="H1107">
        <f>IF($A1107="","",IF($D1107="V01",cad!$C$24,IF($D1107="V02",cad!$D$24,cad!$E$24)))</f>
      </c>
      <c r="I1107">
        <f>IF($A1107="","",IF($D1107="V01",cad!$C$32,IF($D1107="V02",cad!$D$32,cad!$E$32)))</f>
      </c>
      <c r="J1107">
        <f>IF($A1107="","",IF($D1107="V01",cad!$C$33,IF($D1107="V02",cad!$D$33,cad!$E$33)))</f>
      </c>
      <c r="K1107">
        <f>IF($A1107="","",IF($D1107="V01",cad!$C$34,IF($D1107="V02",cad!$D$34,cad!$E$34)))</f>
      </c>
      <c r="L1107">
        <f>IF($A1107="","",IF($D1107="V01",cad!$C$35,IF($D1107="V02",cad!$D$35,cad!$E$35)))</f>
      </c>
      <c r="M1107">
        <f>IF($A1107="","",IF($D1107="V01",cad!$C$36,IF($D1107="V02",cad!$D$36,cad!$E$36)))</f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>
        <f>IF($A1108="","",IF($D1108="V01",cad!$C$23,IF($D1108="V02",cad!$D$23,cad!$E$23)))</f>
      </c>
      <c r="H1108">
        <f>IF($A1108="","",IF($D1108="V01",cad!$C$24,IF($D1108="V02",cad!$D$24,cad!$E$24)))</f>
      </c>
      <c r="I1108">
        <f>IF($A1108="","",IF($D1108="V01",cad!$C$32,IF($D1108="V02",cad!$D$32,cad!$E$32)))</f>
      </c>
      <c r="J1108">
        <f>IF($A1108="","",IF($D1108="V01",cad!$C$33,IF($D1108="V02",cad!$D$33,cad!$E$33)))</f>
      </c>
      <c r="K1108">
        <f>IF($A1108="","",IF($D1108="V01",cad!$C$34,IF($D1108="V02",cad!$D$34,cad!$E$34)))</f>
      </c>
      <c r="L1108">
        <f>IF($A1108="","",IF($D1108="V01",cad!$C$35,IF($D1108="V02",cad!$D$35,cad!$E$35)))</f>
      </c>
      <c r="M1108">
        <f>IF($A1108="","",IF($D1108="V01",cad!$C$36,IF($D1108="V02",cad!$D$36,cad!$E$36)))</f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>
        <f>IF($A1109="","",IF($D1109="V01",cad!$C$23,IF($D1109="V02",cad!$D$23,cad!$E$23)))</f>
      </c>
      <c r="H1109">
        <f>IF($A1109="","",IF($D1109="V01",cad!$C$24,IF($D1109="V02",cad!$D$24,cad!$E$24)))</f>
      </c>
      <c r="I1109">
        <f>IF($A1109="","",IF($D1109="V01",cad!$C$32,IF($D1109="V02",cad!$D$32,cad!$E$32)))</f>
      </c>
      <c r="J1109">
        <f>IF($A1109="","",IF($D1109="V01",cad!$C$33,IF($D1109="V02",cad!$D$33,cad!$E$33)))</f>
      </c>
      <c r="K1109">
        <f>IF($A1109="","",IF($D1109="V01",cad!$C$34,IF($D1109="V02",cad!$D$34,cad!$E$34)))</f>
      </c>
      <c r="L1109">
        <f>IF($A1109="","",IF($D1109="V01",cad!$C$35,IF($D1109="V02",cad!$D$35,cad!$E$35)))</f>
      </c>
      <c r="M1109">
        <f>IF($A1109="","",IF($D1109="V01",cad!$C$36,IF($D1109="V02",cad!$D$36,cad!$E$36)))</f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>
        <f>IF($A1110="","",IF($D1110="V01",cad!$C$23,IF($D1110="V02",cad!$D$23,cad!$E$23)))</f>
      </c>
      <c r="H1110">
        <f>IF($A1110="","",IF($D1110="V01",cad!$C$24,IF($D1110="V02",cad!$D$24,cad!$E$24)))</f>
      </c>
      <c r="I1110">
        <f>IF($A1110="","",IF($D1110="V01",cad!$C$32,IF($D1110="V02",cad!$D$32,cad!$E$32)))</f>
      </c>
      <c r="J1110">
        <f>IF($A1110="","",IF($D1110="V01",cad!$C$33,IF($D1110="V02",cad!$D$33,cad!$E$33)))</f>
      </c>
      <c r="K1110">
        <f>IF($A1110="","",IF($D1110="V01",cad!$C$34,IF($D1110="V02",cad!$D$34,cad!$E$34)))</f>
      </c>
      <c r="L1110">
        <f>IF($A1110="","",IF($D1110="V01",cad!$C$35,IF($D1110="V02",cad!$D$35,cad!$E$35)))</f>
      </c>
      <c r="M1110">
        <f>IF($A1110="","",IF($D1110="V01",cad!$C$36,IF($D1110="V02",cad!$D$36,cad!$E$36)))</f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>
        <f>IF($A1111="","",IF($D1111="V01",cad!$C$23,IF($D1111="V02",cad!$D$23,cad!$E$23)))</f>
      </c>
      <c r="H1111">
        <f>IF($A1111="","",IF($D1111="V01",cad!$C$24,IF($D1111="V02",cad!$D$24,cad!$E$24)))</f>
      </c>
      <c r="I1111">
        <f>IF($A1111="","",IF($D1111="V01",cad!$C$32,IF($D1111="V02",cad!$D$32,cad!$E$32)))</f>
      </c>
      <c r="J1111">
        <f>IF($A1111="","",IF($D1111="V01",cad!$C$33,IF($D1111="V02",cad!$D$33,cad!$E$33)))</f>
      </c>
      <c r="K1111">
        <f>IF($A1111="","",IF($D1111="V01",cad!$C$34,IF($D1111="V02",cad!$D$34,cad!$E$34)))</f>
      </c>
      <c r="L1111">
        <f>IF($A1111="","",IF($D1111="V01",cad!$C$35,IF($D1111="V02",cad!$D$35,cad!$E$35)))</f>
      </c>
      <c r="M1111">
        <f>IF($A1111="","",IF($D1111="V01",cad!$C$36,IF($D1111="V02",cad!$D$36,cad!$E$36)))</f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>
        <f>IF($A1112="","",IF($D1112="V01",cad!$C$23,IF($D1112="V02",cad!$D$23,cad!$E$23)))</f>
      </c>
      <c r="H1112">
        <f>IF($A1112="","",IF($D1112="V01",cad!$C$24,IF($D1112="V02",cad!$D$24,cad!$E$24)))</f>
      </c>
      <c r="I1112">
        <f>IF($A1112="","",IF($D1112="V01",cad!$C$32,IF($D1112="V02",cad!$D$32,cad!$E$32)))</f>
      </c>
      <c r="J1112">
        <f>IF($A1112="","",IF($D1112="V01",cad!$C$33,IF($D1112="V02",cad!$D$33,cad!$E$33)))</f>
      </c>
      <c r="K1112">
        <f>IF($A1112="","",IF($D1112="V01",cad!$C$34,IF($D1112="V02",cad!$D$34,cad!$E$34)))</f>
      </c>
      <c r="L1112">
        <f>IF($A1112="","",IF($D1112="V01",cad!$C$35,IF($D1112="V02",cad!$D$35,cad!$E$35)))</f>
      </c>
      <c r="M1112">
        <f>IF($A1112="","",IF($D1112="V01",cad!$C$36,IF($D1112="V02",cad!$D$36,cad!$E$36)))</f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>
        <f>IF($A1113="","",IF($D1113="V01",cad!$C$23,IF($D1113="V02",cad!$D$23,cad!$E$23)))</f>
      </c>
      <c r="H1113">
        <f>IF($A1113="","",IF($D1113="V01",cad!$C$24,IF($D1113="V02",cad!$D$24,cad!$E$24)))</f>
      </c>
      <c r="I1113">
        <f>IF($A1113="","",IF($D1113="V01",cad!$C$32,IF($D1113="V02",cad!$D$32,cad!$E$32)))</f>
      </c>
      <c r="J1113">
        <f>IF($A1113="","",IF($D1113="V01",cad!$C$33,IF($D1113="V02",cad!$D$33,cad!$E$33)))</f>
      </c>
      <c r="K1113">
        <f>IF($A1113="","",IF($D1113="V01",cad!$C$34,IF($D1113="V02",cad!$D$34,cad!$E$34)))</f>
      </c>
      <c r="L1113">
        <f>IF($A1113="","",IF($D1113="V01",cad!$C$35,IF($D1113="V02",cad!$D$35,cad!$E$35)))</f>
      </c>
      <c r="M1113">
        <f>IF($A1113="","",IF($D1113="V01",cad!$C$36,IF($D1113="V02",cad!$D$36,cad!$E$36)))</f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>
        <f>IF($A1114="","",IF($D1114="V01",cad!$C$23,IF($D1114="V02",cad!$D$23,cad!$E$23)))</f>
      </c>
      <c r="H1114">
        <f>IF($A1114="","",IF($D1114="V01",cad!$C$24,IF($D1114="V02",cad!$D$24,cad!$E$24)))</f>
      </c>
      <c r="I1114">
        <f>IF($A1114="","",IF($D1114="V01",cad!$C$32,IF($D1114="V02",cad!$D$32,cad!$E$32)))</f>
      </c>
      <c r="J1114">
        <f>IF($A1114="","",IF($D1114="V01",cad!$C$33,IF($D1114="V02",cad!$D$33,cad!$E$33)))</f>
      </c>
      <c r="K1114">
        <f>IF($A1114="","",IF($D1114="V01",cad!$C$34,IF($D1114="V02",cad!$D$34,cad!$E$34)))</f>
      </c>
      <c r="L1114">
        <f>IF($A1114="","",IF($D1114="V01",cad!$C$35,IF($D1114="V02",cad!$D$35,cad!$E$35)))</f>
      </c>
      <c r="M1114">
        <f>IF($A1114="","",IF($D1114="V01",cad!$C$36,IF($D1114="V02",cad!$D$36,cad!$E$36)))</f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>
        <f>IF($A1115="","",IF($D1115="V01",cad!$C$23,IF($D1115="V02",cad!$D$23,cad!$E$23)))</f>
      </c>
      <c r="H1115">
        <f>IF($A1115="","",IF($D1115="V01",cad!$C$24,IF($D1115="V02",cad!$D$24,cad!$E$24)))</f>
      </c>
      <c r="I1115">
        <f>IF($A1115="","",IF($D1115="V01",cad!$C$32,IF($D1115="V02",cad!$D$32,cad!$E$32)))</f>
      </c>
      <c r="J1115">
        <f>IF($A1115="","",IF($D1115="V01",cad!$C$33,IF($D1115="V02",cad!$D$33,cad!$E$33)))</f>
      </c>
      <c r="K1115">
        <f>IF($A1115="","",IF($D1115="V01",cad!$C$34,IF($D1115="V02",cad!$D$34,cad!$E$34)))</f>
      </c>
      <c r="L1115">
        <f>IF($A1115="","",IF($D1115="V01",cad!$C$35,IF($D1115="V02",cad!$D$35,cad!$E$35)))</f>
      </c>
      <c r="M1115">
        <f>IF($A1115="","",IF($D1115="V01",cad!$C$36,IF($D1115="V02",cad!$D$36,cad!$E$36)))</f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>
        <f>IF($A1116="","",IF($D1116="V01",cad!$C$23,IF($D1116="V02",cad!$D$23,cad!$E$23)))</f>
      </c>
      <c r="H1116">
        <f>IF($A1116="","",IF($D1116="V01",cad!$C$24,IF($D1116="V02",cad!$D$24,cad!$E$24)))</f>
      </c>
      <c r="I1116">
        <f>IF($A1116="","",IF($D1116="V01",cad!$C$32,IF($D1116="V02",cad!$D$32,cad!$E$32)))</f>
      </c>
      <c r="J1116">
        <f>IF($A1116="","",IF($D1116="V01",cad!$C$33,IF($D1116="V02",cad!$D$33,cad!$E$33)))</f>
      </c>
      <c r="K1116">
        <f>IF($A1116="","",IF($D1116="V01",cad!$C$34,IF($D1116="V02",cad!$D$34,cad!$E$34)))</f>
      </c>
      <c r="L1116">
        <f>IF($A1116="","",IF($D1116="V01",cad!$C$35,IF($D1116="V02",cad!$D$35,cad!$E$35)))</f>
      </c>
      <c r="M1116">
        <f>IF($A1116="","",IF($D1116="V01",cad!$C$36,IF($D1116="V02",cad!$D$36,cad!$E$36)))</f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>
        <f>IF($A1117="","",IF($D1117="V01",cad!$C$23,IF($D1117="V02",cad!$D$23,cad!$E$23)))</f>
      </c>
      <c r="H1117">
        <f>IF($A1117="","",IF($D1117="V01",cad!$C$24,IF($D1117="V02",cad!$D$24,cad!$E$24)))</f>
      </c>
      <c r="I1117">
        <f>IF($A1117="","",IF($D1117="V01",cad!$C$32,IF($D1117="V02",cad!$D$32,cad!$E$32)))</f>
      </c>
      <c r="J1117">
        <f>IF($A1117="","",IF($D1117="V01",cad!$C$33,IF($D1117="V02",cad!$D$33,cad!$E$33)))</f>
      </c>
      <c r="K1117">
        <f>IF($A1117="","",IF($D1117="V01",cad!$C$34,IF($D1117="V02",cad!$D$34,cad!$E$34)))</f>
      </c>
      <c r="L1117">
        <f>IF($A1117="","",IF($D1117="V01",cad!$C$35,IF($D1117="V02",cad!$D$35,cad!$E$35)))</f>
      </c>
      <c r="M1117">
        <f>IF($A1117="","",IF($D1117="V01",cad!$C$36,IF($D1117="V02",cad!$D$36,cad!$E$36)))</f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>
        <f>IF($A1118="","",IF($D1118="V01",cad!$C$23,IF($D1118="V02",cad!$D$23,cad!$E$23)))</f>
      </c>
      <c r="H1118">
        <f>IF($A1118="","",IF($D1118="V01",cad!$C$24,IF($D1118="V02",cad!$D$24,cad!$E$24)))</f>
      </c>
      <c r="I1118">
        <f>IF($A1118="","",IF($D1118="V01",cad!$C$32,IF($D1118="V02",cad!$D$32,cad!$E$32)))</f>
      </c>
      <c r="J1118">
        <f>IF($A1118="","",IF($D1118="V01",cad!$C$33,IF($D1118="V02",cad!$D$33,cad!$E$33)))</f>
      </c>
      <c r="K1118">
        <f>IF($A1118="","",IF($D1118="V01",cad!$C$34,IF($D1118="V02",cad!$D$34,cad!$E$34)))</f>
      </c>
      <c r="L1118">
        <f>IF($A1118="","",IF($D1118="V01",cad!$C$35,IF($D1118="V02",cad!$D$35,cad!$E$35)))</f>
      </c>
      <c r="M1118">
        <f>IF($A1118="","",IF($D1118="V01",cad!$C$36,IF($D1118="V02",cad!$D$36,cad!$E$36)))</f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>
        <f>IF($A1119="","",IF($D1119="V01",cad!$C$23,IF($D1119="V02",cad!$D$23,cad!$E$23)))</f>
      </c>
      <c r="H1119">
        <f>IF($A1119="","",IF($D1119="V01",cad!$C$24,IF($D1119="V02",cad!$D$24,cad!$E$24)))</f>
      </c>
      <c r="I1119">
        <f>IF($A1119="","",IF($D1119="V01",cad!$C$32,IF($D1119="V02",cad!$D$32,cad!$E$32)))</f>
      </c>
      <c r="J1119">
        <f>IF($A1119="","",IF($D1119="V01",cad!$C$33,IF($D1119="V02",cad!$D$33,cad!$E$33)))</f>
      </c>
      <c r="K1119">
        <f>IF($A1119="","",IF($D1119="V01",cad!$C$34,IF($D1119="V02",cad!$D$34,cad!$E$34)))</f>
      </c>
      <c r="L1119">
        <f>IF($A1119="","",IF($D1119="V01",cad!$C$35,IF($D1119="V02",cad!$D$35,cad!$E$35)))</f>
      </c>
      <c r="M1119">
        <f>IF($A1119="","",IF($D1119="V01",cad!$C$36,IF($D1119="V02",cad!$D$36,cad!$E$36)))</f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>
        <f>IF($A1120="","",IF($D1120="V01",cad!$C$23,IF($D1120="V02",cad!$D$23,cad!$E$23)))</f>
      </c>
      <c r="H1120">
        <f>IF($A1120="","",IF($D1120="V01",cad!$C$24,IF($D1120="V02",cad!$D$24,cad!$E$24)))</f>
      </c>
      <c r="I1120">
        <f>IF($A1120="","",IF($D1120="V01",cad!$C$32,IF($D1120="V02",cad!$D$32,cad!$E$32)))</f>
      </c>
      <c r="J1120">
        <f>IF($A1120="","",IF($D1120="V01",cad!$C$33,IF($D1120="V02",cad!$D$33,cad!$E$33)))</f>
      </c>
      <c r="K1120">
        <f>IF($A1120="","",IF($D1120="V01",cad!$C$34,IF($D1120="V02",cad!$D$34,cad!$E$34)))</f>
      </c>
      <c r="L1120">
        <f>IF($A1120="","",IF($D1120="V01",cad!$C$35,IF($D1120="V02",cad!$D$35,cad!$E$35)))</f>
      </c>
      <c r="M1120">
        <f>IF($A1120="","",IF($D1120="V01",cad!$C$36,IF($D1120="V02",cad!$D$36,cad!$E$36)))</f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>
        <f>IF($A1121="","",IF($D1121="V01",cad!$C$23,IF($D1121="V02",cad!$D$23,cad!$E$23)))</f>
      </c>
      <c r="H1121">
        <f>IF($A1121="","",IF($D1121="V01",cad!$C$24,IF($D1121="V02",cad!$D$24,cad!$E$24)))</f>
      </c>
      <c r="I1121">
        <f>IF($A1121="","",IF($D1121="V01",cad!$C$32,IF($D1121="V02",cad!$D$32,cad!$E$32)))</f>
      </c>
      <c r="J1121">
        <f>IF($A1121="","",IF($D1121="V01",cad!$C$33,IF($D1121="V02",cad!$D$33,cad!$E$33)))</f>
      </c>
      <c r="K1121">
        <f>IF($A1121="","",IF($D1121="V01",cad!$C$34,IF($D1121="V02",cad!$D$34,cad!$E$34)))</f>
      </c>
      <c r="L1121">
        <f>IF($A1121="","",IF($D1121="V01",cad!$C$35,IF($D1121="V02",cad!$D$35,cad!$E$35)))</f>
      </c>
      <c r="M1121">
        <f>IF($A1121="","",IF($D1121="V01",cad!$C$36,IF($D1121="V02",cad!$D$36,cad!$E$36)))</f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>
        <f>IF($A1122="","",IF($D1122="V01",cad!$C$23,IF($D1122="V02",cad!$D$23,cad!$E$23)))</f>
      </c>
      <c r="H1122">
        <f>IF($A1122="","",IF($D1122="V01",cad!$C$24,IF($D1122="V02",cad!$D$24,cad!$E$24)))</f>
      </c>
      <c r="I1122">
        <f>IF($A1122="","",IF($D1122="V01",cad!$C$32,IF($D1122="V02",cad!$D$32,cad!$E$32)))</f>
      </c>
      <c r="J1122">
        <f>IF($A1122="","",IF($D1122="V01",cad!$C$33,IF($D1122="V02",cad!$D$33,cad!$E$33)))</f>
      </c>
      <c r="K1122">
        <f>IF($A1122="","",IF($D1122="V01",cad!$C$34,IF($D1122="V02",cad!$D$34,cad!$E$34)))</f>
      </c>
      <c r="L1122">
        <f>IF($A1122="","",IF($D1122="V01",cad!$C$35,IF($D1122="V02",cad!$D$35,cad!$E$35)))</f>
      </c>
      <c r="M1122">
        <f>IF($A1122="","",IF($D1122="V01",cad!$C$36,IF($D1122="V02",cad!$D$36,cad!$E$36)))</f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>
        <f>IF($A1123="","",IF($D1123="V01",cad!$C$23,IF($D1123="V02",cad!$D$23,cad!$E$23)))</f>
      </c>
      <c r="H1123">
        <f>IF($A1123="","",IF($D1123="V01",cad!$C$24,IF($D1123="V02",cad!$D$24,cad!$E$24)))</f>
      </c>
      <c r="I1123">
        <f>IF($A1123="","",IF($D1123="V01",cad!$C$32,IF($D1123="V02",cad!$D$32,cad!$E$32)))</f>
      </c>
      <c r="J1123">
        <f>IF($A1123="","",IF($D1123="V01",cad!$C$33,IF($D1123="V02",cad!$D$33,cad!$E$33)))</f>
      </c>
      <c r="K1123">
        <f>IF($A1123="","",IF($D1123="V01",cad!$C$34,IF($D1123="V02",cad!$D$34,cad!$E$34)))</f>
      </c>
      <c r="L1123">
        <f>IF($A1123="","",IF($D1123="V01",cad!$C$35,IF($D1123="V02",cad!$D$35,cad!$E$35)))</f>
      </c>
      <c r="M1123">
        <f>IF($A1123="","",IF($D1123="V01",cad!$C$36,IF($D1123="V02",cad!$D$36,cad!$E$36)))</f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>
        <f>IF($A1124="","",IF($D1124="V01",cad!$C$23,IF($D1124="V02",cad!$D$23,cad!$E$23)))</f>
      </c>
      <c r="H1124">
        <f>IF($A1124="","",IF($D1124="V01",cad!$C$24,IF($D1124="V02",cad!$D$24,cad!$E$24)))</f>
      </c>
      <c r="I1124">
        <f>IF($A1124="","",IF($D1124="V01",cad!$C$32,IF($D1124="V02",cad!$D$32,cad!$E$32)))</f>
      </c>
      <c r="J1124">
        <f>IF($A1124="","",IF($D1124="V01",cad!$C$33,IF($D1124="V02",cad!$D$33,cad!$E$33)))</f>
      </c>
      <c r="K1124">
        <f>IF($A1124="","",IF($D1124="V01",cad!$C$34,IF($D1124="V02",cad!$D$34,cad!$E$34)))</f>
      </c>
      <c r="L1124">
        <f>IF($A1124="","",IF($D1124="V01",cad!$C$35,IF($D1124="V02",cad!$D$35,cad!$E$35)))</f>
      </c>
      <c r="M1124">
        <f>IF($A1124="","",IF($D1124="V01",cad!$C$36,IF($D1124="V02",cad!$D$36,cad!$E$36)))</f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>
        <f>IF($A1125="","",IF($D1125="V01",cad!$C$23,IF($D1125="V02",cad!$D$23,cad!$E$23)))</f>
      </c>
      <c r="H1125">
        <f>IF($A1125="","",IF($D1125="V01",cad!$C$24,IF($D1125="V02",cad!$D$24,cad!$E$24)))</f>
      </c>
      <c r="I1125">
        <f>IF($A1125="","",IF($D1125="V01",cad!$C$32,IF($D1125="V02",cad!$D$32,cad!$E$32)))</f>
      </c>
      <c r="J1125">
        <f>IF($A1125="","",IF($D1125="V01",cad!$C$33,IF($D1125="V02",cad!$D$33,cad!$E$33)))</f>
      </c>
      <c r="K1125">
        <f>IF($A1125="","",IF($D1125="V01",cad!$C$34,IF($D1125="V02",cad!$D$34,cad!$E$34)))</f>
      </c>
      <c r="L1125">
        <f>IF($A1125="","",IF($D1125="V01",cad!$C$35,IF($D1125="V02",cad!$D$35,cad!$E$35)))</f>
      </c>
      <c r="M1125">
        <f>IF($A1125="","",IF($D1125="V01",cad!$C$36,IF($D1125="V02",cad!$D$36,cad!$E$36)))</f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>
        <f>IF($A1126="","",IF($D1126="V01",cad!$C$23,IF($D1126="V02",cad!$D$23,cad!$E$23)))</f>
      </c>
      <c r="H1126">
        <f>IF($A1126="","",IF($D1126="V01",cad!$C$24,IF($D1126="V02",cad!$D$24,cad!$E$24)))</f>
      </c>
      <c r="I1126">
        <f>IF($A1126="","",IF($D1126="V01",cad!$C$32,IF($D1126="V02",cad!$D$32,cad!$E$32)))</f>
      </c>
      <c r="J1126">
        <f>IF($A1126="","",IF($D1126="V01",cad!$C$33,IF($D1126="V02",cad!$D$33,cad!$E$33)))</f>
      </c>
      <c r="K1126">
        <f>IF($A1126="","",IF($D1126="V01",cad!$C$34,IF($D1126="V02",cad!$D$34,cad!$E$34)))</f>
      </c>
      <c r="L1126">
        <f>IF($A1126="","",IF($D1126="V01",cad!$C$35,IF($D1126="V02",cad!$D$35,cad!$E$35)))</f>
      </c>
      <c r="M1126">
        <f>IF($A1126="","",IF($D1126="V01",cad!$C$36,IF($D1126="V02",cad!$D$36,cad!$E$36)))</f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>
        <f>IF($A1127="","",IF($D1127="V01",cad!$C$23,IF($D1127="V02",cad!$D$23,cad!$E$23)))</f>
      </c>
      <c r="H1127">
        <f>IF($A1127="","",IF($D1127="V01",cad!$C$24,IF($D1127="V02",cad!$D$24,cad!$E$24)))</f>
      </c>
      <c r="I1127">
        <f>IF($A1127="","",IF($D1127="V01",cad!$C$32,IF($D1127="V02",cad!$D$32,cad!$E$32)))</f>
      </c>
      <c r="J1127">
        <f>IF($A1127="","",IF($D1127="V01",cad!$C$33,IF($D1127="V02",cad!$D$33,cad!$E$33)))</f>
      </c>
      <c r="K1127">
        <f>IF($A1127="","",IF($D1127="V01",cad!$C$34,IF($D1127="V02",cad!$D$34,cad!$E$34)))</f>
      </c>
      <c r="L1127">
        <f>IF($A1127="","",IF($D1127="V01",cad!$C$35,IF($D1127="V02",cad!$D$35,cad!$E$35)))</f>
      </c>
      <c r="M1127">
        <f>IF($A1127="","",IF($D1127="V01",cad!$C$36,IF($D1127="V02",cad!$D$36,cad!$E$36)))</f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>
        <f>IF($A1128="","",IF($D1128="V01",cad!$C$23,IF($D1128="V02",cad!$D$23,cad!$E$23)))</f>
      </c>
      <c r="H1128">
        <f>IF($A1128="","",IF($D1128="V01",cad!$C$24,IF($D1128="V02",cad!$D$24,cad!$E$24)))</f>
      </c>
      <c r="I1128">
        <f>IF($A1128="","",IF($D1128="V01",cad!$C$32,IF($D1128="V02",cad!$D$32,cad!$E$32)))</f>
      </c>
      <c r="J1128">
        <f>IF($A1128="","",IF($D1128="V01",cad!$C$33,IF($D1128="V02",cad!$D$33,cad!$E$33)))</f>
      </c>
      <c r="K1128">
        <f>IF($A1128="","",IF($D1128="V01",cad!$C$34,IF($D1128="V02",cad!$D$34,cad!$E$34)))</f>
      </c>
      <c r="L1128">
        <f>IF($A1128="","",IF($D1128="V01",cad!$C$35,IF($D1128="V02",cad!$D$35,cad!$E$35)))</f>
      </c>
      <c r="M1128">
        <f>IF($A1128="","",IF($D1128="V01",cad!$C$36,IF($D1128="V02",cad!$D$36,cad!$E$36)))</f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>
        <f>IF($A1129="","",IF($D1129="V01",cad!$C$23,IF($D1129="V02",cad!$D$23,cad!$E$23)))</f>
      </c>
      <c r="H1129">
        <f>IF($A1129="","",IF($D1129="V01",cad!$C$24,IF($D1129="V02",cad!$D$24,cad!$E$24)))</f>
      </c>
      <c r="I1129">
        <f>IF($A1129="","",IF($D1129="V01",cad!$C$32,IF($D1129="V02",cad!$D$32,cad!$E$32)))</f>
      </c>
      <c r="J1129">
        <f>IF($A1129="","",IF($D1129="V01",cad!$C$33,IF($D1129="V02",cad!$D$33,cad!$E$33)))</f>
      </c>
      <c r="K1129">
        <f>IF($A1129="","",IF($D1129="V01",cad!$C$34,IF($D1129="V02",cad!$D$34,cad!$E$34)))</f>
      </c>
      <c r="L1129">
        <f>IF($A1129="","",IF($D1129="V01",cad!$C$35,IF($D1129="V02",cad!$D$35,cad!$E$35)))</f>
      </c>
      <c r="M1129">
        <f>IF($A1129="","",IF($D1129="V01",cad!$C$36,IF($D1129="V02",cad!$D$36,cad!$E$36)))</f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>
        <f>IF($A1130="","",IF($D1130="V01",cad!$C$23,IF($D1130="V02",cad!$D$23,cad!$E$23)))</f>
      </c>
      <c r="H1130">
        <f>IF($A1130="","",IF($D1130="V01",cad!$C$24,IF($D1130="V02",cad!$D$24,cad!$E$24)))</f>
      </c>
      <c r="I1130">
        <f>IF($A1130="","",IF($D1130="V01",cad!$C$32,IF($D1130="V02",cad!$D$32,cad!$E$32)))</f>
      </c>
      <c r="J1130">
        <f>IF($A1130="","",IF($D1130="V01",cad!$C$33,IF($D1130="V02",cad!$D$33,cad!$E$33)))</f>
      </c>
      <c r="K1130">
        <f>IF($A1130="","",IF($D1130="V01",cad!$C$34,IF($D1130="V02",cad!$D$34,cad!$E$34)))</f>
      </c>
      <c r="L1130">
        <f>IF($A1130="","",IF($D1130="V01",cad!$C$35,IF($D1130="V02",cad!$D$35,cad!$E$35)))</f>
      </c>
      <c r="M1130">
        <f>IF($A1130="","",IF($D1130="V01",cad!$C$36,IF($D1130="V02",cad!$D$36,cad!$E$36)))</f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>
        <f>IF($A1131="","",IF($D1131="V01",cad!$C$23,IF($D1131="V02",cad!$D$23,cad!$E$23)))</f>
      </c>
      <c r="H1131">
        <f>IF($A1131="","",IF($D1131="V01",cad!$C$24,IF($D1131="V02",cad!$D$24,cad!$E$24)))</f>
      </c>
      <c r="I1131">
        <f>IF($A1131="","",IF($D1131="V01",cad!$C$32,IF($D1131="V02",cad!$D$32,cad!$E$32)))</f>
      </c>
      <c r="J1131">
        <f>IF($A1131="","",IF($D1131="V01",cad!$C$33,IF($D1131="V02",cad!$D$33,cad!$E$33)))</f>
      </c>
      <c r="K1131">
        <f>IF($A1131="","",IF($D1131="V01",cad!$C$34,IF($D1131="V02",cad!$D$34,cad!$E$34)))</f>
      </c>
      <c r="L1131">
        <f>IF($A1131="","",IF($D1131="V01",cad!$C$35,IF($D1131="V02",cad!$D$35,cad!$E$35)))</f>
      </c>
      <c r="M1131">
        <f>IF($A1131="","",IF($D1131="V01",cad!$C$36,IF($D1131="V02",cad!$D$36,cad!$E$36)))</f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>
        <f>IF($A1132="","",IF($D1132="V01",cad!$C$23,IF($D1132="V02",cad!$D$23,cad!$E$23)))</f>
      </c>
      <c r="H1132">
        <f>IF($A1132="","",IF($D1132="V01",cad!$C$24,IF($D1132="V02",cad!$D$24,cad!$E$24)))</f>
      </c>
      <c r="I1132">
        <f>IF($A1132="","",IF($D1132="V01",cad!$C$32,IF($D1132="V02",cad!$D$32,cad!$E$32)))</f>
      </c>
      <c r="J1132">
        <f>IF($A1132="","",IF($D1132="V01",cad!$C$33,IF($D1132="V02",cad!$D$33,cad!$E$33)))</f>
      </c>
      <c r="K1132">
        <f>IF($A1132="","",IF($D1132="V01",cad!$C$34,IF($D1132="V02",cad!$D$34,cad!$E$34)))</f>
      </c>
      <c r="L1132">
        <f>IF($A1132="","",IF($D1132="V01",cad!$C$35,IF($D1132="V02",cad!$D$35,cad!$E$35)))</f>
      </c>
      <c r="M1132">
        <f>IF($A1132="","",IF($D1132="V01",cad!$C$36,IF($D1132="V02",cad!$D$36,cad!$E$36)))</f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>
        <f>IF($A1133="","",IF($D1133="V01",cad!$C$23,IF($D1133="V02",cad!$D$23,cad!$E$23)))</f>
      </c>
      <c r="H1133">
        <f>IF($A1133="","",IF($D1133="V01",cad!$C$24,IF($D1133="V02",cad!$D$24,cad!$E$24)))</f>
      </c>
      <c r="I1133">
        <f>IF($A1133="","",IF($D1133="V01",cad!$C$32,IF($D1133="V02",cad!$D$32,cad!$E$32)))</f>
      </c>
      <c r="J1133">
        <f>IF($A1133="","",IF($D1133="V01",cad!$C$33,IF($D1133="V02",cad!$D$33,cad!$E$33)))</f>
      </c>
      <c r="K1133">
        <f>IF($A1133="","",IF($D1133="V01",cad!$C$34,IF($D1133="V02",cad!$D$34,cad!$E$34)))</f>
      </c>
      <c r="L1133">
        <f>IF($A1133="","",IF($D1133="V01",cad!$C$35,IF($D1133="V02",cad!$D$35,cad!$E$35)))</f>
      </c>
      <c r="M1133">
        <f>IF($A1133="","",IF($D1133="V01",cad!$C$36,IF($D1133="V02",cad!$D$36,cad!$E$36)))</f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>
        <f>IF($A1134="","",IF($D1134="V01",cad!$C$23,IF($D1134="V02",cad!$D$23,cad!$E$23)))</f>
      </c>
      <c r="H1134">
        <f>IF($A1134="","",IF($D1134="V01",cad!$C$24,IF($D1134="V02",cad!$D$24,cad!$E$24)))</f>
      </c>
      <c r="I1134">
        <f>IF($A1134="","",IF($D1134="V01",cad!$C$32,IF($D1134="V02",cad!$D$32,cad!$E$32)))</f>
      </c>
      <c r="J1134">
        <f>IF($A1134="","",IF($D1134="V01",cad!$C$33,IF($D1134="V02",cad!$D$33,cad!$E$33)))</f>
      </c>
      <c r="K1134">
        <f>IF($A1134="","",IF($D1134="V01",cad!$C$34,IF($D1134="V02",cad!$D$34,cad!$E$34)))</f>
      </c>
      <c r="L1134">
        <f>IF($A1134="","",IF($D1134="V01",cad!$C$35,IF($D1134="V02",cad!$D$35,cad!$E$35)))</f>
      </c>
      <c r="M1134">
        <f>IF($A1134="","",IF($D1134="V01",cad!$C$36,IF($D1134="V02",cad!$D$36,cad!$E$36)))</f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>
        <f>IF($A1135="","",IF($D1135="V01",cad!$C$23,IF($D1135="V02",cad!$D$23,cad!$E$23)))</f>
      </c>
      <c r="H1135">
        <f>IF($A1135="","",IF($D1135="V01",cad!$C$24,IF($D1135="V02",cad!$D$24,cad!$E$24)))</f>
      </c>
      <c r="I1135">
        <f>IF($A1135="","",IF($D1135="V01",cad!$C$32,IF($D1135="V02",cad!$D$32,cad!$E$32)))</f>
      </c>
      <c r="J1135">
        <f>IF($A1135="","",IF($D1135="V01",cad!$C$33,IF($D1135="V02",cad!$D$33,cad!$E$33)))</f>
      </c>
      <c r="K1135">
        <f>IF($A1135="","",IF($D1135="V01",cad!$C$34,IF($D1135="V02",cad!$D$34,cad!$E$34)))</f>
      </c>
      <c r="L1135">
        <f>IF($A1135="","",IF($D1135="V01",cad!$C$35,IF($D1135="V02",cad!$D$35,cad!$E$35)))</f>
      </c>
      <c r="M1135">
        <f>IF($A1135="","",IF($D1135="V01",cad!$C$36,IF($D1135="V02",cad!$D$36,cad!$E$36)))</f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>
        <f>IF($A1136="","",IF($D1136="V01",cad!$C$23,IF($D1136="V02",cad!$D$23,cad!$E$23)))</f>
      </c>
      <c r="H1136">
        <f>IF($A1136="","",IF($D1136="V01",cad!$C$24,IF($D1136="V02",cad!$D$24,cad!$E$24)))</f>
      </c>
      <c r="I1136">
        <f>IF($A1136="","",IF($D1136="V01",cad!$C$32,IF($D1136="V02",cad!$D$32,cad!$E$32)))</f>
      </c>
      <c r="J1136">
        <f>IF($A1136="","",IF($D1136="V01",cad!$C$33,IF($D1136="V02",cad!$D$33,cad!$E$33)))</f>
      </c>
      <c r="K1136">
        <f>IF($A1136="","",IF($D1136="V01",cad!$C$34,IF($D1136="V02",cad!$D$34,cad!$E$34)))</f>
      </c>
      <c r="L1136">
        <f>IF($A1136="","",IF($D1136="V01",cad!$C$35,IF($D1136="V02",cad!$D$35,cad!$E$35)))</f>
      </c>
      <c r="M1136">
        <f>IF($A1136="","",IF($D1136="V01",cad!$C$36,IF($D1136="V02",cad!$D$36,cad!$E$36)))</f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>
        <f>IF($A1137="","",IF($D1137="V01",cad!$C$23,IF($D1137="V02",cad!$D$23,cad!$E$23)))</f>
      </c>
      <c r="H1137">
        <f>IF($A1137="","",IF($D1137="V01",cad!$C$24,IF($D1137="V02",cad!$D$24,cad!$E$24)))</f>
      </c>
      <c r="I1137">
        <f>IF($A1137="","",IF($D1137="V01",cad!$C$32,IF($D1137="V02",cad!$D$32,cad!$E$32)))</f>
      </c>
      <c r="J1137">
        <f>IF($A1137="","",IF($D1137="V01",cad!$C$33,IF($D1137="V02",cad!$D$33,cad!$E$33)))</f>
      </c>
      <c r="K1137">
        <f>IF($A1137="","",IF($D1137="V01",cad!$C$34,IF($D1137="V02",cad!$D$34,cad!$E$34)))</f>
      </c>
      <c r="L1137">
        <f>IF($A1137="","",IF($D1137="V01",cad!$C$35,IF($D1137="V02",cad!$D$35,cad!$E$35)))</f>
      </c>
      <c r="M1137">
        <f>IF($A1137="","",IF($D1137="V01",cad!$C$36,IF($D1137="V02",cad!$D$36,cad!$E$36)))</f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>
        <f>IF($A1138="","",IF($D1138="V01",cad!$C$23,IF($D1138="V02",cad!$D$23,cad!$E$23)))</f>
      </c>
      <c r="H1138">
        <f>IF($A1138="","",IF($D1138="V01",cad!$C$24,IF($D1138="V02",cad!$D$24,cad!$E$24)))</f>
      </c>
      <c r="I1138">
        <f>IF($A1138="","",IF($D1138="V01",cad!$C$32,IF($D1138="V02",cad!$D$32,cad!$E$32)))</f>
      </c>
      <c r="J1138">
        <f>IF($A1138="","",IF($D1138="V01",cad!$C$33,IF($D1138="V02",cad!$D$33,cad!$E$33)))</f>
      </c>
      <c r="K1138">
        <f>IF($A1138="","",IF($D1138="V01",cad!$C$34,IF($D1138="V02",cad!$D$34,cad!$E$34)))</f>
      </c>
      <c r="L1138">
        <f>IF($A1138="","",IF($D1138="V01",cad!$C$35,IF($D1138="V02",cad!$D$35,cad!$E$35)))</f>
      </c>
      <c r="M1138">
        <f>IF($A1138="","",IF($D1138="V01",cad!$C$36,IF($D1138="V02",cad!$D$36,cad!$E$36)))</f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>
        <f>IF($A1139="","",IF($D1139="V01",cad!$C$23,IF($D1139="V02",cad!$D$23,cad!$E$23)))</f>
      </c>
      <c r="H1139">
        <f>IF($A1139="","",IF($D1139="V01",cad!$C$24,IF($D1139="V02",cad!$D$24,cad!$E$24)))</f>
      </c>
      <c r="I1139">
        <f>IF($A1139="","",IF($D1139="V01",cad!$C$32,IF($D1139="V02",cad!$D$32,cad!$E$32)))</f>
      </c>
      <c r="J1139">
        <f>IF($A1139="","",IF($D1139="V01",cad!$C$33,IF($D1139="V02",cad!$D$33,cad!$E$33)))</f>
      </c>
      <c r="K1139">
        <f>IF($A1139="","",IF($D1139="V01",cad!$C$34,IF($D1139="V02",cad!$D$34,cad!$E$34)))</f>
      </c>
      <c r="L1139">
        <f>IF($A1139="","",IF($D1139="V01",cad!$C$35,IF($D1139="V02",cad!$D$35,cad!$E$35)))</f>
      </c>
      <c r="M1139">
        <f>IF($A1139="","",IF($D1139="V01",cad!$C$36,IF($D1139="V02",cad!$D$36,cad!$E$36)))</f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>
        <f>IF($A1140="","",IF($D1140="V01",cad!$C$23,IF($D1140="V02",cad!$D$23,cad!$E$23)))</f>
      </c>
      <c r="H1140">
        <f>IF($A1140="","",IF($D1140="V01",cad!$C$24,IF($D1140="V02",cad!$D$24,cad!$E$24)))</f>
      </c>
      <c r="I1140">
        <f>IF($A1140="","",IF($D1140="V01",cad!$C$32,IF($D1140="V02",cad!$D$32,cad!$E$32)))</f>
      </c>
      <c r="J1140">
        <f>IF($A1140="","",IF($D1140="V01",cad!$C$33,IF($D1140="V02",cad!$D$33,cad!$E$33)))</f>
      </c>
      <c r="K1140">
        <f>IF($A1140="","",IF($D1140="V01",cad!$C$34,IF($D1140="V02",cad!$D$34,cad!$E$34)))</f>
      </c>
      <c r="L1140">
        <f>IF($A1140="","",IF($D1140="V01",cad!$C$35,IF($D1140="V02",cad!$D$35,cad!$E$35)))</f>
      </c>
      <c r="M1140">
        <f>IF($A1140="","",IF($D1140="V01",cad!$C$36,IF($D1140="V02",cad!$D$36,cad!$E$36)))</f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>
        <f>IF($A1141="","",IF($D1141="V01",cad!$C$23,IF($D1141="V02",cad!$D$23,cad!$E$23)))</f>
      </c>
      <c r="H1141">
        <f>IF($A1141="","",IF($D1141="V01",cad!$C$24,IF($D1141="V02",cad!$D$24,cad!$E$24)))</f>
      </c>
      <c r="I1141">
        <f>IF($A1141="","",IF($D1141="V01",cad!$C$32,IF($D1141="V02",cad!$D$32,cad!$E$32)))</f>
      </c>
      <c r="J1141">
        <f>IF($A1141="","",IF($D1141="V01",cad!$C$33,IF($D1141="V02",cad!$D$33,cad!$E$33)))</f>
      </c>
      <c r="K1141">
        <f>IF($A1141="","",IF($D1141="V01",cad!$C$34,IF($D1141="V02",cad!$D$34,cad!$E$34)))</f>
      </c>
      <c r="L1141">
        <f>IF($A1141="","",IF($D1141="V01",cad!$C$35,IF($D1141="V02",cad!$D$35,cad!$E$35)))</f>
      </c>
      <c r="M1141">
        <f>IF($A1141="","",IF($D1141="V01",cad!$C$36,IF($D1141="V02",cad!$D$36,cad!$E$36)))</f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>
        <f>IF($A1142="","",IF($D1142="V01",cad!$C$23,IF($D1142="V02",cad!$D$23,cad!$E$23)))</f>
      </c>
      <c r="H1142">
        <f>IF($A1142="","",IF($D1142="V01",cad!$C$24,IF($D1142="V02",cad!$D$24,cad!$E$24)))</f>
      </c>
      <c r="I1142">
        <f>IF($A1142="","",IF($D1142="V01",cad!$C$32,IF($D1142="V02",cad!$D$32,cad!$E$32)))</f>
      </c>
      <c r="J1142">
        <f>IF($A1142="","",IF($D1142="V01",cad!$C$33,IF($D1142="V02",cad!$D$33,cad!$E$33)))</f>
      </c>
      <c r="K1142">
        <f>IF($A1142="","",IF($D1142="V01",cad!$C$34,IF($D1142="V02",cad!$D$34,cad!$E$34)))</f>
      </c>
      <c r="L1142">
        <f>IF($A1142="","",IF($D1142="V01",cad!$C$35,IF($D1142="V02",cad!$D$35,cad!$E$35)))</f>
      </c>
      <c r="M1142">
        <f>IF($A1142="","",IF($D1142="V01",cad!$C$36,IF($D1142="V02",cad!$D$36,cad!$E$36)))</f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>
        <f>IF($A1143="","",IF($D1143="V01",cad!$C$23,IF($D1143="V02",cad!$D$23,cad!$E$23)))</f>
      </c>
      <c r="H1143">
        <f>IF($A1143="","",IF($D1143="V01",cad!$C$24,IF($D1143="V02",cad!$D$24,cad!$E$24)))</f>
      </c>
      <c r="I1143">
        <f>IF($A1143="","",IF($D1143="V01",cad!$C$32,IF($D1143="V02",cad!$D$32,cad!$E$32)))</f>
      </c>
      <c r="J1143">
        <f>IF($A1143="","",IF($D1143="V01",cad!$C$33,IF($D1143="V02",cad!$D$33,cad!$E$33)))</f>
      </c>
      <c r="K1143">
        <f>IF($A1143="","",IF($D1143="V01",cad!$C$34,IF($D1143="V02",cad!$D$34,cad!$E$34)))</f>
      </c>
      <c r="L1143">
        <f>IF($A1143="","",IF($D1143="V01",cad!$C$35,IF($D1143="V02",cad!$D$35,cad!$E$35)))</f>
      </c>
      <c r="M1143">
        <f>IF($A1143="","",IF($D1143="V01",cad!$C$36,IF($D1143="V02",cad!$D$36,cad!$E$36)))</f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>
        <f>IF($A1144="","",IF($D1144="V01",cad!$C$23,IF($D1144="V02",cad!$D$23,cad!$E$23)))</f>
      </c>
      <c r="H1144">
        <f>IF($A1144="","",IF($D1144="V01",cad!$C$24,IF($D1144="V02",cad!$D$24,cad!$E$24)))</f>
      </c>
      <c r="I1144">
        <f>IF($A1144="","",IF($D1144="V01",cad!$C$32,IF($D1144="V02",cad!$D$32,cad!$E$32)))</f>
      </c>
      <c r="J1144">
        <f>IF($A1144="","",IF($D1144="V01",cad!$C$33,IF($D1144="V02",cad!$D$33,cad!$E$33)))</f>
      </c>
      <c r="K1144">
        <f>IF($A1144="","",IF($D1144="V01",cad!$C$34,IF($D1144="V02",cad!$D$34,cad!$E$34)))</f>
      </c>
      <c r="L1144">
        <f>IF($A1144="","",IF($D1144="V01",cad!$C$35,IF($D1144="V02",cad!$D$35,cad!$E$35)))</f>
      </c>
      <c r="M1144">
        <f>IF($A1144="","",IF($D1144="V01",cad!$C$36,IF($D1144="V02",cad!$D$36,cad!$E$36)))</f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>
        <f>IF($A1145="","",IF($D1145="V01",cad!$C$23,IF($D1145="V02",cad!$D$23,cad!$E$23)))</f>
      </c>
      <c r="H1145">
        <f>IF($A1145="","",IF($D1145="V01",cad!$C$24,IF($D1145="V02",cad!$D$24,cad!$E$24)))</f>
      </c>
      <c r="I1145">
        <f>IF($A1145="","",IF($D1145="V01",cad!$C$32,IF($D1145="V02",cad!$D$32,cad!$E$32)))</f>
      </c>
      <c r="J1145">
        <f>IF($A1145="","",IF($D1145="V01",cad!$C$33,IF($D1145="V02",cad!$D$33,cad!$E$33)))</f>
      </c>
      <c r="K1145">
        <f>IF($A1145="","",IF($D1145="V01",cad!$C$34,IF($D1145="V02",cad!$D$34,cad!$E$34)))</f>
      </c>
      <c r="L1145">
        <f>IF($A1145="","",IF($D1145="V01",cad!$C$35,IF($D1145="V02",cad!$D$35,cad!$E$35)))</f>
      </c>
      <c r="M1145">
        <f>IF($A1145="","",IF($D1145="V01",cad!$C$36,IF($D1145="V02",cad!$D$36,cad!$E$36)))</f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>
        <f>IF($A1146="","",IF($D1146="V01",cad!$C$23,IF($D1146="V02",cad!$D$23,cad!$E$23)))</f>
      </c>
      <c r="H1146">
        <f>IF($A1146="","",IF($D1146="V01",cad!$C$24,IF($D1146="V02",cad!$D$24,cad!$E$24)))</f>
      </c>
      <c r="I1146">
        <f>IF($A1146="","",IF($D1146="V01",cad!$C$32,IF($D1146="V02",cad!$D$32,cad!$E$32)))</f>
      </c>
      <c r="J1146">
        <f>IF($A1146="","",IF($D1146="V01",cad!$C$33,IF($D1146="V02",cad!$D$33,cad!$E$33)))</f>
      </c>
      <c r="K1146">
        <f>IF($A1146="","",IF($D1146="V01",cad!$C$34,IF($D1146="V02",cad!$D$34,cad!$E$34)))</f>
      </c>
      <c r="L1146">
        <f>IF($A1146="","",IF($D1146="V01",cad!$C$35,IF($D1146="V02",cad!$D$35,cad!$E$35)))</f>
      </c>
      <c r="M1146">
        <f>IF($A1146="","",IF($D1146="V01",cad!$C$36,IF($D1146="V02",cad!$D$36,cad!$E$36)))</f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>
        <f>IF($A1147="","",IF($D1147="V01",cad!$C$23,IF($D1147="V02",cad!$D$23,cad!$E$23)))</f>
      </c>
      <c r="H1147">
        <f>IF($A1147="","",IF($D1147="V01",cad!$C$24,IF($D1147="V02",cad!$D$24,cad!$E$24)))</f>
      </c>
      <c r="I1147">
        <f>IF($A1147="","",IF($D1147="V01",cad!$C$32,IF($D1147="V02",cad!$D$32,cad!$E$32)))</f>
      </c>
      <c r="J1147">
        <f>IF($A1147="","",IF($D1147="V01",cad!$C$33,IF($D1147="V02",cad!$D$33,cad!$E$33)))</f>
      </c>
      <c r="K1147">
        <f>IF($A1147="","",IF($D1147="V01",cad!$C$34,IF($D1147="V02",cad!$D$34,cad!$E$34)))</f>
      </c>
      <c r="L1147">
        <f>IF($A1147="","",IF($D1147="V01",cad!$C$35,IF($D1147="V02",cad!$D$35,cad!$E$35)))</f>
      </c>
      <c r="M1147">
        <f>IF($A1147="","",IF($D1147="V01",cad!$C$36,IF($D1147="V02",cad!$D$36,cad!$E$36)))</f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>
        <f>IF($A1148="","",IF($D1148="V01",cad!$C$23,IF($D1148="V02",cad!$D$23,cad!$E$23)))</f>
      </c>
      <c r="H1148">
        <f>IF($A1148="","",IF($D1148="V01",cad!$C$24,IF($D1148="V02",cad!$D$24,cad!$E$24)))</f>
      </c>
      <c r="I1148">
        <f>IF($A1148="","",IF($D1148="V01",cad!$C$32,IF($D1148="V02",cad!$D$32,cad!$E$32)))</f>
      </c>
      <c r="J1148">
        <f>IF($A1148="","",IF($D1148="V01",cad!$C$33,IF($D1148="V02",cad!$D$33,cad!$E$33)))</f>
      </c>
      <c r="K1148">
        <f>IF($A1148="","",IF($D1148="V01",cad!$C$34,IF($D1148="V02",cad!$D$34,cad!$E$34)))</f>
      </c>
      <c r="L1148">
        <f>IF($A1148="","",IF($D1148="V01",cad!$C$35,IF($D1148="V02",cad!$D$35,cad!$E$35)))</f>
      </c>
      <c r="M1148">
        <f>IF($A1148="","",IF($D1148="V01",cad!$C$36,IF($D1148="V02",cad!$D$36,cad!$E$36)))</f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>
        <f>IF($A1149="","",IF($D1149="V01",cad!$C$23,IF($D1149="V02",cad!$D$23,cad!$E$23)))</f>
      </c>
      <c r="H1149">
        <f>IF($A1149="","",IF($D1149="V01",cad!$C$24,IF($D1149="V02",cad!$D$24,cad!$E$24)))</f>
      </c>
      <c r="I1149">
        <f>IF($A1149="","",IF($D1149="V01",cad!$C$32,IF($D1149="V02",cad!$D$32,cad!$E$32)))</f>
      </c>
      <c r="J1149">
        <f>IF($A1149="","",IF($D1149="V01",cad!$C$33,IF($D1149="V02",cad!$D$33,cad!$E$33)))</f>
      </c>
      <c r="K1149">
        <f>IF($A1149="","",IF($D1149="V01",cad!$C$34,IF($D1149="V02",cad!$D$34,cad!$E$34)))</f>
      </c>
      <c r="L1149">
        <f>IF($A1149="","",IF($D1149="V01",cad!$C$35,IF($D1149="V02",cad!$D$35,cad!$E$35)))</f>
      </c>
      <c r="M1149">
        <f>IF($A1149="","",IF($D1149="V01",cad!$C$36,IF($D1149="V02",cad!$D$36,cad!$E$36)))</f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>
        <f>IF($A1150="","",IF($D1150="V01",cad!$C$23,IF($D1150="V02",cad!$D$23,cad!$E$23)))</f>
      </c>
      <c r="H1150">
        <f>IF($A1150="","",IF($D1150="V01",cad!$C$24,IF($D1150="V02",cad!$D$24,cad!$E$24)))</f>
      </c>
      <c r="I1150">
        <f>IF($A1150="","",IF($D1150="V01",cad!$C$32,IF($D1150="V02",cad!$D$32,cad!$E$32)))</f>
      </c>
      <c r="J1150">
        <f>IF($A1150="","",IF($D1150="V01",cad!$C$33,IF($D1150="V02",cad!$D$33,cad!$E$33)))</f>
      </c>
      <c r="K1150">
        <f>IF($A1150="","",IF($D1150="V01",cad!$C$34,IF($D1150="V02",cad!$D$34,cad!$E$34)))</f>
      </c>
      <c r="L1150">
        <f>IF($A1150="","",IF($D1150="V01",cad!$C$35,IF($D1150="V02",cad!$D$35,cad!$E$35)))</f>
      </c>
      <c r="M1150">
        <f>IF($A1150="","",IF($D1150="V01",cad!$C$36,IF($D1150="V02",cad!$D$36,cad!$E$36)))</f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>
        <f>IF($A1151="","",IF($D1151="V01",cad!$C$23,IF($D1151="V02",cad!$D$23,cad!$E$23)))</f>
      </c>
      <c r="H1151">
        <f>IF($A1151="","",IF($D1151="V01",cad!$C$24,IF($D1151="V02",cad!$D$24,cad!$E$24)))</f>
      </c>
      <c r="I1151">
        <f>IF($A1151="","",IF($D1151="V01",cad!$C$32,IF($D1151="V02",cad!$D$32,cad!$E$32)))</f>
      </c>
      <c r="J1151">
        <f>IF($A1151="","",IF($D1151="V01",cad!$C$33,IF($D1151="V02",cad!$D$33,cad!$E$33)))</f>
      </c>
      <c r="K1151">
        <f>IF($A1151="","",IF($D1151="V01",cad!$C$34,IF($D1151="V02",cad!$D$34,cad!$E$34)))</f>
      </c>
      <c r="L1151">
        <f>IF($A1151="","",IF($D1151="V01",cad!$C$35,IF($D1151="V02",cad!$D$35,cad!$E$35)))</f>
      </c>
      <c r="M1151">
        <f>IF($A1151="","",IF($D1151="V01",cad!$C$36,IF($D1151="V02",cad!$D$36,cad!$E$36)))</f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>
        <f>IF($A1152="","",IF($D1152="V01",cad!$C$23,IF($D1152="V02",cad!$D$23,cad!$E$23)))</f>
      </c>
      <c r="H1152">
        <f>IF($A1152="","",IF($D1152="V01",cad!$C$24,IF($D1152="V02",cad!$D$24,cad!$E$24)))</f>
      </c>
      <c r="I1152">
        <f>IF($A1152="","",IF($D1152="V01",cad!$C$32,IF($D1152="V02",cad!$D$32,cad!$E$32)))</f>
      </c>
      <c r="J1152">
        <f>IF($A1152="","",IF($D1152="V01",cad!$C$33,IF($D1152="V02",cad!$D$33,cad!$E$33)))</f>
      </c>
      <c r="K1152">
        <f>IF($A1152="","",IF($D1152="V01",cad!$C$34,IF($D1152="V02",cad!$D$34,cad!$E$34)))</f>
      </c>
      <c r="L1152">
        <f>IF($A1152="","",IF($D1152="V01",cad!$C$35,IF($D1152="V02",cad!$D$35,cad!$E$35)))</f>
      </c>
      <c r="M1152">
        <f>IF($A1152="","",IF($D1152="V01",cad!$C$36,IF($D1152="V02",cad!$D$36,cad!$E$36)))</f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>
        <f>IF($A1153="","",IF($D1153="V01",cad!$C$23,IF($D1153="V02",cad!$D$23,cad!$E$23)))</f>
      </c>
      <c r="H1153">
        <f>IF($A1153="","",IF($D1153="V01",cad!$C$24,IF($D1153="V02",cad!$D$24,cad!$E$24)))</f>
      </c>
      <c r="I1153">
        <f>IF($A1153="","",IF($D1153="V01",cad!$C$32,IF($D1153="V02",cad!$D$32,cad!$E$32)))</f>
      </c>
      <c r="J1153">
        <f>IF($A1153="","",IF($D1153="V01",cad!$C$33,IF($D1153="V02",cad!$D$33,cad!$E$33)))</f>
      </c>
      <c r="K1153">
        <f>IF($A1153="","",IF($D1153="V01",cad!$C$34,IF($D1153="V02",cad!$D$34,cad!$E$34)))</f>
      </c>
      <c r="L1153">
        <f>IF($A1153="","",IF($D1153="V01",cad!$C$35,IF($D1153="V02",cad!$D$35,cad!$E$35)))</f>
      </c>
      <c r="M1153">
        <f>IF($A1153="","",IF($D1153="V01",cad!$C$36,IF($D1153="V02",cad!$D$36,cad!$E$36)))</f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>
        <f>IF($A1154="","",IF($D1154="V01",cad!$C$23,IF($D1154="V02",cad!$D$23,cad!$E$23)))</f>
      </c>
      <c r="H1154">
        <f>IF($A1154="","",IF($D1154="V01",cad!$C$24,IF($D1154="V02",cad!$D$24,cad!$E$24)))</f>
      </c>
      <c r="I1154">
        <f>IF($A1154="","",IF($D1154="V01",cad!$C$32,IF($D1154="V02",cad!$D$32,cad!$E$32)))</f>
      </c>
      <c r="J1154">
        <f>IF($A1154="","",IF($D1154="V01",cad!$C$33,IF($D1154="V02",cad!$D$33,cad!$E$33)))</f>
      </c>
      <c r="K1154">
        <f>IF($A1154="","",IF($D1154="V01",cad!$C$34,IF($D1154="V02",cad!$D$34,cad!$E$34)))</f>
      </c>
      <c r="L1154">
        <f>IF($A1154="","",IF($D1154="V01",cad!$C$35,IF($D1154="V02",cad!$D$35,cad!$E$35)))</f>
      </c>
      <c r="M1154">
        <f>IF($A1154="","",IF($D1154="V01",cad!$C$36,IF($D1154="V02",cad!$D$36,cad!$E$36)))</f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>
        <f>IF($A1155="","",IF($D1155="V01",cad!$C$23,IF($D1155="V02",cad!$D$23,cad!$E$23)))</f>
      </c>
      <c r="H1155">
        <f>IF($A1155="","",IF($D1155="V01",cad!$C$24,IF($D1155="V02",cad!$D$24,cad!$E$24)))</f>
      </c>
      <c r="I1155">
        <f>IF($A1155="","",IF($D1155="V01",cad!$C$32,IF($D1155="V02",cad!$D$32,cad!$E$32)))</f>
      </c>
      <c r="J1155">
        <f>IF($A1155="","",IF($D1155="V01",cad!$C$33,IF($D1155="V02",cad!$D$33,cad!$E$33)))</f>
      </c>
      <c r="K1155">
        <f>IF($A1155="","",IF($D1155="V01",cad!$C$34,IF($D1155="V02",cad!$D$34,cad!$E$34)))</f>
      </c>
      <c r="L1155">
        <f>IF($A1155="","",IF($D1155="V01",cad!$C$35,IF($D1155="V02",cad!$D$35,cad!$E$35)))</f>
      </c>
      <c r="M1155">
        <f>IF($A1155="","",IF($D1155="V01",cad!$C$36,IF($D1155="V02",cad!$D$36,cad!$E$36)))</f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>
        <f>IF($A1156="","",IF($D1156="V01",cad!$C$23,IF($D1156="V02",cad!$D$23,cad!$E$23)))</f>
      </c>
      <c r="H1156">
        <f>IF($A1156="","",IF($D1156="V01",cad!$C$24,IF($D1156="V02",cad!$D$24,cad!$E$24)))</f>
      </c>
      <c r="I1156">
        <f>IF($A1156="","",IF($D1156="V01",cad!$C$32,IF($D1156="V02",cad!$D$32,cad!$E$32)))</f>
      </c>
      <c r="J1156">
        <f>IF($A1156="","",IF($D1156="V01",cad!$C$33,IF($D1156="V02",cad!$D$33,cad!$E$33)))</f>
      </c>
      <c r="K1156">
        <f>IF($A1156="","",IF($D1156="V01",cad!$C$34,IF($D1156="V02",cad!$D$34,cad!$E$34)))</f>
      </c>
      <c r="L1156">
        <f>IF($A1156="","",IF($D1156="V01",cad!$C$35,IF($D1156="V02",cad!$D$35,cad!$E$35)))</f>
      </c>
      <c r="M1156">
        <f>IF($A1156="","",IF($D1156="V01",cad!$C$36,IF($D1156="V02",cad!$D$36,cad!$E$36)))</f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>
        <f>IF($A1157="","",IF($D1157="V01",cad!$C$23,IF($D1157="V02",cad!$D$23,cad!$E$23)))</f>
      </c>
      <c r="H1157">
        <f>IF($A1157="","",IF($D1157="V01",cad!$C$24,IF($D1157="V02",cad!$D$24,cad!$E$24)))</f>
      </c>
      <c r="I1157">
        <f>IF($A1157="","",IF($D1157="V01",cad!$C$32,IF($D1157="V02",cad!$D$32,cad!$E$32)))</f>
      </c>
      <c r="J1157">
        <f>IF($A1157="","",IF($D1157="V01",cad!$C$33,IF($D1157="V02",cad!$D$33,cad!$E$33)))</f>
      </c>
      <c r="K1157">
        <f>IF($A1157="","",IF($D1157="V01",cad!$C$34,IF($D1157="V02",cad!$D$34,cad!$E$34)))</f>
      </c>
      <c r="L1157">
        <f>IF($A1157="","",IF($D1157="V01",cad!$C$35,IF($D1157="V02",cad!$D$35,cad!$E$35)))</f>
      </c>
      <c r="M1157">
        <f>IF($A1157="","",IF($D1157="V01",cad!$C$36,IF($D1157="V02",cad!$D$36,cad!$E$36)))</f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>
        <f>IF($A1158="","",IF($D1158="V01",cad!$C$23,IF($D1158="V02",cad!$D$23,cad!$E$23)))</f>
      </c>
      <c r="H1158">
        <f>IF($A1158="","",IF($D1158="V01",cad!$C$24,IF($D1158="V02",cad!$D$24,cad!$E$24)))</f>
      </c>
      <c r="I1158">
        <f>IF($A1158="","",IF($D1158="V01",cad!$C$32,IF($D1158="V02",cad!$D$32,cad!$E$32)))</f>
      </c>
      <c r="J1158">
        <f>IF($A1158="","",IF($D1158="V01",cad!$C$33,IF($D1158="V02",cad!$D$33,cad!$E$33)))</f>
      </c>
      <c r="K1158">
        <f>IF($A1158="","",IF($D1158="V01",cad!$C$34,IF($D1158="V02",cad!$D$34,cad!$E$34)))</f>
      </c>
      <c r="L1158">
        <f>IF($A1158="","",IF($D1158="V01",cad!$C$35,IF($D1158="V02",cad!$D$35,cad!$E$35)))</f>
      </c>
      <c r="M1158">
        <f>IF($A1158="","",IF($D1158="V01",cad!$C$36,IF($D1158="V02",cad!$D$36,cad!$E$36)))</f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>
        <f>IF($A1159="","",IF($D1159="V01",cad!$C$23,IF($D1159="V02",cad!$D$23,cad!$E$23)))</f>
      </c>
      <c r="H1159">
        <f>IF($A1159="","",IF($D1159="V01",cad!$C$24,IF($D1159="V02",cad!$D$24,cad!$E$24)))</f>
      </c>
      <c r="I1159">
        <f>IF($A1159="","",IF($D1159="V01",cad!$C$32,IF($D1159="V02",cad!$D$32,cad!$E$32)))</f>
      </c>
      <c r="J1159">
        <f>IF($A1159="","",IF($D1159="V01",cad!$C$33,IF($D1159="V02",cad!$D$33,cad!$E$33)))</f>
      </c>
      <c r="K1159">
        <f>IF($A1159="","",IF($D1159="V01",cad!$C$34,IF($D1159="V02",cad!$D$34,cad!$E$34)))</f>
      </c>
      <c r="L1159">
        <f>IF($A1159="","",IF($D1159="V01",cad!$C$35,IF($D1159="V02",cad!$D$35,cad!$E$35)))</f>
      </c>
      <c r="M1159">
        <f>IF($A1159="","",IF($D1159="V01",cad!$C$36,IF($D1159="V02",cad!$D$36,cad!$E$36)))</f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>
        <f>IF($A1160="","",IF($D1160="V01",cad!$C$23,IF($D1160="V02",cad!$D$23,cad!$E$23)))</f>
      </c>
      <c r="H1160">
        <f>IF($A1160="","",IF($D1160="V01",cad!$C$24,IF($D1160="V02",cad!$D$24,cad!$E$24)))</f>
      </c>
      <c r="I1160">
        <f>IF($A1160="","",IF($D1160="V01",cad!$C$32,IF($D1160="V02",cad!$D$32,cad!$E$32)))</f>
      </c>
      <c r="J1160">
        <f>IF($A1160="","",IF($D1160="V01",cad!$C$33,IF($D1160="V02",cad!$D$33,cad!$E$33)))</f>
      </c>
      <c r="K1160">
        <f>IF($A1160="","",IF($D1160="V01",cad!$C$34,IF($D1160="V02",cad!$D$34,cad!$E$34)))</f>
      </c>
      <c r="L1160">
        <f>IF($A1160="","",IF($D1160="V01",cad!$C$35,IF($D1160="V02",cad!$D$35,cad!$E$35)))</f>
      </c>
      <c r="M1160">
        <f>IF($A1160="","",IF($D1160="V01",cad!$C$36,IF($D1160="V02",cad!$D$36,cad!$E$36)))</f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>
        <f>IF($A1161="","",IF($D1161="V01",cad!$C$23,IF($D1161="V02",cad!$D$23,cad!$E$23)))</f>
      </c>
      <c r="H1161">
        <f>IF($A1161="","",IF($D1161="V01",cad!$C$24,IF($D1161="V02",cad!$D$24,cad!$E$24)))</f>
      </c>
      <c r="I1161">
        <f>IF($A1161="","",IF($D1161="V01",cad!$C$32,IF($D1161="V02",cad!$D$32,cad!$E$32)))</f>
      </c>
      <c r="J1161">
        <f>IF($A1161="","",IF($D1161="V01",cad!$C$33,IF($D1161="V02",cad!$D$33,cad!$E$33)))</f>
      </c>
      <c r="K1161">
        <f>IF($A1161="","",IF($D1161="V01",cad!$C$34,IF($D1161="V02",cad!$D$34,cad!$E$34)))</f>
      </c>
      <c r="L1161">
        <f>IF($A1161="","",IF($D1161="V01",cad!$C$35,IF($D1161="V02",cad!$D$35,cad!$E$35)))</f>
      </c>
      <c r="M1161">
        <f>IF($A1161="","",IF($D1161="V01",cad!$C$36,IF($D1161="V02",cad!$D$36,cad!$E$36)))</f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>
        <f>IF($A1162="","",IF($D1162="V01",cad!$C$23,IF($D1162="V02",cad!$D$23,cad!$E$23)))</f>
      </c>
      <c r="H1162">
        <f>IF($A1162="","",IF($D1162="V01",cad!$C$24,IF($D1162="V02",cad!$D$24,cad!$E$24)))</f>
      </c>
      <c r="I1162">
        <f>IF($A1162="","",IF($D1162="V01",cad!$C$32,IF($D1162="V02",cad!$D$32,cad!$E$32)))</f>
      </c>
      <c r="J1162">
        <f>IF($A1162="","",IF($D1162="V01",cad!$C$33,IF($D1162="V02",cad!$D$33,cad!$E$33)))</f>
      </c>
      <c r="K1162">
        <f>IF($A1162="","",IF($D1162="V01",cad!$C$34,IF($D1162="V02",cad!$D$34,cad!$E$34)))</f>
      </c>
      <c r="L1162">
        <f>IF($A1162="","",IF($D1162="V01",cad!$C$35,IF($D1162="V02",cad!$D$35,cad!$E$35)))</f>
      </c>
      <c r="M1162">
        <f>IF($A1162="","",IF($D1162="V01",cad!$C$36,IF($D1162="V02",cad!$D$36,cad!$E$36)))</f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>
        <f>IF($A1163="","",IF($D1163="V01",cad!$C$23,IF($D1163="V02",cad!$D$23,cad!$E$23)))</f>
      </c>
      <c r="H1163">
        <f>IF($A1163="","",IF($D1163="V01",cad!$C$24,IF($D1163="V02",cad!$D$24,cad!$E$24)))</f>
      </c>
      <c r="I1163">
        <f>IF($A1163="","",IF($D1163="V01",cad!$C$32,IF($D1163="V02",cad!$D$32,cad!$E$32)))</f>
      </c>
      <c r="J1163">
        <f>IF($A1163="","",IF($D1163="V01",cad!$C$33,IF($D1163="V02",cad!$D$33,cad!$E$33)))</f>
      </c>
      <c r="K1163">
        <f>IF($A1163="","",IF($D1163="V01",cad!$C$34,IF($D1163="V02",cad!$D$34,cad!$E$34)))</f>
      </c>
      <c r="L1163">
        <f>IF($A1163="","",IF($D1163="V01",cad!$C$35,IF($D1163="V02",cad!$D$35,cad!$E$35)))</f>
      </c>
      <c r="M1163">
        <f>IF($A1163="","",IF($D1163="V01",cad!$C$36,IF($D1163="V02",cad!$D$36,cad!$E$36)))</f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>
        <f>IF($A1164="","",IF($D1164="V01",cad!$C$23,IF($D1164="V02",cad!$D$23,cad!$E$23)))</f>
      </c>
      <c r="H1164">
        <f>IF($A1164="","",IF($D1164="V01",cad!$C$24,IF($D1164="V02",cad!$D$24,cad!$E$24)))</f>
      </c>
      <c r="I1164">
        <f>IF($A1164="","",IF($D1164="V01",cad!$C$32,IF($D1164="V02",cad!$D$32,cad!$E$32)))</f>
      </c>
      <c r="J1164">
        <f>IF($A1164="","",IF($D1164="V01",cad!$C$33,IF($D1164="V02",cad!$D$33,cad!$E$33)))</f>
      </c>
      <c r="K1164">
        <f>IF($A1164="","",IF($D1164="V01",cad!$C$34,IF($D1164="V02",cad!$D$34,cad!$E$34)))</f>
      </c>
      <c r="L1164">
        <f>IF($A1164="","",IF($D1164="V01",cad!$C$35,IF($D1164="V02",cad!$D$35,cad!$E$35)))</f>
      </c>
      <c r="M1164">
        <f>IF($A1164="","",IF($D1164="V01",cad!$C$36,IF($D1164="V02",cad!$D$36,cad!$E$36)))</f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>
        <f>IF($A1165="","",IF($D1165="V01",cad!$C$23,IF($D1165="V02",cad!$D$23,cad!$E$23)))</f>
      </c>
      <c r="H1165">
        <f>IF($A1165="","",IF($D1165="V01",cad!$C$24,IF($D1165="V02",cad!$D$24,cad!$E$24)))</f>
      </c>
      <c r="I1165">
        <f>IF($A1165="","",IF($D1165="V01",cad!$C$32,IF($D1165="V02",cad!$D$32,cad!$E$32)))</f>
      </c>
      <c r="J1165">
        <f>IF($A1165="","",IF($D1165="V01",cad!$C$33,IF($D1165="V02",cad!$D$33,cad!$E$33)))</f>
      </c>
      <c r="K1165">
        <f>IF($A1165="","",IF($D1165="V01",cad!$C$34,IF($D1165="V02",cad!$D$34,cad!$E$34)))</f>
      </c>
      <c r="L1165">
        <f>IF($A1165="","",IF($D1165="V01",cad!$C$35,IF($D1165="V02",cad!$D$35,cad!$E$35)))</f>
      </c>
      <c r="M1165">
        <f>IF($A1165="","",IF($D1165="V01",cad!$C$36,IF($D1165="V02",cad!$D$36,cad!$E$36)))</f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>
        <f>IF($A1166="","",IF($D1166="V01",cad!$C$23,IF($D1166="V02",cad!$D$23,cad!$E$23)))</f>
      </c>
      <c r="H1166">
        <f>IF($A1166="","",IF($D1166="V01",cad!$C$24,IF($D1166="V02",cad!$D$24,cad!$E$24)))</f>
      </c>
      <c r="I1166">
        <f>IF($A1166="","",IF($D1166="V01",cad!$C$32,IF($D1166="V02",cad!$D$32,cad!$E$32)))</f>
      </c>
      <c r="J1166">
        <f>IF($A1166="","",IF($D1166="V01",cad!$C$33,IF($D1166="V02",cad!$D$33,cad!$E$33)))</f>
      </c>
      <c r="K1166">
        <f>IF($A1166="","",IF($D1166="V01",cad!$C$34,IF($D1166="V02",cad!$D$34,cad!$E$34)))</f>
      </c>
      <c r="L1166">
        <f>IF($A1166="","",IF($D1166="V01",cad!$C$35,IF($D1166="V02",cad!$D$35,cad!$E$35)))</f>
      </c>
      <c r="M1166">
        <f>IF($A1166="","",IF($D1166="V01",cad!$C$36,IF($D1166="V02",cad!$D$36,cad!$E$36)))</f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>
        <f>IF($A1167="","",IF($D1167="V01",cad!$C$23,IF($D1167="V02",cad!$D$23,cad!$E$23)))</f>
      </c>
      <c r="H1167">
        <f>IF($A1167="","",IF($D1167="V01",cad!$C$24,IF($D1167="V02",cad!$D$24,cad!$E$24)))</f>
      </c>
      <c r="I1167">
        <f>IF($A1167="","",IF($D1167="V01",cad!$C$32,IF($D1167="V02",cad!$D$32,cad!$E$32)))</f>
      </c>
      <c r="J1167">
        <f>IF($A1167="","",IF($D1167="V01",cad!$C$33,IF($D1167="V02",cad!$D$33,cad!$E$33)))</f>
      </c>
      <c r="K1167">
        <f>IF($A1167="","",IF($D1167="V01",cad!$C$34,IF($D1167="V02",cad!$D$34,cad!$E$34)))</f>
      </c>
      <c r="L1167">
        <f>IF($A1167="","",IF($D1167="V01",cad!$C$35,IF($D1167="V02",cad!$D$35,cad!$E$35)))</f>
      </c>
      <c r="M1167">
        <f>IF($A1167="","",IF($D1167="V01",cad!$C$36,IF($D1167="V02",cad!$D$36,cad!$E$36)))</f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>
        <f>IF($A1168="","",IF($D1168="V01",cad!$C$23,IF($D1168="V02",cad!$D$23,cad!$E$23)))</f>
      </c>
      <c r="H1168">
        <f>IF($A1168="","",IF($D1168="V01",cad!$C$24,IF($D1168="V02",cad!$D$24,cad!$E$24)))</f>
      </c>
      <c r="I1168">
        <f>IF($A1168="","",IF($D1168="V01",cad!$C$32,IF($D1168="V02",cad!$D$32,cad!$E$32)))</f>
      </c>
      <c r="J1168">
        <f>IF($A1168="","",IF($D1168="V01",cad!$C$33,IF($D1168="V02",cad!$D$33,cad!$E$33)))</f>
      </c>
      <c r="K1168">
        <f>IF($A1168="","",IF($D1168="V01",cad!$C$34,IF($D1168="V02",cad!$D$34,cad!$E$34)))</f>
      </c>
      <c r="L1168">
        <f>IF($A1168="","",IF($D1168="V01",cad!$C$35,IF($D1168="V02",cad!$D$35,cad!$E$35)))</f>
      </c>
      <c r="M1168">
        <f>IF($A1168="","",IF($D1168="V01",cad!$C$36,IF($D1168="V02",cad!$D$36,cad!$E$36)))</f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>
        <f>IF($A1169="","",IF($D1169="V01",cad!$C$23,IF($D1169="V02",cad!$D$23,cad!$E$23)))</f>
      </c>
      <c r="H1169">
        <f>IF($A1169="","",IF($D1169="V01",cad!$C$24,IF($D1169="V02",cad!$D$24,cad!$E$24)))</f>
      </c>
      <c r="I1169">
        <f>IF($A1169="","",IF($D1169="V01",cad!$C$32,IF($D1169="V02",cad!$D$32,cad!$E$32)))</f>
      </c>
      <c r="J1169">
        <f>IF($A1169="","",IF($D1169="V01",cad!$C$33,IF($D1169="V02",cad!$D$33,cad!$E$33)))</f>
      </c>
      <c r="K1169">
        <f>IF($A1169="","",IF($D1169="V01",cad!$C$34,IF($D1169="V02",cad!$D$34,cad!$E$34)))</f>
      </c>
      <c r="L1169">
        <f>IF($A1169="","",IF($D1169="V01",cad!$C$35,IF($D1169="V02",cad!$D$35,cad!$E$35)))</f>
      </c>
      <c r="M1169">
        <f>IF($A1169="","",IF($D1169="V01",cad!$C$36,IF($D1169="V02",cad!$D$36,cad!$E$36)))</f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>
        <f>IF($A1170="","",IF($D1170="V01",cad!$C$23,IF($D1170="V02",cad!$D$23,cad!$E$23)))</f>
      </c>
      <c r="H1170">
        <f>IF($A1170="","",IF($D1170="V01",cad!$C$24,IF($D1170="V02",cad!$D$24,cad!$E$24)))</f>
      </c>
      <c r="I1170">
        <f>IF($A1170="","",IF($D1170="V01",cad!$C$32,IF($D1170="V02",cad!$D$32,cad!$E$32)))</f>
      </c>
      <c r="J1170">
        <f>IF($A1170="","",IF($D1170="V01",cad!$C$33,IF($D1170="V02",cad!$D$33,cad!$E$33)))</f>
      </c>
      <c r="K1170">
        <f>IF($A1170="","",IF($D1170="V01",cad!$C$34,IF($D1170="V02",cad!$D$34,cad!$E$34)))</f>
      </c>
      <c r="L1170">
        <f>IF($A1170="","",IF($D1170="V01",cad!$C$35,IF($D1170="V02",cad!$D$35,cad!$E$35)))</f>
      </c>
      <c r="M1170">
        <f>IF($A1170="","",IF($D1170="V01",cad!$C$36,IF($D1170="V02",cad!$D$36,cad!$E$36)))</f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>
        <f>IF($A1171="","",IF($D1171="V01",cad!$C$23,IF($D1171="V02",cad!$D$23,cad!$E$23)))</f>
      </c>
      <c r="H1171">
        <f>IF($A1171="","",IF($D1171="V01",cad!$C$24,IF($D1171="V02",cad!$D$24,cad!$E$24)))</f>
      </c>
      <c r="I1171">
        <f>IF($A1171="","",IF($D1171="V01",cad!$C$32,IF($D1171="V02",cad!$D$32,cad!$E$32)))</f>
      </c>
      <c r="J1171">
        <f>IF($A1171="","",IF($D1171="V01",cad!$C$33,IF($D1171="V02",cad!$D$33,cad!$E$33)))</f>
      </c>
      <c r="K1171">
        <f>IF($A1171="","",IF($D1171="V01",cad!$C$34,IF($D1171="V02",cad!$D$34,cad!$E$34)))</f>
      </c>
      <c r="L1171">
        <f>IF($A1171="","",IF($D1171="V01",cad!$C$35,IF($D1171="V02",cad!$D$35,cad!$E$35)))</f>
      </c>
      <c r="M1171">
        <f>IF($A1171="","",IF($D1171="V01",cad!$C$36,IF($D1171="V02",cad!$D$36,cad!$E$36)))</f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>
        <f>IF($A1172="","",IF($D1172="V01",cad!$C$23,IF($D1172="V02",cad!$D$23,cad!$E$23)))</f>
      </c>
      <c r="H1172">
        <f>IF($A1172="","",IF($D1172="V01",cad!$C$24,IF($D1172="V02",cad!$D$24,cad!$E$24)))</f>
      </c>
      <c r="I1172">
        <f>IF($A1172="","",IF($D1172="V01",cad!$C$32,IF($D1172="V02",cad!$D$32,cad!$E$32)))</f>
      </c>
      <c r="J1172">
        <f>IF($A1172="","",IF($D1172="V01",cad!$C$33,IF($D1172="V02",cad!$D$33,cad!$E$33)))</f>
      </c>
      <c r="K1172">
        <f>IF($A1172="","",IF($D1172="V01",cad!$C$34,IF($D1172="V02",cad!$D$34,cad!$E$34)))</f>
      </c>
      <c r="L1172">
        <f>IF($A1172="","",IF($D1172="V01",cad!$C$35,IF($D1172="V02",cad!$D$35,cad!$E$35)))</f>
      </c>
      <c r="M1172">
        <f>IF($A1172="","",IF($D1172="V01",cad!$C$36,IF($D1172="V02",cad!$D$36,cad!$E$36)))</f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>
        <f>IF($A1173="","",IF($D1173="V01",cad!$C$23,IF($D1173="V02",cad!$D$23,cad!$E$23)))</f>
      </c>
      <c r="H1173">
        <f>IF($A1173="","",IF($D1173="V01",cad!$C$24,IF($D1173="V02",cad!$D$24,cad!$E$24)))</f>
      </c>
      <c r="I1173">
        <f>IF($A1173="","",IF($D1173="V01",cad!$C$32,IF($D1173="V02",cad!$D$32,cad!$E$32)))</f>
      </c>
      <c r="J1173">
        <f>IF($A1173="","",IF($D1173="V01",cad!$C$33,IF($D1173="V02",cad!$D$33,cad!$E$33)))</f>
      </c>
      <c r="K1173">
        <f>IF($A1173="","",IF($D1173="V01",cad!$C$34,IF($D1173="V02",cad!$D$34,cad!$E$34)))</f>
      </c>
      <c r="L1173">
        <f>IF($A1173="","",IF($D1173="V01",cad!$C$35,IF($D1173="V02",cad!$D$35,cad!$E$35)))</f>
      </c>
      <c r="M1173">
        <f>IF($A1173="","",IF($D1173="V01",cad!$C$36,IF($D1173="V02",cad!$D$36,cad!$E$36)))</f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>
        <f>IF($A1174="","",IF($D1174="V01",cad!$C$23,IF($D1174="V02",cad!$D$23,cad!$E$23)))</f>
      </c>
      <c r="H1174">
        <f>IF($A1174="","",IF($D1174="V01",cad!$C$24,IF($D1174="V02",cad!$D$24,cad!$E$24)))</f>
      </c>
      <c r="I1174">
        <f>IF($A1174="","",IF($D1174="V01",cad!$C$32,IF($D1174="V02",cad!$D$32,cad!$E$32)))</f>
      </c>
      <c r="J1174">
        <f>IF($A1174="","",IF($D1174="V01",cad!$C$33,IF($D1174="V02",cad!$D$33,cad!$E$33)))</f>
      </c>
      <c r="K1174">
        <f>IF($A1174="","",IF($D1174="V01",cad!$C$34,IF($D1174="V02",cad!$D$34,cad!$E$34)))</f>
      </c>
      <c r="L1174">
        <f>IF($A1174="","",IF($D1174="V01",cad!$C$35,IF($D1174="V02",cad!$D$35,cad!$E$35)))</f>
      </c>
      <c r="M1174">
        <f>IF($A1174="","",IF($D1174="V01",cad!$C$36,IF($D1174="V02",cad!$D$36,cad!$E$36)))</f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>
        <f>IF($A1175="","",IF($D1175="V01",cad!$C$23,IF($D1175="V02",cad!$D$23,cad!$E$23)))</f>
      </c>
      <c r="H1175">
        <f>IF($A1175="","",IF($D1175="V01",cad!$C$24,IF($D1175="V02",cad!$D$24,cad!$E$24)))</f>
      </c>
      <c r="I1175">
        <f>IF($A1175="","",IF($D1175="V01",cad!$C$32,IF($D1175="V02",cad!$D$32,cad!$E$32)))</f>
      </c>
      <c r="J1175">
        <f>IF($A1175="","",IF($D1175="V01",cad!$C$33,IF($D1175="V02",cad!$D$33,cad!$E$33)))</f>
      </c>
      <c r="K1175">
        <f>IF($A1175="","",IF($D1175="V01",cad!$C$34,IF($D1175="V02",cad!$D$34,cad!$E$34)))</f>
      </c>
      <c r="L1175">
        <f>IF($A1175="","",IF($D1175="V01",cad!$C$35,IF($D1175="V02",cad!$D$35,cad!$E$35)))</f>
      </c>
      <c r="M1175">
        <f>IF($A1175="","",IF($D1175="V01",cad!$C$36,IF($D1175="V02",cad!$D$36,cad!$E$36)))</f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>
        <f>IF($A1176="","",IF($D1176="V01",cad!$C$23,IF($D1176="V02",cad!$D$23,cad!$E$23)))</f>
      </c>
      <c r="H1176">
        <f>IF($A1176="","",IF($D1176="V01",cad!$C$24,IF($D1176="V02",cad!$D$24,cad!$E$24)))</f>
      </c>
      <c r="I1176">
        <f>IF($A1176="","",IF($D1176="V01",cad!$C$32,IF($D1176="V02",cad!$D$32,cad!$E$32)))</f>
      </c>
      <c r="J1176">
        <f>IF($A1176="","",IF($D1176="V01",cad!$C$33,IF($D1176="V02",cad!$D$33,cad!$E$33)))</f>
      </c>
      <c r="K1176">
        <f>IF($A1176="","",IF($D1176="V01",cad!$C$34,IF($D1176="V02",cad!$D$34,cad!$E$34)))</f>
      </c>
      <c r="L1176">
        <f>IF($A1176="","",IF($D1176="V01",cad!$C$35,IF($D1176="V02",cad!$D$35,cad!$E$35)))</f>
      </c>
      <c r="M1176">
        <f>IF($A1176="","",IF($D1176="V01",cad!$C$36,IF($D1176="V02",cad!$D$36,cad!$E$36)))</f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>
        <f>IF($A1177="","",IF($D1177="V01",cad!$C$23,IF($D1177="V02",cad!$D$23,cad!$E$23)))</f>
      </c>
      <c r="H1177">
        <f>IF($A1177="","",IF($D1177="V01",cad!$C$24,IF($D1177="V02",cad!$D$24,cad!$E$24)))</f>
      </c>
      <c r="I1177">
        <f>IF($A1177="","",IF($D1177="V01",cad!$C$32,IF($D1177="V02",cad!$D$32,cad!$E$32)))</f>
      </c>
      <c r="J1177">
        <f>IF($A1177="","",IF($D1177="V01",cad!$C$33,IF($D1177="V02",cad!$D$33,cad!$E$33)))</f>
      </c>
      <c r="K1177">
        <f>IF($A1177="","",IF($D1177="V01",cad!$C$34,IF($D1177="V02",cad!$D$34,cad!$E$34)))</f>
      </c>
      <c r="L1177">
        <f>IF($A1177="","",IF($D1177="V01",cad!$C$35,IF($D1177="V02",cad!$D$35,cad!$E$35)))</f>
      </c>
      <c r="M1177">
        <f>IF($A1177="","",IF($D1177="V01",cad!$C$36,IF($D1177="V02",cad!$D$36,cad!$E$36)))</f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>
        <f>IF($A1178="","",IF($D1178="V01",cad!$C$23,IF($D1178="V02",cad!$D$23,cad!$E$23)))</f>
      </c>
      <c r="H1178">
        <f>IF($A1178="","",IF($D1178="V01",cad!$C$24,IF($D1178="V02",cad!$D$24,cad!$E$24)))</f>
      </c>
      <c r="I1178">
        <f>IF($A1178="","",IF($D1178="V01",cad!$C$32,IF($D1178="V02",cad!$D$32,cad!$E$32)))</f>
      </c>
      <c r="J1178">
        <f>IF($A1178="","",IF($D1178="V01",cad!$C$33,IF($D1178="V02",cad!$D$33,cad!$E$33)))</f>
      </c>
      <c r="K1178">
        <f>IF($A1178="","",IF($D1178="V01",cad!$C$34,IF($D1178="V02",cad!$D$34,cad!$E$34)))</f>
      </c>
      <c r="L1178">
        <f>IF($A1178="","",IF($D1178="V01",cad!$C$35,IF($D1178="V02",cad!$D$35,cad!$E$35)))</f>
      </c>
      <c r="M1178">
        <f>IF($A1178="","",IF($D1178="V01",cad!$C$36,IF($D1178="V02",cad!$D$36,cad!$E$36)))</f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>
        <f>IF($A1179="","",IF($D1179="V01",cad!$C$23,IF($D1179="V02",cad!$D$23,cad!$E$23)))</f>
      </c>
      <c r="H1179">
        <f>IF($A1179="","",IF($D1179="V01",cad!$C$24,IF($D1179="V02",cad!$D$24,cad!$E$24)))</f>
      </c>
      <c r="I1179">
        <f>IF($A1179="","",IF($D1179="V01",cad!$C$32,IF($D1179="V02",cad!$D$32,cad!$E$32)))</f>
      </c>
      <c r="J1179">
        <f>IF($A1179="","",IF($D1179="V01",cad!$C$33,IF($D1179="V02",cad!$D$33,cad!$E$33)))</f>
      </c>
      <c r="K1179">
        <f>IF($A1179="","",IF($D1179="V01",cad!$C$34,IF($D1179="V02",cad!$D$34,cad!$E$34)))</f>
      </c>
      <c r="L1179">
        <f>IF($A1179="","",IF($D1179="V01",cad!$C$35,IF($D1179="V02",cad!$D$35,cad!$E$35)))</f>
      </c>
      <c r="M1179">
        <f>IF($A1179="","",IF($D1179="V01",cad!$C$36,IF($D1179="V02",cad!$D$36,cad!$E$36)))</f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>
        <f>IF($A1180="","",IF($D1180="V01",cad!$C$23,IF($D1180="V02",cad!$D$23,cad!$E$23)))</f>
      </c>
      <c r="H1180">
        <f>IF($A1180="","",IF($D1180="V01",cad!$C$24,IF($D1180="V02",cad!$D$24,cad!$E$24)))</f>
      </c>
      <c r="I1180">
        <f>IF($A1180="","",IF($D1180="V01",cad!$C$32,IF($D1180="V02",cad!$D$32,cad!$E$32)))</f>
      </c>
      <c r="J1180">
        <f>IF($A1180="","",IF($D1180="V01",cad!$C$33,IF($D1180="V02",cad!$D$33,cad!$E$33)))</f>
      </c>
      <c r="K1180">
        <f>IF($A1180="","",IF($D1180="V01",cad!$C$34,IF($D1180="V02",cad!$D$34,cad!$E$34)))</f>
      </c>
      <c r="L1180">
        <f>IF($A1180="","",IF($D1180="V01",cad!$C$35,IF($D1180="V02",cad!$D$35,cad!$E$35)))</f>
      </c>
      <c r="M1180">
        <f>IF($A1180="","",IF($D1180="V01",cad!$C$36,IF($D1180="V02",cad!$D$36,cad!$E$36)))</f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>
        <f>IF($A1181="","",IF($D1181="V01",cad!$C$23,IF($D1181="V02",cad!$D$23,cad!$E$23)))</f>
      </c>
      <c r="H1181">
        <f>IF($A1181="","",IF($D1181="V01",cad!$C$24,IF($D1181="V02",cad!$D$24,cad!$E$24)))</f>
      </c>
      <c r="I1181">
        <f>IF($A1181="","",IF($D1181="V01",cad!$C$32,IF($D1181="V02",cad!$D$32,cad!$E$32)))</f>
      </c>
      <c r="J1181">
        <f>IF($A1181="","",IF($D1181="V01",cad!$C$33,IF($D1181="V02",cad!$D$33,cad!$E$33)))</f>
      </c>
      <c r="K1181">
        <f>IF($A1181="","",IF($D1181="V01",cad!$C$34,IF($D1181="V02",cad!$D$34,cad!$E$34)))</f>
      </c>
      <c r="L1181">
        <f>IF($A1181="","",IF($D1181="V01",cad!$C$35,IF($D1181="V02",cad!$D$35,cad!$E$35)))</f>
      </c>
      <c r="M1181">
        <f>IF($A1181="","",IF($D1181="V01",cad!$C$36,IF($D1181="V02",cad!$D$36,cad!$E$36)))</f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>
        <f>IF($A1182="","",IF($D1182="V01",cad!$C$23,IF($D1182="V02",cad!$D$23,cad!$E$23)))</f>
      </c>
      <c r="H1182">
        <f>IF($A1182="","",IF($D1182="V01",cad!$C$24,IF($D1182="V02",cad!$D$24,cad!$E$24)))</f>
      </c>
      <c r="I1182">
        <f>IF($A1182="","",IF($D1182="V01",cad!$C$32,IF($D1182="V02",cad!$D$32,cad!$E$32)))</f>
      </c>
      <c r="J1182">
        <f>IF($A1182="","",IF($D1182="V01",cad!$C$33,IF($D1182="V02",cad!$D$33,cad!$E$33)))</f>
      </c>
      <c r="K1182">
        <f>IF($A1182="","",IF($D1182="V01",cad!$C$34,IF($D1182="V02",cad!$D$34,cad!$E$34)))</f>
      </c>
      <c r="L1182">
        <f>IF($A1182="","",IF($D1182="V01",cad!$C$35,IF($D1182="V02",cad!$D$35,cad!$E$35)))</f>
      </c>
      <c r="M1182">
        <f>IF($A1182="","",IF($D1182="V01",cad!$C$36,IF($D1182="V02",cad!$D$36,cad!$E$36)))</f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>
        <f>IF($A1183="","",IF($D1183="V01",cad!$C$23,IF($D1183="V02",cad!$D$23,cad!$E$23)))</f>
      </c>
      <c r="H1183">
        <f>IF($A1183="","",IF($D1183="V01",cad!$C$24,IF($D1183="V02",cad!$D$24,cad!$E$24)))</f>
      </c>
      <c r="I1183">
        <f>IF($A1183="","",IF($D1183="V01",cad!$C$32,IF($D1183="V02",cad!$D$32,cad!$E$32)))</f>
      </c>
      <c r="J1183">
        <f>IF($A1183="","",IF($D1183="V01",cad!$C$33,IF($D1183="V02",cad!$D$33,cad!$E$33)))</f>
      </c>
      <c r="K1183">
        <f>IF($A1183="","",IF($D1183="V01",cad!$C$34,IF($D1183="V02",cad!$D$34,cad!$E$34)))</f>
      </c>
      <c r="L1183">
        <f>IF($A1183="","",IF($D1183="V01",cad!$C$35,IF($D1183="V02",cad!$D$35,cad!$E$35)))</f>
      </c>
      <c r="M1183">
        <f>IF($A1183="","",IF($D1183="V01",cad!$C$36,IF($D1183="V02",cad!$D$36,cad!$E$36)))</f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>
        <f>IF($A1184="","",IF($D1184="V01",cad!$C$23,IF($D1184="V02",cad!$D$23,cad!$E$23)))</f>
      </c>
      <c r="H1184">
        <f>IF($A1184="","",IF($D1184="V01",cad!$C$24,IF($D1184="V02",cad!$D$24,cad!$E$24)))</f>
      </c>
      <c r="I1184">
        <f>IF($A1184="","",IF($D1184="V01",cad!$C$32,IF($D1184="V02",cad!$D$32,cad!$E$32)))</f>
      </c>
      <c r="J1184">
        <f>IF($A1184="","",IF($D1184="V01",cad!$C$33,IF($D1184="V02",cad!$D$33,cad!$E$33)))</f>
      </c>
      <c r="K1184">
        <f>IF($A1184="","",IF($D1184="V01",cad!$C$34,IF($D1184="V02",cad!$D$34,cad!$E$34)))</f>
      </c>
      <c r="L1184">
        <f>IF($A1184="","",IF($D1184="V01",cad!$C$35,IF($D1184="V02",cad!$D$35,cad!$E$35)))</f>
      </c>
      <c r="M1184">
        <f>IF($A1184="","",IF($D1184="V01",cad!$C$36,IF($D1184="V02",cad!$D$36,cad!$E$36)))</f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>
        <f>IF($A1185="","",IF($D1185="V01",cad!$C$23,IF($D1185="V02",cad!$D$23,cad!$E$23)))</f>
      </c>
      <c r="H1185">
        <f>IF($A1185="","",IF($D1185="V01",cad!$C$24,IF($D1185="V02",cad!$D$24,cad!$E$24)))</f>
      </c>
      <c r="I1185">
        <f>IF($A1185="","",IF($D1185="V01",cad!$C$32,IF($D1185="V02",cad!$D$32,cad!$E$32)))</f>
      </c>
      <c r="J1185">
        <f>IF($A1185="","",IF($D1185="V01",cad!$C$33,IF($D1185="V02",cad!$D$33,cad!$E$33)))</f>
      </c>
      <c r="K1185">
        <f>IF($A1185="","",IF($D1185="V01",cad!$C$34,IF($D1185="V02",cad!$D$34,cad!$E$34)))</f>
      </c>
      <c r="L1185">
        <f>IF($A1185="","",IF($D1185="V01",cad!$C$35,IF($D1185="V02",cad!$D$35,cad!$E$35)))</f>
      </c>
      <c r="M1185">
        <f>IF($A1185="","",IF($D1185="V01",cad!$C$36,IF($D1185="V02",cad!$D$36,cad!$E$36)))</f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>
        <f>IF($A1186="","",IF($D1186="V01",cad!$C$23,IF($D1186="V02",cad!$D$23,cad!$E$23)))</f>
      </c>
      <c r="H1186">
        <f>IF($A1186="","",IF($D1186="V01",cad!$C$24,IF($D1186="V02",cad!$D$24,cad!$E$24)))</f>
      </c>
      <c r="I1186">
        <f>IF($A1186="","",IF($D1186="V01",cad!$C$32,IF($D1186="V02",cad!$D$32,cad!$E$32)))</f>
      </c>
      <c r="J1186">
        <f>IF($A1186="","",IF($D1186="V01",cad!$C$33,IF($D1186="V02",cad!$D$33,cad!$E$33)))</f>
      </c>
      <c r="K1186">
        <f>IF($A1186="","",IF($D1186="V01",cad!$C$34,IF($D1186="V02",cad!$D$34,cad!$E$34)))</f>
      </c>
      <c r="L1186">
        <f>IF($A1186="","",IF($D1186="V01",cad!$C$35,IF($D1186="V02",cad!$D$35,cad!$E$35)))</f>
      </c>
      <c r="M1186">
        <f>IF($A1186="","",IF($D1186="V01",cad!$C$36,IF($D1186="V02",cad!$D$36,cad!$E$36)))</f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>
        <f>IF($A1187="","",IF($D1187="V01",cad!$C$23,IF($D1187="V02",cad!$D$23,cad!$E$23)))</f>
      </c>
      <c r="H1187">
        <f>IF($A1187="","",IF($D1187="V01",cad!$C$24,IF($D1187="V02",cad!$D$24,cad!$E$24)))</f>
      </c>
      <c r="I1187">
        <f>IF($A1187="","",IF($D1187="V01",cad!$C$32,IF($D1187="V02",cad!$D$32,cad!$E$32)))</f>
      </c>
      <c r="J1187">
        <f>IF($A1187="","",IF($D1187="V01",cad!$C$33,IF($D1187="V02",cad!$D$33,cad!$E$33)))</f>
      </c>
      <c r="K1187">
        <f>IF($A1187="","",IF($D1187="V01",cad!$C$34,IF($D1187="V02",cad!$D$34,cad!$E$34)))</f>
      </c>
      <c r="L1187">
        <f>IF($A1187="","",IF($D1187="V01",cad!$C$35,IF($D1187="V02",cad!$D$35,cad!$E$35)))</f>
      </c>
      <c r="M1187">
        <f>IF($A1187="","",IF($D1187="V01",cad!$C$36,IF($D1187="V02",cad!$D$36,cad!$E$36)))</f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>
        <f>IF($A1188="","",IF($D1188="V01",cad!$C$23,IF($D1188="V02",cad!$D$23,cad!$E$23)))</f>
      </c>
      <c r="H1188">
        <f>IF($A1188="","",IF($D1188="V01",cad!$C$24,IF($D1188="V02",cad!$D$24,cad!$E$24)))</f>
      </c>
      <c r="I1188">
        <f>IF($A1188="","",IF($D1188="V01",cad!$C$32,IF($D1188="V02",cad!$D$32,cad!$E$32)))</f>
      </c>
      <c r="J1188">
        <f>IF($A1188="","",IF($D1188="V01",cad!$C$33,IF($D1188="V02",cad!$D$33,cad!$E$33)))</f>
      </c>
      <c r="K1188">
        <f>IF($A1188="","",IF($D1188="V01",cad!$C$34,IF($D1188="V02",cad!$D$34,cad!$E$34)))</f>
      </c>
      <c r="L1188">
        <f>IF($A1188="","",IF($D1188="V01",cad!$C$35,IF($D1188="V02",cad!$D$35,cad!$E$35)))</f>
      </c>
      <c r="M1188">
        <f>IF($A1188="","",IF($D1188="V01",cad!$C$36,IF($D1188="V02",cad!$D$36,cad!$E$36)))</f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>
        <f>IF($A1189="","",IF($D1189="V01",cad!$C$23,IF($D1189="V02",cad!$D$23,cad!$E$23)))</f>
      </c>
      <c r="H1189">
        <f>IF($A1189="","",IF($D1189="V01",cad!$C$24,IF($D1189="V02",cad!$D$24,cad!$E$24)))</f>
      </c>
      <c r="I1189">
        <f>IF($A1189="","",IF($D1189="V01",cad!$C$32,IF($D1189="V02",cad!$D$32,cad!$E$32)))</f>
      </c>
      <c r="J1189">
        <f>IF($A1189="","",IF($D1189="V01",cad!$C$33,IF($D1189="V02",cad!$D$33,cad!$E$33)))</f>
      </c>
      <c r="K1189">
        <f>IF($A1189="","",IF($D1189="V01",cad!$C$34,IF($D1189="V02",cad!$D$34,cad!$E$34)))</f>
      </c>
      <c r="L1189">
        <f>IF($A1189="","",IF($D1189="V01",cad!$C$35,IF($D1189="V02",cad!$D$35,cad!$E$35)))</f>
      </c>
      <c r="M1189">
        <f>IF($A1189="","",IF($D1189="V01",cad!$C$36,IF($D1189="V02",cad!$D$36,cad!$E$36)))</f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>
        <f>IF($A1190="","",IF($D1190="V01",cad!$C$23,IF($D1190="V02",cad!$D$23,cad!$E$23)))</f>
      </c>
      <c r="H1190">
        <f>IF($A1190="","",IF($D1190="V01",cad!$C$24,IF($D1190="V02",cad!$D$24,cad!$E$24)))</f>
      </c>
      <c r="I1190">
        <f>IF($A1190="","",IF($D1190="V01",cad!$C$32,IF($D1190="V02",cad!$D$32,cad!$E$32)))</f>
      </c>
      <c r="J1190">
        <f>IF($A1190="","",IF($D1190="V01",cad!$C$33,IF($D1190="V02",cad!$D$33,cad!$E$33)))</f>
      </c>
      <c r="K1190">
        <f>IF($A1190="","",IF($D1190="V01",cad!$C$34,IF($D1190="V02",cad!$D$34,cad!$E$34)))</f>
      </c>
      <c r="L1190">
        <f>IF($A1190="","",IF($D1190="V01",cad!$C$35,IF($D1190="V02",cad!$D$35,cad!$E$35)))</f>
      </c>
      <c r="M1190">
        <f>IF($A1190="","",IF($D1190="V01",cad!$C$36,IF($D1190="V02",cad!$D$36,cad!$E$36)))</f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>
        <f>IF($A1191="","",IF($D1191="V01",cad!$C$23,IF($D1191="V02",cad!$D$23,cad!$E$23)))</f>
      </c>
      <c r="H1191">
        <f>IF($A1191="","",IF($D1191="V01",cad!$C$24,IF($D1191="V02",cad!$D$24,cad!$E$24)))</f>
      </c>
      <c r="I1191">
        <f>IF($A1191="","",IF($D1191="V01",cad!$C$32,IF($D1191="V02",cad!$D$32,cad!$E$32)))</f>
      </c>
      <c r="J1191">
        <f>IF($A1191="","",IF($D1191="V01",cad!$C$33,IF($D1191="V02",cad!$D$33,cad!$E$33)))</f>
      </c>
      <c r="K1191">
        <f>IF($A1191="","",IF($D1191="V01",cad!$C$34,IF($D1191="V02",cad!$D$34,cad!$E$34)))</f>
      </c>
      <c r="L1191">
        <f>IF($A1191="","",IF($D1191="V01",cad!$C$35,IF($D1191="V02",cad!$D$35,cad!$E$35)))</f>
      </c>
      <c r="M1191">
        <f>IF($A1191="","",IF($D1191="V01",cad!$C$36,IF($D1191="V02",cad!$D$36,cad!$E$36)))</f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>
        <f>IF($A1192="","",IF($D1192="V01",cad!$C$23,IF($D1192="V02",cad!$D$23,cad!$E$23)))</f>
      </c>
      <c r="H1192">
        <f>IF($A1192="","",IF($D1192="V01",cad!$C$24,IF($D1192="V02",cad!$D$24,cad!$E$24)))</f>
      </c>
      <c r="I1192">
        <f>IF($A1192="","",IF($D1192="V01",cad!$C$32,IF($D1192="V02",cad!$D$32,cad!$E$32)))</f>
      </c>
      <c r="J1192">
        <f>IF($A1192="","",IF($D1192="V01",cad!$C$33,IF($D1192="V02",cad!$D$33,cad!$E$33)))</f>
      </c>
      <c r="K1192">
        <f>IF($A1192="","",IF($D1192="V01",cad!$C$34,IF($D1192="V02",cad!$D$34,cad!$E$34)))</f>
      </c>
      <c r="L1192">
        <f>IF($A1192="","",IF($D1192="V01",cad!$C$35,IF($D1192="V02",cad!$D$35,cad!$E$35)))</f>
      </c>
      <c r="M1192">
        <f>IF($A1192="","",IF($D1192="V01",cad!$C$36,IF($D1192="V02",cad!$D$36,cad!$E$36)))</f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>
        <f>IF($A1193="","",IF($D1193="V01",cad!$C$23,IF($D1193="V02",cad!$D$23,cad!$E$23)))</f>
      </c>
      <c r="H1193">
        <f>IF($A1193="","",IF($D1193="V01",cad!$C$24,IF($D1193="V02",cad!$D$24,cad!$E$24)))</f>
      </c>
      <c r="I1193">
        <f>IF($A1193="","",IF($D1193="V01",cad!$C$32,IF($D1193="V02",cad!$D$32,cad!$E$32)))</f>
      </c>
      <c r="J1193">
        <f>IF($A1193="","",IF($D1193="V01",cad!$C$33,IF($D1193="V02",cad!$D$33,cad!$E$33)))</f>
      </c>
      <c r="K1193">
        <f>IF($A1193="","",IF($D1193="V01",cad!$C$34,IF($D1193="V02",cad!$D$34,cad!$E$34)))</f>
      </c>
      <c r="L1193">
        <f>IF($A1193="","",IF($D1193="V01",cad!$C$35,IF($D1193="V02",cad!$D$35,cad!$E$35)))</f>
      </c>
      <c r="M1193">
        <f>IF($A1193="","",IF($D1193="V01",cad!$C$36,IF($D1193="V02",cad!$D$36,cad!$E$36)))</f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>
        <f>IF($A1194="","",IF($D1194="V01",cad!$C$23,IF($D1194="V02",cad!$D$23,cad!$E$23)))</f>
      </c>
      <c r="H1194">
        <f>IF($A1194="","",IF($D1194="V01",cad!$C$24,IF($D1194="V02",cad!$D$24,cad!$E$24)))</f>
      </c>
      <c r="I1194">
        <f>IF($A1194="","",IF($D1194="V01",cad!$C$32,IF($D1194="V02",cad!$D$32,cad!$E$32)))</f>
      </c>
      <c r="J1194">
        <f>IF($A1194="","",IF($D1194="V01",cad!$C$33,IF($D1194="V02",cad!$D$33,cad!$E$33)))</f>
      </c>
      <c r="K1194">
        <f>IF($A1194="","",IF($D1194="V01",cad!$C$34,IF($D1194="V02",cad!$D$34,cad!$E$34)))</f>
      </c>
      <c r="L1194">
        <f>IF($A1194="","",IF($D1194="V01",cad!$C$35,IF($D1194="V02",cad!$D$35,cad!$E$35)))</f>
      </c>
      <c r="M1194">
        <f>IF($A1194="","",IF($D1194="V01",cad!$C$36,IF($D1194="V02",cad!$D$36,cad!$E$36)))</f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>
        <f>IF($A1195="","",IF($D1195="V01",cad!$C$23,IF($D1195="V02",cad!$D$23,cad!$E$23)))</f>
      </c>
      <c r="H1195">
        <f>IF($A1195="","",IF($D1195="V01",cad!$C$24,IF($D1195="V02",cad!$D$24,cad!$E$24)))</f>
      </c>
      <c r="I1195">
        <f>IF($A1195="","",IF($D1195="V01",cad!$C$32,IF($D1195="V02",cad!$D$32,cad!$E$32)))</f>
      </c>
      <c r="J1195">
        <f>IF($A1195="","",IF($D1195="V01",cad!$C$33,IF($D1195="V02",cad!$D$33,cad!$E$33)))</f>
      </c>
      <c r="K1195">
        <f>IF($A1195="","",IF($D1195="V01",cad!$C$34,IF($D1195="V02",cad!$D$34,cad!$E$34)))</f>
      </c>
      <c r="L1195">
        <f>IF($A1195="","",IF($D1195="V01",cad!$C$35,IF($D1195="V02",cad!$D$35,cad!$E$35)))</f>
      </c>
      <c r="M1195">
        <f>IF($A1195="","",IF($D1195="V01",cad!$C$36,IF($D1195="V02",cad!$D$36,cad!$E$36)))</f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>
        <f>IF($A1196="","",IF($D1196="V01",cad!$C$23,IF($D1196="V02",cad!$D$23,cad!$E$23)))</f>
      </c>
      <c r="H1196">
        <f>IF($A1196="","",IF($D1196="V01",cad!$C$24,IF($D1196="V02",cad!$D$24,cad!$E$24)))</f>
      </c>
      <c r="I1196">
        <f>IF($A1196="","",IF($D1196="V01",cad!$C$32,IF($D1196="V02",cad!$D$32,cad!$E$32)))</f>
      </c>
      <c r="J1196">
        <f>IF($A1196="","",IF($D1196="V01",cad!$C$33,IF($D1196="V02",cad!$D$33,cad!$E$33)))</f>
      </c>
      <c r="K1196">
        <f>IF($A1196="","",IF($D1196="V01",cad!$C$34,IF($D1196="V02",cad!$D$34,cad!$E$34)))</f>
      </c>
      <c r="L1196">
        <f>IF($A1196="","",IF($D1196="V01",cad!$C$35,IF($D1196="V02",cad!$D$35,cad!$E$35)))</f>
      </c>
      <c r="M1196">
        <f>IF($A1196="","",IF($D1196="V01",cad!$C$36,IF($D1196="V02",cad!$D$36,cad!$E$36)))</f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>
        <f>IF($A1197="","",IF($D1197="V01",cad!$C$23,IF($D1197="V02",cad!$D$23,cad!$E$23)))</f>
      </c>
      <c r="H1197">
        <f>IF($A1197="","",IF($D1197="V01",cad!$C$24,IF($D1197="V02",cad!$D$24,cad!$E$24)))</f>
      </c>
      <c r="I1197">
        <f>IF($A1197="","",IF($D1197="V01",cad!$C$32,IF($D1197="V02",cad!$D$32,cad!$E$32)))</f>
      </c>
      <c r="J1197">
        <f>IF($A1197="","",IF($D1197="V01",cad!$C$33,IF($D1197="V02",cad!$D$33,cad!$E$33)))</f>
      </c>
      <c r="K1197">
        <f>IF($A1197="","",IF($D1197="V01",cad!$C$34,IF($D1197="V02",cad!$D$34,cad!$E$34)))</f>
      </c>
      <c r="L1197">
        <f>IF($A1197="","",IF($D1197="V01",cad!$C$35,IF($D1197="V02",cad!$D$35,cad!$E$35)))</f>
      </c>
      <c r="M1197">
        <f>IF($A1197="","",IF($D1197="V01",cad!$C$36,IF($D1197="V02",cad!$D$36,cad!$E$36)))</f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>
        <f>IF($A1198="","",IF($D1198="V01",cad!$C$23,IF($D1198="V02",cad!$D$23,cad!$E$23)))</f>
      </c>
      <c r="H1198">
        <f>IF($A1198="","",IF($D1198="V01",cad!$C$24,IF($D1198="V02",cad!$D$24,cad!$E$24)))</f>
      </c>
      <c r="I1198">
        <f>IF($A1198="","",IF($D1198="V01",cad!$C$32,IF($D1198="V02",cad!$D$32,cad!$E$32)))</f>
      </c>
      <c r="J1198">
        <f>IF($A1198="","",IF($D1198="V01",cad!$C$33,IF($D1198="V02",cad!$D$33,cad!$E$33)))</f>
      </c>
      <c r="K1198">
        <f>IF($A1198="","",IF($D1198="V01",cad!$C$34,IF($D1198="V02",cad!$D$34,cad!$E$34)))</f>
      </c>
      <c r="L1198">
        <f>IF($A1198="","",IF($D1198="V01",cad!$C$35,IF($D1198="V02",cad!$D$35,cad!$E$35)))</f>
      </c>
      <c r="M1198">
        <f>IF($A1198="","",IF($D1198="V01",cad!$C$36,IF($D1198="V02",cad!$D$36,cad!$E$36)))</f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>
        <f>IF($A1199="","",IF($D1199="V01",cad!$C$23,IF($D1199="V02",cad!$D$23,cad!$E$23)))</f>
      </c>
      <c r="H1199">
        <f>IF($A1199="","",IF($D1199="V01",cad!$C$24,IF($D1199="V02",cad!$D$24,cad!$E$24)))</f>
      </c>
      <c r="I1199">
        <f>IF($A1199="","",IF($D1199="V01",cad!$C$32,IF($D1199="V02",cad!$D$32,cad!$E$32)))</f>
      </c>
      <c r="J1199">
        <f>IF($A1199="","",IF($D1199="V01",cad!$C$33,IF($D1199="V02",cad!$D$33,cad!$E$33)))</f>
      </c>
      <c r="K1199">
        <f>IF($A1199="","",IF($D1199="V01",cad!$C$34,IF($D1199="V02",cad!$D$34,cad!$E$34)))</f>
      </c>
      <c r="L1199">
        <f>IF($A1199="","",IF($D1199="V01",cad!$C$35,IF($D1199="V02",cad!$D$35,cad!$E$35)))</f>
      </c>
      <c r="M1199">
        <f>IF($A1199="","",IF($D1199="V01",cad!$C$36,IF($D1199="V02",cad!$D$36,cad!$E$36)))</f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>
        <f>IF($A1200="","",IF($D1200="V01",cad!$C$23,IF($D1200="V02",cad!$D$23,cad!$E$23)))</f>
      </c>
      <c r="H1200">
        <f>IF($A1200="","",IF($D1200="V01",cad!$C$24,IF($D1200="V02",cad!$D$24,cad!$E$24)))</f>
      </c>
      <c r="I1200">
        <f>IF($A1200="","",IF($D1200="V01",cad!$C$32,IF($D1200="V02",cad!$D$32,cad!$E$32)))</f>
      </c>
      <c r="J1200">
        <f>IF($A1200="","",IF($D1200="V01",cad!$C$33,IF($D1200="V02",cad!$D$33,cad!$E$33)))</f>
      </c>
      <c r="K1200">
        <f>IF($A1200="","",IF($D1200="V01",cad!$C$34,IF($D1200="V02",cad!$D$34,cad!$E$34)))</f>
      </c>
      <c r="L1200">
        <f>IF($A1200="","",IF($D1200="V01",cad!$C$35,IF($D1200="V02",cad!$D$35,cad!$E$35)))</f>
      </c>
      <c r="M1200">
        <f>IF($A1200="","",IF($D1200="V01",cad!$C$36,IF($D1200="V02",cad!$D$36,cad!$E$36)))</f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>
        <f>IF($A1201="","",IF($D1201="V01",cad!$C$23,IF($D1201="V02",cad!$D$23,cad!$E$23)))</f>
      </c>
      <c r="H1201">
        <f>IF($A1201="","",IF($D1201="V01",cad!$C$24,IF($D1201="V02",cad!$D$24,cad!$E$24)))</f>
      </c>
      <c r="I1201">
        <f>IF($A1201="","",IF($D1201="V01",cad!$C$32,IF($D1201="V02",cad!$D$32,cad!$E$32)))</f>
      </c>
      <c r="J1201">
        <f>IF($A1201="","",IF($D1201="V01",cad!$C$33,IF($D1201="V02",cad!$D$33,cad!$E$33)))</f>
      </c>
      <c r="K1201">
        <f>IF($A1201="","",IF($D1201="V01",cad!$C$34,IF($D1201="V02",cad!$D$34,cad!$E$34)))</f>
      </c>
      <c r="L1201">
        <f>IF($A1201="","",IF($D1201="V01",cad!$C$35,IF($D1201="V02",cad!$D$35,cad!$E$35)))</f>
      </c>
      <c r="M1201">
        <f>IF($A1201="","",IF($D1201="V01",cad!$C$36,IF($D1201="V02",cad!$D$36,cad!$E$36)))</f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>
        <f>IF($A1202="","",IF($D1202="V01",cad!$C$23,IF($D1202="V02",cad!$D$23,cad!$E$23)))</f>
      </c>
      <c r="H1202">
        <f>IF($A1202="","",IF($D1202="V01",cad!$C$24,IF($D1202="V02",cad!$D$24,cad!$E$24)))</f>
      </c>
      <c r="I1202">
        <f>IF($A1202="","",IF($D1202="V01",cad!$C$32,IF($D1202="V02",cad!$D$32,cad!$E$32)))</f>
      </c>
      <c r="J1202">
        <f>IF($A1202="","",IF($D1202="V01",cad!$C$33,IF($D1202="V02",cad!$D$33,cad!$E$33)))</f>
      </c>
      <c r="K1202">
        <f>IF($A1202="","",IF($D1202="V01",cad!$C$34,IF($D1202="V02",cad!$D$34,cad!$E$34)))</f>
      </c>
      <c r="L1202">
        <f>IF($A1202="","",IF($D1202="V01",cad!$C$35,IF($D1202="V02",cad!$D$35,cad!$E$35)))</f>
      </c>
      <c r="M1202">
        <f>IF($A1202="","",IF($D1202="V01",cad!$C$36,IF($D1202="V02",cad!$D$36,cad!$E$36)))</f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>
        <f>IF($A1203="","",IF($D1203="V01",cad!$C$23,IF($D1203="V02",cad!$D$23,cad!$E$23)))</f>
      </c>
      <c r="H1203">
        <f>IF($A1203="","",IF($D1203="V01",cad!$C$24,IF($D1203="V02",cad!$D$24,cad!$E$24)))</f>
      </c>
      <c r="I1203">
        <f>IF($A1203="","",IF($D1203="V01",cad!$C$32,IF($D1203="V02",cad!$D$32,cad!$E$32)))</f>
      </c>
      <c r="J1203">
        <f>IF($A1203="","",IF($D1203="V01",cad!$C$33,IF($D1203="V02",cad!$D$33,cad!$E$33)))</f>
      </c>
      <c r="K1203">
        <f>IF($A1203="","",IF($D1203="V01",cad!$C$34,IF($D1203="V02",cad!$D$34,cad!$E$34)))</f>
      </c>
      <c r="L1203">
        <f>IF($A1203="","",IF($D1203="V01",cad!$C$35,IF($D1203="V02",cad!$D$35,cad!$E$35)))</f>
      </c>
      <c r="M1203">
        <f>IF($A1203="","",IF($D1203="V01",cad!$C$36,IF($D1203="V02",cad!$D$36,cad!$E$36)))</f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>
        <f>IF($A1204="","",IF($D1204="V01",cad!$C$23,IF($D1204="V02",cad!$D$23,cad!$E$23)))</f>
      </c>
      <c r="H1204">
        <f>IF($A1204="","",IF($D1204="V01",cad!$C$24,IF($D1204="V02",cad!$D$24,cad!$E$24)))</f>
      </c>
      <c r="I1204">
        <f>IF($A1204="","",IF($D1204="V01",cad!$C$32,IF($D1204="V02",cad!$D$32,cad!$E$32)))</f>
      </c>
      <c r="J1204">
        <f>IF($A1204="","",IF($D1204="V01",cad!$C$33,IF($D1204="V02",cad!$D$33,cad!$E$33)))</f>
      </c>
      <c r="K1204">
        <f>IF($A1204="","",IF($D1204="V01",cad!$C$34,IF($D1204="V02",cad!$D$34,cad!$E$34)))</f>
      </c>
      <c r="L1204">
        <f>IF($A1204="","",IF($D1204="V01",cad!$C$35,IF($D1204="V02",cad!$D$35,cad!$E$35)))</f>
      </c>
      <c r="M1204">
        <f>IF($A1204="","",IF($D1204="V01",cad!$C$36,IF($D1204="V02",cad!$D$36,cad!$E$36)))</f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>
        <f>IF($A1205="","",IF($D1205="V01",cad!$C$23,IF($D1205="V02",cad!$D$23,cad!$E$23)))</f>
      </c>
      <c r="H1205">
        <f>IF($A1205="","",IF($D1205="V01",cad!$C$24,IF($D1205="V02",cad!$D$24,cad!$E$24)))</f>
      </c>
      <c r="I1205">
        <f>IF($A1205="","",IF($D1205="V01",cad!$C$32,IF($D1205="V02",cad!$D$32,cad!$E$32)))</f>
      </c>
      <c r="J1205">
        <f>IF($A1205="","",IF($D1205="V01",cad!$C$33,IF($D1205="V02",cad!$D$33,cad!$E$33)))</f>
      </c>
      <c r="K1205">
        <f>IF($A1205="","",IF($D1205="V01",cad!$C$34,IF($D1205="V02",cad!$D$34,cad!$E$34)))</f>
      </c>
      <c r="L1205">
        <f>IF($A1205="","",IF($D1205="V01",cad!$C$35,IF($D1205="V02",cad!$D$35,cad!$E$35)))</f>
      </c>
      <c r="M1205">
        <f>IF($A1205="","",IF($D1205="V01",cad!$C$36,IF($D1205="V02",cad!$D$36,cad!$E$36)))</f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>
        <f>IF($A1206="","",IF($D1206="V01",cad!$C$23,IF($D1206="V02",cad!$D$23,cad!$E$23)))</f>
      </c>
      <c r="H1206">
        <f>IF($A1206="","",IF($D1206="V01",cad!$C$24,IF($D1206="V02",cad!$D$24,cad!$E$24)))</f>
      </c>
      <c r="I1206">
        <f>IF($A1206="","",IF($D1206="V01",cad!$C$32,IF($D1206="V02",cad!$D$32,cad!$E$32)))</f>
      </c>
      <c r="J1206">
        <f>IF($A1206="","",IF($D1206="V01",cad!$C$33,IF($D1206="V02",cad!$D$33,cad!$E$33)))</f>
      </c>
      <c r="K1206">
        <f>IF($A1206="","",IF($D1206="V01",cad!$C$34,IF($D1206="V02",cad!$D$34,cad!$E$34)))</f>
      </c>
      <c r="L1206">
        <f>IF($A1206="","",IF($D1206="V01",cad!$C$35,IF($D1206="V02",cad!$D$35,cad!$E$35)))</f>
      </c>
      <c r="M1206">
        <f>IF($A1206="","",IF($D1206="V01",cad!$C$36,IF($D1206="V02",cad!$D$36,cad!$E$36)))</f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>
        <f>IF($A1207="","",IF($D1207="V01",cad!$C$23,IF($D1207="V02",cad!$D$23,cad!$E$23)))</f>
      </c>
      <c r="H1207">
        <f>IF($A1207="","",IF($D1207="V01",cad!$C$24,IF($D1207="V02",cad!$D$24,cad!$E$24)))</f>
      </c>
      <c r="I1207">
        <f>IF($A1207="","",IF($D1207="V01",cad!$C$32,IF($D1207="V02",cad!$D$32,cad!$E$32)))</f>
      </c>
      <c r="J1207">
        <f>IF($A1207="","",IF($D1207="V01",cad!$C$33,IF($D1207="V02",cad!$D$33,cad!$E$33)))</f>
      </c>
      <c r="K1207">
        <f>IF($A1207="","",IF($D1207="V01",cad!$C$34,IF($D1207="V02",cad!$D$34,cad!$E$34)))</f>
      </c>
      <c r="L1207">
        <f>IF($A1207="","",IF($D1207="V01",cad!$C$35,IF($D1207="V02",cad!$D$35,cad!$E$35)))</f>
      </c>
      <c r="M1207">
        <f>IF($A1207="","",IF($D1207="V01",cad!$C$36,IF($D1207="V02",cad!$D$36,cad!$E$36)))</f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>
        <f>IF($A1208="","",IF($D1208="V01",cad!$C$23,IF($D1208="V02",cad!$D$23,cad!$E$23)))</f>
      </c>
      <c r="H1208">
        <f>IF($A1208="","",IF($D1208="V01",cad!$C$24,IF($D1208="V02",cad!$D$24,cad!$E$24)))</f>
      </c>
      <c r="I1208">
        <f>IF($A1208="","",IF($D1208="V01",cad!$C$32,IF($D1208="V02",cad!$D$32,cad!$E$32)))</f>
      </c>
      <c r="J1208">
        <f>IF($A1208="","",IF($D1208="V01",cad!$C$33,IF($D1208="V02",cad!$D$33,cad!$E$33)))</f>
      </c>
      <c r="K1208">
        <f>IF($A1208="","",IF($D1208="V01",cad!$C$34,IF($D1208="V02",cad!$D$34,cad!$E$34)))</f>
      </c>
      <c r="L1208">
        <f>IF($A1208="","",IF($D1208="V01",cad!$C$35,IF($D1208="V02",cad!$D$35,cad!$E$35)))</f>
      </c>
      <c r="M1208">
        <f>IF($A1208="","",IF($D1208="V01",cad!$C$36,IF($D1208="V02",cad!$D$36,cad!$E$36)))</f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>
        <f>IF($A1209="","",IF($D1209="V01",cad!$C$23,IF($D1209="V02",cad!$D$23,cad!$E$23)))</f>
      </c>
      <c r="H1209">
        <f>IF($A1209="","",IF($D1209="V01",cad!$C$24,IF($D1209="V02",cad!$D$24,cad!$E$24)))</f>
      </c>
      <c r="I1209">
        <f>IF($A1209="","",IF($D1209="V01",cad!$C$32,IF($D1209="V02",cad!$D$32,cad!$E$32)))</f>
      </c>
      <c r="J1209">
        <f>IF($A1209="","",IF($D1209="V01",cad!$C$33,IF($D1209="V02",cad!$D$33,cad!$E$33)))</f>
      </c>
      <c r="K1209">
        <f>IF($A1209="","",IF($D1209="V01",cad!$C$34,IF($D1209="V02",cad!$D$34,cad!$E$34)))</f>
      </c>
      <c r="L1209">
        <f>IF($A1209="","",IF($D1209="V01",cad!$C$35,IF($D1209="V02",cad!$D$35,cad!$E$35)))</f>
      </c>
      <c r="M1209">
        <f>IF($A1209="","",IF($D1209="V01",cad!$C$36,IF($D1209="V02",cad!$D$36,cad!$E$36)))</f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>
        <f>IF($A1210="","",IF($D1210="V01",cad!$C$23,IF($D1210="V02",cad!$D$23,cad!$E$23)))</f>
      </c>
      <c r="H1210">
        <f>IF($A1210="","",IF($D1210="V01",cad!$C$24,IF($D1210="V02",cad!$D$24,cad!$E$24)))</f>
      </c>
      <c r="I1210">
        <f>IF($A1210="","",IF($D1210="V01",cad!$C$32,IF($D1210="V02",cad!$D$32,cad!$E$32)))</f>
      </c>
      <c r="J1210">
        <f>IF($A1210="","",IF($D1210="V01",cad!$C$33,IF($D1210="V02",cad!$D$33,cad!$E$33)))</f>
      </c>
      <c r="K1210">
        <f>IF($A1210="","",IF($D1210="V01",cad!$C$34,IF($D1210="V02",cad!$D$34,cad!$E$34)))</f>
      </c>
      <c r="L1210">
        <f>IF($A1210="","",IF($D1210="V01",cad!$C$35,IF($D1210="V02",cad!$D$35,cad!$E$35)))</f>
      </c>
      <c r="M1210">
        <f>IF($A1210="","",IF($D1210="V01",cad!$C$36,IF($D1210="V02",cad!$D$36,cad!$E$36)))</f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>
        <f>IF($A1211="","",IF($D1211="V01",cad!$C$23,IF($D1211="V02",cad!$D$23,cad!$E$23)))</f>
      </c>
      <c r="H1211">
        <f>IF($A1211="","",IF($D1211="V01",cad!$C$24,IF($D1211="V02",cad!$D$24,cad!$E$24)))</f>
      </c>
      <c r="I1211">
        <f>IF($A1211="","",IF($D1211="V01",cad!$C$32,IF($D1211="V02",cad!$D$32,cad!$E$32)))</f>
      </c>
      <c r="J1211">
        <f>IF($A1211="","",IF($D1211="V01",cad!$C$33,IF($D1211="V02",cad!$D$33,cad!$E$33)))</f>
      </c>
      <c r="K1211">
        <f>IF($A1211="","",IF($D1211="V01",cad!$C$34,IF($D1211="V02",cad!$D$34,cad!$E$34)))</f>
      </c>
      <c r="L1211">
        <f>IF($A1211="","",IF($D1211="V01",cad!$C$35,IF($D1211="V02",cad!$D$35,cad!$E$35)))</f>
      </c>
      <c r="M1211">
        <f>IF($A1211="","",IF($D1211="V01",cad!$C$36,IF($D1211="V02",cad!$D$36,cad!$E$36)))</f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>
        <f>IF($A1212="","",IF($D1212="V01",cad!$C$23,IF($D1212="V02",cad!$D$23,cad!$E$23)))</f>
      </c>
      <c r="H1212">
        <f>IF($A1212="","",IF($D1212="V01",cad!$C$24,IF($D1212="V02",cad!$D$24,cad!$E$24)))</f>
      </c>
      <c r="I1212">
        <f>IF($A1212="","",IF($D1212="V01",cad!$C$32,IF($D1212="V02",cad!$D$32,cad!$E$32)))</f>
      </c>
      <c r="J1212">
        <f>IF($A1212="","",IF($D1212="V01",cad!$C$33,IF($D1212="V02",cad!$D$33,cad!$E$33)))</f>
      </c>
      <c r="K1212">
        <f>IF($A1212="","",IF($D1212="V01",cad!$C$34,IF($D1212="V02",cad!$D$34,cad!$E$34)))</f>
      </c>
      <c r="L1212">
        <f>IF($A1212="","",IF($D1212="V01",cad!$C$35,IF($D1212="V02",cad!$D$35,cad!$E$35)))</f>
      </c>
      <c r="M1212">
        <f>IF($A1212="","",IF($D1212="V01",cad!$C$36,IF($D1212="V02",cad!$D$36,cad!$E$36)))</f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>
        <f>IF($A1213="","",IF($D1213="V01",cad!$C$23,IF($D1213="V02",cad!$D$23,cad!$E$23)))</f>
      </c>
      <c r="H1213">
        <f>IF($A1213="","",IF($D1213="V01",cad!$C$24,IF($D1213="V02",cad!$D$24,cad!$E$24)))</f>
      </c>
      <c r="I1213">
        <f>IF($A1213="","",IF($D1213="V01",cad!$C$32,IF($D1213="V02",cad!$D$32,cad!$E$32)))</f>
      </c>
      <c r="J1213">
        <f>IF($A1213="","",IF($D1213="V01",cad!$C$33,IF($D1213="V02",cad!$D$33,cad!$E$33)))</f>
      </c>
      <c r="K1213">
        <f>IF($A1213="","",IF($D1213="V01",cad!$C$34,IF($D1213="V02",cad!$D$34,cad!$E$34)))</f>
      </c>
      <c r="L1213">
        <f>IF($A1213="","",IF($D1213="V01",cad!$C$35,IF($D1213="V02",cad!$D$35,cad!$E$35)))</f>
      </c>
      <c r="M1213">
        <f>IF($A1213="","",IF($D1213="V01",cad!$C$36,IF($D1213="V02",cad!$D$36,cad!$E$36)))</f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>
        <f>IF($A1214="","",IF($D1214="V01",cad!$C$23,IF($D1214="V02",cad!$D$23,cad!$E$23)))</f>
      </c>
      <c r="H1214">
        <f>IF($A1214="","",IF($D1214="V01",cad!$C$24,IF($D1214="V02",cad!$D$24,cad!$E$24)))</f>
      </c>
      <c r="I1214">
        <f>IF($A1214="","",IF($D1214="V01",cad!$C$32,IF($D1214="V02",cad!$D$32,cad!$E$32)))</f>
      </c>
      <c r="J1214">
        <f>IF($A1214="","",IF($D1214="V01",cad!$C$33,IF($D1214="V02",cad!$D$33,cad!$E$33)))</f>
      </c>
      <c r="K1214">
        <f>IF($A1214="","",IF($D1214="V01",cad!$C$34,IF($D1214="V02",cad!$D$34,cad!$E$34)))</f>
      </c>
      <c r="L1214">
        <f>IF($A1214="","",IF($D1214="V01",cad!$C$35,IF($D1214="V02",cad!$D$35,cad!$E$35)))</f>
      </c>
      <c r="M1214">
        <f>IF($A1214="","",IF($D1214="V01",cad!$C$36,IF($D1214="V02",cad!$D$36,cad!$E$36)))</f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>
        <f>IF($A1215="","",IF($D1215="V01",cad!$C$23,IF($D1215="V02",cad!$D$23,cad!$E$23)))</f>
      </c>
      <c r="H1215">
        <f>IF($A1215="","",IF($D1215="V01",cad!$C$24,IF($D1215="V02",cad!$D$24,cad!$E$24)))</f>
      </c>
      <c r="I1215">
        <f>IF($A1215="","",IF($D1215="V01",cad!$C$32,IF($D1215="V02",cad!$D$32,cad!$E$32)))</f>
      </c>
      <c r="J1215">
        <f>IF($A1215="","",IF($D1215="V01",cad!$C$33,IF($D1215="V02",cad!$D$33,cad!$E$33)))</f>
      </c>
      <c r="K1215">
        <f>IF($A1215="","",IF($D1215="V01",cad!$C$34,IF($D1215="V02",cad!$D$34,cad!$E$34)))</f>
      </c>
      <c r="L1215">
        <f>IF($A1215="","",IF($D1215="V01",cad!$C$35,IF($D1215="V02",cad!$D$35,cad!$E$35)))</f>
      </c>
      <c r="M1215">
        <f>IF($A1215="","",IF($D1215="V01",cad!$C$36,IF($D1215="V02",cad!$D$36,cad!$E$36)))</f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>
        <f>IF($A1216="","",IF($D1216="V01",cad!$C$23,IF($D1216="V02",cad!$D$23,cad!$E$23)))</f>
      </c>
      <c r="H1216">
        <f>IF($A1216="","",IF($D1216="V01",cad!$C$24,IF($D1216="V02",cad!$D$24,cad!$E$24)))</f>
      </c>
      <c r="I1216">
        <f>IF($A1216="","",IF($D1216="V01",cad!$C$32,IF($D1216="V02",cad!$D$32,cad!$E$32)))</f>
      </c>
      <c r="J1216">
        <f>IF($A1216="","",IF($D1216="V01",cad!$C$33,IF($D1216="V02",cad!$D$33,cad!$E$33)))</f>
      </c>
      <c r="K1216">
        <f>IF($A1216="","",IF($D1216="V01",cad!$C$34,IF($D1216="V02",cad!$D$34,cad!$E$34)))</f>
      </c>
      <c r="L1216">
        <f>IF($A1216="","",IF($D1216="V01",cad!$C$35,IF($D1216="V02",cad!$D$35,cad!$E$35)))</f>
      </c>
      <c r="M1216">
        <f>IF($A1216="","",IF($D1216="V01",cad!$C$36,IF($D1216="V02",cad!$D$36,cad!$E$36)))</f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>
        <f>IF($A1217="","",IF($D1217="V01",cad!$C$23,IF($D1217="V02",cad!$D$23,cad!$E$23)))</f>
      </c>
      <c r="H1217">
        <f>IF($A1217="","",IF($D1217="V01",cad!$C$24,IF($D1217="V02",cad!$D$24,cad!$E$24)))</f>
      </c>
      <c r="I1217">
        <f>IF($A1217="","",IF($D1217="V01",cad!$C$32,IF($D1217="V02",cad!$D$32,cad!$E$32)))</f>
      </c>
      <c r="J1217">
        <f>IF($A1217="","",IF($D1217="V01",cad!$C$33,IF($D1217="V02",cad!$D$33,cad!$E$33)))</f>
      </c>
      <c r="K1217">
        <f>IF($A1217="","",IF($D1217="V01",cad!$C$34,IF($D1217="V02",cad!$D$34,cad!$E$34)))</f>
      </c>
      <c r="L1217">
        <f>IF($A1217="","",IF($D1217="V01",cad!$C$35,IF($D1217="V02",cad!$D$35,cad!$E$35)))</f>
      </c>
      <c r="M1217">
        <f>IF($A1217="","",IF($D1217="V01",cad!$C$36,IF($D1217="V02",cad!$D$36,cad!$E$36)))</f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>
        <f>IF($A1218="","",IF($D1218="V01",cad!$C$23,IF($D1218="V02",cad!$D$23,cad!$E$23)))</f>
      </c>
      <c r="H1218">
        <f>IF($A1218="","",IF($D1218="V01",cad!$C$24,IF($D1218="V02",cad!$D$24,cad!$E$24)))</f>
      </c>
      <c r="I1218">
        <f>IF($A1218="","",IF($D1218="V01",cad!$C$32,IF($D1218="V02",cad!$D$32,cad!$E$32)))</f>
      </c>
      <c r="J1218">
        <f>IF($A1218="","",IF($D1218="V01",cad!$C$33,IF($D1218="V02",cad!$D$33,cad!$E$33)))</f>
      </c>
      <c r="K1218">
        <f>IF($A1218="","",IF($D1218="V01",cad!$C$34,IF($D1218="V02",cad!$D$34,cad!$E$34)))</f>
      </c>
      <c r="L1218">
        <f>IF($A1218="","",IF($D1218="V01",cad!$C$35,IF($D1218="V02",cad!$D$35,cad!$E$35)))</f>
      </c>
      <c r="M1218">
        <f>IF($A1218="","",IF($D1218="V01",cad!$C$36,IF($D1218="V02",cad!$D$36,cad!$E$36)))</f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>
        <f>IF($A1219="","",IF($D1219="V01",cad!$C$23,IF($D1219="V02",cad!$D$23,cad!$E$23)))</f>
      </c>
      <c r="H1219">
        <f>IF($A1219="","",IF($D1219="V01",cad!$C$24,IF($D1219="V02",cad!$D$24,cad!$E$24)))</f>
      </c>
      <c r="I1219">
        <f>IF($A1219="","",IF($D1219="V01",cad!$C$32,IF($D1219="V02",cad!$D$32,cad!$E$32)))</f>
      </c>
      <c r="J1219">
        <f>IF($A1219="","",IF($D1219="V01",cad!$C$33,IF($D1219="V02",cad!$D$33,cad!$E$33)))</f>
      </c>
      <c r="K1219">
        <f>IF($A1219="","",IF($D1219="V01",cad!$C$34,IF($D1219="V02",cad!$D$34,cad!$E$34)))</f>
      </c>
      <c r="L1219">
        <f>IF($A1219="","",IF($D1219="V01",cad!$C$35,IF($D1219="V02",cad!$D$35,cad!$E$35)))</f>
      </c>
      <c r="M1219">
        <f>IF($A1219="","",IF($D1219="V01",cad!$C$36,IF($D1219="V02",cad!$D$36,cad!$E$36)))</f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>
        <f>IF($A1220="","",IF($D1220="V01",cad!$C$23,IF($D1220="V02",cad!$D$23,cad!$E$23)))</f>
      </c>
      <c r="H1220">
        <f>IF($A1220="","",IF($D1220="V01",cad!$C$24,IF($D1220="V02",cad!$D$24,cad!$E$24)))</f>
      </c>
      <c r="I1220">
        <f>IF($A1220="","",IF($D1220="V01",cad!$C$32,IF($D1220="V02",cad!$D$32,cad!$E$32)))</f>
      </c>
      <c r="J1220">
        <f>IF($A1220="","",IF($D1220="V01",cad!$C$33,IF($D1220="V02",cad!$D$33,cad!$E$33)))</f>
      </c>
      <c r="K1220">
        <f>IF($A1220="","",IF($D1220="V01",cad!$C$34,IF($D1220="V02",cad!$D$34,cad!$E$34)))</f>
      </c>
      <c r="L1220">
        <f>IF($A1220="","",IF($D1220="V01",cad!$C$35,IF($D1220="V02",cad!$D$35,cad!$E$35)))</f>
      </c>
      <c r="M1220">
        <f>IF($A1220="","",IF($D1220="V01",cad!$C$36,IF($D1220="V02",cad!$D$36,cad!$E$36)))</f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>
        <f>IF($A1221="","",IF($D1221="V01",cad!$C$23,IF($D1221="V02",cad!$D$23,cad!$E$23)))</f>
      </c>
      <c r="H1221">
        <f>IF($A1221="","",IF($D1221="V01",cad!$C$24,IF($D1221="V02",cad!$D$24,cad!$E$24)))</f>
      </c>
      <c r="I1221">
        <f>IF($A1221="","",IF($D1221="V01",cad!$C$32,IF($D1221="V02",cad!$D$32,cad!$E$32)))</f>
      </c>
      <c r="J1221">
        <f>IF($A1221="","",IF($D1221="V01",cad!$C$33,IF($D1221="V02",cad!$D$33,cad!$E$33)))</f>
      </c>
      <c r="K1221">
        <f>IF($A1221="","",IF($D1221="V01",cad!$C$34,IF($D1221="V02",cad!$D$34,cad!$E$34)))</f>
      </c>
      <c r="L1221">
        <f>IF($A1221="","",IF($D1221="V01",cad!$C$35,IF($D1221="V02",cad!$D$35,cad!$E$35)))</f>
      </c>
      <c r="M1221">
        <f>IF($A1221="","",IF($D1221="V01",cad!$C$36,IF($D1221="V02",cad!$D$36,cad!$E$36)))</f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>
        <f>IF($A1222="","",IF($D1222="V01",cad!$C$23,IF($D1222="V02",cad!$D$23,cad!$E$23)))</f>
      </c>
      <c r="H1222">
        <f>IF($A1222="","",IF($D1222="V01",cad!$C$24,IF($D1222="V02",cad!$D$24,cad!$E$24)))</f>
      </c>
      <c r="I1222">
        <f>IF($A1222="","",IF($D1222="V01",cad!$C$32,IF($D1222="V02",cad!$D$32,cad!$E$32)))</f>
      </c>
      <c r="J1222">
        <f>IF($A1222="","",IF($D1222="V01",cad!$C$33,IF($D1222="V02",cad!$D$33,cad!$E$33)))</f>
      </c>
      <c r="K1222">
        <f>IF($A1222="","",IF($D1222="V01",cad!$C$34,IF($D1222="V02",cad!$D$34,cad!$E$34)))</f>
      </c>
      <c r="L1222">
        <f>IF($A1222="","",IF($D1222="V01",cad!$C$35,IF($D1222="V02",cad!$D$35,cad!$E$35)))</f>
      </c>
      <c r="M1222">
        <f>IF($A1222="","",IF($D1222="V01",cad!$C$36,IF($D1222="V02",cad!$D$36,cad!$E$36)))</f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>
        <f>IF($A1223="","",IF($D1223="V01",cad!$C$23,IF($D1223="V02",cad!$D$23,cad!$E$23)))</f>
      </c>
      <c r="H1223">
        <f>IF($A1223="","",IF($D1223="V01",cad!$C$24,IF($D1223="V02",cad!$D$24,cad!$E$24)))</f>
      </c>
      <c r="I1223">
        <f>IF($A1223="","",IF($D1223="V01",cad!$C$32,IF($D1223="V02",cad!$D$32,cad!$E$32)))</f>
      </c>
      <c r="J1223">
        <f>IF($A1223="","",IF($D1223="V01",cad!$C$33,IF($D1223="V02",cad!$D$33,cad!$E$33)))</f>
      </c>
      <c r="K1223">
        <f>IF($A1223="","",IF($D1223="V01",cad!$C$34,IF($D1223="V02",cad!$D$34,cad!$E$34)))</f>
      </c>
      <c r="L1223">
        <f>IF($A1223="","",IF($D1223="V01",cad!$C$35,IF($D1223="V02",cad!$D$35,cad!$E$35)))</f>
      </c>
      <c r="M1223">
        <f>IF($A1223="","",IF($D1223="V01",cad!$C$36,IF($D1223="V02",cad!$D$36,cad!$E$36)))</f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>
        <f>IF($A1224="","",IF($D1224="V01",cad!$C$23,IF($D1224="V02",cad!$D$23,cad!$E$23)))</f>
      </c>
      <c r="H1224">
        <f>IF($A1224="","",IF($D1224="V01",cad!$C$24,IF($D1224="V02",cad!$D$24,cad!$E$24)))</f>
      </c>
      <c r="I1224">
        <f>IF($A1224="","",IF($D1224="V01",cad!$C$32,IF($D1224="V02",cad!$D$32,cad!$E$32)))</f>
      </c>
      <c r="J1224">
        <f>IF($A1224="","",IF($D1224="V01",cad!$C$33,IF($D1224="V02",cad!$D$33,cad!$E$33)))</f>
      </c>
      <c r="K1224">
        <f>IF($A1224="","",IF($D1224="V01",cad!$C$34,IF($D1224="V02",cad!$D$34,cad!$E$34)))</f>
      </c>
      <c r="L1224">
        <f>IF($A1224="","",IF($D1224="V01",cad!$C$35,IF($D1224="V02",cad!$D$35,cad!$E$35)))</f>
      </c>
      <c r="M1224">
        <f>IF($A1224="","",IF($D1224="V01",cad!$C$36,IF($D1224="V02",cad!$D$36,cad!$E$36)))</f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>
        <f>IF($A1225="","",IF($D1225="V01",cad!$C$23,IF($D1225="V02",cad!$D$23,cad!$E$23)))</f>
      </c>
      <c r="H1225">
        <f>IF($A1225="","",IF($D1225="V01",cad!$C$24,IF($D1225="V02",cad!$D$24,cad!$E$24)))</f>
      </c>
      <c r="I1225">
        <f>IF($A1225="","",IF($D1225="V01",cad!$C$32,IF($D1225="V02",cad!$D$32,cad!$E$32)))</f>
      </c>
      <c r="J1225">
        <f>IF($A1225="","",IF($D1225="V01",cad!$C$33,IF($D1225="V02",cad!$D$33,cad!$E$33)))</f>
      </c>
      <c r="K1225">
        <f>IF($A1225="","",IF($D1225="V01",cad!$C$34,IF($D1225="V02",cad!$D$34,cad!$E$34)))</f>
      </c>
      <c r="L1225">
        <f>IF($A1225="","",IF($D1225="V01",cad!$C$35,IF($D1225="V02",cad!$D$35,cad!$E$35)))</f>
      </c>
      <c r="M1225">
        <f>IF($A1225="","",IF($D1225="V01",cad!$C$36,IF($D1225="V02",cad!$D$36,cad!$E$36)))</f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>
        <f>IF($A1226="","",IF($D1226="V01",cad!$C$23,IF($D1226="V02",cad!$D$23,cad!$E$23)))</f>
      </c>
      <c r="H1226">
        <f>IF($A1226="","",IF($D1226="V01",cad!$C$24,IF($D1226="V02",cad!$D$24,cad!$E$24)))</f>
      </c>
      <c r="I1226">
        <f>IF($A1226="","",IF($D1226="V01",cad!$C$32,IF($D1226="V02",cad!$D$32,cad!$E$32)))</f>
      </c>
      <c r="J1226">
        <f>IF($A1226="","",IF($D1226="V01",cad!$C$33,IF($D1226="V02",cad!$D$33,cad!$E$33)))</f>
      </c>
      <c r="K1226">
        <f>IF($A1226="","",IF($D1226="V01",cad!$C$34,IF($D1226="V02",cad!$D$34,cad!$E$34)))</f>
      </c>
      <c r="L1226">
        <f>IF($A1226="","",IF($D1226="V01",cad!$C$35,IF($D1226="V02",cad!$D$35,cad!$E$35)))</f>
      </c>
      <c r="M1226">
        <f>IF($A1226="","",IF($D1226="V01",cad!$C$36,IF($D1226="V02",cad!$D$36,cad!$E$36)))</f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>
        <f>IF($A1227="","",IF($D1227="V01",cad!$C$23,IF($D1227="V02",cad!$D$23,cad!$E$23)))</f>
      </c>
      <c r="H1227">
        <f>IF($A1227="","",IF($D1227="V01",cad!$C$24,IF($D1227="V02",cad!$D$24,cad!$E$24)))</f>
      </c>
      <c r="I1227">
        <f>IF($A1227="","",IF($D1227="V01",cad!$C$32,IF($D1227="V02",cad!$D$32,cad!$E$32)))</f>
      </c>
      <c r="J1227">
        <f>IF($A1227="","",IF($D1227="V01",cad!$C$33,IF($D1227="V02",cad!$D$33,cad!$E$33)))</f>
      </c>
      <c r="K1227">
        <f>IF($A1227="","",IF($D1227="V01",cad!$C$34,IF($D1227="V02",cad!$D$34,cad!$E$34)))</f>
      </c>
      <c r="L1227">
        <f>IF($A1227="","",IF($D1227="V01",cad!$C$35,IF($D1227="V02",cad!$D$35,cad!$E$35)))</f>
      </c>
      <c r="M1227">
        <f>IF($A1227="","",IF($D1227="V01",cad!$C$36,IF($D1227="V02",cad!$D$36,cad!$E$36)))</f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>
        <f>IF($A1228="","",IF($D1228="V01",cad!$C$23,IF($D1228="V02",cad!$D$23,cad!$E$23)))</f>
      </c>
      <c r="H1228">
        <f>IF($A1228="","",IF($D1228="V01",cad!$C$24,IF($D1228="V02",cad!$D$24,cad!$E$24)))</f>
      </c>
      <c r="I1228">
        <f>IF($A1228="","",IF($D1228="V01",cad!$C$32,IF($D1228="V02",cad!$D$32,cad!$E$32)))</f>
      </c>
      <c r="J1228">
        <f>IF($A1228="","",IF($D1228="V01",cad!$C$33,IF($D1228="V02",cad!$D$33,cad!$E$33)))</f>
      </c>
      <c r="K1228">
        <f>IF($A1228="","",IF($D1228="V01",cad!$C$34,IF($D1228="V02",cad!$D$34,cad!$E$34)))</f>
      </c>
      <c r="L1228">
        <f>IF($A1228="","",IF($D1228="V01",cad!$C$35,IF($D1228="V02",cad!$D$35,cad!$E$35)))</f>
      </c>
      <c r="M1228">
        <f>IF($A1228="","",IF($D1228="V01",cad!$C$36,IF($D1228="V02",cad!$D$36,cad!$E$36)))</f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>
        <f>IF($A1229="","",IF($D1229="V01",cad!$C$23,IF($D1229="V02",cad!$D$23,cad!$E$23)))</f>
      </c>
      <c r="H1229">
        <f>IF($A1229="","",IF($D1229="V01",cad!$C$24,IF($D1229="V02",cad!$D$24,cad!$E$24)))</f>
      </c>
      <c r="I1229">
        <f>IF($A1229="","",IF($D1229="V01",cad!$C$32,IF($D1229="V02",cad!$D$32,cad!$E$32)))</f>
      </c>
      <c r="J1229">
        <f>IF($A1229="","",IF($D1229="V01",cad!$C$33,IF($D1229="V02",cad!$D$33,cad!$E$33)))</f>
      </c>
      <c r="K1229">
        <f>IF($A1229="","",IF($D1229="V01",cad!$C$34,IF($D1229="V02",cad!$D$34,cad!$E$34)))</f>
      </c>
      <c r="L1229">
        <f>IF($A1229="","",IF($D1229="V01",cad!$C$35,IF($D1229="V02",cad!$D$35,cad!$E$35)))</f>
      </c>
      <c r="M1229">
        <f>IF($A1229="","",IF($D1229="V01",cad!$C$36,IF($D1229="V02",cad!$D$36,cad!$E$36)))</f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>
        <f>IF($A1230="","",IF($D1230="V01",cad!$C$23,IF($D1230="V02",cad!$D$23,cad!$E$23)))</f>
      </c>
      <c r="H1230">
        <f>IF($A1230="","",IF($D1230="V01",cad!$C$24,IF($D1230="V02",cad!$D$24,cad!$E$24)))</f>
      </c>
      <c r="I1230">
        <f>IF($A1230="","",IF($D1230="V01",cad!$C$32,IF($D1230="V02",cad!$D$32,cad!$E$32)))</f>
      </c>
      <c r="J1230">
        <f>IF($A1230="","",IF($D1230="V01",cad!$C$33,IF($D1230="V02",cad!$D$33,cad!$E$33)))</f>
      </c>
      <c r="K1230">
        <f>IF($A1230="","",IF($D1230="V01",cad!$C$34,IF($D1230="V02",cad!$D$34,cad!$E$34)))</f>
      </c>
      <c r="L1230">
        <f>IF($A1230="","",IF($D1230="V01",cad!$C$35,IF($D1230="V02",cad!$D$35,cad!$E$35)))</f>
      </c>
      <c r="M1230">
        <f>IF($A1230="","",IF($D1230="V01",cad!$C$36,IF($D1230="V02",cad!$D$36,cad!$E$36)))</f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>
        <f>IF($A1231="","",IF($D1231="V01",cad!$C$23,IF($D1231="V02",cad!$D$23,cad!$E$23)))</f>
      </c>
      <c r="H1231">
        <f>IF($A1231="","",IF($D1231="V01",cad!$C$24,IF($D1231="V02",cad!$D$24,cad!$E$24)))</f>
      </c>
      <c r="I1231">
        <f>IF($A1231="","",IF($D1231="V01",cad!$C$32,IF($D1231="V02",cad!$D$32,cad!$E$32)))</f>
      </c>
      <c r="J1231">
        <f>IF($A1231="","",IF($D1231="V01",cad!$C$33,IF($D1231="V02",cad!$D$33,cad!$E$33)))</f>
      </c>
      <c r="K1231">
        <f>IF($A1231="","",IF($D1231="V01",cad!$C$34,IF($D1231="V02",cad!$D$34,cad!$E$34)))</f>
      </c>
      <c r="L1231">
        <f>IF($A1231="","",IF($D1231="V01",cad!$C$35,IF($D1231="V02",cad!$D$35,cad!$E$35)))</f>
      </c>
      <c r="M1231">
        <f>IF($A1231="","",IF($D1231="V01",cad!$C$36,IF($D1231="V02",cad!$D$36,cad!$E$36)))</f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>
        <f>IF($A1232="","",IF($D1232="V01",cad!$C$23,IF($D1232="V02",cad!$D$23,cad!$E$23)))</f>
      </c>
      <c r="H1232">
        <f>IF($A1232="","",IF($D1232="V01",cad!$C$24,IF($D1232="V02",cad!$D$24,cad!$E$24)))</f>
      </c>
      <c r="I1232">
        <f>IF($A1232="","",IF($D1232="V01",cad!$C$32,IF($D1232="V02",cad!$D$32,cad!$E$32)))</f>
      </c>
      <c r="J1232">
        <f>IF($A1232="","",IF($D1232="V01",cad!$C$33,IF($D1232="V02",cad!$D$33,cad!$E$33)))</f>
      </c>
      <c r="K1232">
        <f>IF($A1232="","",IF($D1232="V01",cad!$C$34,IF($D1232="V02",cad!$D$34,cad!$E$34)))</f>
      </c>
      <c r="L1232">
        <f>IF($A1232="","",IF($D1232="V01",cad!$C$35,IF($D1232="V02",cad!$D$35,cad!$E$35)))</f>
      </c>
      <c r="M1232">
        <f>IF($A1232="","",IF($D1232="V01",cad!$C$36,IF($D1232="V02",cad!$D$36,cad!$E$36)))</f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>
        <f>IF($A1233="","",IF($D1233="V01",cad!$C$23,IF($D1233="V02",cad!$D$23,cad!$E$23)))</f>
      </c>
      <c r="H1233">
        <f>IF($A1233="","",IF($D1233="V01",cad!$C$24,IF($D1233="V02",cad!$D$24,cad!$E$24)))</f>
      </c>
      <c r="I1233">
        <f>IF($A1233="","",IF($D1233="V01",cad!$C$32,IF($D1233="V02",cad!$D$32,cad!$E$32)))</f>
      </c>
      <c r="J1233">
        <f>IF($A1233="","",IF($D1233="V01",cad!$C$33,IF($D1233="V02",cad!$D$33,cad!$E$33)))</f>
      </c>
      <c r="K1233">
        <f>IF($A1233="","",IF($D1233="V01",cad!$C$34,IF($D1233="V02",cad!$D$34,cad!$E$34)))</f>
      </c>
      <c r="L1233">
        <f>IF($A1233="","",IF($D1233="V01",cad!$C$35,IF($D1233="V02",cad!$D$35,cad!$E$35)))</f>
      </c>
      <c r="M1233">
        <f>IF($A1233="","",IF($D1233="V01",cad!$C$36,IF($D1233="V02",cad!$D$36,cad!$E$36)))</f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>
        <f>IF($A1234="","",IF($D1234="V01",cad!$C$23,IF($D1234="V02",cad!$D$23,cad!$E$23)))</f>
      </c>
      <c r="H1234">
        <f>IF($A1234="","",IF($D1234="V01",cad!$C$24,IF($D1234="V02",cad!$D$24,cad!$E$24)))</f>
      </c>
      <c r="I1234">
        <f>IF($A1234="","",IF($D1234="V01",cad!$C$32,IF($D1234="V02",cad!$D$32,cad!$E$32)))</f>
      </c>
      <c r="J1234">
        <f>IF($A1234="","",IF($D1234="V01",cad!$C$33,IF($D1234="V02",cad!$D$33,cad!$E$33)))</f>
      </c>
      <c r="K1234">
        <f>IF($A1234="","",IF($D1234="V01",cad!$C$34,IF($D1234="V02",cad!$D$34,cad!$E$34)))</f>
      </c>
      <c r="L1234">
        <f>IF($A1234="","",IF($D1234="V01",cad!$C$35,IF($D1234="V02",cad!$D$35,cad!$E$35)))</f>
      </c>
      <c r="M1234">
        <f>IF($A1234="","",IF($D1234="V01",cad!$C$36,IF($D1234="V02",cad!$D$36,cad!$E$36)))</f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>
        <f>IF($A1235="","",IF($D1235="V01",cad!$C$23,IF($D1235="V02",cad!$D$23,cad!$E$23)))</f>
      </c>
      <c r="H1235">
        <f>IF($A1235="","",IF($D1235="V01",cad!$C$24,IF($D1235="V02",cad!$D$24,cad!$E$24)))</f>
      </c>
      <c r="I1235">
        <f>IF($A1235="","",IF($D1235="V01",cad!$C$32,IF($D1235="V02",cad!$D$32,cad!$E$32)))</f>
      </c>
      <c r="J1235">
        <f>IF($A1235="","",IF($D1235="V01",cad!$C$33,IF($D1235="V02",cad!$D$33,cad!$E$33)))</f>
      </c>
      <c r="K1235">
        <f>IF($A1235="","",IF($D1235="V01",cad!$C$34,IF($D1235="V02",cad!$D$34,cad!$E$34)))</f>
      </c>
      <c r="L1235">
        <f>IF($A1235="","",IF($D1235="V01",cad!$C$35,IF($D1235="V02",cad!$D$35,cad!$E$35)))</f>
      </c>
      <c r="M1235">
        <f>IF($A1235="","",IF($D1235="V01",cad!$C$36,IF($D1235="V02",cad!$D$36,cad!$E$36)))</f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>
        <f>IF($A1236="","",IF($D1236="V01",cad!$C$23,IF($D1236="V02",cad!$D$23,cad!$E$23)))</f>
      </c>
      <c r="H1236">
        <f>IF($A1236="","",IF($D1236="V01",cad!$C$24,IF($D1236="V02",cad!$D$24,cad!$E$24)))</f>
      </c>
      <c r="I1236">
        <f>IF($A1236="","",IF($D1236="V01",cad!$C$32,IF($D1236="V02",cad!$D$32,cad!$E$32)))</f>
      </c>
      <c r="J1236">
        <f>IF($A1236="","",IF($D1236="V01",cad!$C$33,IF($D1236="V02",cad!$D$33,cad!$E$33)))</f>
      </c>
      <c r="K1236">
        <f>IF($A1236="","",IF($D1236="V01",cad!$C$34,IF($D1236="V02",cad!$D$34,cad!$E$34)))</f>
      </c>
      <c r="L1236">
        <f>IF($A1236="","",IF($D1236="V01",cad!$C$35,IF($D1236="V02",cad!$D$35,cad!$E$35)))</f>
      </c>
      <c r="M1236">
        <f>IF($A1236="","",IF($D1236="V01",cad!$C$36,IF($D1236="V02",cad!$D$36,cad!$E$36)))</f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>
        <f>IF($A1237="","",IF($D1237="V01",cad!$C$23,IF($D1237="V02",cad!$D$23,cad!$E$23)))</f>
      </c>
      <c r="H1237">
        <f>IF($A1237="","",IF($D1237="V01",cad!$C$24,IF($D1237="V02",cad!$D$24,cad!$E$24)))</f>
      </c>
      <c r="I1237">
        <f>IF($A1237="","",IF($D1237="V01",cad!$C$32,IF($D1237="V02",cad!$D$32,cad!$E$32)))</f>
      </c>
      <c r="J1237">
        <f>IF($A1237="","",IF($D1237="V01",cad!$C$33,IF($D1237="V02",cad!$D$33,cad!$E$33)))</f>
      </c>
      <c r="K1237">
        <f>IF($A1237="","",IF($D1237="V01",cad!$C$34,IF($D1237="V02",cad!$D$34,cad!$E$34)))</f>
      </c>
      <c r="L1237">
        <f>IF($A1237="","",IF($D1237="V01",cad!$C$35,IF($D1237="V02",cad!$D$35,cad!$E$35)))</f>
      </c>
      <c r="M1237">
        <f>IF($A1237="","",IF($D1237="V01",cad!$C$36,IF($D1237="V02",cad!$D$36,cad!$E$36)))</f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>
        <f>IF($A1238="","",IF($D1238="V01",cad!$C$23,IF($D1238="V02",cad!$D$23,cad!$E$23)))</f>
      </c>
      <c r="H1238">
        <f>IF($A1238="","",IF($D1238="V01",cad!$C$24,IF($D1238="V02",cad!$D$24,cad!$E$24)))</f>
      </c>
      <c r="I1238">
        <f>IF($A1238="","",IF($D1238="V01",cad!$C$32,IF($D1238="V02",cad!$D$32,cad!$E$32)))</f>
      </c>
      <c r="J1238">
        <f>IF($A1238="","",IF($D1238="V01",cad!$C$33,IF($D1238="V02",cad!$D$33,cad!$E$33)))</f>
      </c>
      <c r="K1238">
        <f>IF($A1238="","",IF($D1238="V01",cad!$C$34,IF($D1238="V02",cad!$D$34,cad!$E$34)))</f>
      </c>
      <c r="L1238">
        <f>IF($A1238="","",IF($D1238="V01",cad!$C$35,IF($D1238="V02",cad!$D$35,cad!$E$35)))</f>
      </c>
      <c r="M1238">
        <f>IF($A1238="","",IF($D1238="V01",cad!$C$36,IF($D1238="V02",cad!$D$36,cad!$E$36)))</f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>
        <f>IF($A1239="","",IF($D1239="V01",cad!$C$23,IF($D1239="V02",cad!$D$23,cad!$E$23)))</f>
      </c>
      <c r="H1239">
        <f>IF($A1239="","",IF($D1239="V01",cad!$C$24,IF($D1239="V02",cad!$D$24,cad!$E$24)))</f>
      </c>
      <c r="I1239">
        <f>IF($A1239="","",IF($D1239="V01",cad!$C$32,IF($D1239="V02",cad!$D$32,cad!$E$32)))</f>
      </c>
      <c r="J1239">
        <f>IF($A1239="","",IF($D1239="V01",cad!$C$33,IF($D1239="V02",cad!$D$33,cad!$E$33)))</f>
      </c>
      <c r="K1239">
        <f>IF($A1239="","",IF($D1239="V01",cad!$C$34,IF($D1239="V02",cad!$D$34,cad!$E$34)))</f>
      </c>
      <c r="L1239">
        <f>IF($A1239="","",IF($D1239="V01",cad!$C$35,IF($D1239="V02",cad!$D$35,cad!$E$35)))</f>
      </c>
      <c r="M1239">
        <f>IF($A1239="","",IF($D1239="V01",cad!$C$36,IF($D1239="V02",cad!$D$36,cad!$E$36)))</f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>
        <f>IF($A1240="","",IF($D1240="V01",cad!$C$23,IF($D1240="V02",cad!$D$23,cad!$E$23)))</f>
      </c>
      <c r="H1240">
        <f>IF($A1240="","",IF($D1240="V01",cad!$C$24,IF($D1240="V02",cad!$D$24,cad!$E$24)))</f>
      </c>
      <c r="I1240">
        <f>IF($A1240="","",IF($D1240="V01",cad!$C$32,IF($D1240="V02",cad!$D$32,cad!$E$32)))</f>
      </c>
      <c r="J1240">
        <f>IF($A1240="","",IF($D1240="V01",cad!$C$33,IF($D1240="V02",cad!$D$33,cad!$E$33)))</f>
      </c>
      <c r="K1240">
        <f>IF($A1240="","",IF($D1240="V01",cad!$C$34,IF($D1240="V02",cad!$D$34,cad!$E$34)))</f>
      </c>
      <c r="L1240">
        <f>IF($A1240="","",IF($D1240="V01",cad!$C$35,IF($D1240="V02",cad!$D$35,cad!$E$35)))</f>
      </c>
      <c r="M1240">
        <f>IF($A1240="","",IF($D1240="V01",cad!$C$36,IF($D1240="V02",cad!$D$36,cad!$E$36)))</f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>
        <f>IF($A1241="","",IF($D1241="V01",cad!$C$23,IF($D1241="V02",cad!$D$23,cad!$E$23)))</f>
      </c>
      <c r="H1241">
        <f>IF($A1241="","",IF($D1241="V01",cad!$C$24,IF($D1241="V02",cad!$D$24,cad!$E$24)))</f>
      </c>
      <c r="I1241">
        <f>IF($A1241="","",IF($D1241="V01",cad!$C$32,IF($D1241="V02",cad!$D$32,cad!$E$32)))</f>
      </c>
      <c r="J1241">
        <f>IF($A1241="","",IF($D1241="V01",cad!$C$33,IF($D1241="V02",cad!$D$33,cad!$E$33)))</f>
      </c>
      <c r="K1241">
        <f>IF($A1241="","",IF($D1241="V01",cad!$C$34,IF($D1241="V02",cad!$D$34,cad!$E$34)))</f>
      </c>
      <c r="L1241">
        <f>IF($A1241="","",IF($D1241="V01",cad!$C$35,IF($D1241="V02",cad!$D$35,cad!$E$35)))</f>
      </c>
      <c r="M1241">
        <f>IF($A1241="","",IF($D1241="V01",cad!$C$36,IF($D1241="V02",cad!$D$36,cad!$E$36)))</f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>
        <f>IF($A1242="","",IF($D1242="V01",cad!$C$23,IF($D1242="V02",cad!$D$23,cad!$E$23)))</f>
      </c>
      <c r="H1242">
        <f>IF($A1242="","",IF($D1242="V01",cad!$C$24,IF($D1242="V02",cad!$D$24,cad!$E$24)))</f>
      </c>
      <c r="I1242">
        <f>IF($A1242="","",IF($D1242="V01",cad!$C$32,IF($D1242="V02",cad!$D$32,cad!$E$32)))</f>
      </c>
      <c r="J1242">
        <f>IF($A1242="","",IF($D1242="V01",cad!$C$33,IF($D1242="V02",cad!$D$33,cad!$E$33)))</f>
      </c>
      <c r="K1242">
        <f>IF($A1242="","",IF($D1242="V01",cad!$C$34,IF($D1242="V02",cad!$D$34,cad!$E$34)))</f>
      </c>
      <c r="L1242">
        <f>IF($A1242="","",IF($D1242="V01",cad!$C$35,IF($D1242="V02",cad!$D$35,cad!$E$35)))</f>
      </c>
      <c r="M1242">
        <f>IF($A1242="","",IF($D1242="V01",cad!$C$36,IF($D1242="V02",cad!$D$36,cad!$E$36)))</f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>
        <f>IF($A1243="","",IF($D1243="V01",cad!$C$23,IF($D1243="V02",cad!$D$23,cad!$E$23)))</f>
      </c>
      <c r="H1243">
        <f>IF($A1243="","",IF($D1243="V01",cad!$C$24,IF($D1243="V02",cad!$D$24,cad!$E$24)))</f>
      </c>
      <c r="I1243">
        <f>IF($A1243="","",IF($D1243="V01",cad!$C$32,IF($D1243="V02",cad!$D$32,cad!$E$32)))</f>
      </c>
      <c r="J1243">
        <f>IF($A1243="","",IF($D1243="V01",cad!$C$33,IF($D1243="V02",cad!$D$33,cad!$E$33)))</f>
      </c>
      <c r="K1243">
        <f>IF($A1243="","",IF($D1243="V01",cad!$C$34,IF($D1243="V02",cad!$D$34,cad!$E$34)))</f>
      </c>
      <c r="L1243">
        <f>IF($A1243="","",IF($D1243="V01",cad!$C$35,IF($D1243="V02",cad!$D$35,cad!$E$35)))</f>
      </c>
      <c r="M1243">
        <f>IF($A1243="","",IF($D1243="V01",cad!$C$36,IF($D1243="V02",cad!$D$36,cad!$E$36)))</f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>
        <f>IF($A1244="","",IF($D1244="V01",cad!$C$23,IF($D1244="V02",cad!$D$23,cad!$E$23)))</f>
      </c>
      <c r="H1244">
        <f>IF($A1244="","",IF($D1244="V01",cad!$C$24,IF($D1244="V02",cad!$D$24,cad!$E$24)))</f>
      </c>
      <c r="I1244">
        <f>IF($A1244="","",IF($D1244="V01",cad!$C$32,IF($D1244="V02",cad!$D$32,cad!$E$32)))</f>
      </c>
      <c r="J1244">
        <f>IF($A1244="","",IF($D1244="V01",cad!$C$33,IF($D1244="V02",cad!$D$33,cad!$E$33)))</f>
      </c>
      <c r="K1244">
        <f>IF($A1244="","",IF($D1244="V01",cad!$C$34,IF($D1244="V02",cad!$D$34,cad!$E$34)))</f>
      </c>
      <c r="L1244">
        <f>IF($A1244="","",IF($D1244="V01",cad!$C$35,IF($D1244="V02",cad!$D$35,cad!$E$35)))</f>
      </c>
      <c r="M1244">
        <f>IF($A1244="","",IF($D1244="V01",cad!$C$36,IF($D1244="V02",cad!$D$36,cad!$E$36)))</f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>
        <f>IF($A1245="","",IF($D1245="V01",cad!$C$23,IF($D1245="V02",cad!$D$23,cad!$E$23)))</f>
      </c>
      <c r="H1245">
        <f>IF($A1245="","",IF($D1245="V01",cad!$C$24,IF($D1245="V02",cad!$D$24,cad!$E$24)))</f>
      </c>
      <c r="I1245">
        <f>IF($A1245="","",IF($D1245="V01",cad!$C$32,IF($D1245="V02",cad!$D$32,cad!$E$32)))</f>
      </c>
      <c r="J1245">
        <f>IF($A1245="","",IF($D1245="V01",cad!$C$33,IF($D1245="V02",cad!$D$33,cad!$E$33)))</f>
      </c>
      <c r="K1245">
        <f>IF($A1245="","",IF($D1245="V01",cad!$C$34,IF($D1245="V02",cad!$D$34,cad!$E$34)))</f>
      </c>
      <c r="L1245">
        <f>IF($A1245="","",IF($D1245="V01",cad!$C$35,IF($D1245="V02",cad!$D$35,cad!$E$35)))</f>
      </c>
      <c r="M1245">
        <f>IF($A1245="","",IF($D1245="V01",cad!$C$36,IF($D1245="V02",cad!$D$36,cad!$E$36)))</f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>
        <f>IF($A1246="","",IF($D1246="V01",cad!$C$23,IF($D1246="V02",cad!$D$23,cad!$E$23)))</f>
      </c>
      <c r="H1246">
        <f>IF($A1246="","",IF($D1246="V01",cad!$C$24,IF($D1246="V02",cad!$D$24,cad!$E$24)))</f>
      </c>
      <c r="I1246">
        <f>IF($A1246="","",IF($D1246="V01",cad!$C$32,IF($D1246="V02",cad!$D$32,cad!$E$32)))</f>
      </c>
      <c r="J1246">
        <f>IF($A1246="","",IF($D1246="V01",cad!$C$33,IF($D1246="V02",cad!$D$33,cad!$E$33)))</f>
      </c>
      <c r="K1246">
        <f>IF($A1246="","",IF($D1246="V01",cad!$C$34,IF($D1246="V02",cad!$D$34,cad!$E$34)))</f>
      </c>
      <c r="L1246">
        <f>IF($A1246="","",IF($D1246="V01",cad!$C$35,IF($D1246="V02",cad!$D$35,cad!$E$35)))</f>
      </c>
      <c r="M1246">
        <f>IF($A1246="","",IF($D1246="V01",cad!$C$36,IF($D1246="V02",cad!$D$36,cad!$E$36)))</f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>
        <f>IF($A1247="","",IF($D1247="V01",cad!$C$23,IF($D1247="V02",cad!$D$23,cad!$E$23)))</f>
      </c>
      <c r="H1247">
        <f>IF($A1247="","",IF($D1247="V01",cad!$C$24,IF($D1247="V02",cad!$D$24,cad!$E$24)))</f>
      </c>
      <c r="I1247">
        <f>IF($A1247="","",IF($D1247="V01",cad!$C$32,IF($D1247="V02",cad!$D$32,cad!$E$32)))</f>
      </c>
      <c r="J1247">
        <f>IF($A1247="","",IF($D1247="V01",cad!$C$33,IF($D1247="V02",cad!$D$33,cad!$E$33)))</f>
      </c>
      <c r="K1247">
        <f>IF($A1247="","",IF($D1247="V01",cad!$C$34,IF($D1247="V02",cad!$D$34,cad!$E$34)))</f>
      </c>
      <c r="L1247">
        <f>IF($A1247="","",IF($D1247="V01",cad!$C$35,IF($D1247="V02",cad!$D$35,cad!$E$35)))</f>
      </c>
      <c r="M1247">
        <f>IF($A1247="","",IF($D1247="V01",cad!$C$36,IF($D1247="V02",cad!$D$36,cad!$E$36)))</f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>
        <f>IF($A1248="","",IF($D1248="V01",cad!$C$23,IF($D1248="V02",cad!$D$23,cad!$E$23)))</f>
      </c>
      <c r="H1248">
        <f>IF($A1248="","",IF($D1248="V01",cad!$C$24,IF($D1248="V02",cad!$D$24,cad!$E$24)))</f>
      </c>
      <c r="I1248">
        <f>IF($A1248="","",IF($D1248="V01",cad!$C$32,IF($D1248="V02",cad!$D$32,cad!$E$32)))</f>
      </c>
      <c r="J1248">
        <f>IF($A1248="","",IF($D1248="V01",cad!$C$33,IF($D1248="V02",cad!$D$33,cad!$E$33)))</f>
      </c>
      <c r="K1248">
        <f>IF($A1248="","",IF($D1248="V01",cad!$C$34,IF($D1248="V02",cad!$D$34,cad!$E$34)))</f>
      </c>
      <c r="L1248">
        <f>IF($A1248="","",IF($D1248="V01",cad!$C$35,IF($D1248="V02",cad!$D$35,cad!$E$35)))</f>
      </c>
      <c r="M1248">
        <f>IF($A1248="","",IF($D1248="V01",cad!$C$36,IF($D1248="V02",cad!$D$36,cad!$E$36)))</f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>
        <f>IF($A1249="","",IF($D1249="V01",cad!$C$23,IF($D1249="V02",cad!$D$23,cad!$E$23)))</f>
      </c>
      <c r="H1249">
        <f>IF($A1249="","",IF($D1249="V01",cad!$C$24,IF($D1249="V02",cad!$D$24,cad!$E$24)))</f>
      </c>
      <c r="I1249">
        <f>IF($A1249="","",IF($D1249="V01",cad!$C$32,IF($D1249="V02",cad!$D$32,cad!$E$32)))</f>
      </c>
      <c r="J1249">
        <f>IF($A1249="","",IF($D1249="V01",cad!$C$33,IF($D1249="V02",cad!$D$33,cad!$E$33)))</f>
      </c>
      <c r="K1249">
        <f>IF($A1249="","",IF($D1249="V01",cad!$C$34,IF($D1249="V02",cad!$D$34,cad!$E$34)))</f>
      </c>
      <c r="L1249">
        <f>IF($A1249="","",IF($D1249="V01",cad!$C$35,IF($D1249="V02",cad!$D$35,cad!$E$35)))</f>
      </c>
      <c r="M1249">
        <f>IF($A1249="","",IF($D1249="V01",cad!$C$36,IF($D1249="V02",cad!$D$36,cad!$E$36)))</f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>
        <f>IF($A1250="","",IF($D1250="V01",cad!$C$23,IF($D1250="V02",cad!$D$23,cad!$E$23)))</f>
      </c>
      <c r="H1250">
        <f>IF($A1250="","",IF($D1250="V01",cad!$C$24,IF($D1250="V02",cad!$D$24,cad!$E$24)))</f>
      </c>
      <c r="I1250">
        <f>IF($A1250="","",IF($D1250="V01",cad!$C$32,IF($D1250="V02",cad!$D$32,cad!$E$32)))</f>
      </c>
      <c r="J1250">
        <f>IF($A1250="","",IF($D1250="V01",cad!$C$33,IF($D1250="V02",cad!$D$33,cad!$E$33)))</f>
      </c>
      <c r="K1250">
        <f>IF($A1250="","",IF($D1250="V01",cad!$C$34,IF($D1250="V02",cad!$D$34,cad!$E$34)))</f>
      </c>
      <c r="L1250">
        <f>IF($A1250="","",IF($D1250="V01",cad!$C$35,IF($D1250="V02",cad!$D$35,cad!$E$35)))</f>
      </c>
      <c r="M1250">
        <f>IF($A1250="","",IF($D1250="V01",cad!$C$36,IF($D1250="V02",cad!$D$36,cad!$E$36)))</f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>
        <f>IF($A1251="","",IF($D1251="V01",cad!$C$23,IF($D1251="V02",cad!$D$23,cad!$E$23)))</f>
      </c>
      <c r="H1251">
        <f>IF($A1251="","",IF($D1251="V01",cad!$C$24,IF($D1251="V02",cad!$D$24,cad!$E$24)))</f>
      </c>
      <c r="I1251">
        <f>IF($A1251="","",IF($D1251="V01",cad!$C$32,IF($D1251="V02",cad!$D$32,cad!$E$32)))</f>
      </c>
      <c r="J1251">
        <f>IF($A1251="","",IF($D1251="V01",cad!$C$33,IF($D1251="V02",cad!$D$33,cad!$E$33)))</f>
      </c>
      <c r="K1251">
        <f>IF($A1251="","",IF($D1251="V01",cad!$C$34,IF($D1251="V02",cad!$D$34,cad!$E$34)))</f>
      </c>
      <c r="L1251">
        <f>IF($A1251="","",IF($D1251="V01",cad!$C$35,IF($D1251="V02",cad!$D$35,cad!$E$35)))</f>
      </c>
      <c r="M1251">
        <f>IF($A1251="","",IF($D1251="V01",cad!$C$36,IF($D1251="V02",cad!$D$36,cad!$E$36)))</f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>
        <f>IF($A1252="","",IF($D1252="V01",cad!$C$23,IF($D1252="V02",cad!$D$23,cad!$E$23)))</f>
      </c>
      <c r="H1252">
        <f>IF($A1252="","",IF($D1252="V01",cad!$C$24,IF($D1252="V02",cad!$D$24,cad!$E$24)))</f>
      </c>
      <c r="I1252">
        <f>IF($A1252="","",IF($D1252="V01",cad!$C$32,IF($D1252="V02",cad!$D$32,cad!$E$32)))</f>
      </c>
      <c r="J1252">
        <f>IF($A1252="","",IF($D1252="V01",cad!$C$33,IF($D1252="V02",cad!$D$33,cad!$E$33)))</f>
      </c>
      <c r="K1252">
        <f>IF($A1252="","",IF($D1252="V01",cad!$C$34,IF($D1252="V02",cad!$D$34,cad!$E$34)))</f>
      </c>
      <c r="L1252">
        <f>IF($A1252="","",IF($D1252="V01",cad!$C$35,IF($D1252="V02",cad!$D$35,cad!$E$35)))</f>
      </c>
      <c r="M1252">
        <f>IF($A1252="","",IF($D1252="V01",cad!$C$36,IF($D1252="V02",cad!$D$36,cad!$E$36)))</f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>
        <f>IF($A1253="","",IF($D1253="V01",cad!$C$23,IF($D1253="V02",cad!$D$23,cad!$E$23)))</f>
      </c>
      <c r="H1253">
        <f>IF($A1253="","",IF($D1253="V01",cad!$C$24,IF($D1253="V02",cad!$D$24,cad!$E$24)))</f>
      </c>
      <c r="I1253">
        <f>IF($A1253="","",IF($D1253="V01",cad!$C$32,IF($D1253="V02",cad!$D$32,cad!$E$32)))</f>
      </c>
      <c r="J1253">
        <f>IF($A1253="","",IF($D1253="V01",cad!$C$33,IF($D1253="V02",cad!$D$33,cad!$E$33)))</f>
      </c>
      <c r="K1253">
        <f>IF($A1253="","",IF($D1253="V01",cad!$C$34,IF($D1253="V02",cad!$D$34,cad!$E$34)))</f>
      </c>
      <c r="L1253">
        <f>IF($A1253="","",IF($D1253="V01",cad!$C$35,IF($D1253="V02",cad!$D$35,cad!$E$35)))</f>
      </c>
      <c r="M1253">
        <f>IF($A1253="","",IF($D1253="V01",cad!$C$36,IF($D1253="V02",cad!$D$36,cad!$E$36)))</f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>
        <f>IF($A1254="","",IF($D1254="V01",cad!$C$23,IF($D1254="V02",cad!$D$23,cad!$E$23)))</f>
      </c>
      <c r="H1254">
        <f>IF($A1254="","",IF($D1254="V01",cad!$C$24,IF($D1254="V02",cad!$D$24,cad!$E$24)))</f>
      </c>
      <c r="I1254">
        <f>IF($A1254="","",IF($D1254="V01",cad!$C$32,IF($D1254="V02",cad!$D$32,cad!$E$32)))</f>
      </c>
      <c r="J1254">
        <f>IF($A1254="","",IF($D1254="V01",cad!$C$33,IF($D1254="V02",cad!$D$33,cad!$E$33)))</f>
      </c>
      <c r="K1254">
        <f>IF($A1254="","",IF($D1254="V01",cad!$C$34,IF($D1254="V02",cad!$D$34,cad!$E$34)))</f>
      </c>
      <c r="L1254">
        <f>IF($A1254="","",IF($D1254="V01",cad!$C$35,IF($D1254="V02",cad!$D$35,cad!$E$35)))</f>
      </c>
      <c r="M1254">
        <f>IF($A1254="","",IF($D1254="V01",cad!$C$36,IF($D1254="V02",cad!$D$36,cad!$E$36)))</f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>
        <f>IF($A1255="","",IF($D1255="V01",cad!$C$23,IF($D1255="V02",cad!$D$23,cad!$E$23)))</f>
      </c>
      <c r="H1255">
        <f>IF($A1255="","",IF($D1255="V01",cad!$C$24,IF($D1255="V02",cad!$D$24,cad!$E$24)))</f>
      </c>
      <c r="I1255">
        <f>IF($A1255="","",IF($D1255="V01",cad!$C$32,IF($D1255="V02",cad!$D$32,cad!$E$32)))</f>
      </c>
      <c r="J1255">
        <f>IF($A1255="","",IF($D1255="V01",cad!$C$33,IF($D1255="V02",cad!$D$33,cad!$E$33)))</f>
      </c>
      <c r="K1255">
        <f>IF($A1255="","",IF($D1255="V01",cad!$C$34,IF($D1255="V02",cad!$D$34,cad!$E$34)))</f>
      </c>
      <c r="L1255">
        <f>IF($A1255="","",IF($D1255="V01",cad!$C$35,IF($D1255="V02",cad!$D$35,cad!$E$35)))</f>
      </c>
      <c r="M1255">
        <f>IF($A1255="","",IF($D1255="V01",cad!$C$36,IF($D1255="V02",cad!$D$36,cad!$E$36)))</f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>
        <f>IF($A1256="","",IF($D1256="V01",cad!$C$23,IF($D1256="V02",cad!$D$23,cad!$E$23)))</f>
      </c>
      <c r="H1256">
        <f>IF($A1256="","",IF($D1256="V01",cad!$C$24,IF($D1256="V02",cad!$D$24,cad!$E$24)))</f>
      </c>
      <c r="I1256">
        <f>IF($A1256="","",IF($D1256="V01",cad!$C$32,IF($D1256="V02",cad!$D$32,cad!$E$32)))</f>
      </c>
      <c r="J1256">
        <f>IF($A1256="","",IF($D1256="V01",cad!$C$33,IF($D1256="V02",cad!$D$33,cad!$E$33)))</f>
      </c>
      <c r="K1256">
        <f>IF($A1256="","",IF($D1256="V01",cad!$C$34,IF($D1256="V02",cad!$D$34,cad!$E$34)))</f>
      </c>
      <c r="L1256">
        <f>IF($A1256="","",IF($D1256="V01",cad!$C$35,IF($D1256="V02",cad!$D$35,cad!$E$35)))</f>
      </c>
      <c r="M1256">
        <f>IF($A1256="","",IF($D1256="V01",cad!$C$36,IF($D1256="V02",cad!$D$36,cad!$E$36)))</f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>
        <f>IF($A1257="","",IF($D1257="V01",cad!$C$23,IF($D1257="V02",cad!$D$23,cad!$E$23)))</f>
      </c>
      <c r="H1257">
        <f>IF($A1257="","",IF($D1257="V01",cad!$C$24,IF($D1257="V02",cad!$D$24,cad!$E$24)))</f>
      </c>
      <c r="I1257">
        <f>IF($A1257="","",IF($D1257="V01",cad!$C$32,IF($D1257="V02",cad!$D$32,cad!$E$32)))</f>
      </c>
      <c r="J1257">
        <f>IF($A1257="","",IF($D1257="V01",cad!$C$33,IF($D1257="V02",cad!$D$33,cad!$E$33)))</f>
      </c>
      <c r="K1257">
        <f>IF($A1257="","",IF($D1257="V01",cad!$C$34,IF($D1257="V02",cad!$D$34,cad!$E$34)))</f>
      </c>
      <c r="L1257">
        <f>IF($A1257="","",IF($D1257="V01",cad!$C$35,IF($D1257="V02",cad!$D$35,cad!$E$35)))</f>
      </c>
      <c r="M1257">
        <f>IF($A1257="","",IF($D1257="V01",cad!$C$36,IF($D1257="V02",cad!$D$36,cad!$E$36)))</f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>
        <f>IF($A1258="","",IF($D1258="V01",cad!$C$23,IF($D1258="V02",cad!$D$23,cad!$E$23)))</f>
      </c>
      <c r="H1258">
        <f>IF($A1258="","",IF($D1258="V01",cad!$C$24,IF($D1258="V02",cad!$D$24,cad!$E$24)))</f>
      </c>
      <c r="I1258">
        <f>IF($A1258="","",IF($D1258="V01",cad!$C$32,IF($D1258="V02",cad!$D$32,cad!$E$32)))</f>
      </c>
      <c r="J1258">
        <f>IF($A1258="","",IF($D1258="V01",cad!$C$33,IF($D1258="V02",cad!$D$33,cad!$E$33)))</f>
      </c>
      <c r="K1258">
        <f>IF($A1258="","",IF($D1258="V01",cad!$C$34,IF($D1258="V02",cad!$D$34,cad!$E$34)))</f>
      </c>
      <c r="L1258">
        <f>IF($A1258="","",IF($D1258="V01",cad!$C$35,IF($D1258="V02",cad!$D$35,cad!$E$35)))</f>
      </c>
      <c r="M1258">
        <f>IF($A1258="","",IF($D1258="V01",cad!$C$36,IF($D1258="V02",cad!$D$36,cad!$E$36)))</f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>
        <f>IF($A1259="","",IF($D1259="V01",cad!$C$23,IF($D1259="V02",cad!$D$23,cad!$E$23)))</f>
      </c>
      <c r="H1259">
        <f>IF($A1259="","",IF($D1259="V01",cad!$C$24,IF($D1259="V02",cad!$D$24,cad!$E$24)))</f>
      </c>
      <c r="I1259">
        <f>IF($A1259="","",IF($D1259="V01",cad!$C$32,IF($D1259="V02",cad!$D$32,cad!$E$32)))</f>
      </c>
      <c r="J1259">
        <f>IF($A1259="","",IF($D1259="V01",cad!$C$33,IF($D1259="V02",cad!$D$33,cad!$E$33)))</f>
      </c>
      <c r="K1259">
        <f>IF($A1259="","",IF($D1259="V01",cad!$C$34,IF($D1259="V02",cad!$D$34,cad!$E$34)))</f>
      </c>
      <c r="L1259">
        <f>IF($A1259="","",IF($D1259="V01",cad!$C$35,IF($D1259="V02",cad!$D$35,cad!$E$35)))</f>
      </c>
      <c r="M1259">
        <f>IF($A1259="","",IF($D1259="V01",cad!$C$36,IF($D1259="V02",cad!$D$36,cad!$E$36)))</f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>
        <f>IF($A1260="","",IF($D1260="V01",cad!$C$23,IF($D1260="V02",cad!$D$23,cad!$E$23)))</f>
      </c>
      <c r="H1260">
        <f>IF($A1260="","",IF($D1260="V01",cad!$C$24,IF($D1260="V02",cad!$D$24,cad!$E$24)))</f>
      </c>
      <c r="I1260">
        <f>IF($A1260="","",IF($D1260="V01",cad!$C$32,IF($D1260="V02",cad!$D$32,cad!$E$32)))</f>
      </c>
      <c r="J1260">
        <f>IF($A1260="","",IF($D1260="V01",cad!$C$33,IF($D1260="V02",cad!$D$33,cad!$E$33)))</f>
      </c>
      <c r="K1260">
        <f>IF($A1260="","",IF($D1260="V01",cad!$C$34,IF($D1260="V02",cad!$D$34,cad!$E$34)))</f>
      </c>
      <c r="L1260">
        <f>IF($A1260="","",IF($D1260="V01",cad!$C$35,IF($D1260="V02",cad!$D$35,cad!$E$35)))</f>
      </c>
      <c r="M1260">
        <f>IF($A1260="","",IF($D1260="V01",cad!$C$36,IF($D1260="V02",cad!$D$36,cad!$E$36)))</f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>
        <f>IF($A1261="","",IF($D1261="V01",cad!$C$23,IF($D1261="V02",cad!$D$23,cad!$E$23)))</f>
      </c>
      <c r="H1261">
        <f>IF($A1261="","",IF($D1261="V01",cad!$C$24,IF($D1261="V02",cad!$D$24,cad!$E$24)))</f>
      </c>
      <c r="I1261">
        <f>IF($A1261="","",IF($D1261="V01",cad!$C$32,IF($D1261="V02",cad!$D$32,cad!$E$32)))</f>
      </c>
      <c r="J1261">
        <f>IF($A1261="","",IF($D1261="V01",cad!$C$33,IF($D1261="V02",cad!$D$33,cad!$E$33)))</f>
      </c>
      <c r="K1261">
        <f>IF($A1261="","",IF($D1261="V01",cad!$C$34,IF($D1261="V02",cad!$D$34,cad!$E$34)))</f>
      </c>
      <c r="L1261">
        <f>IF($A1261="","",IF($D1261="V01",cad!$C$35,IF($D1261="V02",cad!$D$35,cad!$E$35)))</f>
      </c>
      <c r="M1261">
        <f>IF($A1261="","",IF($D1261="V01",cad!$C$36,IF($D1261="V02",cad!$D$36,cad!$E$36)))</f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>
        <f>IF($A1262="","",IF($D1262="V01",cad!$C$23,IF($D1262="V02",cad!$D$23,cad!$E$23)))</f>
      </c>
      <c r="H1262">
        <f>IF($A1262="","",IF($D1262="V01",cad!$C$24,IF($D1262="V02",cad!$D$24,cad!$E$24)))</f>
      </c>
      <c r="I1262">
        <f>IF($A1262="","",IF($D1262="V01",cad!$C$32,IF($D1262="V02",cad!$D$32,cad!$E$32)))</f>
      </c>
      <c r="J1262">
        <f>IF($A1262="","",IF($D1262="V01",cad!$C$33,IF($D1262="V02",cad!$D$33,cad!$E$33)))</f>
      </c>
      <c r="K1262">
        <f>IF($A1262="","",IF($D1262="V01",cad!$C$34,IF($D1262="V02",cad!$D$34,cad!$E$34)))</f>
      </c>
      <c r="L1262">
        <f>IF($A1262="","",IF($D1262="V01",cad!$C$35,IF($D1262="V02",cad!$D$35,cad!$E$35)))</f>
      </c>
      <c r="M1262">
        <f>IF($A1262="","",IF($D1262="V01",cad!$C$36,IF($D1262="V02",cad!$D$36,cad!$E$36)))</f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>
        <f>IF($A1263="","",IF($D1263="V01",cad!$C$23,IF($D1263="V02",cad!$D$23,cad!$E$23)))</f>
      </c>
      <c r="H1263">
        <f>IF($A1263="","",IF($D1263="V01",cad!$C$24,IF($D1263="V02",cad!$D$24,cad!$E$24)))</f>
      </c>
      <c r="I1263">
        <f>IF($A1263="","",IF($D1263="V01",cad!$C$32,IF($D1263="V02",cad!$D$32,cad!$E$32)))</f>
      </c>
      <c r="J1263">
        <f>IF($A1263="","",IF($D1263="V01",cad!$C$33,IF($D1263="V02",cad!$D$33,cad!$E$33)))</f>
      </c>
      <c r="K1263">
        <f>IF($A1263="","",IF($D1263="V01",cad!$C$34,IF($D1263="V02",cad!$D$34,cad!$E$34)))</f>
      </c>
      <c r="L1263">
        <f>IF($A1263="","",IF($D1263="V01",cad!$C$35,IF($D1263="V02",cad!$D$35,cad!$E$35)))</f>
      </c>
      <c r="M1263">
        <f>IF($A1263="","",IF($D1263="V01",cad!$C$36,IF($D1263="V02",cad!$D$36,cad!$E$36)))</f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>
        <f>IF($A1264="","",IF($D1264="V01",cad!$C$23,IF($D1264="V02",cad!$D$23,cad!$E$23)))</f>
      </c>
      <c r="H1264">
        <f>IF($A1264="","",IF($D1264="V01",cad!$C$24,IF($D1264="V02",cad!$D$24,cad!$E$24)))</f>
      </c>
      <c r="I1264">
        <f>IF($A1264="","",IF($D1264="V01",cad!$C$32,IF($D1264="V02",cad!$D$32,cad!$E$32)))</f>
      </c>
      <c r="J1264">
        <f>IF($A1264="","",IF($D1264="V01",cad!$C$33,IF($D1264="V02",cad!$D$33,cad!$E$33)))</f>
      </c>
      <c r="K1264">
        <f>IF($A1264="","",IF($D1264="V01",cad!$C$34,IF($D1264="V02",cad!$D$34,cad!$E$34)))</f>
      </c>
      <c r="L1264">
        <f>IF($A1264="","",IF($D1264="V01",cad!$C$35,IF($D1264="V02",cad!$D$35,cad!$E$35)))</f>
      </c>
      <c r="M1264">
        <f>IF($A1264="","",IF($D1264="V01",cad!$C$36,IF($D1264="V02",cad!$D$36,cad!$E$36)))</f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>
        <f>IF($A1265="","",IF($D1265="V01",cad!$C$23,IF($D1265="V02",cad!$D$23,cad!$E$23)))</f>
      </c>
      <c r="H1265">
        <f>IF($A1265="","",IF($D1265="V01",cad!$C$24,IF($D1265="V02",cad!$D$24,cad!$E$24)))</f>
      </c>
      <c r="I1265">
        <f>IF($A1265="","",IF($D1265="V01",cad!$C$32,IF($D1265="V02",cad!$D$32,cad!$E$32)))</f>
      </c>
      <c r="J1265">
        <f>IF($A1265="","",IF($D1265="V01",cad!$C$33,IF($D1265="V02",cad!$D$33,cad!$E$33)))</f>
      </c>
      <c r="K1265">
        <f>IF($A1265="","",IF($D1265="V01",cad!$C$34,IF($D1265="V02",cad!$D$34,cad!$E$34)))</f>
      </c>
      <c r="L1265">
        <f>IF($A1265="","",IF($D1265="V01",cad!$C$35,IF($D1265="V02",cad!$D$35,cad!$E$35)))</f>
      </c>
      <c r="M1265">
        <f>IF($A1265="","",IF($D1265="V01",cad!$C$36,IF($D1265="V02",cad!$D$36,cad!$E$36)))</f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>
        <f>IF($A1266="","",IF($D1266="V01",cad!$C$23,IF($D1266="V02",cad!$D$23,cad!$E$23)))</f>
      </c>
      <c r="H1266">
        <f>IF($A1266="","",IF($D1266="V01",cad!$C$24,IF($D1266="V02",cad!$D$24,cad!$E$24)))</f>
      </c>
      <c r="I1266">
        <f>IF($A1266="","",IF($D1266="V01",cad!$C$32,IF($D1266="V02",cad!$D$32,cad!$E$32)))</f>
      </c>
      <c r="J1266">
        <f>IF($A1266="","",IF($D1266="V01",cad!$C$33,IF($D1266="V02",cad!$D$33,cad!$E$33)))</f>
      </c>
      <c r="K1266">
        <f>IF($A1266="","",IF($D1266="V01",cad!$C$34,IF($D1266="V02",cad!$D$34,cad!$E$34)))</f>
      </c>
      <c r="L1266">
        <f>IF($A1266="","",IF($D1266="V01",cad!$C$35,IF($D1266="V02",cad!$D$35,cad!$E$35)))</f>
      </c>
      <c r="M1266">
        <f>IF($A1266="","",IF($D1266="V01",cad!$C$36,IF($D1266="V02",cad!$D$36,cad!$E$36)))</f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>
        <f>IF($A1267="","",IF($D1267="V01",cad!$C$23,IF($D1267="V02",cad!$D$23,cad!$E$23)))</f>
      </c>
      <c r="H1267">
        <f>IF($A1267="","",IF($D1267="V01",cad!$C$24,IF($D1267="V02",cad!$D$24,cad!$E$24)))</f>
      </c>
      <c r="I1267">
        <f>IF($A1267="","",IF($D1267="V01",cad!$C$32,IF($D1267="V02",cad!$D$32,cad!$E$32)))</f>
      </c>
      <c r="J1267">
        <f>IF($A1267="","",IF($D1267="V01",cad!$C$33,IF($D1267="V02",cad!$D$33,cad!$E$33)))</f>
      </c>
      <c r="K1267">
        <f>IF($A1267="","",IF($D1267="V01",cad!$C$34,IF($D1267="V02",cad!$D$34,cad!$E$34)))</f>
      </c>
      <c r="L1267">
        <f>IF($A1267="","",IF($D1267="V01",cad!$C$35,IF($D1267="V02",cad!$D$35,cad!$E$35)))</f>
      </c>
      <c r="M1267">
        <f>IF($A1267="","",IF($D1267="V01",cad!$C$36,IF($D1267="V02",cad!$D$36,cad!$E$36)))</f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>
        <f>IF($A1268="","",IF($D1268="V01",cad!$C$23,IF($D1268="V02",cad!$D$23,cad!$E$23)))</f>
      </c>
      <c r="H1268">
        <f>IF($A1268="","",IF($D1268="V01",cad!$C$24,IF($D1268="V02",cad!$D$24,cad!$E$24)))</f>
      </c>
      <c r="I1268">
        <f>IF($A1268="","",IF($D1268="V01",cad!$C$32,IF($D1268="V02",cad!$D$32,cad!$E$32)))</f>
      </c>
      <c r="J1268">
        <f>IF($A1268="","",IF($D1268="V01",cad!$C$33,IF($D1268="V02",cad!$D$33,cad!$E$33)))</f>
      </c>
      <c r="K1268">
        <f>IF($A1268="","",IF($D1268="V01",cad!$C$34,IF($D1268="V02",cad!$D$34,cad!$E$34)))</f>
      </c>
      <c r="L1268">
        <f>IF($A1268="","",IF($D1268="V01",cad!$C$35,IF($D1268="V02",cad!$D$35,cad!$E$35)))</f>
      </c>
      <c r="M1268">
        <f>IF($A1268="","",IF($D1268="V01",cad!$C$36,IF($D1268="V02",cad!$D$36,cad!$E$36)))</f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>
        <f>IF($A1269="","",IF($D1269="V01",cad!$C$23,IF($D1269="V02",cad!$D$23,cad!$E$23)))</f>
      </c>
      <c r="H1269">
        <f>IF($A1269="","",IF($D1269="V01",cad!$C$24,IF($D1269="V02",cad!$D$24,cad!$E$24)))</f>
      </c>
      <c r="I1269">
        <f>IF($A1269="","",IF($D1269="V01",cad!$C$32,IF($D1269="V02",cad!$D$32,cad!$E$32)))</f>
      </c>
      <c r="J1269">
        <f>IF($A1269="","",IF($D1269="V01",cad!$C$33,IF($D1269="V02",cad!$D$33,cad!$E$33)))</f>
      </c>
      <c r="K1269">
        <f>IF($A1269="","",IF($D1269="V01",cad!$C$34,IF($D1269="V02",cad!$D$34,cad!$E$34)))</f>
      </c>
      <c r="L1269">
        <f>IF($A1269="","",IF($D1269="V01",cad!$C$35,IF($D1269="V02",cad!$D$35,cad!$E$35)))</f>
      </c>
      <c r="M1269">
        <f>IF($A1269="","",IF($D1269="V01",cad!$C$36,IF($D1269="V02",cad!$D$36,cad!$E$36)))</f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>
        <f>IF($A1270="","",IF($D1270="V01",cad!$C$23,IF($D1270="V02",cad!$D$23,cad!$E$23)))</f>
      </c>
      <c r="H1270">
        <f>IF($A1270="","",IF($D1270="V01",cad!$C$24,IF($D1270="V02",cad!$D$24,cad!$E$24)))</f>
      </c>
      <c r="I1270">
        <f>IF($A1270="","",IF($D1270="V01",cad!$C$32,IF($D1270="V02",cad!$D$32,cad!$E$32)))</f>
      </c>
      <c r="J1270">
        <f>IF($A1270="","",IF($D1270="V01",cad!$C$33,IF($D1270="V02",cad!$D$33,cad!$E$33)))</f>
      </c>
      <c r="K1270">
        <f>IF($A1270="","",IF($D1270="V01",cad!$C$34,IF($D1270="V02",cad!$D$34,cad!$E$34)))</f>
      </c>
      <c r="L1270">
        <f>IF($A1270="","",IF($D1270="V01",cad!$C$35,IF($D1270="V02",cad!$D$35,cad!$E$35)))</f>
      </c>
      <c r="M1270">
        <f>IF($A1270="","",IF($D1270="V01",cad!$C$36,IF($D1270="V02",cad!$D$36,cad!$E$36)))</f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>
        <f>IF($A1271="","",IF($D1271="V01",cad!$C$23,IF($D1271="V02",cad!$D$23,cad!$E$23)))</f>
      </c>
      <c r="H1271">
        <f>IF($A1271="","",IF($D1271="V01",cad!$C$24,IF($D1271="V02",cad!$D$24,cad!$E$24)))</f>
      </c>
      <c r="I1271">
        <f>IF($A1271="","",IF($D1271="V01",cad!$C$32,IF($D1271="V02",cad!$D$32,cad!$E$32)))</f>
      </c>
      <c r="J1271">
        <f>IF($A1271="","",IF($D1271="V01",cad!$C$33,IF($D1271="V02",cad!$D$33,cad!$E$33)))</f>
      </c>
      <c r="K1271">
        <f>IF($A1271="","",IF($D1271="V01",cad!$C$34,IF($D1271="V02",cad!$D$34,cad!$E$34)))</f>
      </c>
      <c r="L1271">
        <f>IF($A1271="","",IF($D1271="V01",cad!$C$35,IF($D1271="V02",cad!$D$35,cad!$E$35)))</f>
      </c>
      <c r="M1271">
        <f>IF($A1271="","",IF($D1271="V01",cad!$C$36,IF($D1271="V02",cad!$D$36,cad!$E$36)))</f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>
        <f>IF($A1272="","",IF($D1272="V01",cad!$C$23,IF($D1272="V02",cad!$D$23,cad!$E$23)))</f>
      </c>
      <c r="H1272">
        <f>IF($A1272="","",IF($D1272="V01",cad!$C$24,IF($D1272="V02",cad!$D$24,cad!$E$24)))</f>
      </c>
      <c r="I1272">
        <f>IF($A1272="","",IF($D1272="V01",cad!$C$32,IF($D1272="V02",cad!$D$32,cad!$E$32)))</f>
      </c>
      <c r="J1272">
        <f>IF($A1272="","",IF($D1272="V01",cad!$C$33,IF($D1272="V02",cad!$D$33,cad!$E$33)))</f>
      </c>
      <c r="K1272">
        <f>IF($A1272="","",IF($D1272="V01",cad!$C$34,IF($D1272="V02",cad!$D$34,cad!$E$34)))</f>
      </c>
      <c r="L1272">
        <f>IF($A1272="","",IF($D1272="V01",cad!$C$35,IF($D1272="V02",cad!$D$35,cad!$E$35)))</f>
      </c>
      <c r="M1272">
        <f>IF($A1272="","",IF($D1272="V01",cad!$C$36,IF($D1272="V02",cad!$D$36,cad!$E$36)))</f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>
        <f>IF($A1273="","",IF($D1273="V01",cad!$C$23,IF($D1273="V02",cad!$D$23,cad!$E$23)))</f>
      </c>
      <c r="H1273">
        <f>IF($A1273="","",IF($D1273="V01",cad!$C$24,IF($D1273="V02",cad!$D$24,cad!$E$24)))</f>
      </c>
      <c r="I1273">
        <f>IF($A1273="","",IF($D1273="V01",cad!$C$32,IF($D1273="V02",cad!$D$32,cad!$E$32)))</f>
      </c>
      <c r="J1273">
        <f>IF($A1273="","",IF($D1273="V01",cad!$C$33,IF($D1273="V02",cad!$D$33,cad!$E$33)))</f>
      </c>
      <c r="K1273">
        <f>IF($A1273="","",IF($D1273="V01",cad!$C$34,IF($D1273="V02",cad!$D$34,cad!$E$34)))</f>
      </c>
      <c r="L1273">
        <f>IF($A1273="","",IF($D1273="V01",cad!$C$35,IF($D1273="V02",cad!$D$35,cad!$E$35)))</f>
      </c>
      <c r="M1273">
        <f>IF($A1273="","",IF($D1273="V01",cad!$C$36,IF($D1273="V02",cad!$D$36,cad!$E$36)))</f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>
        <f>IF($A1274="","",IF($D1274="V01",cad!$C$23,IF($D1274="V02",cad!$D$23,cad!$E$23)))</f>
      </c>
      <c r="H1274">
        <f>IF($A1274="","",IF($D1274="V01",cad!$C$24,IF($D1274="V02",cad!$D$24,cad!$E$24)))</f>
      </c>
      <c r="I1274">
        <f>IF($A1274="","",IF($D1274="V01",cad!$C$32,IF($D1274="V02",cad!$D$32,cad!$E$32)))</f>
      </c>
      <c r="J1274">
        <f>IF($A1274="","",IF($D1274="V01",cad!$C$33,IF($D1274="V02",cad!$D$33,cad!$E$33)))</f>
      </c>
      <c r="K1274">
        <f>IF($A1274="","",IF($D1274="V01",cad!$C$34,IF($D1274="V02",cad!$D$34,cad!$E$34)))</f>
      </c>
      <c r="L1274">
        <f>IF($A1274="","",IF($D1274="V01",cad!$C$35,IF($D1274="V02",cad!$D$35,cad!$E$35)))</f>
      </c>
      <c r="M1274">
        <f>IF($A1274="","",IF($D1274="V01",cad!$C$36,IF($D1274="V02",cad!$D$36,cad!$E$36)))</f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>
        <f>IF($A1275="","",IF($D1275="V01",cad!$C$23,IF($D1275="V02",cad!$D$23,cad!$E$23)))</f>
      </c>
      <c r="H1275">
        <f>IF($A1275="","",IF($D1275="V01",cad!$C$24,IF($D1275="V02",cad!$D$24,cad!$E$24)))</f>
      </c>
      <c r="I1275">
        <f>IF($A1275="","",IF($D1275="V01",cad!$C$32,IF($D1275="V02",cad!$D$32,cad!$E$32)))</f>
      </c>
      <c r="J1275">
        <f>IF($A1275="","",IF($D1275="V01",cad!$C$33,IF($D1275="V02",cad!$D$33,cad!$E$33)))</f>
      </c>
      <c r="K1275">
        <f>IF($A1275="","",IF($D1275="V01",cad!$C$34,IF($D1275="V02",cad!$D$34,cad!$E$34)))</f>
      </c>
      <c r="L1275">
        <f>IF($A1275="","",IF($D1275="V01",cad!$C$35,IF($D1275="V02",cad!$D$35,cad!$E$35)))</f>
      </c>
      <c r="M1275">
        <f>IF($A1275="","",IF($D1275="V01",cad!$C$36,IF($D1275="V02",cad!$D$36,cad!$E$36)))</f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>
        <f>IF($A1276="","",IF($D1276="V01",cad!$C$23,IF($D1276="V02",cad!$D$23,cad!$E$23)))</f>
      </c>
      <c r="H1276">
        <f>IF($A1276="","",IF($D1276="V01",cad!$C$24,IF($D1276="V02",cad!$D$24,cad!$E$24)))</f>
      </c>
      <c r="I1276">
        <f>IF($A1276="","",IF($D1276="V01",cad!$C$32,IF($D1276="V02",cad!$D$32,cad!$E$32)))</f>
      </c>
      <c r="J1276">
        <f>IF($A1276="","",IF($D1276="V01",cad!$C$33,IF($D1276="V02",cad!$D$33,cad!$E$33)))</f>
      </c>
      <c r="K1276">
        <f>IF($A1276="","",IF($D1276="V01",cad!$C$34,IF($D1276="V02",cad!$D$34,cad!$E$34)))</f>
      </c>
      <c r="L1276">
        <f>IF($A1276="","",IF($D1276="V01",cad!$C$35,IF($D1276="V02",cad!$D$35,cad!$E$35)))</f>
      </c>
      <c r="M1276">
        <f>IF($A1276="","",IF($D1276="V01",cad!$C$36,IF($D1276="V02",cad!$D$36,cad!$E$36)))</f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>
        <f>IF($A1277="","",IF($D1277="V01",cad!$C$23,IF($D1277="V02",cad!$D$23,cad!$E$23)))</f>
      </c>
      <c r="H1277">
        <f>IF($A1277="","",IF($D1277="V01",cad!$C$24,IF($D1277="V02",cad!$D$24,cad!$E$24)))</f>
      </c>
      <c r="I1277">
        <f>IF($A1277="","",IF($D1277="V01",cad!$C$32,IF($D1277="V02",cad!$D$32,cad!$E$32)))</f>
      </c>
      <c r="J1277">
        <f>IF($A1277="","",IF($D1277="V01",cad!$C$33,IF($D1277="V02",cad!$D$33,cad!$E$33)))</f>
      </c>
      <c r="K1277">
        <f>IF($A1277="","",IF($D1277="V01",cad!$C$34,IF($D1277="V02",cad!$D$34,cad!$E$34)))</f>
      </c>
      <c r="L1277">
        <f>IF($A1277="","",IF($D1277="V01",cad!$C$35,IF($D1277="V02",cad!$D$35,cad!$E$35)))</f>
      </c>
      <c r="M1277">
        <f>IF($A1277="","",IF($D1277="V01",cad!$C$36,IF($D1277="V02",cad!$D$36,cad!$E$36)))</f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>
        <f>IF($A1278="","",IF($D1278="V01",cad!$C$23,IF($D1278="V02",cad!$D$23,cad!$E$23)))</f>
      </c>
      <c r="H1278">
        <f>IF($A1278="","",IF($D1278="V01",cad!$C$24,IF($D1278="V02",cad!$D$24,cad!$E$24)))</f>
      </c>
      <c r="I1278">
        <f>IF($A1278="","",IF($D1278="V01",cad!$C$32,IF($D1278="V02",cad!$D$32,cad!$E$32)))</f>
      </c>
      <c r="J1278">
        <f>IF($A1278="","",IF($D1278="V01",cad!$C$33,IF($D1278="V02",cad!$D$33,cad!$E$33)))</f>
      </c>
      <c r="K1278">
        <f>IF($A1278="","",IF($D1278="V01",cad!$C$34,IF($D1278="V02",cad!$D$34,cad!$E$34)))</f>
      </c>
      <c r="L1278">
        <f>IF($A1278="","",IF($D1278="V01",cad!$C$35,IF($D1278="V02",cad!$D$35,cad!$E$35)))</f>
      </c>
      <c r="M1278">
        <f>IF($A1278="","",IF($D1278="V01",cad!$C$36,IF($D1278="V02",cad!$D$36,cad!$E$36)))</f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>
        <f>IF($A1279="","",IF($D1279="V01",cad!$C$23,IF($D1279="V02",cad!$D$23,cad!$E$23)))</f>
      </c>
      <c r="H1279">
        <f>IF($A1279="","",IF($D1279="V01",cad!$C$24,IF($D1279="V02",cad!$D$24,cad!$E$24)))</f>
      </c>
      <c r="I1279">
        <f>IF($A1279="","",IF($D1279="V01",cad!$C$32,IF($D1279="V02",cad!$D$32,cad!$E$32)))</f>
      </c>
      <c r="J1279">
        <f>IF($A1279="","",IF($D1279="V01",cad!$C$33,IF($D1279="V02",cad!$D$33,cad!$E$33)))</f>
      </c>
      <c r="K1279">
        <f>IF($A1279="","",IF($D1279="V01",cad!$C$34,IF($D1279="V02",cad!$D$34,cad!$E$34)))</f>
      </c>
      <c r="L1279">
        <f>IF($A1279="","",IF($D1279="V01",cad!$C$35,IF($D1279="V02",cad!$D$35,cad!$E$35)))</f>
      </c>
      <c r="M1279">
        <f>IF($A1279="","",IF($D1279="V01",cad!$C$36,IF($D1279="V02",cad!$D$36,cad!$E$36)))</f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>
        <f>IF($A1280="","",IF($D1280="V01",cad!$C$23,IF($D1280="V02",cad!$D$23,cad!$E$23)))</f>
      </c>
      <c r="H1280">
        <f>IF($A1280="","",IF($D1280="V01",cad!$C$24,IF($D1280="V02",cad!$D$24,cad!$E$24)))</f>
      </c>
      <c r="I1280">
        <f>IF($A1280="","",IF($D1280="V01",cad!$C$32,IF($D1280="V02",cad!$D$32,cad!$E$32)))</f>
      </c>
      <c r="J1280">
        <f>IF($A1280="","",IF($D1280="V01",cad!$C$33,IF($D1280="V02",cad!$D$33,cad!$E$33)))</f>
      </c>
      <c r="K1280">
        <f>IF($A1280="","",IF($D1280="V01",cad!$C$34,IF($D1280="V02",cad!$D$34,cad!$E$34)))</f>
      </c>
      <c r="L1280">
        <f>IF($A1280="","",IF($D1280="V01",cad!$C$35,IF($D1280="V02",cad!$D$35,cad!$E$35)))</f>
      </c>
      <c r="M1280">
        <f>IF($A1280="","",IF($D1280="V01",cad!$C$36,IF($D1280="V02",cad!$D$36,cad!$E$36)))</f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>
        <f>IF($A1281="","",IF($D1281="V01",cad!$C$23,IF($D1281="V02",cad!$D$23,cad!$E$23)))</f>
      </c>
      <c r="H1281">
        <f>IF($A1281="","",IF($D1281="V01",cad!$C$24,IF($D1281="V02",cad!$D$24,cad!$E$24)))</f>
      </c>
      <c r="I1281">
        <f>IF($A1281="","",IF($D1281="V01",cad!$C$32,IF($D1281="V02",cad!$D$32,cad!$E$32)))</f>
      </c>
      <c r="J1281">
        <f>IF($A1281="","",IF($D1281="V01",cad!$C$33,IF($D1281="V02",cad!$D$33,cad!$E$33)))</f>
      </c>
      <c r="K1281">
        <f>IF($A1281="","",IF($D1281="V01",cad!$C$34,IF($D1281="V02",cad!$D$34,cad!$E$34)))</f>
      </c>
      <c r="L1281">
        <f>IF($A1281="","",IF($D1281="V01",cad!$C$35,IF($D1281="V02",cad!$D$35,cad!$E$35)))</f>
      </c>
      <c r="M1281">
        <f>IF($A1281="","",IF($D1281="V01",cad!$C$36,IF($D1281="V02",cad!$D$36,cad!$E$36)))</f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>
        <f>IF($A1282="","",IF($D1282="V01",cad!$C$23,IF($D1282="V02",cad!$D$23,cad!$E$23)))</f>
      </c>
      <c r="H1282">
        <f>IF($A1282="","",IF($D1282="V01",cad!$C$24,IF($D1282="V02",cad!$D$24,cad!$E$24)))</f>
      </c>
      <c r="I1282">
        <f>IF($A1282="","",IF($D1282="V01",cad!$C$32,IF($D1282="V02",cad!$D$32,cad!$E$32)))</f>
      </c>
      <c r="J1282">
        <f>IF($A1282="","",IF($D1282="V01",cad!$C$33,IF($D1282="V02",cad!$D$33,cad!$E$33)))</f>
      </c>
      <c r="K1282">
        <f>IF($A1282="","",IF($D1282="V01",cad!$C$34,IF($D1282="V02",cad!$D$34,cad!$E$34)))</f>
      </c>
      <c r="L1282">
        <f>IF($A1282="","",IF($D1282="V01",cad!$C$35,IF($D1282="V02",cad!$D$35,cad!$E$35)))</f>
      </c>
      <c r="M1282">
        <f>IF($A1282="","",IF($D1282="V01",cad!$C$36,IF($D1282="V02",cad!$D$36,cad!$E$36)))</f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>
        <f>IF($A1283="","",IF($D1283="V01",cad!$C$23,IF($D1283="V02",cad!$D$23,cad!$E$23)))</f>
      </c>
      <c r="H1283">
        <f>IF($A1283="","",IF($D1283="V01",cad!$C$24,IF($D1283="V02",cad!$D$24,cad!$E$24)))</f>
      </c>
      <c r="I1283">
        <f>IF($A1283="","",IF($D1283="V01",cad!$C$32,IF($D1283="V02",cad!$D$32,cad!$E$32)))</f>
      </c>
      <c r="J1283">
        <f>IF($A1283="","",IF($D1283="V01",cad!$C$33,IF($D1283="V02",cad!$D$33,cad!$E$33)))</f>
      </c>
      <c r="K1283">
        <f>IF($A1283="","",IF($D1283="V01",cad!$C$34,IF($D1283="V02",cad!$D$34,cad!$E$34)))</f>
      </c>
      <c r="L1283">
        <f>IF($A1283="","",IF($D1283="V01",cad!$C$35,IF($D1283="V02",cad!$D$35,cad!$E$35)))</f>
      </c>
      <c r="M1283">
        <f>IF($A1283="","",IF($D1283="V01",cad!$C$36,IF($D1283="V02",cad!$D$36,cad!$E$36)))</f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>
        <f>IF($A1284="","",IF($D1284="V01",cad!$C$23,IF($D1284="V02",cad!$D$23,cad!$E$23)))</f>
      </c>
      <c r="H1284">
        <f>IF($A1284="","",IF($D1284="V01",cad!$C$24,IF($D1284="V02",cad!$D$24,cad!$E$24)))</f>
      </c>
      <c r="I1284">
        <f>IF($A1284="","",IF($D1284="V01",cad!$C$32,IF($D1284="V02",cad!$D$32,cad!$E$32)))</f>
      </c>
      <c r="J1284">
        <f>IF($A1284="","",IF($D1284="V01",cad!$C$33,IF($D1284="V02",cad!$D$33,cad!$E$33)))</f>
      </c>
      <c r="K1284">
        <f>IF($A1284="","",IF($D1284="V01",cad!$C$34,IF($D1284="V02",cad!$D$34,cad!$E$34)))</f>
      </c>
      <c r="L1284">
        <f>IF($A1284="","",IF($D1284="V01",cad!$C$35,IF($D1284="V02",cad!$D$35,cad!$E$35)))</f>
      </c>
      <c r="M1284">
        <f>IF($A1284="","",IF($D1284="V01",cad!$C$36,IF($D1284="V02",cad!$D$36,cad!$E$36)))</f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>
        <f>IF($A1285="","",IF($D1285="V01",cad!$C$23,IF($D1285="V02",cad!$D$23,cad!$E$23)))</f>
      </c>
      <c r="H1285">
        <f>IF($A1285="","",IF($D1285="V01",cad!$C$24,IF($D1285="V02",cad!$D$24,cad!$E$24)))</f>
      </c>
      <c r="I1285">
        <f>IF($A1285="","",IF($D1285="V01",cad!$C$32,IF($D1285="V02",cad!$D$32,cad!$E$32)))</f>
      </c>
      <c r="J1285">
        <f>IF($A1285="","",IF($D1285="V01",cad!$C$33,IF($D1285="V02",cad!$D$33,cad!$E$33)))</f>
      </c>
      <c r="K1285">
        <f>IF($A1285="","",IF($D1285="V01",cad!$C$34,IF($D1285="V02",cad!$D$34,cad!$E$34)))</f>
      </c>
      <c r="L1285">
        <f>IF($A1285="","",IF($D1285="V01",cad!$C$35,IF($D1285="V02",cad!$D$35,cad!$E$35)))</f>
      </c>
      <c r="M1285">
        <f>IF($A1285="","",IF($D1285="V01",cad!$C$36,IF($D1285="V02",cad!$D$36,cad!$E$36)))</f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>
        <f>IF($A1286="","",IF($D1286="V01",cad!$C$23,IF($D1286="V02",cad!$D$23,cad!$E$23)))</f>
      </c>
      <c r="H1286">
        <f>IF($A1286="","",IF($D1286="V01",cad!$C$24,IF($D1286="V02",cad!$D$24,cad!$E$24)))</f>
      </c>
      <c r="I1286">
        <f>IF($A1286="","",IF($D1286="V01",cad!$C$32,IF($D1286="V02",cad!$D$32,cad!$E$32)))</f>
      </c>
      <c r="J1286">
        <f>IF($A1286="","",IF($D1286="V01",cad!$C$33,IF($D1286="V02",cad!$D$33,cad!$E$33)))</f>
      </c>
      <c r="K1286">
        <f>IF($A1286="","",IF($D1286="V01",cad!$C$34,IF($D1286="V02",cad!$D$34,cad!$E$34)))</f>
      </c>
      <c r="L1286">
        <f>IF($A1286="","",IF($D1286="V01",cad!$C$35,IF($D1286="V02",cad!$D$35,cad!$E$35)))</f>
      </c>
      <c r="M1286">
        <f>IF($A1286="","",IF($D1286="V01",cad!$C$36,IF($D1286="V02",cad!$D$36,cad!$E$36)))</f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>
        <f>IF($A1287="","",IF($D1287="V01",cad!$C$23,IF($D1287="V02",cad!$D$23,cad!$E$23)))</f>
      </c>
      <c r="H1287">
        <f>IF($A1287="","",IF($D1287="V01",cad!$C$24,IF($D1287="V02",cad!$D$24,cad!$E$24)))</f>
      </c>
      <c r="I1287">
        <f>IF($A1287="","",IF($D1287="V01",cad!$C$32,IF($D1287="V02",cad!$D$32,cad!$E$32)))</f>
      </c>
      <c r="J1287">
        <f>IF($A1287="","",IF($D1287="V01",cad!$C$33,IF($D1287="V02",cad!$D$33,cad!$E$33)))</f>
      </c>
      <c r="K1287">
        <f>IF($A1287="","",IF($D1287="V01",cad!$C$34,IF($D1287="V02",cad!$D$34,cad!$E$34)))</f>
      </c>
      <c r="L1287">
        <f>IF($A1287="","",IF($D1287="V01",cad!$C$35,IF($D1287="V02",cad!$D$35,cad!$E$35)))</f>
      </c>
      <c r="M1287">
        <f>IF($A1287="","",IF($D1287="V01",cad!$C$36,IF($D1287="V02",cad!$D$36,cad!$E$36)))</f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>
        <f>IF($A1288="","",IF($D1288="V01",cad!$C$23,IF($D1288="V02",cad!$D$23,cad!$E$23)))</f>
      </c>
      <c r="H1288">
        <f>IF($A1288="","",IF($D1288="V01",cad!$C$24,IF($D1288="V02",cad!$D$24,cad!$E$24)))</f>
      </c>
      <c r="I1288">
        <f>IF($A1288="","",IF($D1288="V01",cad!$C$32,IF($D1288="V02",cad!$D$32,cad!$E$32)))</f>
      </c>
      <c r="J1288">
        <f>IF($A1288="","",IF($D1288="V01",cad!$C$33,IF($D1288="V02",cad!$D$33,cad!$E$33)))</f>
      </c>
      <c r="K1288">
        <f>IF($A1288="","",IF($D1288="V01",cad!$C$34,IF($D1288="V02",cad!$D$34,cad!$E$34)))</f>
      </c>
      <c r="L1288">
        <f>IF($A1288="","",IF($D1288="V01",cad!$C$35,IF($D1288="V02",cad!$D$35,cad!$E$35)))</f>
      </c>
      <c r="M1288">
        <f>IF($A1288="","",IF($D1288="V01",cad!$C$36,IF($D1288="V02",cad!$D$36,cad!$E$36)))</f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>
        <f>IF($A1289="","",IF($D1289="V01",cad!$C$23,IF($D1289="V02",cad!$D$23,cad!$E$23)))</f>
      </c>
      <c r="H1289">
        <f>IF($A1289="","",IF($D1289="V01",cad!$C$24,IF($D1289="V02",cad!$D$24,cad!$E$24)))</f>
      </c>
      <c r="I1289">
        <f>IF($A1289="","",IF($D1289="V01",cad!$C$32,IF($D1289="V02",cad!$D$32,cad!$E$32)))</f>
      </c>
      <c r="J1289">
        <f>IF($A1289="","",IF($D1289="V01",cad!$C$33,IF($D1289="V02",cad!$D$33,cad!$E$33)))</f>
      </c>
      <c r="K1289">
        <f>IF($A1289="","",IF($D1289="V01",cad!$C$34,IF($D1289="V02",cad!$D$34,cad!$E$34)))</f>
      </c>
      <c r="L1289">
        <f>IF($A1289="","",IF($D1289="V01",cad!$C$35,IF($D1289="V02",cad!$D$35,cad!$E$35)))</f>
      </c>
      <c r="M1289">
        <f>IF($A1289="","",IF($D1289="V01",cad!$C$36,IF($D1289="V02",cad!$D$36,cad!$E$36)))</f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>
        <f>IF($A1290="","",IF($D1290="V01",cad!$C$23,IF($D1290="V02",cad!$D$23,cad!$E$23)))</f>
      </c>
      <c r="H1290">
        <f>IF($A1290="","",IF($D1290="V01",cad!$C$24,IF($D1290="V02",cad!$D$24,cad!$E$24)))</f>
      </c>
      <c r="I1290">
        <f>IF($A1290="","",IF($D1290="V01",cad!$C$32,IF($D1290="V02",cad!$D$32,cad!$E$32)))</f>
      </c>
      <c r="J1290">
        <f>IF($A1290="","",IF($D1290="V01",cad!$C$33,IF($D1290="V02",cad!$D$33,cad!$E$33)))</f>
      </c>
      <c r="K1290">
        <f>IF($A1290="","",IF($D1290="V01",cad!$C$34,IF($D1290="V02",cad!$D$34,cad!$E$34)))</f>
      </c>
      <c r="L1290">
        <f>IF($A1290="","",IF($D1290="V01",cad!$C$35,IF($D1290="V02",cad!$D$35,cad!$E$35)))</f>
      </c>
      <c r="M1290">
        <f>IF($A1290="","",IF($D1290="V01",cad!$C$36,IF($D1290="V02",cad!$D$36,cad!$E$36)))</f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>
        <f>IF($A1291="","",IF($D1291="V01",cad!$C$23,IF($D1291="V02",cad!$D$23,cad!$E$23)))</f>
      </c>
      <c r="H1291">
        <f>IF($A1291="","",IF($D1291="V01",cad!$C$24,IF($D1291="V02",cad!$D$24,cad!$E$24)))</f>
      </c>
      <c r="I1291">
        <f>IF($A1291="","",IF($D1291="V01",cad!$C$32,IF($D1291="V02",cad!$D$32,cad!$E$32)))</f>
      </c>
      <c r="J1291">
        <f>IF($A1291="","",IF($D1291="V01",cad!$C$33,IF($D1291="V02",cad!$D$33,cad!$E$33)))</f>
      </c>
      <c r="K1291">
        <f>IF($A1291="","",IF($D1291="V01",cad!$C$34,IF($D1291="V02",cad!$D$34,cad!$E$34)))</f>
      </c>
      <c r="L1291">
        <f>IF($A1291="","",IF($D1291="V01",cad!$C$35,IF($D1291="V02",cad!$D$35,cad!$E$35)))</f>
      </c>
      <c r="M1291">
        <f>IF($A1291="","",IF($D1291="V01",cad!$C$36,IF($D1291="V02",cad!$D$36,cad!$E$36)))</f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>
        <f>IF($A1292="","",IF($D1292="V01",cad!$C$23,IF($D1292="V02",cad!$D$23,cad!$E$23)))</f>
      </c>
      <c r="H1292">
        <f>IF($A1292="","",IF($D1292="V01",cad!$C$24,IF($D1292="V02",cad!$D$24,cad!$E$24)))</f>
      </c>
      <c r="I1292">
        <f>IF($A1292="","",IF($D1292="V01",cad!$C$32,IF($D1292="V02",cad!$D$32,cad!$E$32)))</f>
      </c>
      <c r="J1292">
        <f>IF($A1292="","",IF($D1292="V01",cad!$C$33,IF($D1292="V02",cad!$D$33,cad!$E$33)))</f>
      </c>
      <c r="K1292">
        <f>IF($A1292="","",IF($D1292="V01",cad!$C$34,IF($D1292="V02",cad!$D$34,cad!$E$34)))</f>
      </c>
      <c r="L1292">
        <f>IF($A1292="","",IF($D1292="V01",cad!$C$35,IF($D1292="V02",cad!$D$35,cad!$E$35)))</f>
      </c>
      <c r="M1292">
        <f>IF($A1292="","",IF($D1292="V01",cad!$C$36,IF($D1292="V02",cad!$D$36,cad!$E$36)))</f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>
        <f>IF($A1293="","",IF($D1293="V01",cad!$C$23,IF($D1293="V02",cad!$D$23,cad!$E$23)))</f>
      </c>
      <c r="H1293">
        <f>IF($A1293="","",IF($D1293="V01",cad!$C$24,IF($D1293="V02",cad!$D$24,cad!$E$24)))</f>
      </c>
      <c r="I1293">
        <f>IF($A1293="","",IF($D1293="V01",cad!$C$32,IF($D1293="V02",cad!$D$32,cad!$E$32)))</f>
      </c>
      <c r="J1293">
        <f>IF($A1293="","",IF($D1293="V01",cad!$C$33,IF($D1293="V02",cad!$D$33,cad!$E$33)))</f>
      </c>
      <c r="K1293">
        <f>IF($A1293="","",IF($D1293="V01",cad!$C$34,IF($D1293="V02",cad!$D$34,cad!$E$34)))</f>
      </c>
      <c r="L1293">
        <f>IF($A1293="","",IF($D1293="V01",cad!$C$35,IF($D1293="V02",cad!$D$35,cad!$E$35)))</f>
      </c>
      <c r="M1293">
        <f>IF($A1293="","",IF($D1293="V01",cad!$C$36,IF($D1293="V02",cad!$D$36,cad!$E$36)))</f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>
        <f>IF($A1294="","",IF($D1294="V01",cad!$C$23,IF($D1294="V02",cad!$D$23,cad!$E$23)))</f>
      </c>
      <c r="H1294">
        <f>IF($A1294="","",IF($D1294="V01",cad!$C$24,IF($D1294="V02",cad!$D$24,cad!$E$24)))</f>
      </c>
      <c r="I1294">
        <f>IF($A1294="","",IF($D1294="V01",cad!$C$32,IF($D1294="V02",cad!$D$32,cad!$E$32)))</f>
      </c>
      <c r="J1294">
        <f>IF($A1294="","",IF($D1294="V01",cad!$C$33,IF($D1294="V02",cad!$D$33,cad!$E$33)))</f>
      </c>
      <c r="K1294">
        <f>IF($A1294="","",IF($D1294="V01",cad!$C$34,IF($D1294="V02",cad!$D$34,cad!$E$34)))</f>
      </c>
      <c r="L1294">
        <f>IF($A1294="","",IF($D1294="V01",cad!$C$35,IF($D1294="V02",cad!$D$35,cad!$E$35)))</f>
      </c>
      <c r="M1294">
        <f>IF($A1294="","",IF($D1294="V01",cad!$C$36,IF($D1294="V02",cad!$D$36,cad!$E$36)))</f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>
        <f>IF($A1295="","",IF($D1295="V01",cad!$C$23,IF($D1295="V02",cad!$D$23,cad!$E$23)))</f>
      </c>
      <c r="H1295">
        <f>IF($A1295="","",IF($D1295="V01",cad!$C$24,IF($D1295="V02",cad!$D$24,cad!$E$24)))</f>
      </c>
      <c r="I1295">
        <f>IF($A1295="","",IF($D1295="V01",cad!$C$32,IF($D1295="V02",cad!$D$32,cad!$E$32)))</f>
      </c>
      <c r="J1295">
        <f>IF($A1295="","",IF($D1295="V01",cad!$C$33,IF($D1295="V02",cad!$D$33,cad!$E$33)))</f>
      </c>
      <c r="K1295">
        <f>IF($A1295="","",IF($D1295="V01",cad!$C$34,IF($D1295="V02",cad!$D$34,cad!$E$34)))</f>
      </c>
      <c r="L1295">
        <f>IF($A1295="","",IF($D1295="V01",cad!$C$35,IF($D1295="V02",cad!$D$35,cad!$E$35)))</f>
      </c>
      <c r="M1295">
        <f>IF($A1295="","",IF($D1295="V01",cad!$C$36,IF($D1295="V02",cad!$D$36,cad!$E$36)))</f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>
        <f>IF($A1296="","",IF($D1296="V01",cad!$C$23,IF($D1296="V02",cad!$D$23,cad!$E$23)))</f>
      </c>
      <c r="H1296">
        <f>IF($A1296="","",IF($D1296="V01",cad!$C$24,IF($D1296="V02",cad!$D$24,cad!$E$24)))</f>
      </c>
      <c r="I1296">
        <f>IF($A1296="","",IF($D1296="V01",cad!$C$32,IF($D1296="V02",cad!$D$32,cad!$E$32)))</f>
      </c>
      <c r="J1296">
        <f>IF($A1296="","",IF($D1296="V01",cad!$C$33,IF($D1296="V02",cad!$D$33,cad!$E$33)))</f>
      </c>
      <c r="K1296">
        <f>IF($A1296="","",IF($D1296="V01",cad!$C$34,IF($D1296="V02",cad!$D$34,cad!$E$34)))</f>
      </c>
      <c r="L1296">
        <f>IF($A1296="","",IF($D1296="V01",cad!$C$35,IF($D1296="V02",cad!$D$35,cad!$E$35)))</f>
      </c>
      <c r="M1296">
        <f>IF($A1296="","",IF($D1296="V01",cad!$C$36,IF($D1296="V02",cad!$D$36,cad!$E$36)))</f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>
        <f>IF($A1297="","",IF($D1297="V01",cad!$C$23,IF($D1297="V02",cad!$D$23,cad!$E$23)))</f>
      </c>
      <c r="H1297">
        <f>IF($A1297="","",IF($D1297="V01",cad!$C$24,IF($D1297="V02",cad!$D$24,cad!$E$24)))</f>
      </c>
      <c r="I1297">
        <f>IF($A1297="","",IF($D1297="V01",cad!$C$32,IF($D1297="V02",cad!$D$32,cad!$E$32)))</f>
      </c>
      <c r="J1297">
        <f>IF($A1297="","",IF($D1297="V01",cad!$C$33,IF($D1297="V02",cad!$D$33,cad!$E$33)))</f>
      </c>
      <c r="K1297">
        <f>IF($A1297="","",IF($D1297="V01",cad!$C$34,IF($D1297="V02",cad!$D$34,cad!$E$34)))</f>
      </c>
      <c r="L1297">
        <f>IF($A1297="","",IF($D1297="V01",cad!$C$35,IF($D1297="V02",cad!$D$35,cad!$E$35)))</f>
      </c>
      <c r="M1297">
        <f>IF($A1297="","",IF($D1297="V01",cad!$C$36,IF($D1297="V02",cad!$D$36,cad!$E$36)))</f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>
        <f>IF($A1298="","",IF($D1298="V01",cad!$C$23,IF($D1298="V02",cad!$D$23,cad!$E$23)))</f>
      </c>
      <c r="H1298">
        <f>IF($A1298="","",IF($D1298="V01",cad!$C$24,IF($D1298="V02",cad!$D$24,cad!$E$24)))</f>
      </c>
      <c r="I1298">
        <f>IF($A1298="","",IF($D1298="V01",cad!$C$32,IF($D1298="V02",cad!$D$32,cad!$E$32)))</f>
      </c>
      <c r="J1298">
        <f>IF($A1298="","",IF($D1298="V01",cad!$C$33,IF($D1298="V02",cad!$D$33,cad!$E$33)))</f>
      </c>
      <c r="K1298">
        <f>IF($A1298="","",IF($D1298="V01",cad!$C$34,IF($D1298="V02",cad!$D$34,cad!$E$34)))</f>
      </c>
      <c r="L1298">
        <f>IF($A1298="","",IF($D1298="V01",cad!$C$35,IF($D1298="V02",cad!$D$35,cad!$E$35)))</f>
      </c>
      <c r="M1298">
        <f>IF($A1298="","",IF($D1298="V01",cad!$C$36,IF($D1298="V02",cad!$D$36,cad!$E$36)))</f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>
        <f>IF($A1299="","",IF($D1299="V01",cad!$C$23,IF($D1299="V02",cad!$D$23,cad!$E$23)))</f>
      </c>
      <c r="H1299">
        <f>IF($A1299="","",IF($D1299="V01",cad!$C$24,IF($D1299="V02",cad!$D$24,cad!$E$24)))</f>
      </c>
      <c r="I1299">
        <f>IF($A1299="","",IF($D1299="V01",cad!$C$32,IF($D1299="V02",cad!$D$32,cad!$E$32)))</f>
      </c>
      <c r="J1299">
        <f>IF($A1299="","",IF($D1299="V01",cad!$C$33,IF($D1299="V02",cad!$D$33,cad!$E$33)))</f>
      </c>
      <c r="K1299">
        <f>IF($A1299="","",IF($D1299="V01",cad!$C$34,IF($D1299="V02",cad!$D$34,cad!$E$34)))</f>
      </c>
      <c r="L1299">
        <f>IF($A1299="","",IF($D1299="V01",cad!$C$35,IF($D1299="V02",cad!$D$35,cad!$E$35)))</f>
      </c>
      <c r="M1299">
        <f>IF($A1299="","",IF($D1299="V01",cad!$C$36,IF($D1299="V02",cad!$D$36,cad!$E$36)))</f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>
        <f>IF($A1300="","",IF($D1300="V01",cad!$C$23,IF($D1300="V02",cad!$D$23,cad!$E$23)))</f>
      </c>
      <c r="H1300">
        <f>IF($A1300="","",IF($D1300="V01",cad!$C$24,IF($D1300="V02",cad!$D$24,cad!$E$24)))</f>
      </c>
      <c r="I1300">
        <f>IF($A1300="","",IF($D1300="V01",cad!$C$32,IF($D1300="V02",cad!$D$32,cad!$E$32)))</f>
      </c>
      <c r="J1300">
        <f>IF($A1300="","",IF($D1300="V01",cad!$C$33,IF($D1300="V02",cad!$D$33,cad!$E$33)))</f>
      </c>
      <c r="K1300">
        <f>IF($A1300="","",IF($D1300="V01",cad!$C$34,IF($D1300="V02",cad!$D$34,cad!$E$34)))</f>
      </c>
      <c r="L1300">
        <f>IF($A1300="","",IF($D1300="V01",cad!$C$35,IF($D1300="V02",cad!$D$35,cad!$E$35)))</f>
      </c>
      <c r="M1300">
        <f>IF($A1300="","",IF($D1300="V01",cad!$C$36,IF($D1300="V02",cad!$D$36,cad!$E$36)))</f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>
        <f>IF($A1301="","",IF($D1301="V01",cad!$C$23,IF($D1301="V02",cad!$D$23,cad!$E$23)))</f>
      </c>
      <c r="H1301">
        <f>IF($A1301="","",IF($D1301="V01",cad!$C$24,IF($D1301="V02",cad!$D$24,cad!$E$24)))</f>
      </c>
      <c r="I1301">
        <f>IF($A1301="","",IF($D1301="V01",cad!$C$32,IF($D1301="V02",cad!$D$32,cad!$E$32)))</f>
      </c>
      <c r="J1301">
        <f>IF($A1301="","",IF($D1301="V01",cad!$C$33,IF($D1301="V02",cad!$D$33,cad!$E$33)))</f>
      </c>
      <c r="K1301">
        <f>IF($A1301="","",IF($D1301="V01",cad!$C$34,IF($D1301="V02",cad!$D$34,cad!$E$34)))</f>
      </c>
      <c r="L1301">
        <f>IF($A1301="","",IF($D1301="V01",cad!$C$35,IF($D1301="V02",cad!$D$35,cad!$E$35)))</f>
      </c>
      <c r="M1301">
        <f>IF($A1301="","",IF($D1301="V01",cad!$C$36,IF($D1301="V02",cad!$D$36,cad!$E$36)))</f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>
        <f>IF($A1302="","",IF($D1302="V01",cad!$C$23,IF($D1302="V02",cad!$D$23,cad!$E$23)))</f>
      </c>
      <c r="H1302">
        <f>IF($A1302="","",IF($D1302="V01",cad!$C$24,IF($D1302="V02",cad!$D$24,cad!$E$24)))</f>
      </c>
      <c r="I1302">
        <f>IF($A1302="","",IF($D1302="V01",cad!$C$32,IF($D1302="V02",cad!$D$32,cad!$E$32)))</f>
      </c>
      <c r="J1302">
        <f>IF($A1302="","",IF($D1302="V01",cad!$C$33,IF($D1302="V02",cad!$D$33,cad!$E$33)))</f>
      </c>
      <c r="K1302">
        <f>IF($A1302="","",IF($D1302="V01",cad!$C$34,IF($D1302="V02",cad!$D$34,cad!$E$34)))</f>
      </c>
      <c r="L1302">
        <f>IF($A1302="","",IF($D1302="V01",cad!$C$35,IF($D1302="V02",cad!$D$35,cad!$E$35)))</f>
      </c>
      <c r="M1302">
        <f>IF($A1302="","",IF($D1302="V01",cad!$C$36,IF($D1302="V02",cad!$D$36,cad!$E$36)))</f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>
        <f>IF($A1303="","",IF($D1303="V01",cad!$C$23,IF($D1303="V02",cad!$D$23,cad!$E$23)))</f>
      </c>
      <c r="H1303">
        <f>IF($A1303="","",IF($D1303="V01",cad!$C$24,IF($D1303="V02",cad!$D$24,cad!$E$24)))</f>
      </c>
      <c r="I1303">
        <f>IF($A1303="","",IF($D1303="V01",cad!$C$32,IF($D1303="V02",cad!$D$32,cad!$E$32)))</f>
      </c>
      <c r="J1303">
        <f>IF($A1303="","",IF($D1303="V01",cad!$C$33,IF($D1303="V02",cad!$D$33,cad!$E$33)))</f>
      </c>
      <c r="K1303">
        <f>IF($A1303="","",IF($D1303="V01",cad!$C$34,IF($D1303="V02",cad!$D$34,cad!$E$34)))</f>
      </c>
      <c r="L1303">
        <f>IF($A1303="","",IF($D1303="V01",cad!$C$35,IF($D1303="V02",cad!$D$35,cad!$E$35)))</f>
      </c>
      <c r="M1303">
        <f>IF($A1303="","",IF($D1303="V01",cad!$C$36,IF($D1303="V02",cad!$D$36,cad!$E$36)))</f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>
        <f>IF($A1304="","",IF($D1304="V01",cad!$C$23,IF($D1304="V02",cad!$D$23,cad!$E$23)))</f>
      </c>
      <c r="H1304">
        <f>IF($A1304="","",IF($D1304="V01",cad!$C$24,IF($D1304="V02",cad!$D$24,cad!$E$24)))</f>
      </c>
      <c r="I1304">
        <f>IF($A1304="","",IF($D1304="V01",cad!$C$32,IF($D1304="V02",cad!$D$32,cad!$E$32)))</f>
      </c>
      <c r="J1304">
        <f>IF($A1304="","",IF($D1304="V01",cad!$C$33,IF($D1304="V02",cad!$D$33,cad!$E$33)))</f>
      </c>
      <c r="K1304">
        <f>IF($A1304="","",IF($D1304="V01",cad!$C$34,IF($D1304="V02",cad!$D$34,cad!$E$34)))</f>
      </c>
      <c r="L1304">
        <f>IF($A1304="","",IF($D1304="V01",cad!$C$35,IF($D1304="V02",cad!$D$35,cad!$E$35)))</f>
      </c>
      <c r="M1304">
        <f>IF($A1304="","",IF($D1304="V01",cad!$C$36,IF($D1304="V02",cad!$D$36,cad!$E$36)))</f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>
        <f>IF($A1305="","",IF($D1305="V01",cad!$C$23,IF($D1305="V02",cad!$D$23,cad!$E$23)))</f>
      </c>
      <c r="H1305">
        <f>IF($A1305="","",IF($D1305="V01",cad!$C$24,IF($D1305="V02",cad!$D$24,cad!$E$24)))</f>
      </c>
      <c r="I1305">
        <f>IF($A1305="","",IF($D1305="V01",cad!$C$32,IF($D1305="V02",cad!$D$32,cad!$E$32)))</f>
      </c>
      <c r="J1305">
        <f>IF($A1305="","",IF($D1305="V01",cad!$C$33,IF($D1305="V02",cad!$D$33,cad!$E$33)))</f>
      </c>
      <c r="K1305">
        <f>IF($A1305="","",IF($D1305="V01",cad!$C$34,IF($D1305="V02",cad!$D$34,cad!$E$34)))</f>
      </c>
      <c r="L1305">
        <f>IF($A1305="","",IF($D1305="V01",cad!$C$35,IF($D1305="V02",cad!$D$35,cad!$E$35)))</f>
      </c>
      <c r="M1305">
        <f>IF($A1305="","",IF($D1305="V01",cad!$C$36,IF($D1305="V02",cad!$D$36,cad!$E$36)))</f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>
        <f>IF($A1306="","",IF($D1306="V01",cad!$C$23,IF($D1306="V02",cad!$D$23,cad!$E$23)))</f>
      </c>
      <c r="H1306">
        <f>IF($A1306="","",IF($D1306="V01",cad!$C$24,IF($D1306="V02",cad!$D$24,cad!$E$24)))</f>
      </c>
      <c r="I1306">
        <f>IF($A1306="","",IF($D1306="V01",cad!$C$32,IF($D1306="V02",cad!$D$32,cad!$E$32)))</f>
      </c>
      <c r="J1306">
        <f>IF($A1306="","",IF($D1306="V01",cad!$C$33,IF($D1306="V02",cad!$D$33,cad!$E$33)))</f>
      </c>
      <c r="K1306">
        <f>IF($A1306="","",IF($D1306="V01",cad!$C$34,IF($D1306="V02",cad!$D$34,cad!$E$34)))</f>
      </c>
      <c r="L1306">
        <f>IF($A1306="","",IF($D1306="V01",cad!$C$35,IF($D1306="V02",cad!$D$35,cad!$E$35)))</f>
      </c>
      <c r="M1306">
        <f>IF($A1306="","",IF($D1306="V01",cad!$C$36,IF($D1306="V02",cad!$D$36,cad!$E$36)))</f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>
        <f>IF($A1307="","",IF($D1307="V01",cad!$C$23,IF($D1307="V02",cad!$D$23,cad!$E$23)))</f>
      </c>
      <c r="H1307">
        <f>IF($A1307="","",IF($D1307="V01",cad!$C$24,IF($D1307="V02",cad!$D$24,cad!$E$24)))</f>
      </c>
      <c r="I1307">
        <f>IF($A1307="","",IF($D1307="V01",cad!$C$32,IF($D1307="V02",cad!$D$32,cad!$E$32)))</f>
      </c>
      <c r="J1307">
        <f>IF($A1307="","",IF($D1307="V01",cad!$C$33,IF($D1307="V02",cad!$D$33,cad!$E$33)))</f>
      </c>
      <c r="K1307">
        <f>IF($A1307="","",IF($D1307="V01",cad!$C$34,IF($D1307="V02",cad!$D$34,cad!$E$34)))</f>
      </c>
      <c r="L1307">
        <f>IF($A1307="","",IF($D1307="V01",cad!$C$35,IF($D1307="V02",cad!$D$35,cad!$E$35)))</f>
      </c>
      <c r="M1307">
        <f>IF($A1307="","",IF($D1307="V01",cad!$C$36,IF($D1307="V02",cad!$D$36,cad!$E$36)))</f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>
        <f>IF($A1308="","",IF($D1308="V01",cad!$C$23,IF($D1308="V02",cad!$D$23,cad!$E$23)))</f>
      </c>
      <c r="H1308">
        <f>IF($A1308="","",IF($D1308="V01",cad!$C$24,IF($D1308="V02",cad!$D$24,cad!$E$24)))</f>
      </c>
      <c r="I1308">
        <f>IF($A1308="","",IF($D1308="V01",cad!$C$32,IF($D1308="V02",cad!$D$32,cad!$E$32)))</f>
      </c>
      <c r="J1308">
        <f>IF($A1308="","",IF($D1308="V01",cad!$C$33,IF($D1308="V02",cad!$D$33,cad!$E$33)))</f>
      </c>
      <c r="K1308">
        <f>IF($A1308="","",IF($D1308="V01",cad!$C$34,IF($D1308="V02",cad!$D$34,cad!$E$34)))</f>
      </c>
      <c r="L1308">
        <f>IF($A1308="","",IF($D1308="V01",cad!$C$35,IF($D1308="V02",cad!$D$35,cad!$E$35)))</f>
      </c>
      <c r="M1308">
        <f>IF($A1308="","",IF($D1308="V01",cad!$C$36,IF($D1308="V02",cad!$D$36,cad!$E$36)))</f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>
        <f>IF($A1309="","",IF($D1309="V01",cad!$C$23,IF($D1309="V02",cad!$D$23,cad!$E$23)))</f>
      </c>
      <c r="H1309">
        <f>IF($A1309="","",IF($D1309="V01",cad!$C$24,IF($D1309="V02",cad!$D$24,cad!$E$24)))</f>
      </c>
      <c r="I1309">
        <f>IF($A1309="","",IF($D1309="V01",cad!$C$32,IF($D1309="V02",cad!$D$32,cad!$E$32)))</f>
      </c>
      <c r="J1309">
        <f>IF($A1309="","",IF($D1309="V01",cad!$C$33,IF($D1309="V02",cad!$D$33,cad!$E$33)))</f>
      </c>
      <c r="K1309">
        <f>IF($A1309="","",IF($D1309="V01",cad!$C$34,IF($D1309="V02",cad!$D$34,cad!$E$34)))</f>
      </c>
      <c r="L1309">
        <f>IF($A1309="","",IF($D1309="V01",cad!$C$35,IF($D1309="V02",cad!$D$35,cad!$E$35)))</f>
      </c>
      <c r="M1309">
        <f>IF($A1309="","",IF($D1309="V01",cad!$C$36,IF($D1309="V02",cad!$D$36,cad!$E$36)))</f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>
        <f>IF($A1310="","",IF($D1310="V01",cad!$C$23,IF($D1310="V02",cad!$D$23,cad!$E$23)))</f>
      </c>
      <c r="H1310">
        <f>IF($A1310="","",IF($D1310="V01",cad!$C$24,IF($D1310="V02",cad!$D$24,cad!$E$24)))</f>
      </c>
      <c r="I1310">
        <f>IF($A1310="","",IF($D1310="V01",cad!$C$32,IF($D1310="V02",cad!$D$32,cad!$E$32)))</f>
      </c>
      <c r="J1310">
        <f>IF($A1310="","",IF($D1310="V01",cad!$C$33,IF($D1310="V02",cad!$D$33,cad!$E$33)))</f>
      </c>
      <c r="K1310">
        <f>IF($A1310="","",IF($D1310="V01",cad!$C$34,IF($D1310="V02",cad!$D$34,cad!$E$34)))</f>
      </c>
      <c r="L1310">
        <f>IF($A1310="","",IF($D1310="V01",cad!$C$35,IF($D1310="V02",cad!$D$35,cad!$E$35)))</f>
      </c>
      <c r="M1310">
        <f>IF($A1310="","",IF($D1310="V01",cad!$C$36,IF($D1310="V02",cad!$D$36,cad!$E$36)))</f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>
        <f>IF($A1311="","",IF($D1311="V01",cad!$C$23,IF($D1311="V02",cad!$D$23,cad!$E$23)))</f>
      </c>
      <c r="H1311">
        <f>IF($A1311="","",IF($D1311="V01",cad!$C$24,IF($D1311="V02",cad!$D$24,cad!$E$24)))</f>
      </c>
      <c r="I1311">
        <f>IF($A1311="","",IF($D1311="V01",cad!$C$32,IF($D1311="V02",cad!$D$32,cad!$E$32)))</f>
      </c>
      <c r="J1311">
        <f>IF($A1311="","",IF($D1311="V01",cad!$C$33,IF($D1311="V02",cad!$D$33,cad!$E$33)))</f>
      </c>
      <c r="K1311">
        <f>IF($A1311="","",IF($D1311="V01",cad!$C$34,IF($D1311="V02",cad!$D$34,cad!$E$34)))</f>
      </c>
      <c r="L1311">
        <f>IF($A1311="","",IF($D1311="V01",cad!$C$35,IF($D1311="V02",cad!$D$35,cad!$E$35)))</f>
      </c>
      <c r="M1311">
        <f>IF($A1311="","",IF($D1311="V01",cad!$C$36,IF($D1311="V02",cad!$D$36,cad!$E$36)))</f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>
        <f>IF($A1312="","",IF($D1312="V01",cad!$C$23,IF($D1312="V02",cad!$D$23,cad!$E$23)))</f>
      </c>
      <c r="H1312">
        <f>IF($A1312="","",IF($D1312="V01",cad!$C$24,IF($D1312="V02",cad!$D$24,cad!$E$24)))</f>
      </c>
      <c r="I1312">
        <f>IF($A1312="","",IF($D1312="V01",cad!$C$32,IF($D1312="V02",cad!$D$32,cad!$E$32)))</f>
      </c>
      <c r="J1312">
        <f>IF($A1312="","",IF($D1312="V01",cad!$C$33,IF($D1312="V02",cad!$D$33,cad!$E$33)))</f>
      </c>
      <c r="K1312">
        <f>IF($A1312="","",IF($D1312="V01",cad!$C$34,IF($D1312="V02",cad!$D$34,cad!$E$34)))</f>
      </c>
      <c r="L1312">
        <f>IF($A1312="","",IF($D1312="V01",cad!$C$35,IF($D1312="V02",cad!$D$35,cad!$E$35)))</f>
      </c>
      <c r="M1312">
        <f>IF($A1312="","",IF($D1312="V01",cad!$C$36,IF($D1312="V02",cad!$D$36,cad!$E$36)))</f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>
        <f>IF($A1313="","",IF($D1313="V01",cad!$C$23,IF($D1313="V02",cad!$D$23,cad!$E$23)))</f>
      </c>
      <c r="H1313">
        <f>IF($A1313="","",IF($D1313="V01",cad!$C$24,IF($D1313="V02",cad!$D$24,cad!$E$24)))</f>
      </c>
      <c r="I1313">
        <f>IF($A1313="","",IF($D1313="V01",cad!$C$32,IF($D1313="V02",cad!$D$32,cad!$E$32)))</f>
      </c>
      <c r="J1313">
        <f>IF($A1313="","",IF($D1313="V01",cad!$C$33,IF($D1313="V02",cad!$D$33,cad!$E$33)))</f>
      </c>
      <c r="K1313">
        <f>IF($A1313="","",IF($D1313="V01",cad!$C$34,IF($D1313="V02",cad!$D$34,cad!$E$34)))</f>
      </c>
      <c r="L1313">
        <f>IF($A1313="","",IF($D1313="V01",cad!$C$35,IF($D1313="V02",cad!$D$35,cad!$E$35)))</f>
      </c>
      <c r="M1313">
        <f>IF($A1313="","",IF($D1313="V01",cad!$C$36,IF($D1313="V02",cad!$D$36,cad!$E$36)))</f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>
        <f>IF($A1314="","",IF($D1314="V01",cad!$C$23,IF($D1314="V02",cad!$D$23,cad!$E$23)))</f>
      </c>
      <c r="H1314">
        <f>IF($A1314="","",IF($D1314="V01",cad!$C$24,IF($D1314="V02",cad!$D$24,cad!$E$24)))</f>
      </c>
      <c r="I1314">
        <f>IF($A1314="","",IF($D1314="V01",cad!$C$32,IF($D1314="V02",cad!$D$32,cad!$E$32)))</f>
      </c>
      <c r="J1314">
        <f>IF($A1314="","",IF($D1314="V01",cad!$C$33,IF($D1314="V02",cad!$D$33,cad!$E$33)))</f>
      </c>
      <c r="K1314">
        <f>IF($A1314="","",IF($D1314="V01",cad!$C$34,IF($D1314="V02",cad!$D$34,cad!$E$34)))</f>
      </c>
      <c r="L1314">
        <f>IF($A1314="","",IF($D1314="V01",cad!$C$35,IF($D1314="V02",cad!$D$35,cad!$E$35)))</f>
      </c>
      <c r="M1314">
        <f>IF($A1314="","",IF($D1314="V01",cad!$C$36,IF($D1314="V02",cad!$D$36,cad!$E$36)))</f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>
        <f>IF($A1315="","",IF($D1315="V01",cad!$C$23,IF($D1315="V02",cad!$D$23,cad!$E$23)))</f>
      </c>
      <c r="H1315">
        <f>IF($A1315="","",IF($D1315="V01",cad!$C$24,IF($D1315="V02",cad!$D$24,cad!$E$24)))</f>
      </c>
      <c r="I1315">
        <f>IF($A1315="","",IF($D1315="V01",cad!$C$32,IF($D1315="V02",cad!$D$32,cad!$E$32)))</f>
      </c>
      <c r="J1315">
        <f>IF($A1315="","",IF($D1315="V01",cad!$C$33,IF($D1315="V02",cad!$D$33,cad!$E$33)))</f>
      </c>
      <c r="K1315">
        <f>IF($A1315="","",IF($D1315="V01",cad!$C$34,IF($D1315="V02",cad!$D$34,cad!$E$34)))</f>
      </c>
      <c r="L1315">
        <f>IF($A1315="","",IF($D1315="V01",cad!$C$35,IF($D1315="V02",cad!$D$35,cad!$E$35)))</f>
      </c>
      <c r="M1315">
        <f>IF($A1315="","",IF($D1315="V01",cad!$C$36,IF($D1315="V02",cad!$D$36,cad!$E$36)))</f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>
        <f>IF($A1316="","",IF($D1316="V01",cad!$C$23,IF($D1316="V02",cad!$D$23,cad!$E$23)))</f>
      </c>
      <c r="H1316">
        <f>IF($A1316="","",IF($D1316="V01",cad!$C$24,IF($D1316="V02",cad!$D$24,cad!$E$24)))</f>
      </c>
      <c r="I1316">
        <f>IF($A1316="","",IF($D1316="V01",cad!$C$32,IF($D1316="V02",cad!$D$32,cad!$E$32)))</f>
      </c>
      <c r="J1316">
        <f>IF($A1316="","",IF($D1316="V01",cad!$C$33,IF($D1316="V02",cad!$D$33,cad!$E$33)))</f>
      </c>
      <c r="K1316">
        <f>IF($A1316="","",IF($D1316="V01",cad!$C$34,IF($D1316="V02",cad!$D$34,cad!$E$34)))</f>
      </c>
      <c r="L1316">
        <f>IF($A1316="","",IF($D1316="V01",cad!$C$35,IF($D1316="V02",cad!$D$35,cad!$E$35)))</f>
      </c>
      <c r="M1316">
        <f>IF($A1316="","",IF($D1316="V01",cad!$C$36,IF($D1316="V02",cad!$D$36,cad!$E$36)))</f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>
        <f>IF($A1317="","",IF($D1317="V01",cad!$C$23,IF($D1317="V02",cad!$D$23,cad!$E$23)))</f>
      </c>
      <c r="H1317">
        <f>IF($A1317="","",IF($D1317="V01",cad!$C$24,IF($D1317="V02",cad!$D$24,cad!$E$24)))</f>
      </c>
      <c r="I1317">
        <f>IF($A1317="","",IF($D1317="V01",cad!$C$32,IF($D1317="V02",cad!$D$32,cad!$E$32)))</f>
      </c>
      <c r="J1317">
        <f>IF($A1317="","",IF($D1317="V01",cad!$C$33,IF($D1317="V02",cad!$D$33,cad!$E$33)))</f>
      </c>
      <c r="K1317">
        <f>IF($A1317="","",IF($D1317="V01",cad!$C$34,IF($D1317="V02",cad!$D$34,cad!$E$34)))</f>
      </c>
      <c r="L1317">
        <f>IF($A1317="","",IF($D1317="V01",cad!$C$35,IF($D1317="V02",cad!$D$35,cad!$E$35)))</f>
      </c>
      <c r="M1317">
        <f>IF($A1317="","",IF($D1317="V01",cad!$C$36,IF($D1317="V02",cad!$D$36,cad!$E$36)))</f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>
        <f>IF($A1318="","",IF($D1318="V01",cad!$C$23,IF($D1318="V02",cad!$D$23,cad!$E$23)))</f>
      </c>
      <c r="H1318">
        <f>IF($A1318="","",IF($D1318="V01",cad!$C$24,IF($D1318="V02",cad!$D$24,cad!$E$24)))</f>
      </c>
      <c r="I1318">
        <f>IF($A1318="","",IF($D1318="V01",cad!$C$32,IF($D1318="V02",cad!$D$32,cad!$E$32)))</f>
      </c>
      <c r="J1318">
        <f>IF($A1318="","",IF($D1318="V01",cad!$C$33,IF($D1318="V02",cad!$D$33,cad!$E$33)))</f>
      </c>
      <c r="K1318">
        <f>IF($A1318="","",IF($D1318="V01",cad!$C$34,IF($D1318="V02",cad!$D$34,cad!$E$34)))</f>
      </c>
      <c r="L1318">
        <f>IF($A1318="","",IF($D1318="V01",cad!$C$35,IF($D1318="V02",cad!$D$35,cad!$E$35)))</f>
      </c>
      <c r="M1318">
        <f>IF($A1318="","",IF($D1318="V01",cad!$C$36,IF($D1318="V02",cad!$D$36,cad!$E$36)))</f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>
        <f>IF($A1319="","",IF($D1319="V01",cad!$C$23,IF($D1319="V02",cad!$D$23,cad!$E$23)))</f>
      </c>
      <c r="H1319">
        <f>IF($A1319="","",IF($D1319="V01",cad!$C$24,IF($D1319="V02",cad!$D$24,cad!$E$24)))</f>
      </c>
      <c r="I1319">
        <f>IF($A1319="","",IF($D1319="V01",cad!$C$32,IF($D1319="V02",cad!$D$32,cad!$E$32)))</f>
      </c>
      <c r="J1319">
        <f>IF($A1319="","",IF($D1319="V01",cad!$C$33,IF($D1319="V02",cad!$D$33,cad!$E$33)))</f>
      </c>
      <c r="K1319">
        <f>IF($A1319="","",IF($D1319="V01",cad!$C$34,IF($D1319="V02",cad!$D$34,cad!$E$34)))</f>
      </c>
      <c r="L1319">
        <f>IF($A1319="","",IF($D1319="V01",cad!$C$35,IF($D1319="V02",cad!$D$35,cad!$E$35)))</f>
      </c>
      <c r="M1319">
        <f>IF($A1319="","",IF($D1319="V01",cad!$C$36,IF($D1319="V02",cad!$D$36,cad!$E$36)))</f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>
        <f>IF($A1320="","",IF($D1320="V01",cad!$C$23,IF($D1320="V02",cad!$D$23,cad!$E$23)))</f>
      </c>
      <c r="H1320">
        <f>IF($A1320="","",IF($D1320="V01",cad!$C$24,IF($D1320="V02",cad!$D$24,cad!$E$24)))</f>
      </c>
      <c r="I1320">
        <f>IF($A1320="","",IF($D1320="V01",cad!$C$32,IF($D1320="V02",cad!$D$32,cad!$E$32)))</f>
      </c>
      <c r="J1320">
        <f>IF($A1320="","",IF($D1320="V01",cad!$C$33,IF($D1320="V02",cad!$D$33,cad!$E$33)))</f>
      </c>
      <c r="K1320">
        <f>IF($A1320="","",IF($D1320="V01",cad!$C$34,IF($D1320="V02",cad!$D$34,cad!$E$34)))</f>
      </c>
      <c r="L1320">
        <f>IF($A1320="","",IF($D1320="V01",cad!$C$35,IF($D1320="V02",cad!$D$35,cad!$E$35)))</f>
      </c>
      <c r="M1320">
        <f>IF($A1320="","",IF($D1320="V01",cad!$C$36,IF($D1320="V02",cad!$D$36,cad!$E$36)))</f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>
        <f>IF($A1321="","",IF($D1321="V01",cad!$C$23,IF($D1321="V02",cad!$D$23,cad!$E$23)))</f>
      </c>
      <c r="H1321">
        <f>IF($A1321="","",IF($D1321="V01",cad!$C$24,IF($D1321="V02",cad!$D$24,cad!$E$24)))</f>
      </c>
      <c r="I1321">
        <f>IF($A1321="","",IF($D1321="V01",cad!$C$32,IF($D1321="V02",cad!$D$32,cad!$E$32)))</f>
      </c>
      <c r="J1321">
        <f>IF($A1321="","",IF($D1321="V01",cad!$C$33,IF($D1321="V02",cad!$D$33,cad!$E$33)))</f>
      </c>
      <c r="K1321">
        <f>IF($A1321="","",IF($D1321="V01",cad!$C$34,IF($D1321="V02",cad!$D$34,cad!$E$34)))</f>
      </c>
      <c r="L1321">
        <f>IF($A1321="","",IF($D1321="V01",cad!$C$35,IF($D1321="V02",cad!$D$35,cad!$E$35)))</f>
      </c>
      <c r="M1321">
        <f>IF($A1321="","",IF($D1321="V01",cad!$C$36,IF($D1321="V02",cad!$D$36,cad!$E$36)))</f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>
        <f>IF($A1322="","",IF($D1322="V01",cad!$C$23,IF($D1322="V02",cad!$D$23,cad!$E$23)))</f>
      </c>
      <c r="H1322">
        <f>IF($A1322="","",IF($D1322="V01",cad!$C$24,IF($D1322="V02",cad!$D$24,cad!$E$24)))</f>
      </c>
      <c r="I1322">
        <f>IF($A1322="","",IF($D1322="V01",cad!$C$32,IF($D1322="V02",cad!$D$32,cad!$E$32)))</f>
      </c>
      <c r="J1322">
        <f>IF($A1322="","",IF($D1322="V01",cad!$C$33,IF($D1322="V02",cad!$D$33,cad!$E$33)))</f>
      </c>
      <c r="K1322">
        <f>IF($A1322="","",IF($D1322="V01",cad!$C$34,IF($D1322="V02",cad!$D$34,cad!$E$34)))</f>
      </c>
      <c r="L1322">
        <f>IF($A1322="","",IF($D1322="V01",cad!$C$35,IF($D1322="V02",cad!$D$35,cad!$E$35)))</f>
      </c>
      <c r="M1322">
        <f>IF($A1322="","",IF($D1322="V01",cad!$C$36,IF($D1322="V02",cad!$D$36,cad!$E$36)))</f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>
        <f>IF($A1323="","",IF($D1323="V01",cad!$C$23,IF($D1323="V02",cad!$D$23,cad!$E$23)))</f>
      </c>
      <c r="H1323">
        <f>IF($A1323="","",IF($D1323="V01",cad!$C$24,IF($D1323="V02",cad!$D$24,cad!$E$24)))</f>
      </c>
      <c r="I1323">
        <f>IF($A1323="","",IF($D1323="V01",cad!$C$32,IF($D1323="V02",cad!$D$32,cad!$E$32)))</f>
      </c>
      <c r="J1323">
        <f>IF($A1323="","",IF($D1323="V01",cad!$C$33,IF($D1323="V02",cad!$D$33,cad!$E$33)))</f>
      </c>
      <c r="K1323">
        <f>IF($A1323="","",IF($D1323="V01",cad!$C$34,IF($D1323="V02",cad!$D$34,cad!$E$34)))</f>
      </c>
      <c r="L1323">
        <f>IF($A1323="","",IF($D1323="V01",cad!$C$35,IF($D1323="V02",cad!$D$35,cad!$E$35)))</f>
      </c>
      <c r="M1323">
        <f>IF($A1323="","",IF($D1323="V01",cad!$C$36,IF($D1323="V02",cad!$D$36,cad!$E$36)))</f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>
        <f>IF($A1324="","",IF($D1324="V01",cad!$C$23,IF($D1324="V02",cad!$D$23,cad!$E$23)))</f>
      </c>
      <c r="H1324">
        <f>IF($A1324="","",IF($D1324="V01",cad!$C$24,IF($D1324="V02",cad!$D$24,cad!$E$24)))</f>
      </c>
      <c r="I1324">
        <f>IF($A1324="","",IF($D1324="V01",cad!$C$32,IF($D1324="V02",cad!$D$32,cad!$E$32)))</f>
      </c>
      <c r="J1324">
        <f>IF($A1324="","",IF($D1324="V01",cad!$C$33,IF($D1324="V02",cad!$D$33,cad!$E$33)))</f>
      </c>
      <c r="K1324">
        <f>IF($A1324="","",IF($D1324="V01",cad!$C$34,IF($D1324="V02",cad!$D$34,cad!$E$34)))</f>
      </c>
      <c r="L1324">
        <f>IF($A1324="","",IF($D1324="V01",cad!$C$35,IF($D1324="V02",cad!$D$35,cad!$E$35)))</f>
      </c>
      <c r="M1324">
        <f>IF($A1324="","",IF($D1324="V01",cad!$C$36,IF($D1324="V02",cad!$D$36,cad!$E$36)))</f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>
        <f>IF($A1325="","",IF($D1325="V01",cad!$C$23,IF($D1325="V02",cad!$D$23,cad!$E$23)))</f>
      </c>
      <c r="H1325">
        <f>IF($A1325="","",IF($D1325="V01",cad!$C$24,IF($D1325="V02",cad!$D$24,cad!$E$24)))</f>
      </c>
      <c r="I1325">
        <f>IF($A1325="","",IF($D1325="V01",cad!$C$32,IF($D1325="V02",cad!$D$32,cad!$E$32)))</f>
      </c>
      <c r="J1325">
        <f>IF($A1325="","",IF($D1325="V01",cad!$C$33,IF($D1325="V02",cad!$D$33,cad!$E$33)))</f>
      </c>
      <c r="K1325">
        <f>IF($A1325="","",IF($D1325="V01",cad!$C$34,IF($D1325="V02",cad!$D$34,cad!$E$34)))</f>
      </c>
      <c r="L1325">
        <f>IF($A1325="","",IF($D1325="V01",cad!$C$35,IF($D1325="V02",cad!$D$35,cad!$E$35)))</f>
      </c>
      <c r="M1325">
        <f>IF($A1325="","",IF($D1325="V01",cad!$C$36,IF($D1325="V02",cad!$D$36,cad!$E$36)))</f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>
        <f>IF($A1326="","",IF($D1326="V01",cad!$C$23,IF($D1326="V02",cad!$D$23,cad!$E$23)))</f>
      </c>
      <c r="H1326">
        <f>IF($A1326="","",IF($D1326="V01",cad!$C$24,IF($D1326="V02",cad!$D$24,cad!$E$24)))</f>
      </c>
      <c r="I1326">
        <f>IF($A1326="","",IF($D1326="V01",cad!$C$32,IF($D1326="V02",cad!$D$32,cad!$E$32)))</f>
      </c>
      <c r="J1326">
        <f>IF($A1326="","",IF($D1326="V01",cad!$C$33,IF($D1326="V02",cad!$D$33,cad!$E$33)))</f>
      </c>
      <c r="K1326">
        <f>IF($A1326="","",IF($D1326="V01",cad!$C$34,IF($D1326="V02",cad!$D$34,cad!$E$34)))</f>
      </c>
      <c r="L1326">
        <f>IF($A1326="","",IF($D1326="V01",cad!$C$35,IF($D1326="V02",cad!$D$35,cad!$E$35)))</f>
      </c>
      <c r="M1326">
        <f>IF($A1326="","",IF($D1326="V01",cad!$C$36,IF($D1326="V02",cad!$D$36,cad!$E$36)))</f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>
        <f>IF($A1327="","",IF($D1327="V01",cad!$C$23,IF($D1327="V02",cad!$D$23,cad!$E$23)))</f>
      </c>
      <c r="H1327">
        <f>IF($A1327="","",IF($D1327="V01",cad!$C$24,IF($D1327="V02",cad!$D$24,cad!$E$24)))</f>
      </c>
      <c r="I1327">
        <f>IF($A1327="","",IF($D1327="V01",cad!$C$32,IF($D1327="V02",cad!$D$32,cad!$E$32)))</f>
      </c>
      <c r="J1327">
        <f>IF($A1327="","",IF($D1327="V01",cad!$C$33,IF($D1327="V02",cad!$D$33,cad!$E$33)))</f>
      </c>
      <c r="K1327">
        <f>IF($A1327="","",IF($D1327="V01",cad!$C$34,IF($D1327="V02",cad!$D$34,cad!$E$34)))</f>
      </c>
      <c r="L1327">
        <f>IF($A1327="","",IF($D1327="V01",cad!$C$35,IF($D1327="V02",cad!$D$35,cad!$E$35)))</f>
      </c>
      <c r="M1327">
        <f>IF($A1327="","",IF($D1327="V01",cad!$C$36,IF($D1327="V02",cad!$D$36,cad!$E$36)))</f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>
        <f>IF($A1328="","",IF($D1328="V01",cad!$C$23,IF($D1328="V02",cad!$D$23,cad!$E$23)))</f>
      </c>
      <c r="H1328">
        <f>IF($A1328="","",IF($D1328="V01",cad!$C$24,IF($D1328="V02",cad!$D$24,cad!$E$24)))</f>
      </c>
      <c r="I1328">
        <f>IF($A1328="","",IF($D1328="V01",cad!$C$32,IF($D1328="V02",cad!$D$32,cad!$E$32)))</f>
      </c>
      <c r="J1328">
        <f>IF($A1328="","",IF($D1328="V01",cad!$C$33,IF($D1328="V02",cad!$D$33,cad!$E$33)))</f>
      </c>
      <c r="K1328">
        <f>IF($A1328="","",IF($D1328="V01",cad!$C$34,IF($D1328="V02",cad!$D$34,cad!$E$34)))</f>
      </c>
      <c r="L1328">
        <f>IF($A1328="","",IF($D1328="V01",cad!$C$35,IF($D1328="V02",cad!$D$35,cad!$E$35)))</f>
      </c>
      <c r="M1328">
        <f>IF($A1328="","",IF($D1328="V01",cad!$C$36,IF($D1328="V02",cad!$D$36,cad!$E$36)))</f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>
        <f>IF($A1329="","",IF($D1329="V01",cad!$C$23,IF($D1329="V02",cad!$D$23,cad!$E$23)))</f>
      </c>
      <c r="H1329">
        <f>IF($A1329="","",IF($D1329="V01",cad!$C$24,IF($D1329="V02",cad!$D$24,cad!$E$24)))</f>
      </c>
      <c r="I1329">
        <f>IF($A1329="","",IF($D1329="V01",cad!$C$32,IF($D1329="V02",cad!$D$32,cad!$E$32)))</f>
      </c>
      <c r="J1329">
        <f>IF($A1329="","",IF($D1329="V01",cad!$C$33,IF($D1329="V02",cad!$D$33,cad!$E$33)))</f>
      </c>
      <c r="K1329">
        <f>IF($A1329="","",IF($D1329="V01",cad!$C$34,IF($D1329="V02",cad!$D$34,cad!$E$34)))</f>
      </c>
      <c r="L1329">
        <f>IF($A1329="","",IF($D1329="V01",cad!$C$35,IF($D1329="V02",cad!$D$35,cad!$E$35)))</f>
      </c>
      <c r="M1329">
        <f>IF($A1329="","",IF($D1329="V01",cad!$C$36,IF($D1329="V02",cad!$D$36,cad!$E$36)))</f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>
        <f>IF($A1330="","",IF($D1330="V01",cad!$C$23,IF($D1330="V02",cad!$D$23,cad!$E$23)))</f>
      </c>
      <c r="H1330">
        <f>IF($A1330="","",IF($D1330="V01",cad!$C$24,IF($D1330="V02",cad!$D$24,cad!$E$24)))</f>
      </c>
      <c r="I1330">
        <f>IF($A1330="","",IF($D1330="V01",cad!$C$32,IF($D1330="V02",cad!$D$32,cad!$E$32)))</f>
      </c>
      <c r="J1330">
        <f>IF($A1330="","",IF($D1330="V01",cad!$C$33,IF($D1330="V02",cad!$D$33,cad!$E$33)))</f>
      </c>
      <c r="K1330">
        <f>IF($A1330="","",IF($D1330="V01",cad!$C$34,IF($D1330="V02",cad!$D$34,cad!$E$34)))</f>
      </c>
      <c r="L1330">
        <f>IF($A1330="","",IF($D1330="V01",cad!$C$35,IF($D1330="V02",cad!$D$35,cad!$E$35)))</f>
      </c>
      <c r="M1330">
        <f>IF($A1330="","",IF($D1330="V01",cad!$C$36,IF($D1330="V02",cad!$D$36,cad!$E$36)))</f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>
        <f>IF($A1331="","",IF($D1331="V01",cad!$C$23,IF($D1331="V02",cad!$D$23,cad!$E$23)))</f>
      </c>
      <c r="H1331">
        <f>IF($A1331="","",IF($D1331="V01",cad!$C$24,IF($D1331="V02",cad!$D$24,cad!$E$24)))</f>
      </c>
      <c r="I1331">
        <f>IF($A1331="","",IF($D1331="V01",cad!$C$32,IF($D1331="V02",cad!$D$32,cad!$E$32)))</f>
      </c>
      <c r="J1331">
        <f>IF($A1331="","",IF($D1331="V01",cad!$C$33,IF($D1331="V02",cad!$D$33,cad!$E$33)))</f>
      </c>
      <c r="K1331">
        <f>IF($A1331="","",IF($D1331="V01",cad!$C$34,IF($D1331="V02",cad!$D$34,cad!$E$34)))</f>
      </c>
      <c r="L1331">
        <f>IF($A1331="","",IF($D1331="V01",cad!$C$35,IF($D1331="V02",cad!$D$35,cad!$E$35)))</f>
      </c>
      <c r="M1331">
        <f>IF($A1331="","",IF($D1331="V01",cad!$C$36,IF($D1331="V02",cad!$D$36,cad!$E$36)))</f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>
        <f>IF($A1332="","",IF($D1332="V01",cad!$C$23,IF($D1332="V02",cad!$D$23,cad!$E$23)))</f>
      </c>
      <c r="H1332">
        <f>IF($A1332="","",IF($D1332="V01",cad!$C$24,IF($D1332="V02",cad!$D$24,cad!$E$24)))</f>
      </c>
      <c r="I1332">
        <f>IF($A1332="","",IF($D1332="V01",cad!$C$32,IF($D1332="V02",cad!$D$32,cad!$E$32)))</f>
      </c>
      <c r="J1332">
        <f>IF($A1332="","",IF($D1332="V01",cad!$C$33,IF($D1332="V02",cad!$D$33,cad!$E$33)))</f>
      </c>
      <c r="K1332">
        <f>IF($A1332="","",IF($D1332="V01",cad!$C$34,IF($D1332="V02",cad!$D$34,cad!$E$34)))</f>
      </c>
      <c r="L1332">
        <f>IF($A1332="","",IF($D1332="V01",cad!$C$35,IF($D1332="V02",cad!$D$35,cad!$E$35)))</f>
      </c>
      <c r="M1332">
        <f>IF($A1332="","",IF($D1332="V01",cad!$C$36,IF($D1332="V02",cad!$D$36,cad!$E$36)))</f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>
        <f>IF($A1333="","",IF($D1333="V01",cad!$C$23,IF($D1333="V02",cad!$D$23,cad!$E$23)))</f>
      </c>
      <c r="H1333">
        <f>IF($A1333="","",IF($D1333="V01",cad!$C$24,IF($D1333="V02",cad!$D$24,cad!$E$24)))</f>
      </c>
      <c r="I1333">
        <f>IF($A1333="","",IF($D1333="V01",cad!$C$32,IF($D1333="V02",cad!$D$32,cad!$E$32)))</f>
      </c>
      <c r="J1333">
        <f>IF($A1333="","",IF($D1333="V01",cad!$C$33,IF($D1333="V02",cad!$D$33,cad!$E$33)))</f>
      </c>
      <c r="K1333">
        <f>IF($A1333="","",IF($D1333="V01",cad!$C$34,IF($D1333="V02",cad!$D$34,cad!$E$34)))</f>
      </c>
      <c r="L1333">
        <f>IF($A1333="","",IF($D1333="V01",cad!$C$35,IF($D1333="V02",cad!$D$35,cad!$E$35)))</f>
      </c>
      <c r="M1333">
        <f>IF($A1333="","",IF($D1333="V01",cad!$C$36,IF($D1333="V02",cad!$D$36,cad!$E$36)))</f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>
        <f>IF($A1334="","",IF($D1334="V01",cad!$C$23,IF($D1334="V02",cad!$D$23,cad!$E$23)))</f>
      </c>
      <c r="H1334">
        <f>IF($A1334="","",IF($D1334="V01",cad!$C$24,IF($D1334="V02",cad!$D$24,cad!$E$24)))</f>
      </c>
      <c r="I1334">
        <f>IF($A1334="","",IF($D1334="V01",cad!$C$32,IF($D1334="V02",cad!$D$32,cad!$E$32)))</f>
      </c>
      <c r="J1334">
        <f>IF($A1334="","",IF($D1334="V01",cad!$C$33,IF($D1334="V02",cad!$D$33,cad!$E$33)))</f>
      </c>
      <c r="K1334">
        <f>IF($A1334="","",IF($D1334="V01",cad!$C$34,IF($D1334="V02",cad!$D$34,cad!$E$34)))</f>
      </c>
      <c r="L1334">
        <f>IF($A1334="","",IF($D1334="V01",cad!$C$35,IF($D1334="V02",cad!$D$35,cad!$E$35)))</f>
      </c>
      <c r="M1334">
        <f>IF($A1334="","",IF($D1334="V01",cad!$C$36,IF($D1334="V02",cad!$D$36,cad!$E$36)))</f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>
        <f>IF($A1335="","",IF($D1335="V01",cad!$C$23,IF($D1335="V02",cad!$D$23,cad!$E$23)))</f>
      </c>
      <c r="H1335">
        <f>IF($A1335="","",IF($D1335="V01",cad!$C$24,IF($D1335="V02",cad!$D$24,cad!$E$24)))</f>
      </c>
      <c r="I1335">
        <f>IF($A1335="","",IF($D1335="V01",cad!$C$32,IF($D1335="V02",cad!$D$32,cad!$E$32)))</f>
      </c>
      <c r="J1335">
        <f>IF($A1335="","",IF($D1335="V01",cad!$C$33,IF($D1335="V02",cad!$D$33,cad!$E$33)))</f>
      </c>
      <c r="K1335">
        <f>IF($A1335="","",IF($D1335="V01",cad!$C$34,IF($D1335="V02",cad!$D$34,cad!$E$34)))</f>
      </c>
      <c r="L1335">
        <f>IF($A1335="","",IF($D1335="V01",cad!$C$35,IF($D1335="V02",cad!$D$35,cad!$E$35)))</f>
      </c>
      <c r="M1335">
        <f>IF($A1335="","",IF($D1335="V01",cad!$C$36,IF($D1335="V02",cad!$D$36,cad!$E$36)))</f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>
        <f>IF($A1336="","",IF($D1336="V01",cad!$C$23,IF($D1336="V02",cad!$D$23,cad!$E$23)))</f>
      </c>
      <c r="H1336">
        <f>IF($A1336="","",IF($D1336="V01",cad!$C$24,IF($D1336="V02",cad!$D$24,cad!$E$24)))</f>
      </c>
      <c r="I1336">
        <f>IF($A1336="","",IF($D1336="V01",cad!$C$32,IF($D1336="V02",cad!$D$32,cad!$E$32)))</f>
      </c>
      <c r="J1336">
        <f>IF($A1336="","",IF($D1336="V01",cad!$C$33,IF($D1336="V02",cad!$D$33,cad!$E$33)))</f>
      </c>
      <c r="K1336">
        <f>IF($A1336="","",IF($D1336="V01",cad!$C$34,IF($D1336="V02",cad!$D$34,cad!$E$34)))</f>
      </c>
      <c r="L1336">
        <f>IF($A1336="","",IF($D1336="V01",cad!$C$35,IF($D1336="V02",cad!$D$35,cad!$E$35)))</f>
      </c>
      <c r="M1336">
        <f>IF($A1336="","",IF($D1336="V01",cad!$C$36,IF($D1336="V02",cad!$D$36,cad!$E$36)))</f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>
        <f>IF($A1337="","",IF($D1337="V01",cad!$C$23,IF($D1337="V02",cad!$D$23,cad!$E$23)))</f>
      </c>
      <c r="H1337">
        <f>IF($A1337="","",IF($D1337="V01",cad!$C$24,IF($D1337="V02",cad!$D$24,cad!$E$24)))</f>
      </c>
      <c r="I1337">
        <f>IF($A1337="","",IF($D1337="V01",cad!$C$32,IF($D1337="V02",cad!$D$32,cad!$E$32)))</f>
      </c>
      <c r="J1337">
        <f>IF($A1337="","",IF($D1337="V01",cad!$C$33,IF($D1337="V02",cad!$D$33,cad!$E$33)))</f>
      </c>
      <c r="K1337">
        <f>IF($A1337="","",IF($D1337="V01",cad!$C$34,IF($D1337="V02",cad!$D$34,cad!$E$34)))</f>
      </c>
      <c r="L1337">
        <f>IF($A1337="","",IF($D1337="V01",cad!$C$35,IF($D1337="V02",cad!$D$35,cad!$E$35)))</f>
      </c>
      <c r="M1337">
        <f>IF($A1337="","",IF($D1337="V01",cad!$C$36,IF($D1337="V02",cad!$D$36,cad!$E$36)))</f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>
        <f>IF($A1338="","",IF($D1338="V01",cad!$C$23,IF($D1338="V02",cad!$D$23,cad!$E$23)))</f>
      </c>
      <c r="H1338">
        <f>IF($A1338="","",IF($D1338="V01",cad!$C$24,IF($D1338="V02",cad!$D$24,cad!$E$24)))</f>
      </c>
      <c r="I1338">
        <f>IF($A1338="","",IF($D1338="V01",cad!$C$32,IF($D1338="V02",cad!$D$32,cad!$E$32)))</f>
      </c>
      <c r="J1338">
        <f>IF($A1338="","",IF($D1338="V01",cad!$C$33,IF($D1338="V02",cad!$D$33,cad!$E$33)))</f>
      </c>
      <c r="K1338">
        <f>IF($A1338="","",IF($D1338="V01",cad!$C$34,IF($D1338="V02",cad!$D$34,cad!$E$34)))</f>
      </c>
      <c r="L1338">
        <f>IF($A1338="","",IF($D1338="V01",cad!$C$35,IF($D1338="V02",cad!$D$35,cad!$E$35)))</f>
      </c>
      <c r="M1338">
        <f>IF($A1338="","",IF($D1338="V01",cad!$C$36,IF($D1338="V02",cad!$D$36,cad!$E$36)))</f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>
        <f>IF($A1339="","",IF($D1339="V01",cad!$C$23,IF($D1339="V02",cad!$D$23,cad!$E$23)))</f>
      </c>
      <c r="H1339">
        <f>IF($A1339="","",IF($D1339="V01",cad!$C$24,IF($D1339="V02",cad!$D$24,cad!$E$24)))</f>
      </c>
      <c r="I1339">
        <f>IF($A1339="","",IF($D1339="V01",cad!$C$32,IF($D1339="V02",cad!$D$32,cad!$E$32)))</f>
      </c>
      <c r="J1339">
        <f>IF($A1339="","",IF($D1339="V01",cad!$C$33,IF($D1339="V02",cad!$D$33,cad!$E$33)))</f>
      </c>
      <c r="K1339">
        <f>IF($A1339="","",IF($D1339="V01",cad!$C$34,IF($D1339="V02",cad!$D$34,cad!$E$34)))</f>
      </c>
      <c r="L1339">
        <f>IF($A1339="","",IF($D1339="V01",cad!$C$35,IF($D1339="V02",cad!$D$35,cad!$E$35)))</f>
      </c>
      <c r="M1339">
        <f>IF($A1339="","",IF($D1339="V01",cad!$C$36,IF($D1339="V02",cad!$D$36,cad!$E$36)))</f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>
        <f>IF($A1340="","",IF($D1340="V01",cad!$C$23,IF($D1340="V02",cad!$D$23,cad!$E$23)))</f>
      </c>
      <c r="H1340">
        <f>IF($A1340="","",IF($D1340="V01",cad!$C$24,IF($D1340="V02",cad!$D$24,cad!$E$24)))</f>
      </c>
      <c r="I1340">
        <f>IF($A1340="","",IF($D1340="V01",cad!$C$32,IF($D1340="V02",cad!$D$32,cad!$E$32)))</f>
      </c>
      <c r="J1340">
        <f>IF($A1340="","",IF($D1340="V01",cad!$C$33,IF($D1340="V02",cad!$D$33,cad!$E$33)))</f>
      </c>
      <c r="K1340">
        <f>IF($A1340="","",IF($D1340="V01",cad!$C$34,IF($D1340="V02",cad!$D$34,cad!$E$34)))</f>
      </c>
      <c r="L1340">
        <f>IF($A1340="","",IF($D1340="V01",cad!$C$35,IF($D1340="V02",cad!$D$35,cad!$E$35)))</f>
      </c>
      <c r="M1340">
        <f>IF($A1340="","",IF($D1340="V01",cad!$C$36,IF($D1340="V02",cad!$D$36,cad!$E$36)))</f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>
        <f>IF($A1341="","",IF($D1341="V01",cad!$C$23,IF($D1341="V02",cad!$D$23,cad!$E$23)))</f>
      </c>
      <c r="H1341">
        <f>IF($A1341="","",IF($D1341="V01",cad!$C$24,IF($D1341="V02",cad!$D$24,cad!$E$24)))</f>
      </c>
      <c r="I1341">
        <f>IF($A1341="","",IF($D1341="V01",cad!$C$32,IF($D1341="V02",cad!$D$32,cad!$E$32)))</f>
      </c>
      <c r="J1341">
        <f>IF($A1341="","",IF($D1341="V01",cad!$C$33,IF($D1341="V02",cad!$D$33,cad!$E$33)))</f>
      </c>
      <c r="K1341">
        <f>IF($A1341="","",IF($D1341="V01",cad!$C$34,IF($D1341="V02",cad!$D$34,cad!$E$34)))</f>
      </c>
      <c r="L1341">
        <f>IF($A1341="","",IF($D1341="V01",cad!$C$35,IF($D1341="V02",cad!$D$35,cad!$E$35)))</f>
      </c>
      <c r="M1341">
        <f>IF($A1341="","",IF($D1341="V01",cad!$C$36,IF($D1341="V02",cad!$D$36,cad!$E$36)))</f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>
        <f>IF($A1342="","",IF($D1342="V01",cad!$C$23,IF($D1342="V02",cad!$D$23,cad!$E$23)))</f>
      </c>
      <c r="H1342">
        <f>IF($A1342="","",IF($D1342="V01",cad!$C$24,IF($D1342="V02",cad!$D$24,cad!$E$24)))</f>
      </c>
      <c r="I1342">
        <f>IF($A1342="","",IF($D1342="V01",cad!$C$32,IF($D1342="V02",cad!$D$32,cad!$E$32)))</f>
      </c>
      <c r="J1342">
        <f>IF($A1342="","",IF($D1342="V01",cad!$C$33,IF($D1342="V02",cad!$D$33,cad!$E$33)))</f>
      </c>
      <c r="K1342">
        <f>IF($A1342="","",IF($D1342="V01",cad!$C$34,IF($D1342="V02",cad!$D$34,cad!$E$34)))</f>
      </c>
      <c r="L1342">
        <f>IF($A1342="","",IF($D1342="V01",cad!$C$35,IF($D1342="V02",cad!$D$35,cad!$E$35)))</f>
      </c>
      <c r="M1342">
        <f>IF($A1342="","",IF($D1342="V01",cad!$C$36,IF($D1342="V02",cad!$D$36,cad!$E$36)))</f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>
        <f>IF($A1343="","",IF($D1343="V01",cad!$C$23,IF($D1343="V02",cad!$D$23,cad!$E$23)))</f>
      </c>
      <c r="H1343">
        <f>IF($A1343="","",IF($D1343="V01",cad!$C$24,IF($D1343="V02",cad!$D$24,cad!$E$24)))</f>
      </c>
      <c r="I1343">
        <f>IF($A1343="","",IF($D1343="V01",cad!$C$32,IF($D1343="V02",cad!$D$32,cad!$E$32)))</f>
      </c>
      <c r="J1343">
        <f>IF($A1343="","",IF($D1343="V01",cad!$C$33,IF($D1343="V02",cad!$D$33,cad!$E$33)))</f>
      </c>
      <c r="K1343">
        <f>IF($A1343="","",IF($D1343="V01",cad!$C$34,IF($D1343="V02",cad!$D$34,cad!$E$34)))</f>
      </c>
      <c r="L1343">
        <f>IF($A1343="","",IF($D1343="V01",cad!$C$35,IF($D1343="V02",cad!$D$35,cad!$E$35)))</f>
      </c>
      <c r="M1343">
        <f>IF($A1343="","",IF($D1343="V01",cad!$C$36,IF($D1343="V02",cad!$D$36,cad!$E$36)))</f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>
        <f>IF($A1344="","",IF($D1344="V01",cad!$C$23,IF($D1344="V02",cad!$D$23,cad!$E$23)))</f>
      </c>
      <c r="H1344">
        <f>IF($A1344="","",IF($D1344="V01",cad!$C$24,IF($D1344="V02",cad!$D$24,cad!$E$24)))</f>
      </c>
      <c r="I1344">
        <f>IF($A1344="","",IF($D1344="V01",cad!$C$32,IF($D1344="V02",cad!$D$32,cad!$E$32)))</f>
      </c>
      <c r="J1344">
        <f>IF($A1344="","",IF($D1344="V01",cad!$C$33,IF($D1344="V02",cad!$D$33,cad!$E$33)))</f>
      </c>
      <c r="K1344">
        <f>IF($A1344="","",IF($D1344="V01",cad!$C$34,IF($D1344="V02",cad!$D$34,cad!$E$34)))</f>
      </c>
      <c r="L1344">
        <f>IF($A1344="","",IF($D1344="V01",cad!$C$35,IF($D1344="V02",cad!$D$35,cad!$E$35)))</f>
      </c>
      <c r="M1344">
        <f>IF($A1344="","",IF($D1344="V01",cad!$C$36,IF($D1344="V02",cad!$D$36,cad!$E$36)))</f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>
        <f>IF($A1345="","",IF($D1345="V01",cad!$C$23,IF($D1345="V02",cad!$D$23,cad!$E$23)))</f>
      </c>
      <c r="H1345">
        <f>IF($A1345="","",IF($D1345="V01",cad!$C$24,IF($D1345="V02",cad!$D$24,cad!$E$24)))</f>
      </c>
      <c r="I1345">
        <f>IF($A1345="","",IF($D1345="V01",cad!$C$32,IF($D1345="V02",cad!$D$32,cad!$E$32)))</f>
      </c>
      <c r="J1345">
        <f>IF($A1345="","",IF($D1345="V01",cad!$C$33,IF($D1345="V02",cad!$D$33,cad!$E$33)))</f>
      </c>
      <c r="K1345">
        <f>IF($A1345="","",IF($D1345="V01",cad!$C$34,IF($D1345="V02",cad!$D$34,cad!$E$34)))</f>
      </c>
      <c r="L1345">
        <f>IF($A1345="","",IF($D1345="V01",cad!$C$35,IF($D1345="V02",cad!$D$35,cad!$E$35)))</f>
      </c>
      <c r="M1345">
        <f>IF($A1345="","",IF($D1345="V01",cad!$C$36,IF($D1345="V02",cad!$D$36,cad!$E$36)))</f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>
        <f>IF($A1346="","",IF($D1346="V01",cad!$C$23,IF($D1346="V02",cad!$D$23,cad!$E$23)))</f>
      </c>
      <c r="H1346">
        <f>IF($A1346="","",IF($D1346="V01",cad!$C$24,IF($D1346="V02",cad!$D$24,cad!$E$24)))</f>
      </c>
      <c r="I1346">
        <f>IF($A1346="","",IF($D1346="V01",cad!$C$32,IF($D1346="V02",cad!$D$32,cad!$E$32)))</f>
      </c>
      <c r="J1346">
        <f>IF($A1346="","",IF($D1346="V01",cad!$C$33,IF($D1346="V02",cad!$D$33,cad!$E$33)))</f>
      </c>
      <c r="K1346">
        <f>IF($A1346="","",IF($D1346="V01",cad!$C$34,IF($D1346="V02",cad!$D$34,cad!$E$34)))</f>
      </c>
      <c r="L1346">
        <f>IF($A1346="","",IF($D1346="V01",cad!$C$35,IF($D1346="V02",cad!$D$35,cad!$E$35)))</f>
      </c>
      <c r="M1346">
        <f>IF($A1346="","",IF($D1346="V01",cad!$C$36,IF($D1346="V02",cad!$D$36,cad!$E$36)))</f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>
        <f>IF($A1347="","",IF($D1347="V01",cad!$C$23,IF($D1347="V02",cad!$D$23,cad!$E$23)))</f>
      </c>
      <c r="H1347">
        <f>IF($A1347="","",IF($D1347="V01",cad!$C$24,IF($D1347="V02",cad!$D$24,cad!$E$24)))</f>
      </c>
      <c r="I1347">
        <f>IF($A1347="","",IF($D1347="V01",cad!$C$32,IF($D1347="V02",cad!$D$32,cad!$E$32)))</f>
      </c>
      <c r="J1347">
        <f>IF($A1347="","",IF($D1347="V01",cad!$C$33,IF($D1347="V02",cad!$D$33,cad!$E$33)))</f>
      </c>
      <c r="K1347">
        <f>IF($A1347="","",IF($D1347="V01",cad!$C$34,IF($D1347="V02",cad!$D$34,cad!$E$34)))</f>
      </c>
      <c r="L1347">
        <f>IF($A1347="","",IF($D1347="V01",cad!$C$35,IF($D1347="V02",cad!$D$35,cad!$E$35)))</f>
      </c>
      <c r="M1347">
        <f>IF($A1347="","",IF($D1347="V01",cad!$C$36,IF($D1347="V02",cad!$D$36,cad!$E$36)))</f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/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IF(Allocation!D2="","",Allocation!I2)</f>
        <v>1000</v>
      </c>
      <c r="H2">
        <f>IF(Allocation!D2="","",Allocation!J2)</f>
        <v>1000</v>
      </c>
      <c r="I2">
        <f>IF(Allocation!D2="","",Allocation!K2)</f>
        <v>1000</v>
      </c>
      <c r="J2">
        <f>IF($A2="","",SUMIFS(Socle!$K$1:$K$175,Socle!$C$1:$C$175,$B2,Socle!$D$1:$D$175,$D2,Socle!$E$1:$E$175,$E2,Socle!$F$1:$F$175,$F2,Socle!$G$1:$G$175,$A2))</f>
        <v>0</v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IF($A2="","",SUMIFS(Allocation!$I$1:$I$175,Allocation!$C$1:$C$175,$A2,Allocation!$D$1:$D$175,$B2))</f>
        <v>1000</v>
      </c>
      <c r="M2">
        <f>IF($A2="","",SUMIFS(Allocation!$J$1:$J$175,Allocation!$C$1:$C$175,$A2,Allocation!$D$1:$D$175,$B2))</f>
        <v>1000</v>
      </c>
      <c r="N2">
        <f>IF($A2="","",SUMIFS(Allocation!$K$1:$K$175,Allocation!$C$1:$C$175,$A2,Allocation!$D$1:$D$175,$B2))</f>
        <v>1000</v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IF($A2="","",SUMIFS(Allocation!$I$1:$I$175,Allocation!$C$1:$C$175,$A2,Allocation!$E$1:$E$175,$C2))</f>
        <v>1000</v>
      </c>
      <c r="R2">
        <f>IF($A2="","",SUMIFS(Allocation!$J$1:$J$175,Allocation!$C$1:$C$175,$A2,Allocation!$E$1:$E$175,$C2))</f>
        <v>1000</v>
      </c>
      <c r="S2">
        <f>IF($A2="","",SUMIFS(Allocation!$K$1:$K$175,Allocation!$C$1:$C$175,$A2,Allocation!$E$1:$E$175,$C2))</f>
        <v>1000</v>
      </c>
      <c r="T2">
        <f>IF($A2="","",SUMIFS(Allocation!$I$1:$I$175,Allocation!$C$1:$C$175,$A2))</f>
        <v>1000</v>
      </c>
      <c r="U2">
        <f>IF($A2="","",SUMIFS(Allocation!$J$1:$J$175,Allocation!$C$1:$C$175,$A2))</f>
        <v>1000</v>
      </c>
      <c r="V2">
        <f>IF($A2="","",SUMIFS(Allocation!$K$1:$K$175,Allocation!$C$1:$C$175,$A2))</f>
        <v>1000</v>
      </c>
      <c r="W2">
        <f>IF($A2="","",SUMIFS(Compta!$F$1:$F$675,Compta!$A$1:$A$675,$B2,Compta!$B$1:$B$675,"621",Compta!$C$1:$C$675,$A2))</f>
        <v>0</v>
      </c>
      <c r="X2">
        <f>IF($A2="","",SUMIFS(Compta!$F$1:$F$675,Compta!$A$1:$A$675,$B2,Compta!$B$1:$B$675,"6411",Compta!$C$1:$C$675,$A2))</f>
        <v>0</v>
      </c>
      <c r="Y2">
        <f>IF($A2="","",SUMIFS(Compta!$F$1:$F$675,Compta!$A$1:$A$675,$B2,Compta!$B$1:$B$675,"604",Compta!$C$1:$C$675,$A2)+SUMIFS(Compta!$F$1:$F$675,Compta!$A$1:$A$675,$B2,Compta!$B$1:$B$675,"6063",Compta!$C$1:$C$675,$A2))</f>
        <v>0</v>
      </c>
      <c r="Z2">
        <f>IF($A2="","",SUMIFS(Compta!$F$1:$F$675,Compta!$A$1:$A$675,$B2,Compta!$B$1:$B$675,"6231",Compta!$C$1:$C$675,$A2))</f>
        <v>0</v>
      </c>
      <c r="AA2">
        <f>IF($A2="","",SUMIFS(Compta!$F$1:$F$675,Compta!$A$1:$A$675,$B2,Compta!$B$1:$B$675,"6413",Compta!$C$1:$C$675,$A2)+SUMIFS(Compta!$F$1:$F$675,Compta!$A$1:$A$675,$B2,Compta!$B$1:$B$675,"645",Compta!$C$1:$C$675,$A2)+SUMIFS(Compta!$F$1:$F$675,Compta!$A$1:$A$675,$B2,Compta!$B$1:$B$675,"613",Compta!$C$1:$C$675,$A2)+SUMIFS(Compta!$F$1:$F$675,Compta!$A$1:$A$675,$B2,Compta!$B$1:$B$675,"615",Compta!$C$1:$C$675,$A2)+SUMIFS(Compta!$F$1:$F$675,Compta!$A$1:$A$675,$B2,Compta!$B$1:$B$675,"616",Compta!$C$1:$C$675,$A2)+SUMIFS(Compta!$F$1:$F$675,Compta!$A$1:$A$675,$B2,Compta!$B$1:$B$675,"625",Compta!$C$1:$C$675,$A2)+SUMIFS(Compta!$F$1:$F$675,Compta!$A$1:$A$675,$B2,Compta!$B$1:$B$675,"63511",Compta!$C$1:$C$675,$A2))</f>
        <v>0</v>
      </c>
      <c r="AB2">
        <f>IF($A2="","",SUMIFS(Compta!$F$1:$F$675,Compta!$A$1:$A$675,"GRP",Compta!$B$1:$B$675,"6414",Compta!$C$1:$C$675,$A2)+SUMIFS(Compta!$F$1:$F$675,Compta!$A$1:$A$675,"GRP",Compta!$B$1:$B$675,"6226",Compta!$C$1:$C$675,$A2)+SUMIFS(Compta!$F$1:$F$675,Compta!$A$1:$A$675,"GRP",Compta!$B$1:$B$675,"626",Compta!$C$1:$C$675,$A2)+SUMIFS(Compta!$F$1:$F$675,Compta!$A$1:$A$675,"GRP",Compta!$B$1:$B$675,"6281",Compta!$C$1:$C$675,$A2)+SUMIFS(Compta!$F$1:$F$675,Compta!$A$1:$A$675,"GRP",Compta!$B$1:$B$675,"6331",Compta!$C$1:$C$675,$A2)+SUMIFS(Compta!$F$1:$F$675,Compta!$A$1:$A$675,"GRP",Compta!$B$1:$B$675,"6333",Compta!$C$1:$C$675,$A2))</f>
        <v>0</v>
      </c>
      <c r="AC2">
        <v>1000</v>
      </c>
      <c r="AD2">
        <v>1000</v>
      </c>
      <c r="AE2">
        <v>1000</v>
      </c>
      <c r="AF2">
        <v>1000</v>
      </c>
      <c r="AG2">
        <v>1000</v>
      </c>
      <c r="AH2">
        <v>1000</v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IF($A2="","",SUMIFS(Compta!$F$1:$F$675,Compta!$A$1:$A$675,"GRP",Compta!$B$1:$B$675,"6236",Compta!$C$1:$C$675,$A2))</f>
        <v>0</v>
      </c>
      <c r="AP2">
        <v>1000</v>
      </c>
      <c r="AQ2">
        <v>1000</v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IF(Allocation!D3="","",Allocation!I3)</f>
        <v/>
      </c>
      <c r="H3" t="str">
        <f>IF(Allocation!D3="","",Allocation!J3)</f>
        <v/>
      </c>
      <c r="I3" t="str">
        <f>IF(Allocation!D3="","",Allocation!K3)</f>
        <v/>
      </c>
      <c r="J3" t="str">
        <f>IF($A3="","",SUMIFS(Socle!$K$1:$K$175,Socle!$C$1:$C$175,$B3,Socle!$D$1:$D$175,$D3,Socle!$E$1:$E$175,$E3,Socle!$F$1:$F$175,$F3,Socle!$G$1:$G$175,$A3))</f>
        <v/>
      </c>
      <c r="K3" t="str">
        <f t="shared" si="0"/>
        <v/>
      </c>
      <c r="L3" t="str">
        <f>IF($A3="","",SUMIFS(Allocation!$I$1:$I$175,Allocation!$C$1:$C$175,$A3,Allocation!$D$1:$D$175,$B3))</f>
        <v/>
      </c>
      <c r="M3" t="str">
        <f>IF($A3="","",SUMIFS(Allocation!$J$1:$J$175,Allocation!$C$1:$C$175,$A3,Allocation!$D$1:$D$175,$B3))</f>
        <v/>
      </c>
      <c r="N3" t="str">
        <f>IF($A3="","",SUMIFS(Allocation!$K$1:$K$175,Allocation!$C$1:$C$175,$A3,Allocation!$D$1:$D$175,$B3))</f>
        <v/>
      </c>
      <c r="O3" t="str">
        <f t="shared" si="1"/>
        <v/>
      </c>
      <c r="P3" t="str">
        <f t="shared" si="2"/>
        <v/>
      </c>
      <c r="Q3" t="str">
        <f>IF($A3="","",SUMIFS(Allocation!$I$1:$I$175,Allocation!$C$1:$C$175,$A3,Allocation!$E$1:$E$175,$C3))</f>
        <v/>
      </c>
      <c r="R3" t="str">
        <f>IF($A3="","",SUMIFS(Allocation!$J$1:$J$175,Allocation!$C$1:$C$175,$A3,Allocation!$E$1:$E$175,$C3))</f>
        <v/>
      </c>
      <c r="S3" t="str">
        <f>IF($A3="","",SUMIFS(Allocation!$K$1:$K$175,Allocation!$C$1:$C$175,$A3,Allocation!$E$1:$E$175,$C3))</f>
        <v/>
      </c>
      <c r="T3" t="str">
        <f>IF($A3="","",SUMIFS(Allocation!$I$1:$I$175,Allocation!$C$1:$C$175,$A3))</f>
        <v/>
      </c>
      <c r="U3" t="str">
        <f>IF($A3="","",SUMIFS(Allocation!$J$1:$J$175,Allocation!$C$1:$C$175,$A3))</f>
        <v/>
      </c>
      <c r="V3" t="str">
        <f>IF($A3="","",SUMIFS(Allocation!$K$1:$K$175,Allocation!$C$1:$C$175,$A3))</f>
        <v/>
      </c>
      <c r="W3" t="str">
        <f>IF($A3="","",SUMIFS(Compta!$F$1:$F$675,Compta!$A$1:$A$675,$B3,Compta!$B$1:$B$675,"621",Compta!$C$1:$C$675,$A3))</f>
        <v/>
      </c>
      <c r="X3" t="str">
        <f>IF($A3="","",SUMIFS(Compta!$F$1:$F$675,Compta!$A$1:$A$675,$B3,Compta!$B$1:$B$675,"6411",Compta!$C$1:$C$675,$A3))</f>
        <v/>
      </c>
      <c r="Y3" t="str">
        <f>IF($A3="","",SUMIFS(Compta!$F$1:$F$675,Compta!$A$1:$A$675,$B3,Compta!$B$1:$B$675,"604",Compta!$C$1:$C$675,$A3)+SUMIFS(Compta!$F$1:$F$675,Compta!$A$1:$A$675,$B3,Compta!$B$1:$B$675,"6063",Compta!$C$1:$C$675,$A3))</f>
        <v/>
      </c>
      <c r="Z3" t="str">
        <f>IF($A3="","",SUMIFS(Compta!$F$1:$F$675,Compta!$A$1:$A$675,$B3,Compta!$B$1:$B$675,"6231",Compta!$C$1:$C$675,$A3))</f>
        <v/>
      </c>
      <c r="AA3" t="str">
        <f>IF($A3="","",SUMIFS(Compta!$F$1:$F$675,Compta!$A$1:$A$675,$B3,Compta!$B$1:$B$675,"6413",Compta!$C$1:$C$675,$A3)+SUMIFS(Compta!$F$1:$F$675,Compta!$A$1:$A$675,$B3,Compta!$B$1:$B$675,"645",Compta!$C$1:$C$675,$A3)+SUMIFS(Compta!$F$1:$F$675,Compta!$A$1:$A$675,$B3,Compta!$B$1:$B$675,"613",Compta!$C$1:$C$675,$A3)+SUMIFS(Compta!$F$1:$F$675,Compta!$A$1:$A$675,$B3,Compta!$B$1:$B$675,"615",Compta!$C$1:$C$675,$A3)+SUMIFS(Compta!$F$1:$F$675,Compta!$A$1:$A$675,$B3,Compta!$B$1:$B$675,"616",Compta!$C$1:$C$675,$A3)+SUMIFS(Compta!$F$1:$F$675,Compta!$A$1:$A$675,$B3,Compta!$B$1:$B$675,"625",Compta!$C$1:$C$675,$A3)+SUMIFS(Compta!$F$1:$F$675,Compta!$A$1:$A$675,$B3,Compta!$B$1:$B$675,"63511",Compta!$C$1:$C$675,$A3))</f>
        <v/>
      </c>
      <c r="AB3" t="str">
        <f>IF($A3="","",SUMIFS(Compta!$F$1:$F$675,Compta!$A$1:$A$675,"GRP",Compta!$B$1:$B$675,"6414",Compta!$C$1:$C$675,$A3)+SUMIFS(Compta!$F$1:$F$675,Compta!$A$1:$A$675,"GRP",Compta!$B$1:$B$675,"6226",Compta!$C$1:$C$675,$A3)+SUMIFS(Compta!$F$1:$F$675,Compta!$A$1:$A$675,"GRP",Compta!$B$1:$B$675,"626",Compta!$C$1:$C$675,$A3)+SUMIFS(Compta!$F$1:$F$675,Compta!$A$1:$A$675,"GRP",Compta!$B$1:$B$675,"6281",Compta!$C$1:$C$675,$A3)+SUMIFS(Compta!$F$1:$F$675,Compta!$A$1:$A$675,"GRP",Compta!$B$1:$B$675,"6331",Compta!$C$1:$C$675,$A3)+SUMIFS(Compta!$F$1:$F$675,Compta!$A$1:$A$675,"GRP",Compta!$B$1:$B$675,"6333",Compta!$C$1:$C$675,$A3))</f>
        <v/>
      </c>
      <c r="AC3" t="s">
        <v>297</v>
      </c>
      <c r="AD3" t="s">
        <v>297</v>
      </c>
      <c r="AE3" t="s">
        <v>297</v>
      </c>
      <c r="AF3" t="s">
        <v>297</v>
      </c>
      <c r="AG3" t="s">
        <v>297</v>
      </c>
      <c r="AH3" t="s">
        <v>297</v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 t="str">
        <f>IF($A3="","",SUMIFS(Compta!$F$1:$F$675,Compta!$A$1:$A$675,"GRP",Compta!$B$1:$B$675,"6236",Compta!$C$1:$C$675,$A3))</f>
        <v/>
      </c>
      <c r="AP3" t="s">
        <v>297</v>
      </c>
      <c r="AQ3" t="s">
        <v>297</v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IF(Allocation!D4="","",Allocation!I4)</f>
        <v/>
      </c>
      <c r="H4" t="str">
        <f>IF(Allocation!D4="","",Allocation!J4)</f>
        <v/>
      </c>
      <c r="I4" t="str">
        <f>IF(Allocation!D4="","",Allocation!K4)</f>
        <v/>
      </c>
      <c r="J4" t="str">
        <f>IF($A4="","",SUMIFS(Socle!$K$1:$K$175,Socle!$C$1:$C$175,$B4,Socle!$D$1:$D$175,$D4,Socle!$E$1:$E$175,$E4,Socle!$F$1:$F$175,$F4,Socle!$G$1:$G$175,$A4))</f>
        <v/>
      </c>
      <c r="K4" t="str">
        <f t="shared" si="0"/>
        <v/>
      </c>
      <c r="L4" t="str">
        <f>IF($A4="","",SUMIFS(Allocation!$I$1:$I$175,Allocation!$C$1:$C$175,$A4,Allocation!$D$1:$D$175,$B4))</f>
        <v/>
      </c>
      <c r="M4" t="str">
        <f>IF($A4="","",SUMIFS(Allocation!$J$1:$J$175,Allocation!$C$1:$C$175,$A4,Allocation!$D$1:$D$175,$B4))</f>
        <v/>
      </c>
      <c r="N4" t="str">
        <f>IF($A4="","",SUMIFS(Allocation!$K$1:$K$175,Allocation!$C$1:$C$175,$A4,Allocation!$D$1:$D$175,$B4))</f>
        <v/>
      </c>
      <c r="O4" t="str">
        <f t="shared" si="1"/>
        <v/>
      </c>
      <c r="P4" t="str">
        <f t="shared" si="2"/>
        <v/>
      </c>
      <c r="Q4" t="str">
        <f>IF($A4="","",SUMIFS(Allocation!$I$1:$I$175,Allocation!$C$1:$C$175,$A4,Allocation!$E$1:$E$175,$C4))</f>
        <v/>
      </c>
      <c r="R4" t="str">
        <f>IF($A4="","",SUMIFS(Allocation!$J$1:$J$175,Allocation!$C$1:$C$175,$A4,Allocation!$E$1:$E$175,$C4))</f>
        <v/>
      </c>
      <c r="S4" t="str">
        <f>IF($A4="","",SUMIFS(Allocation!$K$1:$K$175,Allocation!$C$1:$C$175,$A4,Allocation!$E$1:$E$175,$C4))</f>
        <v/>
      </c>
      <c r="T4" t="str">
        <f>IF($A4="","",SUMIFS(Allocation!$I$1:$I$175,Allocation!$C$1:$C$175,$A4))</f>
        <v/>
      </c>
      <c r="U4" t="str">
        <f>IF($A4="","",SUMIFS(Allocation!$J$1:$J$175,Allocation!$C$1:$C$175,$A4))</f>
        <v/>
      </c>
      <c r="V4" t="str">
        <f>IF($A4="","",SUMIFS(Allocation!$K$1:$K$175,Allocation!$C$1:$C$175,$A4))</f>
        <v/>
      </c>
      <c r="W4" t="str">
        <f>IF($A4="","",SUMIFS(Compta!$F$1:$F$675,Compta!$A$1:$A$675,$B4,Compta!$B$1:$B$675,"621",Compta!$C$1:$C$675,$A4))</f>
        <v/>
      </c>
      <c r="X4" t="str">
        <f>IF($A4="","",SUMIFS(Compta!$F$1:$F$675,Compta!$A$1:$A$675,$B4,Compta!$B$1:$B$675,"6411",Compta!$C$1:$C$675,$A4))</f>
        <v/>
      </c>
      <c r="Y4" t="str">
        <f>IF($A4="","",SUMIFS(Compta!$F$1:$F$675,Compta!$A$1:$A$675,$B4,Compta!$B$1:$B$675,"604",Compta!$C$1:$C$675,$A4)+SUMIFS(Compta!$F$1:$F$675,Compta!$A$1:$A$675,$B4,Compta!$B$1:$B$675,"6063",Compta!$C$1:$C$675,$A4))</f>
        <v/>
      </c>
      <c r="Z4" t="str">
        <f>IF($A4="","",SUMIFS(Compta!$F$1:$F$675,Compta!$A$1:$A$675,$B4,Compta!$B$1:$B$675,"6231",Compta!$C$1:$C$675,$A4))</f>
        <v/>
      </c>
      <c r="AA4" t="str">
        <f>IF($A4="","",SUMIFS(Compta!$F$1:$F$675,Compta!$A$1:$A$675,$B4,Compta!$B$1:$B$675,"6413",Compta!$C$1:$C$675,$A4)+SUMIFS(Compta!$F$1:$F$675,Compta!$A$1:$A$675,$B4,Compta!$B$1:$B$675,"645",Compta!$C$1:$C$675,$A4)+SUMIFS(Compta!$F$1:$F$675,Compta!$A$1:$A$675,$B4,Compta!$B$1:$B$675,"613",Compta!$C$1:$C$675,$A4)+SUMIFS(Compta!$F$1:$F$675,Compta!$A$1:$A$675,$B4,Compta!$B$1:$B$675,"615",Compta!$C$1:$C$675,$A4)+SUMIFS(Compta!$F$1:$F$675,Compta!$A$1:$A$675,$B4,Compta!$B$1:$B$675,"616",Compta!$C$1:$C$675,$A4)+SUMIFS(Compta!$F$1:$F$675,Compta!$A$1:$A$675,$B4,Compta!$B$1:$B$675,"625",Compta!$C$1:$C$675,$A4)+SUMIFS(Compta!$F$1:$F$675,Compta!$A$1:$A$675,$B4,Compta!$B$1:$B$675,"63511",Compta!$C$1:$C$675,$A4))</f>
        <v/>
      </c>
      <c r="AB4" t="str">
        <f>IF($A4="","",SUMIFS(Compta!$F$1:$F$675,Compta!$A$1:$A$675,"GRP",Compta!$B$1:$B$675,"6414",Compta!$C$1:$C$675,$A4)+SUMIFS(Compta!$F$1:$F$675,Compta!$A$1:$A$675,"GRP",Compta!$B$1:$B$675,"6226",Compta!$C$1:$C$675,$A4)+SUMIFS(Compta!$F$1:$F$675,Compta!$A$1:$A$675,"GRP",Compta!$B$1:$B$675,"626",Compta!$C$1:$C$675,$A4)+SUMIFS(Compta!$F$1:$F$675,Compta!$A$1:$A$675,"GRP",Compta!$B$1:$B$675,"6281",Compta!$C$1:$C$675,$A4)+SUMIFS(Compta!$F$1:$F$675,Compta!$A$1:$A$675,"GRP",Compta!$B$1:$B$675,"6331",Compta!$C$1:$C$675,$A4)+SUMIFS(Compta!$F$1:$F$675,Compta!$A$1:$A$675,"GRP",Compta!$B$1:$B$675,"6333",Compta!$C$1:$C$675,$A4))</f>
        <v/>
      </c>
      <c r="AC4" t="s">
        <v>297</v>
      </c>
      <c r="AD4" t="s">
        <v>297</v>
      </c>
      <c r="AE4" t="s">
        <v>297</v>
      </c>
      <c r="AF4" t="s">
        <v>297</v>
      </c>
      <c r="AG4" t="s">
        <v>297</v>
      </c>
      <c r="AH4" t="s">
        <v>297</v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 t="str">
        <f>IF($A4="","",SUMIFS(Compta!$F$1:$F$675,Compta!$A$1:$A$675,"GRP",Compta!$B$1:$B$675,"6236",Compta!$C$1:$C$675,$A4))</f>
        <v/>
      </c>
      <c r="AP4" t="s">
        <v>297</v>
      </c>
      <c r="AQ4" t="s">
        <v>297</v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IF(Allocation!D5="","",Allocation!I5)</f>
        <v/>
      </c>
      <c r="H5" t="str">
        <f>IF(Allocation!D5="","",Allocation!J5)</f>
        <v/>
      </c>
      <c r="I5" t="str">
        <f>IF(Allocation!D5="","",Allocation!K5)</f>
        <v/>
      </c>
      <c r="J5" t="str">
        <f>IF($A5="","",SUMIFS(Socle!$K$1:$K$175,Socle!$C$1:$C$175,$B5,Socle!$D$1:$D$175,$D5,Socle!$E$1:$E$175,$E5,Socle!$F$1:$F$175,$F5,Socle!$G$1:$G$175,$A5))</f>
        <v/>
      </c>
      <c r="K5" t="str">
        <f t="shared" si="0"/>
        <v/>
      </c>
      <c r="L5" t="str">
        <f>IF($A5="","",SUMIFS(Allocation!$I$1:$I$175,Allocation!$C$1:$C$175,$A5,Allocation!$D$1:$D$175,$B5))</f>
        <v/>
      </c>
      <c r="M5" t="str">
        <f>IF($A5="","",SUMIFS(Allocation!$J$1:$J$175,Allocation!$C$1:$C$175,$A5,Allocation!$D$1:$D$175,$B5))</f>
        <v/>
      </c>
      <c r="N5" t="str">
        <f>IF($A5="","",SUMIFS(Allocation!$K$1:$K$175,Allocation!$C$1:$C$175,$A5,Allocation!$D$1:$D$175,$B5))</f>
        <v/>
      </c>
      <c r="O5" t="str">
        <f t="shared" si="1"/>
        <v/>
      </c>
      <c r="P5" t="str">
        <f t="shared" si="2"/>
        <v/>
      </c>
      <c r="Q5" t="str">
        <f>IF($A5="","",SUMIFS(Allocation!$I$1:$I$175,Allocation!$C$1:$C$175,$A5,Allocation!$E$1:$E$175,$C5))</f>
        <v/>
      </c>
      <c r="R5" t="str">
        <f>IF($A5="","",SUMIFS(Allocation!$J$1:$J$175,Allocation!$C$1:$C$175,$A5,Allocation!$E$1:$E$175,$C5))</f>
        <v/>
      </c>
      <c r="S5" t="str">
        <f>IF($A5="","",SUMIFS(Allocation!$K$1:$K$175,Allocation!$C$1:$C$175,$A5,Allocation!$E$1:$E$175,$C5))</f>
        <v/>
      </c>
      <c r="T5" t="str">
        <f>IF($A5="","",SUMIFS(Allocation!$I$1:$I$175,Allocation!$C$1:$C$175,$A5))</f>
        <v/>
      </c>
      <c r="U5" t="str">
        <f>IF($A5="","",SUMIFS(Allocation!$J$1:$J$175,Allocation!$C$1:$C$175,$A5))</f>
        <v/>
      </c>
      <c r="V5" t="str">
        <f>IF($A5="","",SUMIFS(Allocation!$K$1:$K$175,Allocation!$C$1:$C$175,$A5))</f>
        <v/>
      </c>
      <c r="W5" t="str">
        <f>IF($A5="","",SUMIFS(Compta!$F$1:$F$675,Compta!$A$1:$A$675,$B5,Compta!$B$1:$B$675,"621",Compta!$C$1:$C$675,$A5))</f>
        <v/>
      </c>
      <c r="X5" t="str">
        <f>IF($A5="","",SUMIFS(Compta!$F$1:$F$675,Compta!$A$1:$A$675,$B5,Compta!$B$1:$B$675,"6411",Compta!$C$1:$C$675,$A5))</f>
        <v/>
      </c>
      <c r="Y5" t="str">
        <f>IF($A5="","",SUMIFS(Compta!$F$1:$F$675,Compta!$A$1:$A$675,$B5,Compta!$B$1:$B$675,"604",Compta!$C$1:$C$675,$A5)+SUMIFS(Compta!$F$1:$F$675,Compta!$A$1:$A$675,$B5,Compta!$B$1:$B$675,"6063",Compta!$C$1:$C$675,$A5))</f>
        <v/>
      </c>
      <c r="Z5" t="str">
        <f>IF($A5="","",SUMIFS(Compta!$F$1:$F$675,Compta!$A$1:$A$675,$B5,Compta!$B$1:$B$675,"6231",Compta!$C$1:$C$675,$A5))</f>
        <v/>
      </c>
      <c r="AA5" t="str">
        <f>IF($A5="","",SUMIFS(Compta!$F$1:$F$675,Compta!$A$1:$A$675,$B5,Compta!$B$1:$B$675,"6413",Compta!$C$1:$C$675,$A5)+SUMIFS(Compta!$F$1:$F$675,Compta!$A$1:$A$675,$B5,Compta!$B$1:$B$675,"645",Compta!$C$1:$C$675,$A5)+SUMIFS(Compta!$F$1:$F$675,Compta!$A$1:$A$675,$B5,Compta!$B$1:$B$675,"613",Compta!$C$1:$C$675,$A5)+SUMIFS(Compta!$F$1:$F$675,Compta!$A$1:$A$675,$B5,Compta!$B$1:$B$675,"615",Compta!$C$1:$C$675,$A5)+SUMIFS(Compta!$F$1:$F$675,Compta!$A$1:$A$675,$B5,Compta!$B$1:$B$675,"616",Compta!$C$1:$C$675,$A5)+SUMIFS(Compta!$F$1:$F$675,Compta!$A$1:$A$675,$B5,Compta!$B$1:$B$675,"625",Compta!$C$1:$C$675,$A5)+SUMIFS(Compta!$F$1:$F$675,Compta!$A$1:$A$675,$B5,Compta!$B$1:$B$675,"63511",Compta!$C$1:$C$675,$A5))</f>
        <v/>
      </c>
      <c r="AB5" t="str">
        <f>IF($A5="","",SUMIFS(Compta!$F$1:$F$675,Compta!$A$1:$A$675,"GRP",Compta!$B$1:$B$675,"6414",Compta!$C$1:$C$675,$A5)+SUMIFS(Compta!$F$1:$F$675,Compta!$A$1:$A$675,"GRP",Compta!$B$1:$B$675,"6226",Compta!$C$1:$C$675,$A5)+SUMIFS(Compta!$F$1:$F$675,Compta!$A$1:$A$675,"GRP",Compta!$B$1:$B$675,"626",Compta!$C$1:$C$675,$A5)+SUMIFS(Compta!$F$1:$F$675,Compta!$A$1:$A$675,"GRP",Compta!$B$1:$B$675,"6281",Compta!$C$1:$C$675,$A5)+SUMIFS(Compta!$F$1:$F$675,Compta!$A$1:$A$675,"GRP",Compta!$B$1:$B$675,"6331",Compta!$C$1:$C$675,$A5)+SUMIFS(Compta!$F$1:$F$675,Compta!$A$1:$A$675,"GRP",Compta!$B$1:$B$675,"6333",Compta!$C$1:$C$675,$A5))</f>
        <v/>
      </c>
      <c r="AC5" t="s">
        <v>297</v>
      </c>
      <c r="AD5" t="s">
        <v>297</v>
      </c>
      <c r="AE5" t="s">
        <v>297</v>
      </c>
      <c r="AF5" t="s">
        <v>297</v>
      </c>
      <c r="AG5" t="s">
        <v>297</v>
      </c>
      <c r="AH5" t="s">
        <v>297</v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 t="str">
        <f>IF($A5="","",SUMIFS(Compta!$F$1:$F$675,Compta!$A$1:$A$675,"GRP",Compta!$B$1:$B$675,"6236",Compta!$C$1:$C$675,$A5))</f>
        <v/>
      </c>
      <c r="AP5" t="s">
        <v>297</v>
      </c>
      <c r="AQ5" t="s">
        <v>297</v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IF(Allocation!D6="","",Allocation!I6)</f>
        <v/>
      </c>
      <c r="H6" t="str">
        <f>IF(Allocation!D6="","",Allocation!J6)</f>
        <v/>
      </c>
      <c r="I6" t="str">
        <f>IF(Allocation!D6="","",Allocation!K6)</f>
        <v/>
      </c>
      <c r="J6" t="str">
        <f>IF($A6="","",SUMIFS(Socle!$K$1:$K$175,Socle!$C$1:$C$175,$B6,Socle!$D$1:$D$175,$D6,Socle!$E$1:$E$175,$E6,Socle!$F$1:$F$175,$F6,Socle!$G$1:$G$175,$A6))</f>
        <v/>
      </c>
      <c r="K6" t="str">
        <f t="shared" si="0"/>
        <v/>
      </c>
      <c r="L6" t="str">
        <f>IF($A6="","",SUMIFS(Allocation!$I$1:$I$175,Allocation!$C$1:$C$175,$A6,Allocation!$D$1:$D$175,$B6))</f>
        <v/>
      </c>
      <c r="M6" t="str">
        <f>IF($A6="","",SUMIFS(Allocation!$J$1:$J$175,Allocation!$C$1:$C$175,$A6,Allocation!$D$1:$D$175,$B6))</f>
        <v/>
      </c>
      <c r="N6" t="str">
        <f>IF($A6="","",SUMIFS(Allocation!$K$1:$K$175,Allocation!$C$1:$C$175,$A6,Allocation!$D$1:$D$175,$B6))</f>
        <v/>
      </c>
      <c r="O6" t="str">
        <f t="shared" si="1"/>
        <v/>
      </c>
      <c r="P6" t="str">
        <f t="shared" si="2"/>
        <v/>
      </c>
      <c r="Q6" t="str">
        <f>IF($A6="","",SUMIFS(Allocation!$I$1:$I$175,Allocation!$C$1:$C$175,$A6,Allocation!$E$1:$E$175,$C6))</f>
        <v/>
      </c>
      <c r="R6" t="str">
        <f>IF($A6="","",SUMIFS(Allocation!$J$1:$J$175,Allocation!$C$1:$C$175,$A6,Allocation!$E$1:$E$175,$C6))</f>
        <v/>
      </c>
      <c r="S6" t="str">
        <f>IF($A6="","",SUMIFS(Allocation!$K$1:$K$175,Allocation!$C$1:$C$175,$A6,Allocation!$E$1:$E$175,$C6))</f>
        <v/>
      </c>
      <c r="T6" t="str">
        <f>IF($A6="","",SUMIFS(Allocation!$I$1:$I$175,Allocation!$C$1:$C$175,$A6))</f>
        <v/>
      </c>
      <c r="U6" t="str">
        <f>IF($A6="","",SUMIFS(Allocation!$J$1:$J$175,Allocation!$C$1:$C$175,$A6))</f>
        <v/>
      </c>
      <c r="V6" t="str">
        <f>IF($A6="","",SUMIFS(Allocation!$K$1:$K$175,Allocation!$C$1:$C$175,$A6))</f>
        <v/>
      </c>
      <c r="W6" t="str">
        <f>IF($A6="","",SUMIFS(Compta!$F$1:$F$675,Compta!$A$1:$A$675,$B6,Compta!$B$1:$B$675,"621",Compta!$C$1:$C$675,$A6))</f>
        <v/>
      </c>
      <c r="X6" t="str">
        <f>IF($A6="","",SUMIFS(Compta!$F$1:$F$675,Compta!$A$1:$A$675,$B6,Compta!$B$1:$B$675,"6411",Compta!$C$1:$C$675,$A6))</f>
        <v/>
      </c>
      <c r="Y6" t="str">
        <f>IF($A6="","",SUMIFS(Compta!$F$1:$F$675,Compta!$A$1:$A$675,$B6,Compta!$B$1:$B$675,"604",Compta!$C$1:$C$675,$A6)+SUMIFS(Compta!$F$1:$F$675,Compta!$A$1:$A$675,$B6,Compta!$B$1:$B$675,"6063",Compta!$C$1:$C$675,$A6))</f>
        <v/>
      </c>
      <c r="Z6" t="str">
        <f>IF($A6="","",SUMIFS(Compta!$F$1:$F$675,Compta!$A$1:$A$675,$B6,Compta!$B$1:$B$675,"6231",Compta!$C$1:$C$675,$A6))</f>
        <v/>
      </c>
      <c r="AA6" t="str">
        <f>IF($A6="","",SUMIFS(Compta!$F$1:$F$675,Compta!$A$1:$A$675,$B6,Compta!$B$1:$B$675,"6413",Compta!$C$1:$C$675,$A6)+SUMIFS(Compta!$F$1:$F$675,Compta!$A$1:$A$675,$B6,Compta!$B$1:$B$675,"645",Compta!$C$1:$C$675,$A6)+SUMIFS(Compta!$F$1:$F$675,Compta!$A$1:$A$675,$B6,Compta!$B$1:$B$675,"613",Compta!$C$1:$C$675,$A6)+SUMIFS(Compta!$F$1:$F$675,Compta!$A$1:$A$675,$B6,Compta!$B$1:$B$675,"615",Compta!$C$1:$C$675,$A6)+SUMIFS(Compta!$F$1:$F$675,Compta!$A$1:$A$675,$B6,Compta!$B$1:$B$675,"616",Compta!$C$1:$C$675,$A6)+SUMIFS(Compta!$F$1:$F$675,Compta!$A$1:$A$675,$B6,Compta!$B$1:$B$675,"625",Compta!$C$1:$C$675,$A6)+SUMIFS(Compta!$F$1:$F$675,Compta!$A$1:$A$675,$B6,Compta!$B$1:$B$675,"63511",Compta!$C$1:$C$675,$A6))</f>
        <v/>
      </c>
      <c r="AB6" t="str">
        <f>IF($A6="","",SUMIFS(Compta!$F$1:$F$675,Compta!$A$1:$A$675,"GRP",Compta!$B$1:$B$675,"6414",Compta!$C$1:$C$675,$A6)+SUMIFS(Compta!$F$1:$F$675,Compta!$A$1:$A$675,"GRP",Compta!$B$1:$B$675,"6226",Compta!$C$1:$C$675,$A6)+SUMIFS(Compta!$F$1:$F$675,Compta!$A$1:$A$675,"GRP",Compta!$B$1:$B$675,"626",Compta!$C$1:$C$675,$A6)+SUMIFS(Compta!$F$1:$F$675,Compta!$A$1:$A$675,"GRP",Compta!$B$1:$B$675,"6281",Compta!$C$1:$C$675,$A6)+SUMIFS(Compta!$F$1:$F$675,Compta!$A$1:$A$675,"GRP",Compta!$B$1:$B$675,"6331",Compta!$C$1:$C$675,$A6)+SUMIFS(Compta!$F$1:$F$675,Compta!$A$1:$A$675,"GRP",Compta!$B$1:$B$675,"6333",Compta!$C$1:$C$675,$A6))</f>
        <v/>
      </c>
      <c r="AC6" t="s">
        <v>297</v>
      </c>
      <c r="AD6" t="s">
        <v>297</v>
      </c>
      <c r="AE6" t="s">
        <v>297</v>
      </c>
      <c r="AF6" t="s">
        <v>297</v>
      </c>
      <c r="AG6" t="s">
        <v>297</v>
      </c>
      <c r="AH6" t="s">
        <v>297</v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 t="str">
        <f>IF($A6="","",SUMIFS(Compta!$F$1:$F$675,Compta!$A$1:$A$675,"GRP",Compta!$B$1:$B$675,"6236",Compta!$C$1:$C$675,$A6))</f>
        <v/>
      </c>
      <c r="AP6" t="s">
        <v>297</v>
      </c>
      <c r="AQ6" t="s">
        <v>297</v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IF(Allocation!D7="","",Allocation!I7)</f>
        <v/>
      </c>
      <c r="H7" t="str">
        <f>IF(Allocation!D7="","",Allocation!J7)</f>
        <v/>
      </c>
      <c r="I7" t="str">
        <f>IF(Allocation!D7="","",Allocation!K7)</f>
        <v/>
      </c>
      <c r="J7" t="str">
        <f>IF($A7="","",SUMIFS(Socle!$K$1:$K$175,Socle!$C$1:$C$175,$B7,Socle!$D$1:$D$175,$D7,Socle!$E$1:$E$175,$E7,Socle!$F$1:$F$175,$F7,Socle!$G$1:$G$175,$A7))</f>
        <v/>
      </c>
      <c r="K7" t="str">
        <f t="shared" si="0"/>
        <v/>
      </c>
      <c r="L7" t="str">
        <f>IF($A7="","",SUMIFS(Allocation!$I$1:$I$175,Allocation!$C$1:$C$175,$A7,Allocation!$D$1:$D$175,$B7))</f>
        <v/>
      </c>
      <c r="M7" t="str">
        <f>IF($A7="","",SUMIFS(Allocation!$J$1:$J$175,Allocation!$C$1:$C$175,$A7,Allocation!$D$1:$D$175,$B7))</f>
        <v/>
      </c>
      <c r="N7" t="str">
        <f>IF($A7="","",SUMIFS(Allocation!$K$1:$K$175,Allocation!$C$1:$C$175,$A7,Allocation!$D$1:$D$175,$B7))</f>
        <v/>
      </c>
      <c r="O7" t="str">
        <f t="shared" si="1"/>
        <v/>
      </c>
      <c r="P7" t="str">
        <f t="shared" si="2"/>
        <v/>
      </c>
      <c r="Q7" t="str">
        <f>IF($A7="","",SUMIFS(Allocation!$I$1:$I$175,Allocation!$C$1:$C$175,$A7,Allocation!$E$1:$E$175,$C7))</f>
        <v/>
      </c>
      <c r="R7" t="str">
        <f>IF($A7="","",SUMIFS(Allocation!$J$1:$J$175,Allocation!$C$1:$C$175,$A7,Allocation!$E$1:$E$175,$C7))</f>
        <v/>
      </c>
      <c r="S7" t="str">
        <f>IF($A7="","",SUMIFS(Allocation!$K$1:$K$175,Allocation!$C$1:$C$175,$A7,Allocation!$E$1:$E$175,$C7))</f>
        <v/>
      </c>
      <c r="T7" t="str">
        <f>IF($A7="","",SUMIFS(Allocation!$I$1:$I$175,Allocation!$C$1:$C$175,$A7))</f>
        <v/>
      </c>
      <c r="U7" t="str">
        <f>IF($A7="","",SUMIFS(Allocation!$J$1:$J$175,Allocation!$C$1:$C$175,$A7))</f>
        <v/>
      </c>
      <c r="V7" t="str">
        <f>IF($A7="","",SUMIFS(Allocation!$K$1:$K$175,Allocation!$C$1:$C$175,$A7))</f>
        <v/>
      </c>
      <c r="W7" t="str">
        <f>IF($A7="","",SUMIFS(Compta!$F$1:$F$675,Compta!$A$1:$A$675,$B7,Compta!$B$1:$B$675,"621",Compta!$C$1:$C$675,$A7))</f>
        <v/>
      </c>
      <c r="X7" t="str">
        <f>IF($A7="","",SUMIFS(Compta!$F$1:$F$675,Compta!$A$1:$A$675,$B7,Compta!$B$1:$B$675,"6411",Compta!$C$1:$C$675,$A7))</f>
        <v/>
      </c>
      <c r="Y7" t="str">
        <f>IF($A7="","",SUMIFS(Compta!$F$1:$F$675,Compta!$A$1:$A$675,$B7,Compta!$B$1:$B$675,"604",Compta!$C$1:$C$675,$A7)+SUMIFS(Compta!$F$1:$F$675,Compta!$A$1:$A$675,$B7,Compta!$B$1:$B$675,"6063",Compta!$C$1:$C$675,$A7))</f>
        <v/>
      </c>
      <c r="Z7" t="str">
        <f>IF($A7="","",SUMIFS(Compta!$F$1:$F$675,Compta!$A$1:$A$675,$B7,Compta!$B$1:$B$675,"6231",Compta!$C$1:$C$675,$A7))</f>
        <v/>
      </c>
      <c r="AA7" t="str">
        <f>IF($A7="","",SUMIFS(Compta!$F$1:$F$675,Compta!$A$1:$A$675,$B7,Compta!$B$1:$B$675,"6413",Compta!$C$1:$C$675,$A7)+SUMIFS(Compta!$F$1:$F$675,Compta!$A$1:$A$675,$B7,Compta!$B$1:$B$675,"645",Compta!$C$1:$C$675,$A7)+SUMIFS(Compta!$F$1:$F$675,Compta!$A$1:$A$675,$B7,Compta!$B$1:$B$675,"613",Compta!$C$1:$C$675,$A7)+SUMIFS(Compta!$F$1:$F$675,Compta!$A$1:$A$675,$B7,Compta!$B$1:$B$675,"615",Compta!$C$1:$C$675,$A7)+SUMIFS(Compta!$F$1:$F$675,Compta!$A$1:$A$675,$B7,Compta!$B$1:$B$675,"616",Compta!$C$1:$C$675,$A7)+SUMIFS(Compta!$F$1:$F$675,Compta!$A$1:$A$675,$B7,Compta!$B$1:$B$675,"625",Compta!$C$1:$C$675,$A7)+SUMIFS(Compta!$F$1:$F$675,Compta!$A$1:$A$675,$B7,Compta!$B$1:$B$675,"63511",Compta!$C$1:$C$675,$A7))</f>
        <v/>
      </c>
      <c r="AB7" t="str">
        <f>IF($A7="","",SUMIFS(Compta!$F$1:$F$675,Compta!$A$1:$A$675,"GRP",Compta!$B$1:$B$675,"6414",Compta!$C$1:$C$675,$A7)+SUMIFS(Compta!$F$1:$F$675,Compta!$A$1:$A$675,"GRP",Compta!$B$1:$B$675,"6226",Compta!$C$1:$C$675,$A7)+SUMIFS(Compta!$F$1:$F$675,Compta!$A$1:$A$675,"GRP",Compta!$B$1:$B$675,"626",Compta!$C$1:$C$675,$A7)+SUMIFS(Compta!$F$1:$F$675,Compta!$A$1:$A$675,"GRP",Compta!$B$1:$B$675,"6281",Compta!$C$1:$C$675,$A7)+SUMIFS(Compta!$F$1:$F$675,Compta!$A$1:$A$675,"GRP",Compta!$B$1:$B$675,"6331",Compta!$C$1:$C$675,$A7)+SUMIFS(Compta!$F$1:$F$675,Compta!$A$1:$A$675,"GRP",Compta!$B$1:$B$675,"6333",Compta!$C$1:$C$675,$A7))</f>
        <v/>
      </c>
      <c r="AC7" t="s">
        <v>297</v>
      </c>
      <c r="AD7" t="s">
        <v>297</v>
      </c>
      <c r="AE7" t="s">
        <v>297</v>
      </c>
      <c r="AF7" t="s">
        <v>297</v>
      </c>
      <c r="AG7" t="s">
        <v>297</v>
      </c>
      <c r="AH7" t="s">
        <v>297</v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 t="str">
        <f>IF($A7="","",SUMIFS(Compta!$F$1:$F$675,Compta!$A$1:$A$675,"GRP",Compta!$B$1:$B$675,"6236",Compta!$C$1:$C$675,$A7))</f>
        <v/>
      </c>
      <c r="AP7" t="s">
        <v>297</v>
      </c>
      <c r="AQ7" t="s">
        <v>297</v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IF(Allocation!D8="","",Allocation!I8)</f>
        <v/>
      </c>
      <c r="H8" t="str">
        <f>IF(Allocation!D8="","",Allocation!J8)</f>
        <v/>
      </c>
      <c r="I8" t="str">
        <f>IF(Allocation!D8="","",Allocation!K8)</f>
        <v/>
      </c>
      <c r="J8" t="str">
        <f>IF($A8="","",SUMIFS(Socle!$K$1:$K$175,Socle!$C$1:$C$175,$B8,Socle!$D$1:$D$175,$D8,Socle!$E$1:$E$175,$E8,Socle!$F$1:$F$175,$F8,Socle!$G$1:$G$175,$A8))</f>
        <v/>
      </c>
      <c r="K8" t="str">
        <f t="shared" si="0"/>
        <v/>
      </c>
      <c r="L8" t="str">
        <f>IF($A8="","",SUMIFS(Allocation!$I$1:$I$175,Allocation!$C$1:$C$175,$A8,Allocation!$D$1:$D$175,$B8))</f>
        <v/>
      </c>
      <c r="M8" t="str">
        <f>IF($A8="","",SUMIFS(Allocation!$J$1:$J$175,Allocation!$C$1:$C$175,$A8,Allocation!$D$1:$D$175,$B8))</f>
        <v/>
      </c>
      <c r="N8" t="str">
        <f>IF($A8="","",SUMIFS(Allocation!$K$1:$K$175,Allocation!$C$1:$C$175,$A8,Allocation!$D$1:$D$175,$B8))</f>
        <v/>
      </c>
      <c r="O8" t="str">
        <f t="shared" si="1"/>
        <v/>
      </c>
      <c r="P8" t="str">
        <f t="shared" si="2"/>
        <v/>
      </c>
      <c r="Q8" t="str">
        <f>IF($A8="","",SUMIFS(Allocation!$I$1:$I$175,Allocation!$C$1:$C$175,$A8,Allocation!$E$1:$E$175,$C8))</f>
        <v/>
      </c>
      <c r="R8" t="str">
        <f>IF($A8="","",SUMIFS(Allocation!$J$1:$J$175,Allocation!$C$1:$C$175,$A8,Allocation!$E$1:$E$175,$C8))</f>
        <v/>
      </c>
      <c r="S8" t="str">
        <f>IF($A8="","",SUMIFS(Allocation!$K$1:$K$175,Allocation!$C$1:$C$175,$A8,Allocation!$E$1:$E$175,$C8))</f>
        <v/>
      </c>
      <c r="T8" t="str">
        <f>IF($A8="","",SUMIFS(Allocation!$I$1:$I$175,Allocation!$C$1:$C$175,$A8))</f>
        <v/>
      </c>
      <c r="U8" t="str">
        <f>IF($A8="","",SUMIFS(Allocation!$J$1:$J$175,Allocation!$C$1:$C$175,$A8))</f>
        <v/>
      </c>
      <c r="V8" t="str">
        <f>IF($A8="","",SUMIFS(Allocation!$K$1:$K$175,Allocation!$C$1:$C$175,$A8))</f>
        <v/>
      </c>
      <c r="W8" t="str">
        <f>IF($A8="","",SUMIFS(Compta!$F$1:$F$675,Compta!$A$1:$A$675,$B8,Compta!$B$1:$B$675,"621",Compta!$C$1:$C$675,$A8))</f>
        <v/>
      </c>
      <c r="X8" t="str">
        <f>IF($A8="","",SUMIFS(Compta!$F$1:$F$675,Compta!$A$1:$A$675,$B8,Compta!$B$1:$B$675,"6411",Compta!$C$1:$C$675,$A8))</f>
        <v/>
      </c>
      <c r="Y8" t="str">
        <f>IF($A8="","",SUMIFS(Compta!$F$1:$F$675,Compta!$A$1:$A$675,$B8,Compta!$B$1:$B$675,"604",Compta!$C$1:$C$675,$A8)+SUMIFS(Compta!$F$1:$F$675,Compta!$A$1:$A$675,$B8,Compta!$B$1:$B$675,"6063",Compta!$C$1:$C$675,$A8))</f>
        <v/>
      </c>
      <c r="Z8" t="str">
        <f>IF($A8="","",SUMIFS(Compta!$F$1:$F$675,Compta!$A$1:$A$675,$B8,Compta!$B$1:$B$675,"6231",Compta!$C$1:$C$675,$A8))</f>
        <v/>
      </c>
      <c r="AA8" t="str">
        <f>IF($A8="","",SUMIFS(Compta!$F$1:$F$675,Compta!$A$1:$A$675,$B8,Compta!$B$1:$B$675,"6413",Compta!$C$1:$C$675,$A8)+SUMIFS(Compta!$F$1:$F$675,Compta!$A$1:$A$675,$B8,Compta!$B$1:$B$675,"645",Compta!$C$1:$C$675,$A8)+SUMIFS(Compta!$F$1:$F$675,Compta!$A$1:$A$675,$B8,Compta!$B$1:$B$675,"613",Compta!$C$1:$C$675,$A8)+SUMIFS(Compta!$F$1:$F$675,Compta!$A$1:$A$675,$B8,Compta!$B$1:$B$675,"615",Compta!$C$1:$C$675,$A8)+SUMIFS(Compta!$F$1:$F$675,Compta!$A$1:$A$675,$B8,Compta!$B$1:$B$675,"616",Compta!$C$1:$C$675,$A8)+SUMIFS(Compta!$F$1:$F$675,Compta!$A$1:$A$675,$B8,Compta!$B$1:$B$675,"625",Compta!$C$1:$C$675,$A8)+SUMIFS(Compta!$F$1:$F$675,Compta!$A$1:$A$675,$B8,Compta!$B$1:$B$675,"63511",Compta!$C$1:$C$675,$A8))</f>
        <v/>
      </c>
      <c r="AB8" t="str">
        <f>IF($A8="","",SUMIFS(Compta!$F$1:$F$675,Compta!$A$1:$A$675,"GRP",Compta!$B$1:$B$675,"6414",Compta!$C$1:$C$675,$A8)+SUMIFS(Compta!$F$1:$F$675,Compta!$A$1:$A$675,"GRP",Compta!$B$1:$B$675,"6226",Compta!$C$1:$C$675,$A8)+SUMIFS(Compta!$F$1:$F$675,Compta!$A$1:$A$675,"GRP",Compta!$B$1:$B$675,"626",Compta!$C$1:$C$675,$A8)+SUMIFS(Compta!$F$1:$F$675,Compta!$A$1:$A$675,"GRP",Compta!$B$1:$B$675,"6281",Compta!$C$1:$C$675,$A8)+SUMIFS(Compta!$F$1:$F$675,Compta!$A$1:$A$675,"GRP",Compta!$B$1:$B$675,"6331",Compta!$C$1:$C$675,$A8)+SUMIFS(Compta!$F$1:$F$675,Compta!$A$1:$A$675,"GRP",Compta!$B$1:$B$675,"6333",Compta!$C$1:$C$675,$A8))</f>
        <v/>
      </c>
      <c r="AC8" t="s">
        <v>297</v>
      </c>
      <c r="AD8" t="s">
        <v>297</v>
      </c>
      <c r="AE8" t="s">
        <v>297</v>
      </c>
      <c r="AF8" t="s">
        <v>297</v>
      </c>
      <c r="AG8" t="s">
        <v>297</v>
      </c>
      <c r="AH8" t="s">
        <v>297</v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 t="str">
        <f>IF($A8="","",SUMIFS(Compta!$F$1:$F$675,Compta!$A$1:$A$675,"GRP",Compta!$B$1:$B$675,"6236",Compta!$C$1:$C$675,$A8))</f>
        <v/>
      </c>
      <c r="AP8" t="s">
        <v>297</v>
      </c>
      <c r="AQ8" t="s">
        <v>297</v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IF(Allocation!D9="","",Allocation!I9)</f>
        <v/>
      </c>
      <c r="H9" t="str">
        <f>IF(Allocation!D9="","",Allocation!J9)</f>
        <v/>
      </c>
      <c r="I9" t="str">
        <f>IF(Allocation!D9="","",Allocation!K9)</f>
        <v/>
      </c>
      <c r="J9" t="str">
        <f>IF($A9="","",SUMIFS(Socle!$K$1:$K$175,Socle!$C$1:$C$175,$B9,Socle!$D$1:$D$175,$D9,Socle!$E$1:$E$175,$E9,Socle!$F$1:$F$175,$F9,Socle!$G$1:$G$175,$A9))</f>
        <v/>
      </c>
      <c r="K9" t="str">
        <f t="shared" si="0"/>
        <v/>
      </c>
      <c r="L9" t="str">
        <f>IF($A9="","",SUMIFS(Allocation!$I$1:$I$175,Allocation!$C$1:$C$175,$A9,Allocation!$D$1:$D$175,$B9))</f>
        <v/>
      </c>
      <c r="M9" t="str">
        <f>IF($A9="","",SUMIFS(Allocation!$J$1:$J$175,Allocation!$C$1:$C$175,$A9,Allocation!$D$1:$D$175,$B9))</f>
        <v/>
      </c>
      <c r="N9" t="str">
        <f>IF($A9="","",SUMIFS(Allocation!$K$1:$K$175,Allocation!$C$1:$C$175,$A9,Allocation!$D$1:$D$175,$B9))</f>
        <v/>
      </c>
      <c r="O9" t="str">
        <f t="shared" si="1"/>
        <v/>
      </c>
      <c r="P9" t="str">
        <f t="shared" si="2"/>
        <v/>
      </c>
      <c r="Q9" t="str">
        <f>IF($A9="","",SUMIFS(Allocation!$I$1:$I$175,Allocation!$C$1:$C$175,$A9,Allocation!$E$1:$E$175,$C9))</f>
        <v/>
      </c>
      <c r="R9" t="str">
        <f>IF($A9="","",SUMIFS(Allocation!$J$1:$J$175,Allocation!$C$1:$C$175,$A9,Allocation!$E$1:$E$175,$C9))</f>
        <v/>
      </c>
      <c r="S9" t="str">
        <f>IF($A9="","",SUMIFS(Allocation!$K$1:$K$175,Allocation!$C$1:$C$175,$A9,Allocation!$E$1:$E$175,$C9))</f>
        <v/>
      </c>
      <c r="T9" t="str">
        <f>IF($A9="","",SUMIFS(Allocation!$I$1:$I$175,Allocation!$C$1:$C$175,$A9))</f>
        <v/>
      </c>
      <c r="U9" t="str">
        <f>IF($A9="","",SUMIFS(Allocation!$J$1:$J$175,Allocation!$C$1:$C$175,$A9))</f>
        <v/>
      </c>
      <c r="V9" t="str">
        <f>IF($A9="","",SUMIFS(Allocation!$K$1:$K$175,Allocation!$C$1:$C$175,$A9))</f>
        <v/>
      </c>
      <c r="W9" t="str">
        <f>IF($A9="","",SUMIFS(Compta!$F$1:$F$675,Compta!$A$1:$A$675,$B9,Compta!$B$1:$B$675,"621",Compta!$C$1:$C$675,$A9))</f>
        <v/>
      </c>
      <c r="X9" t="str">
        <f>IF($A9="","",SUMIFS(Compta!$F$1:$F$675,Compta!$A$1:$A$675,$B9,Compta!$B$1:$B$675,"6411",Compta!$C$1:$C$675,$A9))</f>
        <v/>
      </c>
      <c r="Y9" t="str">
        <f>IF($A9="","",SUMIFS(Compta!$F$1:$F$675,Compta!$A$1:$A$675,$B9,Compta!$B$1:$B$675,"604",Compta!$C$1:$C$675,$A9)+SUMIFS(Compta!$F$1:$F$675,Compta!$A$1:$A$675,$B9,Compta!$B$1:$B$675,"6063",Compta!$C$1:$C$675,$A9))</f>
        <v/>
      </c>
      <c r="Z9" t="str">
        <f>IF($A9="","",SUMIFS(Compta!$F$1:$F$675,Compta!$A$1:$A$675,$B9,Compta!$B$1:$B$675,"6231",Compta!$C$1:$C$675,$A9))</f>
        <v/>
      </c>
      <c r="AA9" t="str">
        <f>IF($A9="","",SUMIFS(Compta!$F$1:$F$675,Compta!$A$1:$A$675,$B9,Compta!$B$1:$B$675,"6413",Compta!$C$1:$C$675,$A9)+SUMIFS(Compta!$F$1:$F$675,Compta!$A$1:$A$675,$B9,Compta!$B$1:$B$675,"645",Compta!$C$1:$C$675,$A9)+SUMIFS(Compta!$F$1:$F$675,Compta!$A$1:$A$675,$B9,Compta!$B$1:$B$675,"613",Compta!$C$1:$C$675,$A9)+SUMIFS(Compta!$F$1:$F$675,Compta!$A$1:$A$675,$B9,Compta!$B$1:$B$675,"615",Compta!$C$1:$C$675,$A9)+SUMIFS(Compta!$F$1:$F$675,Compta!$A$1:$A$675,$B9,Compta!$B$1:$B$675,"616",Compta!$C$1:$C$675,$A9)+SUMIFS(Compta!$F$1:$F$675,Compta!$A$1:$A$675,$B9,Compta!$B$1:$B$675,"625",Compta!$C$1:$C$675,$A9)+SUMIFS(Compta!$F$1:$F$675,Compta!$A$1:$A$675,$B9,Compta!$B$1:$B$675,"63511",Compta!$C$1:$C$675,$A9))</f>
        <v/>
      </c>
      <c r="AB9" t="str">
        <f>IF($A9="","",SUMIFS(Compta!$F$1:$F$675,Compta!$A$1:$A$675,"GRP",Compta!$B$1:$B$675,"6414",Compta!$C$1:$C$675,$A9)+SUMIFS(Compta!$F$1:$F$675,Compta!$A$1:$A$675,"GRP",Compta!$B$1:$B$675,"6226",Compta!$C$1:$C$675,$A9)+SUMIFS(Compta!$F$1:$F$675,Compta!$A$1:$A$675,"GRP",Compta!$B$1:$B$675,"626",Compta!$C$1:$C$675,$A9)+SUMIFS(Compta!$F$1:$F$675,Compta!$A$1:$A$675,"GRP",Compta!$B$1:$B$675,"6281",Compta!$C$1:$C$675,$A9)+SUMIFS(Compta!$F$1:$F$675,Compta!$A$1:$A$675,"GRP",Compta!$B$1:$B$675,"6331",Compta!$C$1:$C$675,$A9)+SUMIFS(Compta!$F$1:$F$675,Compta!$A$1:$A$675,"GRP",Compta!$B$1:$B$675,"6333",Compta!$C$1:$C$675,$A9))</f>
        <v/>
      </c>
      <c r="AC9" t="s">
        <v>297</v>
      </c>
      <c r="AD9" t="s">
        <v>297</v>
      </c>
      <c r="AE9" t="s">
        <v>297</v>
      </c>
      <c r="AF9" t="s">
        <v>297</v>
      </c>
      <c r="AG9" t="s">
        <v>297</v>
      </c>
      <c r="AH9" t="s">
        <v>297</v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 t="str">
        <f>IF($A9="","",SUMIFS(Compta!$F$1:$F$675,Compta!$A$1:$A$675,"GRP",Compta!$B$1:$B$675,"6236",Compta!$C$1:$C$675,$A9))</f>
        <v/>
      </c>
      <c r="AP9" t="s">
        <v>297</v>
      </c>
      <c r="AQ9" t="s">
        <v>297</v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IF(Allocation!D10="","",Allocation!I10)</f>
        <v/>
      </c>
      <c r="H10" t="str">
        <f>IF(Allocation!D10="","",Allocation!J10)</f>
        <v/>
      </c>
      <c r="I10" t="str">
        <f>IF(Allocation!D10="","",Allocation!K10)</f>
        <v/>
      </c>
      <c r="J10" t="str">
        <f>IF($A10="","",SUMIFS(Socle!$K$1:$K$175,Socle!$C$1:$C$175,$B10,Socle!$D$1:$D$175,$D10,Socle!$E$1:$E$175,$E10,Socle!$F$1:$F$175,$F10,Socle!$G$1:$G$175,$A10))</f>
        <v/>
      </c>
      <c r="K10" t="str">
        <f t="shared" si="0"/>
        <v/>
      </c>
      <c r="L10" t="str">
        <f>IF($A10="","",SUMIFS(Allocation!$I$1:$I$175,Allocation!$C$1:$C$175,$A10,Allocation!$D$1:$D$175,$B10))</f>
        <v/>
      </c>
      <c r="M10" t="str">
        <f>IF($A10="","",SUMIFS(Allocation!$J$1:$J$175,Allocation!$C$1:$C$175,$A10,Allocation!$D$1:$D$175,$B10))</f>
        <v/>
      </c>
      <c r="N10" t="str">
        <f>IF($A10="","",SUMIFS(Allocation!$K$1:$K$175,Allocation!$C$1:$C$175,$A10,Allocation!$D$1:$D$175,$B10))</f>
        <v/>
      </c>
      <c r="O10" t="str">
        <f t="shared" si="1"/>
        <v/>
      </c>
      <c r="P10" t="str">
        <f t="shared" si="2"/>
        <v/>
      </c>
      <c r="Q10" t="str">
        <f>IF($A10="","",SUMIFS(Allocation!$I$1:$I$175,Allocation!$C$1:$C$175,$A10,Allocation!$E$1:$E$175,$C10))</f>
        <v/>
      </c>
      <c r="R10" t="str">
        <f>IF($A10="","",SUMIFS(Allocation!$J$1:$J$175,Allocation!$C$1:$C$175,$A10,Allocation!$E$1:$E$175,$C10))</f>
        <v/>
      </c>
      <c r="S10" t="str">
        <f>IF($A10="","",SUMIFS(Allocation!$K$1:$K$175,Allocation!$C$1:$C$175,$A10,Allocation!$E$1:$E$175,$C10))</f>
        <v/>
      </c>
      <c r="T10" t="str">
        <f>IF($A10="","",SUMIFS(Allocation!$I$1:$I$175,Allocation!$C$1:$C$175,$A10))</f>
        <v/>
      </c>
      <c r="U10" t="str">
        <f>IF($A10="","",SUMIFS(Allocation!$J$1:$J$175,Allocation!$C$1:$C$175,$A10))</f>
        <v/>
      </c>
      <c r="V10" t="str">
        <f>IF($A10="","",SUMIFS(Allocation!$K$1:$K$175,Allocation!$C$1:$C$175,$A10))</f>
        <v/>
      </c>
      <c r="W10" t="str">
        <f>IF($A10="","",SUMIFS(Compta!$F$1:$F$675,Compta!$A$1:$A$675,$B10,Compta!$B$1:$B$675,"621",Compta!$C$1:$C$675,$A10))</f>
        <v/>
      </c>
      <c r="X10" t="str">
        <f>IF($A10="","",SUMIFS(Compta!$F$1:$F$675,Compta!$A$1:$A$675,$B10,Compta!$B$1:$B$675,"6411",Compta!$C$1:$C$675,$A10))</f>
        <v/>
      </c>
      <c r="Y10" t="str">
        <f>IF($A10="","",SUMIFS(Compta!$F$1:$F$675,Compta!$A$1:$A$675,$B10,Compta!$B$1:$B$675,"604",Compta!$C$1:$C$675,$A10)+SUMIFS(Compta!$F$1:$F$675,Compta!$A$1:$A$675,$B10,Compta!$B$1:$B$675,"6063",Compta!$C$1:$C$675,$A10))</f>
        <v/>
      </c>
      <c r="Z10" t="str">
        <f>IF($A10="","",SUMIFS(Compta!$F$1:$F$675,Compta!$A$1:$A$675,$B10,Compta!$B$1:$B$675,"6231",Compta!$C$1:$C$675,$A10))</f>
        <v/>
      </c>
      <c r="AA10" t="str">
        <f>IF($A10="","",SUMIFS(Compta!$F$1:$F$675,Compta!$A$1:$A$675,$B10,Compta!$B$1:$B$675,"6413",Compta!$C$1:$C$675,$A10)+SUMIFS(Compta!$F$1:$F$675,Compta!$A$1:$A$675,$B10,Compta!$B$1:$B$675,"645",Compta!$C$1:$C$675,$A10)+SUMIFS(Compta!$F$1:$F$675,Compta!$A$1:$A$675,$B10,Compta!$B$1:$B$675,"613",Compta!$C$1:$C$675,$A10)+SUMIFS(Compta!$F$1:$F$675,Compta!$A$1:$A$675,$B10,Compta!$B$1:$B$675,"615",Compta!$C$1:$C$675,$A10)+SUMIFS(Compta!$F$1:$F$675,Compta!$A$1:$A$675,$B10,Compta!$B$1:$B$675,"616",Compta!$C$1:$C$675,$A10)+SUMIFS(Compta!$F$1:$F$675,Compta!$A$1:$A$675,$B10,Compta!$B$1:$B$675,"625",Compta!$C$1:$C$675,$A10)+SUMIFS(Compta!$F$1:$F$675,Compta!$A$1:$A$675,$B10,Compta!$B$1:$B$675,"63511",Compta!$C$1:$C$675,$A10))</f>
        <v/>
      </c>
      <c r="AB10" t="str">
        <f>IF($A10="","",SUMIFS(Compta!$F$1:$F$675,Compta!$A$1:$A$675,"GRP",Compta!$B$1:$B$675,"6414",Compta!$C$1:$C$675,$A10)+SUMIFS(Compta!$F$1:$F$675,Compta!$A$1:$A$675,"GRP",Compta!$B$1:$B$675,"6226",Compta!$C$1:$C$675,$A10)+SUMIFS(Compta!$F$1:$F$675,Compta!$A$1:$A$675,"GRP",Compta!$B$1:$B$675,"626",Compta!$C$1:$C$675,$A10)+SUMIFS(Compta!$F$1:$F$675,Compta!$A$1:$A$675,"GRP",Compta!$B$1:$B$675,"6281",Compta!$C$1:$C$675,$A10)+SUMIFS(Compta!$F$1:$F$675,Compta!$A$1:$A$675,"GRP",Compta!$B$1:$B$675,"6331",Compta!$C$1:$C$675,$A10)+SUMIFS(Compta!$F$1:$F$675,Compta!$A$1:$A$675,"GRP",Compta!$B$1:$B$675,"6333",Compta!$C$1:$C$675,$A10))</f>
        <v/>
      </c>
      <c r="AC10" t="s">
        <v>297</v>
      </c>
      <c r="AD10" t="s">
        <v>297</v>
      </c>
      <c r="AE10" t="s">
        <v>297</v>
      </c>
      <c r="AF10" t="s">
        <v>297</v>
      </c>
      <c r="AG10" t="s">
        <v>297</v>
      </c>
      <c r="AH10" t="s">
        <v>297</v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 t="str">
        <f>IF($A10="","",SUMIFS(Compta!$F$1:$F$675,Compta!$A$1:$A$675,"GRP",Compta!$B$1:$B$675,"6236",Compta!$C$1:$C$675,$A10))</f>
        <v/>
      </c>
      <c r="AP10" t="s">
        <v>297</v>
      </c>
      <c r="AQ10" t="s">
        <v>297</v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IF(Allocation!D11="","",Allocation!I11)</f>
        <v/>
      </c>
      <c r="H11" t="str">
        <f>IF(Allocation!D11="","",Allocation!J11)</f>
        <v/>
      </c>
      <c r="I11" t="str">
        <f>IF(Allocation!D11="","",Allocation!K11)</f>
        <v/>
      </c>
      <c r="J11" t="str">
        <f>IF($A11="","",SUMIFS(Socle!$K$1:$K$175,Socle!$C$1:$C$175,$B11,Socle!$D$1:$D$175,$D11,Socle!$E$1:$E$175,$E11,Socle!$F$1:$F$175,$F11,Socle!$G$1:$G$175,$A11))</f>
        <v/>
      </c>
      <c r="K11" t="str">
        <f t="shared" si="0"/>
        <v/>
      </c>
      <c r="L11" t="str">
        <f>IF($A11="","",SUMIFS(Allocation!$I$1:$I$175,Allocation!$C$1:$C$175,$A11,Allocation!$D$1:$D$175,$B11))</f>
        <v/>
      </c>
      <c r="M11" t="str">
        <f>IF($A11="","",SUMIFS(Allocation!$J$1:$J$175,Allocation!$C$1:$C$175,$A11,Allocation!$D$1:$D$175,$B11))</f>
        <v/>
      </c>
      <c r="N11" t="str">
        <f>IF($A11="","",SUMIFS(Allocation!$K$1:$K$175,Allocation!$C$1:$C$175,$A11,Allocation!$D$1:$D$175,$B11))</f>
        <v/>
      </c>
      <c r="O11" t="str">
        <f t="shared" si="1"/>
        <v/>
      </c>
      <c r="P11" t="str">
        <f t="shared" si="2"/>
        <v/>
      </c>
      <c r="Q11" t="str">
        <f>IF($A11="","",SUMIFS(Allocation!$I$1:$I$175,Allocation!$C$1:$C$175,$A11,Allocation!$E$1:$E$175,$C11))</f>
        <v/>
      </c>
      <c r="R11" t="str">
        <f>IF($A11="","",SUMIFS(Allocation!$J$1:$J$175,Allocation!$C$1:$C$175,$A11,Allocation!$E$1:$E$175,$C11))</f>
        <v/>
      </c>
      <c r="S11" t="str">
        <f>IF($A11="","",SUMIFS(Allocation!$K$1:$K$175,Allocation!$C$1:$C$175,$A11,Allocation!$E$1:$E$175,$C11))</f>
        <v/>
      </c>
      <c r="T11" t="str">
        <f>IF($A11="","",SUMIFS(Allocation!$I$1:$I$175,Allocation!$C$1:$C$175,$A11))</f>
        <v/>
      </c>
      <c r="U11" t="str">
        <f>IF($A11="","",SUMIFS(Allocation!$J$1:$J$175,Allocation!$C$1:$C$175,$A11))</f>
        <v/>
      </c>
      <c r="V11" t="str">
        <f>IF($A11="","",SUMIFS(Allocation!$K$1:$K$175,Allocation!$C$1:$C$175,$A11))</f>
        <v/>
      </c>
      <c r="W11" t="str">
        <f>IF($A11="","",SUMIFS(Compta!$F$1:$F$675,Compta!$A$1:$A$675,$B11,Compta!$B$1:$B$675,"621",Compta!$C$1:$C$675,$A11))</f>
        <v/>
      </c>
      <c r="X11" t="str">
        <f>IF($A11="","",SUMIFS(Compta!$F$1:$F$675,Compta!$A$1:$A$675,$B11,Compta!$B$1:$B$675,"6411",Compta!$C$1:$C$675,$A11))</f>
        <v/>
      </c>
      <c r="Y11" t="str">
        <f>IF($A11="","",SUMIFS(Compta!$F$1:$F$675,Compta!$A$1:$A$675,$B11,Compta!$B$1:$B$675,"604",Compta!$C$1:$C$675,$A11)+SUMIFS(Compta!$F$1:$F$675,Compta!$A$1:$A$675,$B11,Compta!$B$1:$B$675,"6063",Compta!$C$1:$C$675,$A11))</f>
        <v/>
      </c>
      <c r="Z11" t="str">
        <f>IF($A11="","",SUMIFS(Compta!$F$1:$F$675,Compta!$A$1:$A$675,$B11,Compta!$B$1:$B$675,"6231",Compta!$C$1:$C$675,$A11))</f>
        <v/>
      </c>
      <c r="AA11" t="str">
        <f>IF($A11="","",SUMIFS(Compta!$F$1:$F$675,Compta!$A$1:$A$675,$B11,Compta!$B$1:$B$675,"6413",Compta!$C$1:$C$675,$A11)+SUMIFS(Compta!$F$1:$F$675,Compta!$A$1:$A$675,$B11,Compta!$B$1:$B$675,"645",Compta!$C$1:$C$675,$A11)+SUMIFS(Compta!$F$1:$F$675,Compta!$A$1:$A$675,$B11,Compta!$B$1:$B$675,"613",Compta!$C$1:$C$675,$A11)+SUMIFS(Compta!$F$1:$F$675,Compta!$A$1:$A$675,$B11,Compta!$B$1:$B$675,"615",Compta!$C$1:$C$675,$A11)+SUMIFS(Compta!$F$1:$F$675,Compta!$A$1:$A$675,$B11,Compta!$B$1:$B$675,"616",Compta!$C$1:$C$675,$A11)+SUMIFS(Compta!$F$1:$F$675,Compta!$A$1:$A$675,$B11,Compta!$B$1:$B$675,"625",Compta!$C$1:$C$675,$A11)+SUMIFS(Compta!$F$1:$F$675,Compta!$A$1:$A$675,$B11,Compta!$B$1:$B$675,"63511",Compta!$C$1:$C$675,$A11))</f>
        <v/>
      </c>
      <c r="AB11" t="str">
        <f>IF($A11="","",SUMIFS(Compta!$F$1:$F$675,Compta!$A$1:$A$675,"GRP",Compta!$B$1:$B$675,"6414",Compta!$C$1:$C$675,$A11)+SUMIFS(Compta!$F$1:$F$675,Compta!$A$1:$A$675,"GRP",Compta!$B$1:$B$675,"6226",Compta!$C$1:$C$675,$A11)+SUMIFS(Compta!$F$1:$F$675,Compta!$A$1:$A$675,"GRP",Compta!$B$1:$B$675,"626",Compta!$C$1:$C$675,$A11)+SUMIFS(Compta!$F$1:$F$675,Compta!$A$1:$A$675,"GRP",Compta!$B$1:$B$675,"6281",Compta!$C$1:$C$675,$A11)+SUMIFS(Compta!$F$1:$F$675,Compta!$A$1:$A$675,"GRP",Compta!$B$1:$B$675,"6331",Compta!$C$1:$C$675,$A11)+SUMIFS(Compta!$F$1:$F$675,Compta!$A$1:$A$675,"GRP",Compta!$B$1:$B$675,"6333",Compta!$C$1:$C$675,$A11))</f>
        <v/>
      </c>
      <c r="AC11" t="s">
        <v>297</v>
      </c>
      <c r="AD11" t="s">
        <v>297</v>
      </c>
      <c r="AE11" t="s">
        <v>297</v>
      </c>
      <c r="AF11" t="s">
        <v>297</v>
      </c>
      <c r="AG11" t="s">
        <v>297</v>
      </c>
      <c r="AH11" t="s">
        <v>297</v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 t="str">
        <f>IF($A11="","",SUMIFS(Compta!$F$1:$F$675,Compta!$A$1:$A$675,"GRP",Compta!$B$1:$B$675,"6236",Compta!$C$1:$C$675,$A11))</f>
        <v/>
      </c>
      <c r="AP11" t="s">
        <v>297</v>
      </c>
      <c r="AQ11" t="s">
        <v>297</v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IF(Allocation!D12="","",Allocation!I12)</f>
        <v/>
      </c>
      <c r="H12" t="str">
        <f>IF(Allocation!D12="","",Allocation!J12)</f>
        <v/>
      </c>
      <c r="I12" t="str">
        <f>IF(Allocation!D12="","",Allocation!K12)</f>
        <v/>
      </c>
      <c r="J12" t="str">
        <f>IF($A12="","",SUMIFS(Socle!$K$1:$K$175,Socle!$C$1:$C$175,$B12,Socle!$D$1:$D$175,$D12,Socle!$E$1:$E$175,$E12,Socle!$F$1:$F$175,$F12,Socle!$G$1:$G$175,$A12))</f>
        <v/>
      </c>
      <c r="K12" t="str">
        <f t="shared" si="0"/>
        <v/>
      </c>
      <c r="L12" t="str">
        <f>IF($A12="","",SUMIFS(Allocation!$I$1:$I$175,Allocation!$C$1:$C$175,$A12,Allocation!$D$1:$D$175,$B12))</f>
        <v/>
      </c>
      <c r="M12" t="str">
        <f>IF($A12="","",SUMIFS(Allocation!$J$1:$J$175,Allocation!$C$1:$C$175,$A12,Allocation!$D$1:$D$175,$B12))</f>
        <v/>
      </c>
      <c r="N12" t="str">
        <f>IF($A12="","",SUMIFS(Allocation!$K$1:$K$175,Allocation!$C$1:$C$175,$A12,Allocation!$D$1:$D$175,$B12))</f>
        <v/>
      </c>
      <c r="O12" t="str">
        <f t="shared" si="1"/>
        <v/>
      </c>
      <c r="P12" t="str">
        <f t="shared" si="2"/>
        <v/>
      </c>
      <c r="Q12" t="str">
        <f>IF($A12="","",SUMIFS(Allocation!$I$1:$I$175,Allocation!$C$1:$C$175,$A12,Allocation!$E$1:$E$175,$C12))</f>
        <v/>
      </c>
      <c r="R12" t="str">
        <f>IF($A12="","",SUMIFS(Allocation!$J$1:$J$175,Allocation!$C$1:$C$175,$A12,Allocation!$E$1:$E$175,$C12))</f>
        <v/>
      </c>
      <c r="S12" t="str">
        <f>IF($A12="","",SUMIFS(Allocation!$K$1:$K$175,Allocation!$C$1:$C$175,$A12,Allocation!$E$1:$E$175,$C12))</f>
        <v/>
      </c>
      <c r="T12" t="str">
        <f>IF($A12="","",SUMIFS(Allocation!$I$1:$I$175,Allocation!$C$1:$C$175,$A12))</f>
        <v/>
      </c>
      <c r="U12" t="str">
        <f>IF($A12="","",SUMIFS(Allocation!$J$1:$J$175,Allocation!$C$1:$C$175,$A12))</f>
        <v/>
      </c>
      <c r="V12" t="str">
        <f>IF($A12="","",SUMIFS(Allocation!$K$1:$K$175,Allocation!$C$1:$C$175,$A12))</f>
        <v/>
      </c>
      <c r="W12" t="str">
        <f>IF($A12="","",SUMIFS(Compta!$F$1:$F$675,Compta!$A$1:$A$675,$B12,Compta!$B$1:$B$675,"621",Compta!$C$1:$C$675,$A12))</f>
        <v/>
      </c>
      <c r="X12" t="str">
        <f>IF($A12="","",SUMIFS(Compta!$F$1:$F$675,Compta!$A$1:$A$675,$B12,Compta!$B$1:$B$675,"6411",Compta!$C$1:$C$675,$A12))</f>
        <v/>
      </c>
      <c r="Y12" t="str">
        <f>IF($A12="","",SUMIFS(Compta!$F$1:$F$675,Compta!$A$1:$A$675,$B12,Compta!$B$1:$B$675,"604",Compta!$C$1:$C$675,$A12)+SUMIFS(Compta!$F$1:$F$675,Compta!$A$1:$A$675,$B12,Compta!$B$1:$B$675,"6063",Compta!$C$1:$C$675,$A12))</f>
        <v/>
      </c>
      <c r="Z12" t="str">
        <f>IF($A12="","",SUMIFS(Compta!$F$1:$F$675,Compta!$A$1:$A$675,$B12,Compta!$B$1:$B$675,"6231",Compta!$C$1:$C$675,$A12))</f>
        <v/>
      </c>
      <c r="AA12" t="str">
        <f>IF($A12="","",SUMIFS(Compta!$F$1:$F$675,Compta!$A$1:$A$675,$B12,Compta!$B$1:$B$675,"6413",Compta!$C$1:$C$675,$A12)+SUMIFS(Compta!$F$1:$F$675,Compta!$A$1:$A$675,$B12,Compta!$B$1:$B$675,"645",Compta!$C$1:$C$675,$A12)+SUMIFS(Compta!$F$1:$F$675,Compta!$A$1:$A$675,$B12,Compta!$B$1:$B$675,"613",Compta!$C$1:$C$675,$A12)+SUMIFS(Compta!$F$1:$F$675,Compta!$A$1:$A$675,$B12,Compta!$B$1:$B$675,"615",Compta!$C$1:$C$675,$A12)+SUMIFS(Compta!$F$1:$F$675,Compta!$A$1:$A$675,$B12,Compta!$B$1:$B$675,"616",Compta!$C$1:$C$675,$A12)+SUMIFS(Compta!$F$1:$F$675,Compta!$A$1:$A$675,$B12,Compta!$B$1:$B$675,"625",Compta!$C$1:$C$675,$A12)+SUMIFS(Compta!$F$1:$F$675,Compta!$A$1:$A$675,$B12,Compta!$B$1:$B$675,"63511",Compta!$C$1:$C$675,$A12))</f>
        <v/>
      </c>
      <c r="AB12" t="str">
        <f>IF($A12="","",SUMIFS(Compta!$F$1:$F$675,Compta!$A$1:$A$675,"GRP",Compta!$B$1:$B$675,"6414",Compta!$C$1:$C$675,$A12)+SUMIFS(Compta!$F$1:$F$675,Compta!$A$1:$A$675,"GRP",Compta!$B$1:$B$675,"6226",Compta!$C$1:$C$675,$A12)+SUMIFS(Compta!$F$1:$F$675,Compta!$A$1:$A$675,"GRP",Compta!$B$1:$B$675,"626",Compta!$C$1:$C$675,$A12)+SUMIFS(Compta!$F$1:$F$675,Compta!$A$1:$A$675,"GRP",Compta!$B$1:$B$675,"6281",Compta!$C$1:$C$675,$A12)+SUMIFS(Compta!$F$1:$F$675,Compta!$A$1:$A$675,"GRP",Compta!$B$1:$B$675,"6331",Compta!$C$1:$C$675,$A12)+SUMIFS(Compta!$F$1:$F$675,Compta!$A$1:$A$675,"GRP",Compta!$B$1:$B$675,"6333",Compta!$C$1:$C$675,$A12))</f>
        <v/>
      </c>
      <c r="AC12" t="s">
        <v>297</v>
      </c>
      <c r="AD12" t="s">
        <v>297</v>
      </c>
      <c r="AE12" t="s">
        <v>297</v>
      </c>
      <c r="AF12" t="s">
        <v>297</v>
      </c>
      <c r="AG12" t="s">
        <v>297</v>
      </c>
      <c r="AH12" t="s">
        <v>297</v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 t="str">
        <f>IF($A12="","",SUMIFS(Compta!$F$1:$F$675,Compta!$A$1:$A$675,"GRP",Compta!$B$1:$B$675,"6236",Compta!$C$1:$C$675,$A12))</f>
        <v/>
      </c>
      <c r="AP12" t="s">
        <v>297</v>
      </c>
      <c r="AQ12" t="s">
        <v>297</v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IF(Allocation!D13="","",Allocation!I13)</f>
        <v/>
      </c>
      <c r="H13" t="str">
        <f>IF(Allocation!D13="","",Allocation!J13)</f>
        <v/>
      </c>
      <c r="I13" t="str">
        <f>IF(Allocation!D13="","",Allocation!K13)</f>
        <v/>
      </c>
      <c r="J13" t="str">
        <f>IF($A13="","",SUMIFS(Socle!$K$1:$K$175,Socle!$C$1:$C$175,$B13,Socle!$D$1:$D$175,$D13,Socle!$E$1:$E$175,$E13,Socle!$F$1:$F$175,$F13,Socle!$G$1:$G$175,$A13))</f>
        <v/>
      </c>
      <c r="K13" t="str">
        <f t="shared" si="0"/>
        <v/>
      </c>
      <c r="L13" t="str">
        <f>IF($A13="","",SUMIFS(Allocation!$I$1:$I$175,Allocation!$C$1:$C$175,$A13,Allocation!$D$1:$D$175,$B13))</f>
        <v/>
      </c>
      <c r="M13" t="str">
        <f>IF($A13="","",SUMIFS(Allocation!$J$1:$J$175,Allocation!$C$1:$C$175,$A13,Allocation!$D$1:$D$175,$B13))</f>
        <v/>
      </c>
      <c r="N13" t="str">
        <f>IF($A13="","",SUMIFS(Allocation!$K$1:$K$175,Allocation!$C$1:$C$175,$A13,Allocation!$D$1:$D$175,$B13))</f>
        <v/>
      </c>
      <c r="O13" t="str">
        <f t="shared" si="1"/>
        <v/>
      </c>
      <c r="P13" t="str">
        <f t="shared" si="2"/>
        <v/>
      </c>
      <c r="Q13" t="str">
        <f>IF($A13="","",SUMIFS(Allocation!$I$1:$I$175,Allocation!$C$1:$C$175,$A13,Allocation!$E$1:$E$175,$C13))</f>
        <v/>
      </c>
      <c r="R13" t="str">
        <f>IF($A13="","",SUMIFS(Allocation!$J$1:$J$175,Allocation!$C$1:$C$175,$A13,Allocation!$E$1:$E$175,$C13))</f>
        <v/>
      </c>
      <c r="S13" t="str">
        <f>IF($A13="","",SUMIFS(Allocation!$K$1:$K$175,Allocation!$C$1:$C$175,$A13,Allocation!$E$1:$E$175,$C13))</f>
        <v/>
      </c>
      <c r="T13" t="str">
        <f>IF($A13="","",SUMIFS(Allocation!$I$1:$I$175,Allocation!$C$1:$C$175,$A13))</f>
        <v/>
      </c>
      <c r="U13" t="str">
        <f>IF($A13="","",SUMIFS(Allocation!$J$1:$J$175,Allocation!$C$1:$C$175,$A13))</f>
        <v/>
      </c>
      <c r="V13" t="str">
        <f>IF($A13="","",SUMIFS(Allocation!$K$1:$K$175,Allocation!$C$1:$C$175,$A13))</f>
        <v/>
      </c>
      <c r="W13" t="str">
        <f>IF($A13="","",SUMIFS(Compta!$F$1:$F$675,Compta!$A$1:$A$675,$B13,Compta!$B$1:$B$675,"621",Compta!$C$1:$C$675,$A13))</f>
        <v/>
      </c>
      <c r="X13" t="str">
        <f>IF($A13="","",SUMIFS(Compta!$F$1:$F$675,Compta!$A$1:$A$675,$B13,Compta!$B$1:$B$675,"6411",Compta!$C$1:$C$675,$A13))</f>
        <v/>
      </c>
      <c r="Y13" t="str">
        <f>IF($A13="","",SUMIFS(Compta!$F$1:$F$675,Compta!$A$1:$A$675,$B13,Compta!$B$1:$B$675,"604",Compta!$C$1:$C$675,$A13)+SUMIFS(Compta!$F$1:$F$675,Compta!$A$1:$A$675,$B13,Compta!$B$1:$B$675,"6063",Compta!$C$1:$C$675,$A13))</f>
        <v/>
      </c>
      <c r="Z13" t="str">
        <f>IF($A13="","",SUMIFS(Compta!$F$1:$F$675,Compta!$A$1:$A$675,$B13,Compta!$B$1:$B$675,"6231",Compta!$C$1:$C$675,$A13))</f>
        <v/>
      </c>
      <c r="AA13" t="str">
        <f>IF($A13="","",SUMIFS(Compta!$F$1:$F$675,Compta!$A$1:$A$675,$B13,Compta!$B$1:$B$675,"6413",Compta!$C$1:$C$675,$A13)+SUMIFS(Compta!$F$1:$F$675,Compta!$A$1:$A$675,$B13,Compta!$B$1:$B$675,"645",Compta!$C$1:$C$675,$A13)+SUMIFS(Compta!$F$1:$F$675,Compta!$A$1:$A$675,$B13,Compta!$B$1:$B$675,"613",Compta!$C$1:$C$675,$A13)+SUMIFS(Compta!$F$1:$F$675,Compta!$A$1:$A$675,$B13,Compta!$B$1:$B$675,"615",Compta!$C$1:$C$675,$A13)+SUMIFS(Compta!$F$1:$F$675,Compta!$A$1:$A$675,$B13,Compta!$B$1:$B$675,"616",Compta!$C$1:$C$675,$A13)+SUMIFS(Compta!$F$1:$F$675,Compta!$A$1:$A$675,$B13,Compta!$B$1:$B$675,"625",Compta!$C$1:$C$675,$A13)+SUMIFS(Compta!$F$1:$F$675,Compta!$A$1:$A$675,$B13,Compta!$B$1:$B$675,"63511",Compta!$C$1:$C$675,$A13))</f>
        <v/>
      </c>
      <c r="AB13" t="str">
        <f>IF($A13="","",SUMIFS(Compta!$F$1:$F$675,Compta!$A$1:$A$675,"GRP",Compta!$B$1:$B$675,"6414",Compta!$C$1:$C$675,$A13)+SUMIFS(Compta!$F$1:$F$675,Compta!$A$1:$A$675,"GRP",Compta!$B$1:$B$675,"6226",Compta!$C$1:$C$675,$A13)+SUMIFS(Compta!$F$1:$F$675,Compta!$A$1:$A$675,"GRP",Compta!$B$1:$B$675,"626",Compta!$C$1:$C$675,$A13)+SUMIFS(Compta!$F$1:$F$675,Compta!$A$1:$A$675,"GRP",Compta!$B$1:$B$675,"6281",Compta!$C$1:$C$675,$A13)+SUMIFS(Compta!$F$1:$F$675,Compta!$A$1:$A$675,"GRP",Compta!$B$1:$B$675,"6331",Compta!$C$1:$C$675,$A13)+SUMIFS(Compta!$F$1:$F$675,Compta!$A$1:$A$675,"GRP",Compta!$B$1:$B$675,"6333",Compta!$C$1:$C$675,$A13))</f>
        <v/>
      </c>
      <c r="AC13" t="s">
        <v>297</v>
      </c>
      <c r="AD13" t="s">
        <v>297</v>
      </c>
      <c r="AE13" t="s">
        <v>297</v>
      </c>
      <c r="AF13" t="s">
        <v>297</v>
      </c>
      <c r="AG13" t="s">
        <v>297</v>
      </c>
      <c r="AH13" t="s">
        <v>297</v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 t="str">
        <f>IF($A13="","",SUMIFS(Compta!$F$1:$F$675,Compta!$A$1:$A$675,"GRP",Compta!$B$1:$B$675,"6236",Compta!$C$1:$C$675,$A13))</f>
        <v/>
      </c>
      <c r="AP13" t="s">
        <v>297</v>
      </c>
      <c r="AQ13" t="s">
        <v>297</v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IF(Allocation!D14="","",Allocation!I14)</f>
        <v/>
      </c>
      <c r="H14" t="str">
        <f>IF(Allocation!D14="","",Allocation!J14)</f>
        <v/>
      </c>
      <c r="I14" t="str">
        <f>IF(Allocation!D14="","",Allocation!K14)</f>
        <v/>
      </c>
      <c r="J14" t="str">
        <f>IF($A14="","",SUMIFS(Socle!$K$1:$K$175,Socle!$C$1:$C$175,$B14,Socle!$D$1:$D$175,$D14,Socle!$E$1:$E$175,$E14,Socle!$F$1:$F$175,$F14,Socle!$G$1:$G$175,$A14))</f>
        <v/>
      </c>
      <c r="K14" t="str">
        <f t="shared" si="0"/>
        <v/>
      </c>
      <c r="L14" t="str">
        <f>IF($A14="","",SUMIFS(Allocation!$I$1:$I$175,Allocation!$C$1:$C$175,$A14,Allocation!$D$1:$D$175,$B14))</f>
        <v/>
      </c>
      <c r="M14" t="str">
        <f>IF($A14="","",SUMIFS(Allocation!$J$1:$J$175,Allocation!$C$1:$C$175,$A14,Allocation!$D$1:$D$175,$B14))</f>
        <v/>
      </c>
      <c r="N14" t="str">
        <f>IF($A14="","",SUMIFS(Allocation!$K$1:$K$175,Allocation!$C$1:$C$175,$A14,Allocation!$D$1:$D$175,$B14))</f>
        <v/>
      </c>
      <c r="O14" t="str">
        <f t="shared" si="1"/>
        <v/>
      </c>
      <c r="P14" t="str">
        <f t="shared" si="2"/>
        <v/>
      </c>
      <c r="Q14" t="str">
        <f>IF($A14="","",SUMIFS(Allocation!$I$1:$I$175,Allocation!$C$1:$C$175,$A14,Allocation!$E$1:$E$175,$C14))</f>
        <v/>
      </c>
      <c r="R14" t="str">
        <f>IF($A14="","",SUMIFS(Allocation!$J$1:$J$175,Allocation!$C$1:$C$175,$A14,Allocation!$E$1:$E$175,$C14))</f>
        <v/>
      </c>
      <c r="S14" t="str">
        <f>IF($A14="","",SUMIFS(Allocation!$K$1:$K$175,Allocation!$C$1:$C$175,$A14,Allocation!$E$1:$E$175,$C14))</f>
        <v/>
      </c>
      <c r="T14" t="str">
        <f>IF($A14="","",SUMIFS(Allocation!$I$1:$I$175,Allocation!$C$1:$C$175,$A14))</f>
        <v/>
      </c>
      <c r="U14" t="str">
        <f>IF($A14="","",SUMIFS(Allocation!$J$1:$J$175,Allocation!$C$1:$C$175,$A14))</f>
        <v/>
      </c>
      <c r="V14" t="str">
        <f>IF($A14="","",SUMIFS(Allocation!$K$1:$K$175,Allocation!$C$1:$C$175,$A14))</f>
        <v/>
      </c>
      <c r="W14" t="str">
        <f>IF($A14="","",SUMIFS(Compta!$F$1:$F$675,Compta!$A$1:$A$675,$B14,Compta!$B$1:$B$675,"621",Compta!$C$1:$C$675,$A14))</f>
        <v/>
      </c>
      <c r="X14" t="str">
        <f>IF($A14="","",SUMIFS(Compta!$F$1:$F$675,Compta!$A$1:$A$675,$B14,Compta!$B$1:$B$675,"6411",Compta!$C$1:$C$675,$A14))</f>
        <v/>
      </c>
      <c r="Y14" t="str">
        <f>IF($A14="","",SUMIFS(Compta!$F$1:$F$675,Compta!$A$1:$A$675,$B14,Compta!$B$1:$B$675,"604",Compta!$C$1:$C$675,$A14)+SUMIFS(Compta!$F$1:$F$675,Compta!$A$1:$A$675,$B14,Compta!$B$1:$B$675,"6063",Compta!$C$1:$C$675,$A14))</f>
        <v/>
      </c>
      <c r="Z14" t="str">
        <f>IF($A14="","",SUMIFS(Compta!$F$1:$F$675,Compta!$A$1:$A$675,$B14,Compta!$B$1:$B$675,"6231",Compta!$C$1:$C$675,$A14))</f>
        <v/>
      </c>
      <c r="AA14" t="str">
        <f>IF($A14="","",SUMIFS(Compta!$F$1:$F$675,Compta!$A$1:$A$675,$B14,Compta!$B$1:$B$675,"6413",Compta!$C$1:$C$675,$A14)+SUMIFS(Compta!$F$1:$F$675,Compta!$A$1:$A$675,$B14,Compta!$B$1:$B$675,"645",Compta!$C$1:$C$675,$A14)+SUMIFS(Compta!$F$1:$F$675,Compta!$A$1:$A$675,$B14,Compta!$B$1:$B$675,"613",Compta!$C$1:$C$675,$A14)+SUMIFS(Compta!$F$1:$F$675,Compta!$A$1:$A$675,$B14,Compta!$B$1:$B$675,"615",Compta!$C$1:$C$675,$A14)+SUMIFS(Compta!$F$1:$F$675,Compta!$A$1:$A$675,$B14,Compta!$B$1:$B$675,"616",Compta!$C$1:$C$675,$A14)+SUMIFS(Compta!$F$1:$F$675,Compta!$A$1:$A$675,$B14,Compta!$B$1:$B$675,"625",Compta!$C$1:$C$675,$A14)+SUMIFS(Compta!$F$1:$F$675,Compta!$A$1:$A$675,$B14,Compta!$B$1:$B$675,"63511",Compta!$C$1:$C$675,$A14))</f>
        <v/>
      </c>
      <c r="AB14" t="str">
        <f>IF($A14="","",SUMIFS(Compta!$F$1:$F$675,Compta!$A$1:$A$675,"GRP",Compta!$B$1:$B$675,"6414",Compta!$C$1:$C$675,$A14)+SUMIFS(Compta!$F$1:$F$675,Compta!$A$1:$A$675,"GRP",Compta!$B$1:$B$675,"6226",Compta!$C$1:$C$675,$A14)+SUMIFS(Compta!$F$1:$F$675,Compta!$A$1:$A$675,"GRP",Compta!$B$1:$B$675,"626",Compta!$C$1:$C$675,$A14)+SUMIFS(Compta!$F$1:$F$675,Compta!$A$1:$A$675,"GRP",Compta!$B$1:$B$675,"6281",Compta!$C$1:$C$675,$A14)+SUMIFS(Compta!$F$1:$F$675,Compta!$A$1:$A$675,"GRP",Compta!$B$1:$B$675,"6331",Compta!$C$1:$C$675,$A14)+SUMIFS(Compta!$F$1:$F$675,Compta!$A$1:$A$675,"GRP",Compta!$B$1:$B$675,"6333",Compta!$C$1:$C$675,$A14))</f>
        <v/>
      </c>
      <c r="AC14" t="s">
        <v>297</v>
      </c>
      <c r="AD14" t="s">
        <v>297</v>
      </c>
      <c r="AE14" t="s">
        <v>297</v>
      </c>
      <c r="AF14" t="s">
        <v>297</v>
      </c>
      <c r="AG14" t="s">
        <v>297</v>
      </c>
      <c r="AH14" t="s">
        <v>297</v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 t="str">
        <f>IF($A14="","",SUMIFS(Compta!$F$1:$F$675,Compta!$A$1:$A$675,"GRP",Compta!$B$1:$B$675,"6236",Compta!$C$1:$C$675,$A14))</f>
        <v/>
      </c>
      <c r="AP14" t="s">
        <v>297</v>
      </c>
      <c r="AQ14" t="s">
        <v>297</v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IF(Allocation!D15="","",Allocation!I15)</f>
        <v/>
      </c>
      <c r="H15" t="str">
        <f>IF(Allocation!D15="","",Allocation!J15)</f>
        <v/>
      </c>
      <c r="I15" t="str">
        <f>IF(Allocation!D15="","",Allocation!K15)</f>
        <v/>
      </c>
      <c r="J15" t="str">
        <f>IF($A15="","",SUMIFS(Socle!$K$1:$K$175,Socle!$C$1:$C$175,$B15,Socle!$D$1:$D$175,$D15,Socle!$E$1:$E$175,$E15,Socle!$F$1:$F$175,$F15,Socle!$G$1:$G$175,$A15))</f>
        <v/>
      </c>
      <c r="K15" t="str">
        <f t="shared" si="0"/>
        <v/>
      </c>
      <c r="L15" t="str">
        <f>IF($A15="","",SUMIFS(Allocation!$I$1:$I$175,Allocation!$C$1:$C$175,$A15,Allocation!$D$1:$D$175,$B15))</f>
        <v/>
      </c>
      <c r="M15" t="str">
        <f>IF($A15="","",SUMIFS(Allocation!$J$1:$J$175,Allocation!$C$1:$C$175,$A15,Allocation!$D$1:$D$175,$B15))</f>
        <v/>
      </c>
      <c r="N15" t="str">
        <f>IF($A15="","",SUMIFS(Allocation!$K$1:$K$175,Allocation!$C$1:$C$175,$A15,Allocation!$D$1:$D$175,$B15))</f>
        <v/>
      </c>
      <c r="O15" t="str">
        <f t="shared" si="1"/>
        <v/>
      </c>
      <c r="P15" t="str">
        <f t="shared" si="2"/>
        <v/>
      </c>
      <c r="Q15" t="str">
        <f>IF($A15="","",SUMIFS(Allocation!$I$1:$I$175,Allocation!$C$1:$C$175,$A15,Allocation!$E$1:$E$175,$C15))</f>
        <v/>
      </c>
      <c r="R15" t="str">
        <f>IF($A15="","",SUMIFS(Allocation!$J$1:$J$175,Allocation!$C$1:$C$175,$A15,Allocation!$E$1:$E$175,$C15))</f>
        <v/>
      </c>
      <c r="S15" t="str">
        <f>IF($A15="","",SUMIFS(Allocation!$K$1:$K$175,Allocation!$C$1:$C$175,$A15,Allocation!$E$1:$E$175,$C15))</f>
        <v/>
      </c>
      <c r="T15" t="str">
        <f>IF($A15="","",SUMIFS(Allocation!$I$1:$I$175,Allocation!$C$1:$C$175,$A15))</f>
        <v/>
      </c>
      <c r="U15" t="str">
        <f>IF($A15="","",SUMIFS(Allocation!$J$1:$J$175,Allocation!$C$1:$C$175,$A15))</f>
        <v/>
      </c>
      <c r="V15" t="str">
        <f>IF($A15="","",SUMIFS(Allocation!$K$1:$K$175,Allocation!$C$1:$C$175,$A15))</f>
        <v/>
      </c>
      <c r="W15" t="str">
        <f>IF($A15="","",SUMIFS(Compta!$F$1:$F$675,Compta!$A$1:$A$675,$B15,Compta!$B$1:$B$675,"621",Compta!$C$1:$C$675,$A15))</f>
        <v/>
      </c>
      <c r="X15" t="str">
        <f>IF($A15="","",SUMIFS(Compta!$F$1:$F$675,Compta!$A$1:$A$675,$B15,Compta!$B$1:$B$675,"6411",Compta!$C$1:$C$675,$A15))</f>
        <v/>
      </c>
      <c r="Y15" t="str">
        <f>IF($A15="","",SUMIFS(Compta!$F$1:$F$675,Compta!$A$1:$A$675,$B15,Compta!$B$1:$B$675,"604",Compta!$C$1:$C$675,$A15)+SUMIFS(Compta!$F$1:$F$675,Compta!$A$1:$A$675,$B15,Compta!$B$1:$B$675,"6063",Compta!$C$1:$C$675,$A15))</f>
        <v/>
      </c>
      <c r="Z15" t="str">
        <f>IF($A15="","",SUMIFS(Compta!$F$1:$F$675,Compta!$A$1:$A$675,$B15,Compta!$B$1:$B$675,"6231",Compta!$C$1:$C$675,$A15))</f>
        <v/>
      </c>
      <c r="AA15" t="str">
        <f>IF($A15="","",SUMIFS(Compta!$F$1:$F$675,Compta!$A$1:$A$675,$B15,Compta!$B$1:$B$675,"6413",Compta!$C$1:$C$675,$A15)+SUMIFS(Compta!$F$1:$F$675,Compta!$A$1:$A$675,$B15,Compta!$B$1:$B$675,"645",Compta!$C$1:$C$675,$A15)+SUMIFS(Compta!$F$1:$F$675,Compta!$A$1:$A$675,$B15,Compta!$B$1:$B$675,"613",Compta!$C$1:$C$675,$A15)+SUMIFS(Compta!$F$1:$F$675,Compta!$A$1:$A$675,$B15,Compta!$B$1:$B$675,"615",Compta!$C$1:$C$675,$A15)+SUMIFS(Compta!$F$1:$F$675,Compta!$A$1:$A$675,$B15,Compta!$B$1:$B$675,"616",Compta!$C$1:$C$675,$A15)+SUMIFS(Compta!$F$1:$F$675,Compta!$A$1:$A$675,$B15,Compta!$B$1:$B$675,"625",Compta!$C$1:$C$675,$A15)+SUMIFS(Compta!$F$1:$F$675,Compta!$A$1:$A$675,$B15,Compta!$B$1:$B$675,"63511",Compta!$C$1:$C$675,$A15))</f>
        <v/>
      </c>
      <c r="AB15" t="str">
        <f>IF($A15="","",SUMIFS(Compta!$F$1:$F$675,Compta!$A$1:$A$675,"GRP",Compta!$B$1:$B$675,"6414",Compta!$C$1:$C$675,$A15)+SUMIFS(Compta!$F$1:$F$675,Compta!$A$1:$A$675,"GRP",Compta!$B$1:$B$675,"6226",Compta!$C$1:$C$675,$A15)+SUMIFS(Compta!$F$1:$F$675,Compta!$A$1:$A$675,"GRP",Compta!$B$1:$B$675,"626",Compta!$C$1:$C$675,$A15)+SUMIFS(Compta!$F$1:$F$675,Compta!$A$1:$A$675,"GRP",Compta!$B$1:$B$675,"6281",Compta!$C$1:$C$675,$A15)+SUMIFS(Compta!$F$1:$F$675,Compta!$A$1:$A$675,"GRP",Compta!$B$1:$B$675,"6331",Compta!$C$1:$C$675,$A15)+SUMIFS(Compta!$F$1:$F$675,Compta!$A$1:$A$675,"GRP",Compta!$B$1:$B$675,"6333",Compta!$C$1:$C$675,$A15))</f>
        <v/>
      </c>
      <c r="AC15" t="s">
        <v>297</v>
      </c>
      <c r="AD15" t="s">
        <v>297</v>
      </c>
      <c r="AE15" t="s">
        <v>297</v>
      </c>
      <c r="AF15" t="s">
        <v>297</v>
      </c>
      <c r="AG15" t="s">
        <v>297</v>
      </c>
      <c r="AH15" t="s">
        <v>297</v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 t="str">
        <f>IF($A15="","",SUMIFS(Compta!$F$1:$F$675,Compta!$A$1:$A$675,"GRP",Compta!$B$1:$B$675,"6236",Compta!$C$1:$C$675,$A15))</f>
        <v/>
      </c>
      <c r="AP15" t="s">
        <v>297</v>
      </c>
      <c r="AQ15" t="s">
        <v>297</v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IF(Allocation!D16="","",Allocation!I16)</f>
        <v/>
      </c>
      <c r="H16" t="str">
        <f>IF(Allocation!D16="","",Allocation!J16)</f>
        <v/>
      </c>
      <c r="I16" t="str">
        <f>IF(Allocation!D16="","",Allocation!K16)</f>
        <v/>
      </c>
      <c r="J16" t="str">
        <f>IF($A16="","",SUMIFS(Socle!$K$1:$K$175,Socle!$C$1:$C$175,$B16,Socle!$D$1:$D$175,$D16,Socle!$E$1:$E$175,$E16,Socle!$F$1:$F$175,$F16,Socle!$G$1:$G$175,$A16))</f>
        <v/>
      </c>
      <c r="K16" t="str">
        <f t="shared" si="0"/>
        <v/>
      </c>
      <c r="L16" t="str">
        <f>IF($A16="","",SUMIFS(Allocation!$I$1:$I$175,Allocation!$C$1:$C$175,$A16,Allocation!$D$1:$D$175,$B16))</f>
        <v/>
      </c>
      <c r="M16" t="str">
        <f>IF($A16="","",SUMIFS(Allocation!$J$1:$J$175,Allocation!$C$1:$C$175,$A16,Allocation!$D$1:$D$175,$B16))</f>
        <v/>
      </c>
      <c r="N16" t="str">
        <f>IF($A16="","",SUMIFS(Allocation!$K$1:$K$175,Allocation!$C$1:$C$175,$A16,Allocation!$D$1:$D$175,$B16))</f>
        <v/>
      </c>
      <c r="O16" t="str">
        <f t="shared" si="1"/>
        <v/>
      </c>
      <c r="P16" t="str">
        <f t="shared" si="2"/>
        <v/>
      </c>
      <c r="Q16" t="str">
        <f>IF($A16="","",SUMIFS(Allocation!$I$1:$I$175,Allocation!$C$1:$C$175,$A16,Allocation!$E$1:$E$175,$C16))</f>
        <v/>
      </c>
      <c r="R16" t="str">
        <f>IF($A16="","",SUMIFS(Allocation!$J$1:$J$175,Allocation!$C$1:$C$175,$A16,Allocation!$E$1:$E$175,$C16))</f>
        <v/>
      </c>
      <c r="S16" t="str">
        <f>IF($A16="","",SUMIFS(Allocation!$K$1:$K$175,Allocation!$C$1:$C$175,$A16,Allocation!$E$1:$E$175,$C16))</f>
        <v/>
      </c>
      <c r="T16" t="str">
        <f>IF($A16="","",SUMIFS(Allocation!$I$1:$I$175,Allocation!$C$1:$C$175,$A16))</f>
        <v/>
      </c>
      <c r="U16" t="str">
        <f>IF($A16="","",SUMIFS(Allocation!$J$1:$J$175,Allocation!$C$1:$C$175,$A16))</f>
        <v/>
      </c>
      <c r="V16" t="str">
        <f>IF($A16="","",SUMIFS(Allocation!$K$1:$K$175,Allocation!$C$1:$C$175,$A16))</f>
        <v/>
      </c>
      <c r="W16" t="str">
        <f>IF($A16="","",SUMIFS(Compta!$F$1:$F$675,Compta!$A$1:$A$675,$B16,Compta!$B$1:$B$675,"621",Compta!$C$1:$C$675,$A16))</f>
        <v/>
      </c>
      <c r="X16" t="str">
        <f>IF($A16="","",SUMIFS(Compta!$F$1:$F$675,Compta!$A$1:$A$675,$B16,Compta!$B$1:$B$675,"6411",Compta!$C$1:$C$675,$A16))</f>
        <v/>
      </c>
      <c r="Y16" t="str">
        <f>IF($A16="","",SUMIFS(Compta!$F$1:$F$675,Compta!$A$1:$A$675,$B16,Compta!$B$1:$B$675,"604",Compta!$C$1:$C$675,$A16)+SUMIFS(Compta!$F$1:$F$675,Compta!$A$1:$A$675,$B16,Compta!$B$1:$B$675,"6063",Compta!$C$1:$C$675,$A16))</f>
        <v/>
      </c>
      <c r="Z16" t="str">
        <f>IF($A16="","",SUMIFS(Compta!$F$1:$F$675,Compta!$A$1:$A$675,$B16,Compta!$B$1:$B$675,"6231",Compta!$C$1:$C$675,$A16))</f>
        <v/>
      </c>
      <c r="AA16" t="str">
        <f>IF($A16="","",SUMIFS(Compta!$F$1:$F$675,Compta!$A$1:$A$675,$B16,Compta!$B$1:$B$675,"6413",Compta!$C$1:$C$675,$A16)+SUMIFS(Compta!$F$1:$F$675,Compta!$A$1:$A$675,$B16,Compta!$B$1:$B$675,"645",Compta!$C$1:$C$675,$A16)+SUMIFS(Compta!$F$1:$F$675,Compta!$A$1:$A$675,$B16,Compta!$B$1:$B$675,"613",Compta!$C$1:$C$675,$A16)+SUMIFS(Compta!$F$1:$F$675,Compta!$A$1:$A$675,$B16,Compta!$B$1:$B$675,"615",Compta!$C$1:$C$675,$A16)+SUMIFS(Compta!$F$1:$F$675,Compta!$A$1:$A$675,$B16,Compta!$B$1:$B$675,"616",Compta!$C$1:$C$675,$A16)+SUMIFS(Compta!$F$1:$F$675,Compta!$A$1:$A$675,$B16,Compta!$B$1:$B$675,"625",Compta!$C$1:$C$675,$A16)+SUMIFS(Compta!$F$1:$F$675,Compta!$A$1:$A$675,$B16,Compta!$B$1:$B$675,"63511",Compta!$C$1:$C$675,$A16))</f>
        <v/>
      </c>
      <c r="AB16" t="str">
        <f>IF($A16="","",SUMIFS(Compta!$F$1:$F$675,Compta!$A$1:$A$675,"GRP",Compta!$B$1:$B$675,"6414",Compta!$C$1:$C$675,$A16)+SUMIFS(Compta!$F$1:$F$675,Compta!$A$1:$A$675,"GRP",Compta!$B$1:$B$675,"6226",Compta!$C$1:$C$675,$A16)+SUMIFS(Compta!$F$1:$F$675,Compta!$A$1:$A$675,"GRP",Compta!$B$1:$B$675,"626",Compta!$C$1:$C$675,$A16)+SUMIFS(Compta!$F$1:$F$675,Compta!$A$1:$A$675,"GRP",Compta!$B$1:$B$675,"6281",Compta!$C$1:$C$675,$A16)+SUMIFS(Compta!$F$1:$F$675,Compta!$A$1:$A$675,"GRP",Compta!$B$1:$B$675,"6331",Compta!$C$1:$C$675,$A16)+SUMIFS(Compta!$F$1:$F$675,Compta!$A$1:$A$675,"GRP",Compta!$B$1:$B$675,"6333",Compta!$C$1:$C$675,$A16))</f>
        <v/>
      </c>
      <c r="AC16" t="s">
        <v>297</v>
      </c>
      <c r="AD16" t="s">
        <v>297</v>
      </c>
      <c r="AE16" t="s">
        <v>297</v>
      </c>
      <c r="AF16" t="s">
        <v>297</v>
      </c>
      <c r="AG16" t="s">
        <v>297</v>
      </c>
      <c r="AH16" t="s">
        <v>297</v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 t="str">
        <f>IF($A16="","",SUMIFS(Compta!$F$1:$F$675,Compta!$A$1:$A$675,"GRP",Compta!$B$1:$B$675,"6236",Compta!$C$1:$C$675,$A16))</f>
        <v/>
      </c>
      <c r="AP16" t="s">
        <v>297</v>
      </c>
      <c r="AQ16" t="s">
        <v>297</v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IF(Allocation!D17="","",Allocation!I17)</f>
        <v/>
      </c>
      <c r="H17" t="str">
        <f>IF(Allocation!D17="","",Allocation!J17)</f>
        <v/>
      </c>
      <c r="I17" t="str">
        <f>IF(Allocation!D17="","",Allocation!K17)</f>
        <v/>
      </c>
      <c r="J17" t="str">
        <f>IF($A17="","",SUMIFS(Socle!$K$1:$K$175,Socle!$C$1:$C$175,$B17,Socle!$D$1:$D$175,$D17,Socle!$E$1:$E$175,$E17,Socle!$F$1:$F$175,$F17,Socle!$G$1:$G$175,$A17))</f>
        <v/>
      </c>
      <c r="K17" t="str">
        <f t="shared" si="0"/>
        <v/>
      </c>
      <c r="L17" t="str">
        <f>IF($A17="","",SUMIFS(Allocation!$I$1:$I$175,Allocation!$C$1:$C$175,$A17,Allocation!$D$1:$D$175,$B17))</f>
        <v/>
      </c>
      <c r="M17" t="str">
        <f>IF($A17="","",SUMIFS(Allocation!$J$1:$J$175,Allocation!$C$1:$C$175,$A17,Allocation!$D$1:$D$175,$B17))</f>
        <v/>
      </c>
      <c r="N17" t="str">
        <f>IF($A17="","",SUMIFS(Allocation!$K$1:$K$175,Allocation!$C$1:$C$175,$A17,Allocation!$D$1:$D$175,$B17))</f>
        <v/>
      </c>
      <c r="O17" t="str">
        <f t="shared" si="1"/>
        <v/>
      </c>
      <c r="P17" t="str">
        <f t="shared" si="2"/>
        <v/>
      </c>
      <c r="Q17" t="str">
        <f>IF($A17="","",SUMIFS(Allocation!$I$1:$I$175,Allocation!$C$1:$C$175,$A17,Allocation!$E$1:$E$175,$C17))</f>
        <v/>
      </c>
      <c r="R17" t="str">
        <f>IF($A17="","",SUMIFS(Allocation!$J$1:$J$175,Allocation!$C$1:$C$175,$A17,Allocation!$E$1:$E$175,$C17))</f>
        <v/>
      </c>
      <c r="S17" t="str">
        <f>IF($A17="","",SUMIFS(Allocation!$K$1:$K$175,Allocation!$C$1:$C$175,$A17,Allocation!$E$1:$E$175,$C17))</f>
        <v/>
      </c>
      <c r="T17" t="str">
        <f>IF($A17="","",SUMIFS(Allocation!$I$1:$I$175,Allocation!$C$1:$C$175,$A17))</f>
        <v/>
      </c>
      <c r="U17" t="str">
        <f>IF($A17="","",SUMIFS(Allocation!$J$1:$J$175,Allocation!$C$1:$C$175,$A17))</f>
        <v/>
      </c>
      <c r="V17" t="str">
        <f>IF($A17="","",SUMIFS(Allocation!$K$1:$K$175,Allocation!$C$1:$C$175,$A17))</f>
        <v/>
      </c>
      <c r="W17" t="str">
        <f>IF($A17="","",SUMIFS(Compta!$F$1:$F$675,Compta!$A$1:$A$675,$B17,Compta!$B$1:$B$675,"621",Compta!$C$1:$C$675,$A17))</f>
        <v/>
      </c>
      <c r="X17" t="str">
        <f>IF($A17="","",SUMIFS(Compta!$F$1:$F$675,Compta!$A$1:$A$675,$B17,Compta!$B$1:$B$675,"6411",Compta!$C$1:$C$675,$A17))</f>
        <v/>
      </c>
      <c r="Y17" t="str">
        <f>IF($A17="","",SUMIFS(Compta!$F$1:$F$675,Compta!$A$1:$A$675,$B17,Compta!$B$1:$B$675,"604",Compta!$C$1:$C$675,$A17)+SUMIFS(Compta!$F$1:$F$675,Compta!$A$1:$A$675,$B17,Compta!$B$1:$B$675,"6063",Compta!$C$1:$C$675,$A17))</f>
        <v/>
      </c>
      <c r="Z17" t="str">
        <f>IF($A17="","",SUMIFS(Compta!$F$1:$F$675,Compta!$A$1:$A$675,$B17,Compta!$B$1:$B$675,"6231",Compta!$C$1:$C$675,$A17))</f>
        <v/>
      </c>
      <c r="AA17" t="str">
        <f>IF($A17="","",SUMIFS(Compta!$F$1:$F$675,Compta!$A$1:$A$675,$B17,Compta!$B$1:$B$675,"6413",Compta!$C$1:$C$675,$A17)+SUMIFS(Compta!$F$1:$F$675,Compta!$A$1:$A$675,$B17,Compta!$B$1:$B$675,"645",Compta!$C$1:$C$675,$A17)+SUMIFS(Compta!$F$1:$F$675,Compta!$A$1:$A$675,$B17,Compta!$B$1:$B$675,"613",Compta!$C$1:$C$675,$A17)+SUMIFS(Compta!$F$1:$F$675,Compta!$A$1:$A$675,$B17,Compta!$B$1:$B$675,"615",Compta!$C$1:$C$675,$A17)+SUMIFS(Compta!$F$1:$F$675,Compta!$A$1:$A$675,$B17,Compta!$B$1:$B$675,"616",Compta!$C$1:$C$675,$A17)+SUMIFS(Compta!$F$1:$F$675,Compta!$A$1:$A$675,$B17,Compta!$B$1:$B$675,"625",Compta!$C$1:$C$675,$A17)+SUMIFS(Compta!$F$1:$F$675,Compta!$A$1:$A$675,$B17,Compta!$B$1:$B$675,"63511",Compta!$C$1:$C$675,$A17))</f>
        <v/>
      </c>
      <c r="AB17" t="str">
        <f>IF($A17="","",SUMIFS(Compta!$F$1:$F$675,Compta!$A$1:$A$675,"GRP",Compta!$B$1:$B$675,"6414",Compta!$C$1:$C$675,$A17)+SUMIFS(Compta!$F$1:$F$675,Compta!$A$1:$A$675,"GRP",Compta!$B$1:$B$675,"6226",Compta!$C$1:$C$675,$A17)+SUMIFS(Compta!$F$1:$F$675,Compta!$A$1:$A$675,"GRP",Compta!$B$1:$B$675,"626",Compta!$C$1:$C$675,$A17)+SUMIFS(Compta!$F$1:$F$675,Compta!$A$1:$A$675,"GRP",Compta!$B$1:$B$675,"6281",Compta!$C$1:$C$675,$A17)+SUMIFS(Compta!$F$1:$F$675,Compta!$A$1:$A$675,"GRP",Compta!$B$1:$B$675,"6331",Compta!$C$1:$C$675,$A17)+SUMIFS(Compta!$F$1:$F$675,Compta!$A$1:$A$675,"GRP",Compta!$B$1:$B$675,"6333",Compta!$C$1:$C$675,$A17))</f>
        <v/>
      </c>
      <c r="AC17" t="s">
        <v>297</v>
      </c>
      <c r="AD17" t="s">
        <v>297</v>
      </c>
      <c r="AE17" t="s">
        <v>297</v>
      </c>
      <c r="AF17" t="s">
        <v>297</v>
      </c>
      <c r="AG17" t="s">
        <v>297</v>
      </c>
      <c r="AH17" t="s">
        <v>297</v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 t="str">
        <f>IF($A17="","",SUMIFS(Compta!$F$1:$F$675,Compta!$A$1:$A$675,"GRP",Compta!$B$1:$B$675,"6236",Compta!$C$1:$C$675,$A17))</f>
        <v/>
      </c>
      <c r="AP17" t="s">
        <v>297</v>
      </c>
      <c r="AQ17" t="s">
        <v>297</v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IF(Allocation!D18="","",Allocation!I18)</f>
        <v/>
      </c>
      <c r="H18" t="str">
        <f>IF(Allocation!D18="","",Allocation!J18)</f>
        <v/>
      </c>
      <c r="I18" t="str">
        <f>IF(Allocation!D18="","",Allocation!K18)</f>
        <v/>
      </c>
      <c r="J18" t="str">
        <f>IF($A18="","",SUMIFS(Socle!$K$1:$K$175,Socle!$C$1:$C$175,$B18,Socle!$D$1:$D$175,$D18,Socle!$E$1:$E$175,$E18,Socle!$F$1:$F$175,$F18,Socle!$G$1:$G$175,$A18))</f>
        <v/>
      </c>
      <c r="K18" t="str">
        <f t="shared" si="0"/>
        <v/>
      </c>
      <c r="L18" t="str">
        <f>IF($A18="","",SUMIFS(Allocation!$I$1:$I$175,Allocation!$C$1:$C$175,$A18,Allocation!$D$1:$D$175,$B18))</f>
        <v/>
      </c>
      <c r="M18" t="str">
        <f>IF($A18="","",SUMIFS(Allocation!$J$1:$J$175,Allocation!$C$1:$C$175,$A18,Allocation!$D$1:$D$175,$B18))</f>
        <v/>
      </c>
      <c r="N18" t="str">
        <f>IF($A18="","",SUMIFS(Allocation!$K$1:$K$175,Allocation!$C$1:$C$175,$A18,Allocation!$D$1:$D$175,$B18))</f>
        <v/>
      </c>
      <c r="O18" t="str">
        <f t="shared" si="1"/>
        <v/>
      </c>
      <c r="P18" t="str">
        <f t="shared" si="2"/>
        <v/>
      </c>
      <c r="Q18" t="str">
        <f>IF($A18="","",SUMIFS(Allocation!$I$1:$I$175,Allocation!$C$1:$C$175,$A18,Allocation!$E$1:$E$175,$C18))</f>
        <v/>
      </c>
      <c r="R18" t="str">
        <f>IF($A18="","",SUMIFS(Allocation!$J$1:$J$175,Allocation!$C$1:$C$175,$A18,Allocation!$E$1:$E$175,$C18))</f>
        <v/>
      </c>
      <c r="S18" t="str">
        <f>IF($A18="","",SUMIFS(Allocation!$K$1:$K$175,Allocation!$C$1:$C$175,$A18,Allocation!$E$1:$E$175,$C18))</f>
        <v/>
      </c>
      <c r="T18" t="str">
        <f>IF($A18="","",SUMIFS(Allocation!$I$1:$I$175,Allocation!$C$1:$C$175,$A18))</f>
        <v/>
      </c>
      <c r="U18" t="str">
        <f>IF($A18="","",SUMIFS(Allocation!$J$1:$J$175,Allocation!$C$1:$C$175,$A18))</f>
        <v/>
      </c>
      <c r="V18" t="str">
        <f>IF($A18="","",SUMIFS(Allocation!$K$1:$K$175,Allocation!$C$1:$C$175,$A18))</f>
        <v/>
      </c>
      <c r="W18" t="str">
        <f>IF($A18="","",SUMIFS(Compta!$F$1:$F$675,Compta!$A$1:$A$675,$B18,Compta!$B$1:$B$675,"621",Compta!$C$1:$C$675,$A18))</f>
        <v/>
      </c>
      <c r="X18" t="str">
        <f>IF($A18="","",SUMIFS(Compta!$F$1:$F$675,Compta!$A$1:$A$675,$B18,Compta!$B$1:$B$675,"6411",Compta!$C$1:$C$675,$A18))</f>
        <v/>
      </c>
      <c r="Y18" t="str">
        <f>IF($A18="","",SUMIFS(Compta!$F$1:$F$675,Compta!$A$1:$A$675,$B18,Compta!$B$1:$B$675,"604",Compta!$C$1:$C$675,$A18)+SUMIFS(Compta!$F$1:$F$675,Compta!$A$1:$A$675,$B18,Compta!$B$1:$B$675,"6063",Compta!$C$1:$C$675,$A18))</f>
        <v/>
      </c>
      <c r="Z18" t="str">
        <f>IF($A18="","",SUMIFS(Compta!$F$1:$F$675,Compta!$A$1:$A$675,$B18,Compta!$B$1:$B$675,"6231",Compta!$C$1:$C$675,$A18))</f>
        <v/>
      </c>
      <c r="AA18" t="str">
        <f>IF($A18="","",SUMIFS(Compta!$F$1:$F$675,Compta!$A$1:$A$675,$B18,Compta!$B$1:$B$675,"6413",Compta!$C$1:$C$675,$A18)+SUMIFS(Compta!$F$1:$F$675,Compta!$A$1:$A$675,$B18,Compta!$B$1:$B$675,"645",Compta!$C$1:$C$675,$A18)+SUMIFS(Compta!$F$1:$F$675,Compta!$A$1:$A$675,$B18,Compta!$B$1:$B$675,"613",Compta!$C$1:$C$675,$A18)+SUMIFS(Compta!$F$1:$F$675,Compta!$A$1:$A$675,$B18,Compta!$B$1:$B$675,"615",Compta!$C$1:$C$675,$A18)+SUMIFS(Compta!$F$1:$F$675,Compta!$A$1:$A$675,$B18,Compta!$B$1:$B$675,"616",Compta!$C$1:$C$675,$A18)+SUMIFS(Compta!$F$1:$F$675,Compta!$A$1:$A$675,$B18,Compta!$B$1:$B$675,"625",Compta!$C$1:$C$675,$A18)+SUMIFS(Compta!$F$1:$F$675,Compta!$A$1:$A$675,$B18,Compta!$B$1:$B$675,"63511",Compta!$C$1:$C$675,$A18))</f>
        <v/>
      </c>
      <c r="AB18" t="str">
        <f>IF($A18="","",SUMIFS(Compta!$F$1:$F$675,Compta!$A$1:$A$675,"GRP",Compta!$B$1:$B$675,"6414",Compta!$C$1:$C$675,$A18)+SUMIFS(Compta!$F$1:$F$675,Compta!$A$1:$A$675,"GRP",Compta!$B$1:$B$675,"6226",Compta!$C$1:$C$675,$A18)+SUMIFS(Compta!$F$1:$F$675,Compta!$A$1:$A$675,"GRP",Compta!$B$1:$B$675,"626",Compta!$C$1:$C$675,$A18)+SUMIFS(Compta!$F$1:$F$675,Compta!$A$1:$A$675,"GRP",Compta!$B$1:$B$675,"6281",Compta!$C$1:$C$675,$A18)+SUMIFS(Compta!$F$1:$F$675,Compta!$A$1:$A$675,"GRP",Compta!$B$1:$B$675,"6331",Compta!$C$1:$C$675,$A18)+SUMIFS(Compta!$F$1:$F$675,Compta!$A$1:$A$675,"GRP",Compta!$B$1:$B$675,"6333",Compta!$C$1:$C$675,$A18))</f>
        <v/>
      </c>
      <c r="AC18" t="s">
        <v>297</v>
      </c>
      <c r="AD18" t="s">
        <v>297</v>
      </c>
      <c r="AE18" t="s">
        <v>297</v>
      </c>
      <c r="AF18" t="s">
        <v>297</v>
      </c>
      <c r="AG18" t="s">
        <v>297</v>
      </c>
      <c r="AH18" t="s">
        <v>297</v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 t="str">
        <f>IF($A18="","",SUMIFS(Compta!$F$1:$F$675,Compta!$A$1:$A$675,"GRP",Compta!$B$1:$B$675,"6236",Compta!$C$1:$C$675,$A18))</f>
        <v/>
      </c>
      <c r="AP18" t="s">
        <v>297</v>
      </c>
      <c r="AQ18" t="s">
        <v>297</v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IF(Allocation!D19="","",Allocation!I19)</f>
        <v/>
      </c>
      <c r="H19" t="str">
        <f>IF(Allocation!D19="","",Allocation!J19)</f>
        <v/>
      </c>
      <c r="I19" t="str">
        <f>IF(Allocation!D19="","",Allocation!K19)</f>
        <v/>
      </c>
      <c r="J19" t="str">
        <f>IF($A19="","",SUMIFS(Socle!$K$1:$K$175,Socle!$C$1:$C$175,$B19,Socle!$D$1:$D$175,$D19,Socle!$E$1:$E$175,$E19,Socle!$F$1:$F$175,$F19,Socle!$G$1:$G$175,$A19))</f>
        <v/>
      </c>
      <c r="K19" t="str">
        <f t="shared" si="0"/>
        <v/>
      </c>
      <c r="L19" t="str">
        <f>IF($A19="","",SUMIFS(Allocation!$I$1:$I$175,Allocation!$C$1:$C$175,$A19,Allocation!$D$1:$D$175,$B19))</f>
        <v/>
      </c>
      <c r="M19" t="str">
        <f>IF($A19="","",SUMIFS(Allocation!$J$1:$J$175,Allocation!$C$1:$C$175,$A19,Allocation!$D$1:$D$175,$B19))</f>
        <v/>
      </c>
      <c r="N19" t="str">
        <f>IF($A19="","",SUMIFS(Allocation!$K$1:$K$175,Allocation!$C$1:$C$175,$A19,Allocation!$D$1:$D$175,$B19))</f>
        <v/>
      </c>
      <c r="O19" t="str">
        <f t="shared" si="1"/>
        <v/>
      </c>
      <c r="P19" t="str">
        <f t="shared" si="2"/>
        <v/>
      </c>
      <c r="Q19" t="str">
        <f>IF($A19="","",SUMIFS(Allocation!$I$1:$I$175,Allocation!$C$1:$C$175,$A19,Allocation!$E$1:$E$175,$C19))</f>
        <v/>
      </c>
      <c r="R19" t="str">
        <f>IF($A19="","",SUMIFS(Allocation!$J$1:$J$175,Allocation!$C$1:$C$175,$A19,Allocation!$E$1:$E$175,$C19))</f>
        <v/>
      </c>
      <c r="S19" t="str">
        <f>IF($A19="","",SUMIFS(Allocation!$K$1:$K$175,Allocation!$C$1:$C$175,$A19,Allocation!$E$1:$E$175,$C19))</f>
        <v/>
      </c>
      <c r="T19" t="str">
        <f>IF($A19="","",SUMIFS(Allocation!$I$1:$I$175,Allocation!$C$1:$C$175,$A19))</f>
        <v/>
      </c>
      <c r="U19" t="str">
        <f>IF($A19="","",SUMIFS(Allocation!$J$1:$J$175,Allocation!$C$1:$C$175,$A19))</f>
        <v/>
      </c>
      <c r="V19" t="str">
        <f>IF($A19="","",SUMIFS(Allocation!$K$1:$K$175,Allocation!$C$1:$C$175,$A19))</f>
        <v/>
      </c>
      <c r="W19" t="str">
        <f>IF($A19="","",SUMIFS(Compta!$F$1:$F$675,Compta!$A$1:$A$675,$B19,Compta!$B$1:$B$675,"621",Compta!$C$1:$C$675,$A19))</f>
        <v/>
      </c>
      <c r="X19" t="str">
        <f>IF($A19="","",SUMIFS(Compta!$F$1:$F$675,Compta!$A$1:$A$675,$B19,Compta!$B$1:$B$675,"6411",Compta!$C$1:$C$675,$A19))</f>
        <v/>
      </c>
      <c r="Y19" t="str">
        <f>IF($A19="","",SUMIFS(Compta!$F$1:$F$675,Compta!$A$1:$A$675,$B19,Compta!$B$1:$B$675,"604",Compta!$C$1:$C$675,$A19)+SUMIFS(Compta!$F$1:$F$675,Compta!$A$1:$A$675,$B19,Compta!$B$1:$B$675,"6063",Compta!$C$1:$C$675,$A19))</f>
        <v/>
      </c>
      <c r="Z19" t="str">
        <f>IF($A19="","",SUMIFS(Compta!$F$1:$F$675,Compta!$A$1:$A$675,$B19,Compta!$B$1:$B$675,"6231",Compta!$C$1:$C$675,$A19))</f>
        <v/>
      </c>
      <c r="AA19" t="str">
        <f>IF($A19="","",SUMIFS(Compta!$F$1:$F$675,Compta!$A$1:$A$675,$B19,Compta!$B$1:$B$675,"6413",Compta!$C$1:$C$675,$A19)+SUMIFS(Compta!$F$1:$F$675,Compta!$A$1:$A$675,$B19,Compta!$B$1:$B$675,"645",Compta!$C$1:$C$675,$A19)+SUMIFS(Compta!$F$1:$F$675,Compta!$A$1:$A$675,$B19,Compta!$B$1:$B$675,"613",Compta!$C$1:$C$675,$A19)+SUMIFS(Compta!$F$1:$F$675,Compta!$A$1:$A$675,$B19,Compta!$B$1:$B$675,"615",Compta!$C$1:$C$675,$A19)+SUMIFS(Compta!$F$1:$F$675,Compta!$A$1:$A$675,$B19,Compta!$B$1:$B$675,"616",Compta!$C$1:$C$675,$A19)+SUMIFS(Compta!$F$1:$F$675,Compta!$A$1:$A$675,$B19,Compta!$B$1:$B$675,"625",Compta!$C$1:$C$675,$A19)+SUMIFS(Compta!$F$1:$F$675,Compta!$A$1:$A$675,$B19,Compta!$B$1:$B$675,"63511",Compta!$C$1:$C$675,$A19))</f>
        <v/>
      </c>
      <c r="AB19" t="str">
        <f>IF($A19="","",SUMIFS(Compta!$F$1:$F$675,Compta!$A$1:$A$675,"GRP",Compta!$B$1:$B$675,"6414",Compta!$C$1:$C$675,$A19)+SUMIFS(Compta!$F$1:$F$675,Compta!$A$1:$A$675,"GRP",Compta!$B$1:$B$675,"6226",Compta!$C$1:$C$675,$A19)+SUMIFS(Compta!$F$1:$F$675,Compta!$A$1:$A$675,"GRP",Compta!$B$1:$B$675,"626",Compta!$C$1:$C$675,$A19)+SUMIFS(Compta!$F$1:$F$675,Compta!$A$1:$A$675,"GRP",Compta!$B$1:$B$675,"6281",Compta!$C$1:$C$675,$A19)+SUMIFS(Compta!$F$1:$F$675,Compta!$A$1:$A$675,"GRP",Compta!$B$1:$B$675,"6331",Compta!$C$1:$C$675,$A19)+SUMIFS(Compta!$F$1:$F$675,Compta!$A$1:$A$675,"GRP",Compta!$B$1:$B$675,"6333",Compta!$C$1:$C$675,$A19))</f>
        <v/>
      </c>
      <c r="AC19" t="s">
        <v>297</v>
      </c>
      <c r="AD19" t="s">
        <v>297</v>
      </c>
      <c r="AE19" t="s">
        <v>297</v>
      </c>
      <c r="AF19" t="s">
        <v>297</v>
      </c>
      <c r="AG19" t="s">
        <v>297</v>
      </c>
      <c r="AH19" t="s">
        <v>297</v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 t="str">
        <f>IF($A19="","",SUMIFS(Compta!$F$1:$F$675,Compta!$A$1:$A$675,"GRP",Compta!$B$1:$B$675,"6236",Compta!$C$1:$C$675,$A19))</f>
        <v/>
      </c>
      <c r="AP19" t="s">
        <v>297</v>
      </c>
      <c r="AQ19" t="s">
        <v>297</v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IF(Allocation!D20="","",Allocation!I20)</f>
        <v/>
      </c>
      <c r="H20" t="str">
        <f>IF(Allocation!D20="","",Allocation!J20)</f>
        <v/>
      </c>
      <c r="I20" t="str">
        <f>IF(Allocation!D20="","",Allocation!K20)</f>
        <v/>
      </c>
      <c r="J20" t="str">
        <f>IF($A20="","",SUMIFS(Socle!$K$1:$K$175,Socle!$C$1:$C$175,$B20,Socle!$D$1:$D$175,$D20,Socle!$E$1:$E$175,$E20,Socle!$F$1:$F$175,$F20,Socle!$G$1:$G$175,$A20))</f>
        <v/>
      </c>
      <c r="K20" t="str">
        <f t="shared" si="0"/>
        <v/>
      </c>
      <c r="L20" t="str">
        <f>IF($A20="","",SUMIFS(Allocation!$I$1:$I$175,Allocation!$C$1:$C$175,$A20,Allocation!$D$1:$D$175,$B20))</f>
        <v/>
      </c>
      <c r="M20" t="str">
        <f>IF($A20="","",SUMIFS(Allocation!$J$1:$J$175,Allocation!$C$1:$C$175,$A20,Allocation!$D$1:$D$175,$B20))</f>
        <v/>
      </c>
      <c r="N20" t="str">
        <f>IF($A20="","",SUMIFS(Allocation!$K$1:$K$175,Allocation!$C$1:$C$175,$A20,Allocation!$D$1:$D$175,$B20))</f>
        <v/>
      </c>
      <c r="O20" t="str">
        <f t="shared" si="1"/>
        <v/>
      </c>
      <c r="P20" t="str">
        <f t="shared" si="2"/>
        <v/>
      </c>
      <c r="Q20" t="str">
        <f>IF($A20="","",SUMIFS(Allocation!$I$1:$I$175,Allocation!$C$1:$C$175,$A20,Allocation!$E$1:$E$175,$C20))</f>
        <v/>
      </c>
      <c r="R20" t="str">
        <f>IF($A20="","",SUMIFS(Allocation!$J$1:$J$175,Allocation!$C$1:$C$175,$A20,Allocation!$E$1:$E$175,$C20))</f>
        <v/>
      </c>
      <c r="S20" t="str">
        <f>IF($A20="","",SUMIFS(Allocation!$K$1:$K$175,Allocation!$C$1:$C$175,$A20,Allocation!$E$1:$E$175,$C20))</f>
        <v/>
      </c>
      <c r="T20" t="str">
        <f>IF($A20="","",SUMIFS(Allocation!$I$1:$I$175,Allocation!$C$1:$C$175,$A20))</f>
        <v/>
      </c>
      <c r="U20" t="str">
        <f>IF($A20="","",SUMIFS(Allocation!$J$1:$J$175,Allocation!$C$1:$C$175,$A20))</f>
        <v/>
      </c>
      <c r="V20" t="str">
        <f>IF($A20="","",SUMIFS(Allocation!$K$1:$K$175,Allocation!$C$1:$C$175,$A20))</f>
        <v/>
      </c>
      <c r="W20" t="str">
        <f>IF($A20="","",SUMIFS(Compta!$F$1:$F$675,Compta!$A$1:$A$675,$B20,Compta!$B$1:$B$675,"621",Compta!$C$1:$C$675,$A20))</f>
        <v/>
      </c>
      <c r="X20" t="str">
        <f>IF($A20="","",SUMIFS(Compta!$F$1:$F$675,Compta!$A$1:$A$675,$B20,Compta!$B$1:$B$675,"6411",Compta!$C$1:$C$675,$A20))</f>
        <v/>
      </c>
      <c r="Y20" t="str">
        <f>IF($A20="","",SUMIFS(Compta!$F$1:$F$675,Compta!$A$1:$A$675,$B20,Compta!$B$1:$B$675,"604",Compta!$C$1:$C$675,$A20)+SUMIFS(Compta!$F$1:$F$675,Compta!$A$1:$A$675,$B20,Compta!$B$1:$B$675,"6063",Compta!$C$1:$C$675,$A20))</f>
        <v/>
      </c>
      <c r="Z20" t="str">
        <f>IF($A20="","",SUMIFS(Compta!$F$1:$F$675,Compta!$A$1:$A$675,$B20,Compta!$B$1:$B$675,"6231",Compta!$C$1:$C$675,$A20))</f>
        <v/>
      </c>
      <c r="AA20" t="str">
        <f>IF($A20="","",SUMIFS(Compta!$F$1:$F$675,Compta!$A$1:$A$675,$B20,Compta!$B$1:$B$675,"6413",Compta!$C$1:$C$675,$A20)+SUMIFS(Compta!$F$1:$F$675,Compta!$A$1:$A$675,$B20,Compta!$B$1:$B$675,"645",Compta!$C$1:$C$675,$A20)+SUMIFS(Compta!$F$1:$F$675,Compta!$A$1:$A$675,$B20,Compta!$B$1:$B$675,"613",Compta!$C$1:$C$675,$A20)+SUMIFS(Compta!$F$1:$F$675,Compta!$A$1:$A$675,$B20,Compta!$B$1:$B$675,"615",Compta!$C$1:$C$675,$A20)+SUMIFS(Compta!$F$1:$F$675,Compta!$A$1:$A$675,$B20,Compta!$B$1:$B$675,"616",Compta!$C$1:$C$675,$A20)+SUMIFS(Compta!$F$1:$F$675,Compta!$A$1:$A$675,$B20,Compta!$B$1:$B$675,"625",Compta!$C$1:$C$675,$A20)+SUMIFS(Compta!$F$1:$F$675,Compta!$A$1:$A$675,$B20,Compta!$B$1:$B$675,"63511",Compta!$C$1:$C$675,$A20))</f>
        <v/>
      </c>
      <c r="AB20" t="str">
        <f>IF($A20="","",SUMIFS(Compta!$F$1:$F$675,Compta!$A$1:$A$675,"GRP",Compta!$B$1:$B$675,"6414",Compta!$C$1:$C$675,$A20)+SUMIFS(Compta!$F$1:$F$675,Compta!$A$1:$A$675,"GRP",Compta!$B$1:$B$675,"6226",Compta!$C$1:$C$675,$A20)+SUMIFS(Compta!$F$1:$F$675,Compta!$A$1:$A$675,"GRP",Compta!$B$1:$B$675,"626",Compta!$C$1:$C$675,$A20)+SUMIFS(Compta!$F$1:$F$675,Compta!$A$1:$A$675,"GRP",Compta!$B$1:$B$675,"6281",Compta!$C$1:$C$675,$A20)+SUMIFS(Compta!$F$1:$F$675,Compta!$A$1:$A$675,"GRP",Compta!$B$1:$B$675,"6331",Compta!$C$1:$C$675,$A20)+SUMIFS(Compta!$F$1:$F$675,Compta!$A$1:$A$675,"GRP",Compta!$B$1:$B$675,"6333",Compta!$C$1:$C$675,$A20))</f>
        <v/>
      </c>
      <c r="AC20" t="s">
        <v>297</v>
      </c>
      <c r="AD20" t="s">
        <v>297</v>
      </c>
      <c r="AE20" t="s">
        <v>297</v>
      </c>
      <c r="AF20" t="s">
        <v>297</v>
      </c>
      <c r="AG20" t="s">
        <v>297</v>
      </c>
      <c r="AH20" t="s">
        <v>297</v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 t="str">
        <f>IF($A20="","",SUMIFS(Compta!$F$1:$F$675,Compta!$A$1:$A$675,"GRP",Compta!$B$1:$B$675,"6236",Compta!$C$1:$C$675,$A20))</f>
        <v/>
      </c>
      <c r="AP20" t="s">
        <v>297</v>
      </c>
      <c r="AQ20" t="s">
        <v>297</v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IF(Allocation!D21="","",Allocation!I21)</f>
        <v/>
      </c>
      <c r="H21" t="str">
        <f>IF(Allocation!D21="","",Allocation!J21)</f>
        <v/>
      </c>
      <c r="I21" t="str">
        <f>IF(Allocation!D21="","",Allocation!K21)</f>
        <v/>
      </c>
      <c r="J21" t="str">
        <f>IF($A21="","",SUMIFS(Socle!$K$1:$K$175,Socle!$C$1:$C$175,$B21,Socle!$D$1:$D$175,$D21,Socle!$E$1:$E$175,$E21,Socle!$F$1:$F$175,$F21,Socle!$G$1:$G$175,$A21))</f>
        <v/>
      </c>
      <c r="K21" t="str">
        <f t="shared" si="0"/>
        <v/>
      </c>
      <c r="L21" t="str">
        <f>IF($A21="","",SUMIFS(Allocation!$I$1:$I$175,Allocation!$C$1:$C$175,$A21,Allocation!$D$1:$D$175,$B21))</f>
        <v/>
      </c>
      <c r="M21" t="str">
        <f>IF($A21="","",SUMIFS(Allocation!$J$1:$J$175,Allocation!$C$1:$C$175,$A21,Allocation!$D$1:$D$175,$B21))</f>
        <v/>
      </c>
      <c r="N21" t="str">
        <f>IF($A21="","",SUMIFS(Allocation!$K$1:$K$175,Allocation!$C$1:$C$175,$A21,Allocation!$D$1:$D$175,$B21))</f>
        <v/>
      </c>
      <c r="O21" t="str">
        <f t="shared" si="1"/>
        <v/>
      </c>
      <c r="P21" t="str">
        <f t="shared" si="2"/>
        <v/>
      </c>
      <c r="Q21" t="str">
        <f>IF($A21="","",SUMIFS(Allocation!$I$1:$I$175,Allocation!$C$1:$C$175,$A21,Allocation!$E$1:$E$175,$C21))</f>
        <v/>
      </c>
      <c r="R21" t="str">
        <f>IF($A21="","",SUMIFS(Allocation!$J$1:$J$175,Allocation!$C$1:$C$175,$A21,Allocation!$E$1:$E$175,$C21))</f>
        <v/>
      </c>
      <c r="S21" t="str">
        <f>IF($A21="","",SUMIFS(Allocation!$K$1:$K$175,Allocation!$C$1:$C$175,$A21,Allocation!$E$1:$E$175,$C21))</f>
        <v/>
      </c>
      <c r="T21" t="str">
        <f>IF($A21="","",SUMIFS(Allocation!$I$1:$I$175,Allocation!$C$1:$C$175,$A21))</f>
        <v/>
      </c>
      <c r="U21" t="str">
        <f>IF($A21="","",SUMIFS(Allocation!$J$1:$J$175,Allocation!$C$1:$C$175,$A21))</f>
        <v/>
      </c>
      <c r="V21" t="str">
        <f>IF($A21="","",SUMIFS(Allocation!$K$1:$K$175,Allocation!$C$1:$C$175,$A21))</f>
        <v/>
      </c>
      <c r="W21" t="str">
        <f>IF($A21="","",SUMIFS(Compta!$F$1:$F$675,Compta!$A$1:$A$675,$B21,Compta!$B$1:$B$675,"621",Compta!$C$1:$C$675,$A21))</f>
        <v/>
      </c>
      <c r="X21" t="str">
        <f>IF($A21="","",SUMIFS(Compta!$F$1:$F$675,Compta!$A$1:$A$675,$B21,Compta!$B$1:$B$675,"6411",Compta!$C$1:$C$675,$A21))</f>
        <v/>
      </c>
      <c r="Y21" t="str">
        <f>IF($A21="","",SUMIFS(Compta!$F$1:$F$675,Compta!$A$1:$A$675,$B21,Compta!$B$1:$B$675,"604",Compta!$C$1:$C$675,$A21)+SUMIFS(Compta!$F$1:$F$675,Compta!$A$1:$A$675,$B21,Compta!$B$1:$B$675,"6063",Compta!$C$1:$C$675,$A21))</f>
        <v/>
      </c>
      <c r="Z21" t="str">
        <f>IF($A21="","",SUMIFS(Compta!$F$1:$F$675,Compta!$A$1:$A$675,$B21,Compta!$B$1:$B$675,"6231",Compta!$C$1:$C$675,$A21))</f>
        <v/>
      </c>
      <c r="AA21" t="str">
        <f>IF($A21="","",SUMIFS(Compta!$F$1:$F$675,Compta!$A$1:$A$675,$B21,Compta!$B$1:$B$675,"6413",Compta!$C$1:$C$675,$A21)+SUMIFS(Compta!$F$1:$F$675,Compta!$A$1:$A$675,$B21,Compta!$B$1:$B$675,"645",Compta!$C$1:$C$675,$A21)+SUMIFS(Compta!$F$1:$F$675,Compta!$A$1:$A$675,$B21,Compta!$B$1:$B$675,"613",Compta!$C$1:$C$675,$A21)+SUMIFS(Compta!$F$1:$F$675,Compta!$A$1:$A$675,$B21,Compta!$B$1:$B$675,"615",Compta!$C$1:$C$675,$A21)+SUMIFS(Compta!$F$1:$F$675,Compta!$A$1:$A$675,$B21,Compta!$B$1:$B$675,"616",Compta!$C$1:$C$675,$A21)+SUMIFS(Compta!$F$1:$F$675,Compta!$A$1:$A$675,$B21,Compta!$B$1:$B$675,"625",Compta!$C$1:$C$675,$A21)+SUMIFS(Compta!$F$1:$F$675,Compta!$A$1:$A$675,$B21,Compta!$B$1:$B$675,"63511",Compta!$C$1:$C$675,$A21))</f>
        <v/>
      </c>
      <c r="AB21" t="str">
        <f>IF($A21="","",SUMIFS(Compta!$F$1:$F$675,Compta!$A$1:$A$675,"GRP",Compta!$B$1:$B$675,"6414",Compta!$C$1:$C$675,$A21)+SUMIFS(Compta!$F$1:$F$675,Compta!$A$1:$A$675,"GRP",Compta!$B$1:$B$675,"6226",Compta!$C$1:$C$675,$A21)+SUMIFS(Compta!$F$1:$F$675,Compta!$A$1:$A$675,"GRP",Compta!$B$1:$B$675,"626",Compta!$C$1:$C$675,$A21)+SUMIFS(Compta!$F$1:$F$675,Compta!$A$1:$A$675,"GRP",Compta!$B$1:$B$675,"6281",Compta!$C$1:$C$675,$A21)+SUMIFS(Compta!$F$1:$F$675,Compta!$A$1:$A$675,"GRP",Compta!$B$1:$B$675,"6331",Compta!$C$1:$C$675,$A21)+SUMIFS(Compta!$F$1:$F$675,Compta!$A$1:$A$675,"GRP",Compta!$B$1:$B$675,"6333",Compta!$C$1:$C$675,$A21))</f>
        <v/>
      </c>
      <c r="AC21" t="s">
        <v>297</v>
      </c>
      <c r="AD21" t="s">
        <v>297</v>
      </c>
      <c r="AE21" t="s">
        <v>297</v>
      </c>
      <c r="AF21" t="s">
        <v>297</v>
      </c>
      <c r="AG21" t="s">
        <v>297</v>
      </c>
      <c r="AH21" t="s">
        <v>297</v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 t="str">
        <f>IF($A21="","",SUMIFS(Compta!$F$1:$F$675,Compta!$A$1:$A$675,"GRP",Compta!$B$1:$B$675,"6236",Compta!$C$1:$C$675,$A21))</f>
        <v/>
      </c>
      <c r="AP21" t="s">
        <v>297</v>
      </c>
      <c r="AQ21" t="s">
        <v>297</v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IF(Allocation!D22="","",Allocation!I22)</f>
        <v/>
      </c>
      <c r="H22" t="str">
        <f>IF(Allocation!D22="","",Allocation!J22)</f>
        <v/>
      </c>
      <c r="I22" t="str">
        <f>IF(Allocation!D22="","",Allocation!K22)</f>
        <v/>
      </c>
      <c r="J22" t="str">
        <f>IF($A22="","",SUMIFS(Socle!$K$1:$K$175,Socle!$C$1:$C$175,$B22,Socle!$D$1:$D$175,$D22,Socle!$E$1:$E$175,$E22,Socle!$F$1:$F$175,$F22,Socle!$G$1:$G$175,$A22))</f>
        <v/>
      </c>
      <c r="K22" t="str">
        <f t="shared" si="0"/>
        <v/>
      </c>
      <c r="L22" t="str">
        <f>IF($A22="","",SUMIFS(Allocation!$I$1:$I$175,Allocation!$C$1:$C$175,$A22,Allocation!$D$1:$D$175,$B22))</f>
        <v/>
      </c>
      <c r="M22" t="str">
        <f>IF($A22="","",SUMIFS(Allocation!$J$1:$J$175,Allocation!$C$1:$C$175,$A22,Allocation!$D$1:$D$175,$B22))</f>
        <v/>
      </c>
      <c r="N22" t="str">
        <f>IF($A22="","",SUMIFS(Allocation!$K$1:$K$175,Allocation!$C$1:$C$175,$A22,Allocation!$D$1:$D$175,$B22))</f>
        <v/>
      </c>
      <c r="O22" t="str">
        <f t="shared" si="1"/>
        <v/>
      </c>
      <c r="P22" t="str">
        <f t="shared" si="2"/>
        <v/>
      </c>
      <c r="Q22" t="str">
        <f>IF($A22="","",SUMIFS(Allocation!$I$1:$I$175,Allocation!$C$1:$C$175,$A22,Allocation!$E$1:$E$175,$C22))</f>
        <v/>
      </c>
      <c r="R22" t="str">
        <f>IF($A22="","",SUMIFS(Allocation!$J$1:$J$175,Allocation!$C$1:$C$175,$A22,Allocation!$E$1:$E$175,$C22))</f>
        <v/>
      </c>
      <c r="S22" t="str">
        <f>IF($A22="","",SUMIFS(Allocation!$K$1:$K$175,Allocation!$C$1:$C$175,$A22,Allocation!$E$1:$E$175,$C22))</f>
        <v/>
      </c>
      <c r="T22" t="str">
        <f>IF($A22="","",SUMIFS(Allocation!$I$1:$I$175,Allocation!$C$1:$C$175,$A22))</f>
        <v/>
      </c>
      <c r="U22" t="str">
        <f>IF($A22="","",SUMIFS(Allocation!$J$1:$J$175,Allocation!$C$1:$C$175,$A22))</f>
        <v/>
      </c>
      <c r="V22" t="str">
        <f>IF($A22="","",SUMIFS(Allocation!$K$1:$K$175,Allocation!$C$1:$C$175,$A22))</f>
        <v/>
      </c>
      <c r="W22" t="str">
        <f>IF($A22="","",SUMIFS(Compta!$F$1:$F$675,Compta!$A$1:$A$675,$B22,Compta!$B$1:$B$675,"621",Compta!$C$1:$C$675,$A22))</f>
        <v/>
      </c>
      <c r="X22" t="str">
        <f>IF($A22="","",SUMIFS(Compta!$F$1:$F$675,Compta!$A$1:$A$675,$B22,Compta!$B$1:$B$675,"6411",Compta!$C$1:$C$675,$A22))</f>
        <v/>
      </c>
      <c r="Y22" t="str">
        <f>IF($A22="","",SUMIFS(Compta!$F$1:$F$675,Compta!$A$1:$A$675,$B22,Compta!$B$1:$B$675,"604",Compta!$C$1:$C$675,$A22)+SUMIFS(Compta!$F$1:$F$675,Compta!$A$1:$A$675,$B22,Compta!$B$1:$B$675,"6063",Compta!$C$1:$C$675,$A22))</f>
        <v/>
      </c>
      <c r="Z22" t="str">
        <f>IF($A22="","",SUMIFS(Compta!$F$1:$F$675,Compta!$A$1:$A$675,$B22,Compta!$B$1:$B$675,"6231",Compta!$C$1:$C$675,$A22))</f>
        <v/>
      </c>
      <c r="AA22" t="str">
        <f>IF($A22="","",SUMIFS(Compta!$F$1:$F$675,Compta!$A$1:$A$675,$B22,Compta!$B$1:$B$675,"6413",Compta!$C$1:$C$675,$A22)+SUMIFS(Compta!$F$1:$F$675,Compta!$A$1:$A$675,$B22,Compta!$B$1:$B$675,"645",Compta!$C$1:$C$675,$A22)+SUMIFS(Compta!$F$1:$F$675,Compta!$A$1:$A$675,$B22,Compta!$B$1:$B$675,"613",Compta!$C$1:$C$675,$A22)+SUMIFS(Compta!$F$1:$F$675,Compta!$A$1:$A$675,$B22,Compta!$B$1:$B$675,"615",Compta!$C$1:$C$675,$A22)+SUMIFS(Compta!$F$1:$F$675,Compta!$A$1:$A$675,$B22,Compta!$B$1:$B$675,"616",Compta!$C$1:$C$675,$A22)+SUMIFS(Compta!$F$1:$F$675,Compta!$A$1:$A$675,$B22,Compta!$B$1:$B$675,"625",Compta!$C$1:$C$675,$A22)+SUMIFS(Compta!$F$1:$F$675,Compta!$A$1:$A$675,$B22,Compta!$B$1:$B$675,"63511",Compta!$C$1:$C$675,$A22))</f>
        <v/>
      </c>
      <c r="AB22" t="str">
        <f>IF($A22="","",SUMIFS(Compta!$F$1:$F$675,Compta!$A$1:$A$675,"GRP",Compta!$B$1:$B$675,"6414",Compta!$C$1:$C$675,$A22)+SUMIFS(Compta!$F$1:$F$675,Compta!$A$1:$A$675,"GRP",Compta!$B$1:$B$675,"6226",Compta!$C$1:$C$675,$A22)+SUMIFS(Compta!$F$1:$F$675,Compta!$A$1:$A$675,"GRP",Compta!$B$1:$B$675,"626",Compta!$C$1:$C$675,$A22)+SUMIFS(Compta!$F$1:$F$675,Compta!$A$1:$A$675,"GRP",Compta!$B$1:$B$675,"6281",Compta!$C$1:$C$675,$A22)+SUMIFS(Compta!$F$1:$F$675,Compta!$A$1:$A$675,"GRP",Compta!$B$1:$B$675,"6331",Compta!$C$1:$C$675,$A22)+SUMIFS(Compta!$F$1:$F$675,Compta!$A$1:$A$675,"GRP",Compta!$B$1:$B$675,"6333",Compta!$C$1:$C$675,$A22))</f>
        <v/>
      </c>
      <c r="AC22" t="s">
        <v>297</v>
      </c>
      <c r="AD22" t="s">
        <v>297</v>
      </c>
      <c r="AE22" t="s">
        <v>297</v>
      </c>
      <c r="AF22" t="s">
        <v>297</v>
      </c>
      <c r="AG22" t="s">
        <v>297</v>
      </c>
      <c r="AH22" t="s">
        <v>297</v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 t="str">
        <f>IF($A22="","",SUMIFS(Compta!$F$1:$F$675,Compta!$A$1:$A$675,"GRP",Compta!$B$1:$B$675,"6236",Compta!$C$1:$C$675,$A22))</f>
        <v/>
      </c>
      <c r="AP22" t="s">
        <v>297</v>
      </c>
      <c r="AQ22" t="s">
        <v>297</v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IF(Allocation!D23="","",Allocation!I23)</f>
        <v/>
      </c>
      <c r="H23" t="str">
        <f>IF(Allocation!D23="","",Allocation!J23)</f>
        <v/>
      </c>
      <c r="I23" t="str">
        <f>IF(Allocation!D23="","",Allocation!K23)</f>
        <v/>
      </c>
      <c r="J23" t="str">
        <f>IF($A23="","",SUMIFS(Socle!$K$1:$K$175,Socle!$C$1:$C$175,$B23,Socle!$D$1:$D$175,$D23,Socle!$E$1:$E$175,$E23,Socle!$F$1:$F$175,$F23,Socle!$G$1:$G$175,$A23))</f>
        <v/>
      </c>
      <c r="K23" t="str">
        <f t="shared" si="0"/>
        <v/>
      </c>
      <c r="L23" t="str">
        <f>IF($A23="","",SUMIFS(Allocation!$I$1:$I$175,Allocation!$C$1:$C$175,$A23,Allocation!$D$1:$D$175,$B23))</f>
        <v/>
      </c>
      <c r="M23" t="str">
        <f>IF($A23="","",SUMIFS(Allocation!$J$1:$J$175,Allocation!$C$1:$C$175,$A23,Allocation!$D$1:$D$175,$B23))</f>
        <v/>
      </c>
      <c r="N23" t="str">
        <f>IF($A23="","",SUMIFS(Allocation!$K$1:$K$175,Allocation!$C$1:$C$175,$A23,Allocation!$D$1:$D$175,$B23))</f>
        <v/>
      </c>
      <c r="O23" t="str">
        <f t="shared" si="1"/>
        <v/>
      </c>
      <c r="P23" t="str">
        <f t="shared" si="2"/>
        <v/>
      </c>
      <c r="Q23" t="str">
        <f>IF($A23="","",SUMIFS(Allocation!$I$1:$I$175,Allocation!$C$1:$C$175,$A23,Allocation!$E$1:$E$175,$C23))</f>
        <v/>
      </c>
      <c r="R23" t="str">
        <f>IF($A23="","",SUMIFS(Allocation!$J$1:$J$175,Allocation!$C$1:$C$175,$A23,Allocation!$E$1:$E$175,$C23))</f>
        <v/>
      </c>
      <c r="S23" t="str">
        <f>IF($A23="","",SUMIFS(Allocation!$K$1:$K$175,Allocation!$C$1:$C$175,$A23,Allocation!$E$1:$E$175,$C23))</f>
        <v/>
      </c>
      <c r="T23" t="str">
        <f>IF($A23="","",SUMIFS(Allocation!$I$1:$I$175,Allocation!$C$1:$C$175,$A23))</f>
        <v/>
      </c>
      <c r="U23" t="str">
        <f>IF($A23="","",SUMIFS(Allocation!$J$1:$J$175,Allocation!$C$1:$C$175,$A23))</f>
        <v/>
      </c>
      <c r="V23" t="str">
        <f>IF($A23="","",SUMIFS(Allocation!$K$1:$K$175,Allocation!$C$1:$C$175,$A23))</f>
        <v/>
      </c>
      <c r="W23" t="str">
        <f>IF($A23="","",SUMIFS(Compta!$F$1:$F$675,Compta!$A$1:$A$675,$B23,Compta!$B$1:$B$675,"621",Compta!$C$1:$C$675,$A23))</f>
        <v/>
      </c>
      <c r="X23" t="str">
        <f>IF($A23="","",SUMIFS(Compta!$F$1:$F$675,Compta!$A$1:$A$675,$B23,Compta!$B$1:$B$675,"6411",Compta!$C$1:$C$675,$A23))</f>
        <v/>
      </c>
      <c r="Y23" t="str">
        <f>IF($A23="","",SUMIFS(Compta!$F$1:$F$675,Compta!$A$1:$A$675,$B23,Compta!$B$1:$B$675,"604",Compta!$C$1:$C$675,$A23)+SUMIFS(Compta!$F$1:$F$675,Compta!$A$1:$A$675,$B23,Compta!$B$1:$B$675,"6063",Compta!$C$1:$C$675,$A23))</f>
        <v/>
      </c>
      <c r="Z23" t="str">
        <f>IF($A23="","",SUMIFS(Compta!$F$1:$F$675,Compta!$A$1:$A$675,$B23,Compta!$B$1:$B$675,"6231",Compta!$C$1:$C$675,$A23))</f>
        <v/>
      </c>
      <c r="AA23" t="str">
        <f>IF($A23="","",SUMIFS(Compta!$F$1:$F$675,Compta!$A$1:$A$675,$B23,Compta!$B$1:$B$675,"6413",Compta!$C$1:$C$675,$A23)+SUMIFS(Compta!$F$1:$F$675,Compta!$A$1:$A$675,$B23,Compta!$B$1:$B$675,"645",Compta!$C$1:$C$675,$A23)+SUMIFS(Compta!$F$1:$F$675,Compta!$A$1:$A$675,$B23,Compta!$B$1:$B$675,"613",Compta!$C$1:$C$675,$A23)+SUMIFS(Compta!$F$1:$F$675,Compta!$A$1:$A$675,$B23,Compta!$B$1:$B$675,"615",Compta!$C$1:$C$675,$A23)+SUMIFS(Compta!$F$1:$F$675,Compta!$A$1:$A$675,$B23,Compta!$B$1:$B$675,"616",Compta!$C$1:$C$675,$A23)+SUMIFS(Compta!$F$1:$F$675,Compta!$A$1:$A$675,$B23,Compta!$B$1:$B$675,"625",Compta!$C$1:$C$675,$A23)+SUMIFS(Compta!$F$1:$F$675,Compta!$A$1:$A$675,$B23,Compta!$B$1:$B$675,"63511",Compta!$C$1:$C$675,$A23))</f>
        <v/>
      </c>
      <c r="AB23" t="str">
        <f>IF($A23="","",SUMIFS(Compta!$F$1:$F$675,Compta!$A$1:$A$675,"GRP",Compta!$B$1:$B$675,"6414",Compta!$C$1:$C$675,$A23)+SUMIFS(Compta!$F$1:$F$675,Compta!$A$1:$A$675,"GRP",Compta!$B$1:$B$675,"6226",Compta!$C$1:$C$675,$A23)+SUMIFS(Compta!$F$1:$F$675,Compta!$A$1:$A$675,"GRP",Compta!$B$1:$B$675,"626",Compta!$C$1:$C$675,$A23)+SUMIFS(Compta!$F$1:$F$675,Compta!$A$1:$A$675,"GRP",Compta!$B$1:$B$675,"6281",Compta!$C$1:$C$675,$A23)+SUMIFS(Compta!$F$1:$F$675,Compta!$A$1:$A$675,"GRP",Compta!$B$1:$B$675,"6331",Compta!$C$1:$C$675,$A23)+SUMIFS(Compta!$F$1:$F$675,Compta!$A$1:$A$675,"GRP",Compta!$B$1:$B$675,"6333",Compta!$C$1:$C$675,$A23))</f>
        <v/>
      </c>
      <c r="AC23" t="s">
        <v>297</v>
      </c>
      <c r="AD23" t="s">
        <v>297</v>
      </c>
      <c r="AE23" t="s">
        <v>297</v>
      </c>
      <c r="AF23" t="s">
        <v>297</v>
      </c>
      <c r="AG23" t="s">
        <v>297</v>
      </c>
      <c r="AH23" t="s">
        <v>297</v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 t="str">
        <f>IF($A23="","",SUMIFS(Compta!$F$1:$F$675,Compta!$A$1:$A$675,"GRP",Compta!$B$1:$B$675,"6236",Compta!$C$1:$C$675,$A23))</f>
        <v/>
      </c>
      <c r="AP23" t="s">
        <v>297</v>
      </c>
      <c r="AQ23" t="s">
        <v>297</v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IF(Allocation!D24="","",Allocation!I24)</f>
        <v/>
      </c>
      <c r="H24" t="str">
        <f>IF(Allocation!D24="","",Allocation!J24)</f>
        <v/>
      </c>
      <c r="I24" t="str">
        <f>IF(Allocation!D24="","",Allocation!K24)</f>
        <v/>
      </c>
      <c r="J24" t="str">
        <f>IF($A24="","",SUMIFS(Socle!$K$1:$K$175,Socle!$C$1:$C$175,$B24,Socle!$D$1:$D$175,$D24,Socle!$E$1:$E$175,$E24,Socle!$F$1:$F$175,$F24,Socle!$G$1:$G$175,$A24))</f>
        <v/>
      </c>
      <c r="K24" t="str">
        <f t="shared" si="0"/>
        <v/>
      </c>
      <c r="L24" t="str">
        <f>IF($A24="","",SUMIFS(Allocation!$I$1:$I$175,Allocation!$C$1:$C$175,$A24,Allocation!$D$1:$D$175,$B24))</f>
        <v/>
      </c>
      <c r="M24" t="str">
        <f>IF($A24="","",SUMIFS(Allocation!$J$1:$J$175,Allocation!$C$1:$C$175,$A24,Allocation!$D$1:$D$175,$B24))</f>
        <v/>
      </c>
      <c r="N24" t="str">
        <f>IF($A24="","",SUMIFS(Allocation!$K$1:$K$175,Allocation!$C$1:$C$175,$A24,Allocation!$D$1:$D$175,$B24))</f>
        <v/>
      </c>
      <c r="O24" t="str">
        <f t="shared" si="1"/>
        <v/>
      </c>
      <c r="P24" t="str">
        <f t="shared" si="2"/>
        <v/>
      </c>
      <c r="Q24" t="str">
        <f>IF($A24="","",SUMIFS(Allocation!$I$1:$I$175,Allocation!$C$1:$C$175,$A24,Allocation!$E$1:$E$175,$C24))</f>
        <v/>
      </c>
      <c r="R24" t="str">
        <f>IF($A24="","",SUMIFS(Allocation!$J$1:$J$175,Allocation!$C$1:$C$175,$A24,Allocation!$E$1:$E$175,$C24))</f>
        <v/>
      </c>
      <c r="S24" t="str">
        <f>IF($A24="","",SUMIFS(Allocation!$K$1:$K$175,Allocation!$C$1:$C$175,$A24,Allocation!$E$1:$E$175,$C24))</f>
        <v/>
      </c>
      <c r="T24" t="str">
        <f>IF($A24="","",SUMIFS(Allocation!$I$1:$I$175,Allocation!$C$1:$C$175,$A24))</f>
        <v/>
      </c>
      <c r="U24" t="str">
        <f>IF($A24="","",SUMIFS(Allocation!$J$1:$J$175,Allocation!$C$1:$C$175,$A24))</f>
        <v/>
      </c>
      <c r="V24" t="str">
        <f>IF($A24="","",SUMIFS(Allocation!$K$1:$K$175,Allocation!$C$1:$C$175,$A24))</f>
        <v/>
      </c>
      <c r="W24" t="str">
        <f>IF($A24="","",SUMIFS(Compta!$F$1:$F$675,Compta!$A$1:$A$675,$B24,Compta!$B$1:$B$675,"621",Compta!$C$1:$C$675,$A24))</f>
        <v/>
      </c>
      <c r="X24" t="str">
        <f>IF($A24="","",SUMIFS(Compta!$F$1:$F$675,Compta!$A$1:$A$675,$B24,Compta!$B$1:$B$675,"6411",Compta!$C$1:$C$675,$A24))</f>
        <v/>
      </c>
      <c r="Y24" t="str">
        <f>IF($A24="","",SUMIFS(Compta!$F$1:$F$675,Compta!$A$1:$A$675,$B24,Compta!$B$1:$B$675,"604",Compta!$C$1:$C$675,$A24)+SUMIFS(Compta!$F$1:$F$675,Compta!$A$1:$A$675,$B24,Compta!$B$1:$B$675,"6063",Compta!$C$1:$C$675,$A24))</f>
        <v/>
      </c>
      <c r="Z24" t="str">
        <f>IF($A24="","",SUMIFS(Compta!$F$1:$F$675,Compta!$A$1:$A$675,$B24,Compta!$B$1:$B$675,"6231",Compta!$C$1:$C$675,$A24))</f>
        <v/>
      </c>
      <c r="AA24" t="str">
        <f>IF($A24="","",SUMIFS(Compta!$F$1:$F$675,Compta!$A$1:$A$675,$B24,Compta!$B$1:$B$675,"6413",Compta!$C$1:$C$675,$A24)+SUMIFS(Compta!$F$1:$F$675,Compta!$A$1:$A$675,$B24,Compta!$B$1:$B$675,"645",Compta!$C$1:$C$675,$A24)+SUMIFS(Compta!$F$1:$F$675,Compta!$A$1:$A$675,$B24,Compta!$B$1:$B$675,"613",Compta!$C$1:$C$675,$A24)+SUMIFS(Compta!$F$1:$F$675,Compta!$A$1:$A$675,$B24,Compta!$B$1:$B$675,"615",Compta!$C$1:$C$675,$A24)+SUMIFS(Compta!$F$1:$F$675,Compta!$A$1:$A$675,$B24,Compta!$B$1:$B$675,"616",Compta!$C$1:$C$675,$A24)+SUMIFS(Compta!$F$1:$F$675,Compta!$A$1:$A$675,$B24,Compta!$B$1:$B$675,"625",Compta!$C$1:$C$675,$A24)+SUMIFS(Compta!$F$1:$F$675,Compta!$A$1:$A$675,$B24,Compta!$B$1:$B$675,"63511",Compta!$C$1:$C$675,$A24))</f>
        <v/>
      </c>
      <c r="AB24" t="str">
        <f>IF($A24="","",SUMIFS(Compta!$F$1:$F$675,Compta!$A$1:$A$675,"GRP",Compta!$B$1:$B$675,"6414",Compta!$C$1:$C$675,$A24)+SUMIFS(Compta!$F$1:$F$675,Compta!$A$1:$A$675,"GRP",Compta!$B$1:$B$675,"6226",Compta!$C$1:$C$675,$A24)+SUMIFS(Compta!$F$1:$F$675,Compta!$A$1:$A$675,"GRP",Compta!$B$1:$B$675,"626",Compta!$C$1:$C$675,$A24)+SUMIFS(Compta!$F$1:$F$675,Compta!$A$1:$A$675,"GRP",Compta!$B$1:$B$675,"6281",Compta!$C$1:$C$675,$A24)+SUMIFS(Compta!$F$1:$F$675,Compta!$A$1:$A$675,"GRP",Compta!$B$1:$B$675,"6331",Compta!$C$1:$C$675,$A24)+SUMIFS(Compta!$F$1:$F$675,Compta!$A$1:$A$675,"GRP",Compta!$B$1:$B$675,"6333",Compta!$C$1:$C$675,$A24))</f>
        <v/>
      </c>
      <c r="AC24" t="s">
        <v>297</v>
      </c>
      <c r="AD24" t="s">
        <v>297</v>
      </c>
      <c r="AE24" t="s">
        <v>297</v>
      </c>
      <c r="AF24" t="s">
        <v>297</v>
      </c>
      <c r="AG24" t="s">
        <v>297</v>
      </c>
      <c r="AH24" t="s">
        <v>297</v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 t="str">
        <f>IF($A24="","",SUMIFS(Compta!$F$1:$F$675,Compta!$A$1:$A$675,"GRP",Compta!$B$1:$B$675,"6236",Compta!$C$1:$C$675,$A24))</f>
        <v/>
      </c>
      <c r="AP24" t="s">
        <v>297</v>
      </c>
      <c r="AQ24" t="s">
        <v>297</v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IF(Allocation!D25="","",Allocation!I25)</f>
        <v/>
      </c>
      <c r="H25" t="str">
        <f>IF(Allocation!D25="","",Allocation!J25)</f>
        <v/>
      </c>
      <c r="I25" t="str">
        <f>IF(Allocation!D25="","",Allocation!K25)</f>
        <v/>
      </c>
      <c r="J25" t="str">
        <f>IF($A25="","",SUMIFS(Socle!$K$1:$K$175,Socle!$C$1:$C$175,$B25,Socle!$D$1:$D$175,$D25,Socle!$E$1:$E$175,$E25,Socle!$F$1:$F$175,$F25,Socle!$G$1:$G$175,$A25))</f>
        <v/>
      </c>
      <c r="K25" t="str">
        <f t="shared" si="0"/>
        <v/>
      </c>
      <c r="L25" t="str">
        <f>IF($A25="","",SUMIFS(Allocation!$I$1:$I$175,Allocation!$C$1:$C$175,$A25,Allocation!$D$1:$D$175,$B25))</f>
        <v/>
      </c>
      <c r="M25" t="str">
        <f>IF($A25="","",SUMIFS(Allocation!$J$1:$J$175,Allocation!$C$1:$C$175,$A25,Allocation!$D$1:$D$175,$B25))</f>
        <v/>
      </c>
      <c r="N25" t="str">
        <f>IF($A25="","",SUMIFS(Allocation!$K$1:$K$175,Allocation!$C$1:$C$175,$A25,Allocation!$D$1:$D$175,$B25))</f>
        <v/>
      </c>
      <c r="O25" t="str">
        <f t="shared" si="1"/>
        <v/>
      </c>
      <c r="P25" t="str">
        <f t="shared" si="2"/>
        <v/>
      </c>
      <c r="Q25" t="str">
        <f>IF($A25="","",SUMIFS(Allocation!$I$1:$I$175,Allocation!$C$1:$C$175,$A25,Allocation!$E$1:$E$175,$C25))</f>
        <v/>
      </c>
      <c r="R25" t="str">
        <f>IF($A25="","",SUMIFS(Allocation!$J$1:$J$175,Allocation!$C$1:$C$175,$A25,Allocation!$E$1:$E$175,$C25))</f>
        <v/>
      </c>
      <c r="S25" t="str">
        <f>IF($A25="","",SUMIFS(Allocation!$K$1:$K$175,Allocation!$C$1:$C$175,$A25,Allocation!$E$1:$E$175,$C25))</f>
        <v/>
      </c>
      <c r="T25" t="str">
        <f>IF($A25="","",SUMIFS(Allocation!$I$1:$I$175,Allocation!$C$1:$C$175,$A25))</f>
        <v/>
      </c>
      <c r="U25" t="str">
        <f>IF($A25="","",SUMIFS(Allocation!$J$1:$J$175,Allocation!$C$1:$C$175,$A25))</f>
        <v/>
      </c>
      <c r="V25" t="str">
        <f>IF($A25="","",SUMIFS(Allocation!$K$1:$K$175,Allocation!$C$1:$C$175,$A25))</f>
        <v/>
      </c>
      <c r="W25" t="str">
        <f>IF($A25="","",SUMIFS(Compta!$F$1:$F$675,Compta!$A$1:$A$675,$B25,Compta!$B$1:$B$675,"621",Compta!$C$1:$C$675,$A25))</f>
        <v/>
      </c>
      <c r="X25" t="str">
        <f>IF($A25="","",SUMIFS(Compta!$F$1:$F$675,Compta!$A$1:$A$675,$B25,Compta!$B$1:$B$675,"6411",Compta!$C$1:$C$675,$A25))</f>
        <v/>
      </c>
      <c r="Y25" t="str">
        <f>IF($A25="","",SUMIFS(Compta!$F$1:$F$675,Compta!$A$1:$A$675,$B25,Compta!$B$1:$B$675,"604",Compta!$C$1:$C$675,$A25)+SUMIFS(Compta!$F$1:$F$675,Compta!$A$1:$A$675,$B25,Compta!$B$1:$B$675,"6063",Compta!$C$1:$C$675,$A25))</f>
        <v/>
      </c>
      <c r="Z25" t="str">
        <f>IF($A25="","",SUMIFS(Compta!$F$1:$F$675,Compta!$A$1:$A$675,$B25,Compta!$B$1:$B$675,"6231",Compta!$C$1:$C$675,$A25))</f>
        <v/>
      </c>
      <c r="AA25" t="str">
        <f>IF($A25="","",SUMIFS(Compta!$F$1:$F$675,Compta!$A$1:$A$675,$B25,Compta!$B$1:$B$675,"6413",Compta!$C$1:$C$675,$A25)+SUMIFS(Compta!$F$1:$F$675,Compta!$A$1:$A$675,$B25,Compta!$B$1:$B$675,"645",Compta!$C$1:$C$675,$A25)+SUMIFS(Compta!$F$1:$F$675,Compta!$A$1:$A$675,$B25,Compta!$B$1:$B$675,"613",Compta!$C$1:$C$675,$A25)+SUMIFS(Compta!$F$1:$F$675,Compta!$A$1:$A$675,$B25,Compta!$B$1:$B$675,"615",Compta!$C$1:$C$675,$A25)+SUMIFS(Compta!$F$1:$F$675,Compta!$A$1:$A$675,$B25,Compta!$B$1:$B$675,"616",Compta!$C$1:$C$675,$A25)+SUMIFS(Compta!$F$1:$F$675,Compta!$A$1:$A$675,$B25,Compta!$B$1:$B$675,"625",Compta!$C$1:$C$675,$A25)+SUMIFS(Compta!$F$1:$F$675,Compta!$A$1:$A$675,$B25,Compta!$B$1:$B$675,"63511",Compta!$C$1:$C$675,$A25))</f>
        <v/>
      </c>
      <c r="AB25" t="str">
        <f>IF($A25="","",SUMIFS(Compta!$F$1:$F$675,Compta!$A$1:$A$675,"GRP",Compta!$B$1:$B$675,"6414",Compta!$C$1:$C$675,$A25)+SUMIFS(Compta!$F$1:$F$675,Compta!$A$1:$A$675,"GRP",Compta!$B$1:$B$675,"6226",Compta!$C$1:$C$675,$A25)+SUMIFS(Compta!$F$1:$F$675,Compta!$A$1:$A$675,"GRP",Compta!$B$1:$B$675,"626",Compta!$C$1:$C$675,$A25)+SUMIFS(Compta!$F$1:$F$675,Compta!$A$1:$A$675,"GRP",Compta!$B$1:$B$675,"6281",Compta!$C$1:$C$675,$A25)+SUMIFS(Compta!$F$1:$F$675,Compta!$A$1:$A$675,"GRP",Compta!$B$1:$B$675,"6331",Compta!$C$1:$C$675,$A25)+SUMIFS(Compta!$F$1:$F$675,Compta!$A$1:$A$675,"GRP",Compta!$B$1:$B$675,"6333",Compta!$C$1:$C$675,$A25))</f>
        <v/>
      </c>
      <c r="AC25" t="s">
        <v>297</v>
      </c>
      <c r="AD25" t="s">
        <v>297</v>
      </c>
      <c r="AE25" t="s">
        <v>297</v>
      </c>
      <c r="AF25" t="s">
        <v>297</v>
      </c>
      <c r="AG25" t="s">
        <v>297</v>
      </c>
      <c r="AH25" t="s">
        <v>297</v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 t="str">
        <f>IF($A25="","",SUMIFS(Compta!$F$1:$F$675,Compta!$A$1:$A$675,"GRP",Compta!$B$1:$B$675,"6236",Compta!$C$1:$C$675,$A25))</f>
        <v/>
      </c>
      <c r="AP25" t="s">
        <v>297</v>
      </c>
      <c r="AQ25" t="s">
        <v>297</v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IF(Allocation!D26="","",Allocation!I26)</f>
        <v/>
      </c>
      <c r="H26" t="str">
        <f>IF(Allocation!D26="","",Allocation!J26)</f>
        <v/>
      </c>
      <c r="I26" t="str">
        <f>IF(Allocation!D26="","",Allocation!K26)</f>
        <v/>
      </c>
      <c r="J26" t="str">
        <f>IF($A26="","",SUMIFS(Socle!$K$1:$K$175,Socle!$C$1:$C$175,$B26,Socle!$D$1:$D$175,$D26,Socle!$E$1:$E$175,$E26,Socle!$F$1:$F$175,$F26,Socle!$G$1:$G$175,$A26))</f>
        <v/>
      </c>
      <c r="K26" t="str">
        <f t="shared" si="0"/>
        <v/>
      </c>
      <c r="L26" t="str">
        <f>IF($A26="","",SUMIFS(Allocation!$I$1:$I$175,Allocation!$C$1:$C$175,$A26,Allocation!$D$1:$D$175,$B26))</f>
        <v/>
      </c>
      <c r="M26" t="str">
        <f>IF($A26="","",SUMIFS(Allocation!$J$1:$J$175,Allocation!$C$1:$C$175,$A26,Allocation!$D$1:$D$175,$B26))</f>
        <v/>
      </c>
      <c r="N26" t="str">
        <f>IF($A26="","",SUMIFS(Allocation!$K$1:$K$175,Allocation!$C$1:$C$175,$A26,Allocation!$D$1:$D$175,$B26))</f>
        <v/>
      </c>
      <c r="O26" t="str">
        <f t="shared" si="1"/>
        <v/>
      </c>
      <c r="P26" t="str">
        <f t="shared" si="2"/>
        <v/>
      </c>
      <c r="Q26" t="str">
        <f>IF($A26="","",SUMIFS(Allocation!$I$1:$I$175,Allocation!$C$1:$C$175,$A26,Allocation!$E$1:$E$175,$C26))</f>
        <v/>
      </c>
      <c r="R26" t="str">
        <f>IF($A26="","",SUMIFS(Allocation!$J$1:$J$175,Allocation!$C$1:$C$175,$A26,Allocation!$E$1:$E$175,$C26))</f>
        <v/>
      </c>
      <c r="S26" t="str">
        <f>IF($A26="","",SUMIFS(Allocation!$K$1:$K$175,Allocation!$C$1:$C$175,$A26,Allocation!$E$1:$E$175,$C26))</f>
        <v/>
      </c>
      <c r="T26" t="str">
        <f>IF($A26="","",SUMIFS(Allocation!$I$1:$I$175,Allocation!$C$1:$C$175,$A26))</f>
        <v/>
      </c>
      <c r="U26" t="str">
        <f>IF($A26="","",SUMIFS(Allocation!$J$1:$J$175,Allocation!$C$1:$C$175,$A26))</f>
        <v/>
      </c>
      <c r="V26" t="str">
        <f>IF($A26="","",SUMIFS(Allocation!$K$1:$K$175,Allocation!$C$1:$C$175,$A26))</f>
        <v/>
      </c>
      <c r="W26" t="str">
        <f>IF($A26="","",SUMIFS(Compta!$F$1:$F$675,Compta!$A$1:$A$675,$B26,Compta!$B$1:$B$675,"621",Compta!$C$1:$C$675,$A26))</f>
        <v/>
      </c>
      <c r="X26" t="str">
        <f>IF($A26="","",SUMIFS(Compta!$F$1:$F$675,Compta!$A$1:$A$675,$B26,Compta!$B$1:$B$675,"6411",Compta!$C$1:$C$675,$A26))</f>
        <v/>
      </c>
      <c r="Y26" t="str">
        <f>IF($A26="","",SUMIFS(Compta!$F$1:$F$675,Compta!$A$1:$A$675,$B26,Compta!$B$1:$B$675,"604",Compta!$C$1:$C$675,$A26)+SUMIFS(Compta!$F$1:$F$675,Compta!$A$1:$A$675,$B26,Compta!$B$1:$B$675,"6063",Compta!$C$1:$C$675,$A26))</f>
        <v/>
      </c>
      <c r="Z26" t="str">
        <f>IF($A26="","",SUMIFS(Compta!$F$1:$F$675,Compta!$A$1:$A$675,$B26,Compta!$B$1:$B$675,"6231",Compta!$C$1:$C$675,$A26))</f>
        <v/>
      </c>
      <c r="AA26" t="str">
        <f>IF($A26="","",SUMIFS(Compta!$F$1:$F$675,Compta!$A$1:$A$675,$B26,Compta!$B$1:$B$675,"6413",Compta!$C$1:$C$675,$A26)+SUMIFS(Compta!$F$1:$F$675,Compta!$A$1:$A$675,$B26,Compta!$B$1:$B$675,"645",Compta!$C$1:$C$675,$A26)+SUMIFS(Compta!$F$1:$F$675,Compta!$A$1:$A$675,$B26,Compta!$B$1:$B$675,"613",Compta!$C$1:$C$675,$A26)+SUMIFS(Compta!$F$1:$F$675,Compta!$A$1:$A$675,$B26,Compta!$B$1:$B$675,"615",Compta!$C$1:$C$675,$A26)+SUMIFS(Compta!$F$1:$F$675,Compta!$A$1:$A$675,$B26,Compta!$B$1:$B$675,"616",Compta!$C$1:$C$675,$A26)+SUMIFS(Compta!$F$1:$F$675,Compta!$A$1:$A$675,$B26,Compta!$B$1:$B$675,"625",Compta!$C$1:$C$675,$A26)+SUMIFS(Compta!$F$1:$F$675,Compta!$A$1:$A$675,$B26,Compta!$B$1:$B$675,"63511",Compta!$C$1:$C$675,$A26))</f>
        <v/>
      </c>
      <c r="AB26" t="str">
        <f>IF($A26="","",SUMIFS(Compta!$F$1:$F$675,Compta!$A$1:$A$675,"GRP",Compta!$B$1:$B$675,"6414",Compta!$C$1:$C$675,$A26)+SUMIFS(Compta!$F$1:$F$675,Compta!$A$1:$A$675,"GRP",Compta!$B$1:$B$675,"6226",Compta!$C$1:$C$675,$A26)+SUMIFS(Compta!$F$1:$F$675,Compta!$A$1:$A$675,"GRP",Compta!$B$1:$B$675,"626",Compta!$C$1:$C$675,$A26)+SUMIFS(Compta!$F$1:$F$675,Compta!$A$1:$A$675,"GRP",Compta!$B$1:$B$675,"6281",Compta!$C$1:$C$675,$A26)+SUMIFS(Compta!$F$1:$F$675,Compta!$A$1:$A$675,"GRP",Compta!$B$1:$B$675,"6331",Compta!$C$1:$C$675,$A26)+SUMIFS(Compta!$F$1:$F$675,Compta!$A$1:$A$675,"GRP",Compta!$B$1:$B$675,"6333",Compta!$C$1:$C$675,$A26))</f>
        <v/>
      </c>
      <c r="AC26" t="s">
        <v>297</v>
      </c>
      <c r="AD26" t="s">
        <v>297</v>
      </c>
      <c r="AE26" t="s">
        <v>297</v>
      </c>
      <c r="AF26" t="s">
        <v>297</v>
      </c>
      <c r="AG26" t="s">
        <v>297</v>
      </c>
      <c r="AH26" t="s">
        <v>297</v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 t="str">
        <f>IF($A26="","",SUMIFS(Compta!$F$1:$F$675,Compta!$A$1:$A$675,"GRP",Compta!$B$1:$B$675,"6236",Compta!$C$1:$C$675,$A26))</f>
        <v/>
      </c>
      <c r="AP26" t="s">
        <v>297</v>
      </c>
      <c r="AQ26" t="s">
        <v>297</v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IF(Allocation!D27="","",Allocation!I27)</f>
        <v/>
      </c>
      <c r="H27" t="str">
        <f>IF(Allocation!D27="","",Allocation!J27)</f>
        <v/>
      </c>
      <c r="I27" t="str">
        <f>IF(Allocation!D27="","",Allocation!K27)</f>
        <v/>
      </c>
      <c r="J27" t="str">
        <f>IF($A27="","",SUMIFS(Socle!$K$1:$K$175,Socle!$C$1:$C$175,$B27,Socle!$D$1:$D$175,$D27,Socle!$E$1:$E$175,$E27,Socle!$F$1:$F$175,$F27,Socle!$G$1:$G$175,$A27))</f>
        <v/>
      </c>
      <c r="K27" t="str">
        <f t="shared" si="0"/>
        <v/>
      </c>
      <c r="L27" t="str">
        <f>IF($A27="","",SUMIFS(Allocation!$I$1:$I$175,Allocation!$C$1:$C$175,$A27,Allocation!$D$1:$D$175,$B27))</f>
        <v/>
      </c>
      <c r="M27" t="str">
        <f>IF($A27="","",SUMIFS(Allocation!$J$1:$J$175,Allocation!$C$1:$C$175,$A27,Allocation!$D$1:$D$175,$B27))</f>
        <v/>
      </c>
      <c r="N27" t="str">
        <f>IF($A27="","",SUMIFS(Allocation!$K$1:$K$175,Allocation!$C$1:$C$175,$A27,Allocation!$D$1:$D$175,$B27))</f>
        <v/>
      </c>
      <c r="O27" t="str">
        <f t="shared" si="1"/>
        <v/>
      </c>
      <c r="P27" t="str">
        <f t="shared" si="2"/>
        <v/>
      </c>
      <c r="Q27" t="str">
        <f>IF($A27="","",SUMIFS(Allocation!$I$1:$I$175,Allocation!$C$1:$C$175,$A27,Allocation!$E$1:$E$175,$C27))</f>
        <v/>
      </c>
      <c r="R27" t="str">
        <f>IF($A27="","",SUMIFS(Allocation!$J$1:$J$175,Allocation!$C$1:$C$175,$A27,Allocation!$E$1:$E$175,$C27))</f>
        <v/>
      </c>
      <c r="S27" t="str">
        <f>IF($A27="","",SUMIFS(Allocation!$K$1:$K$175,Allocation!$C$1:$C$175,$A27,Allocation!$E$1:$E$175,$C27))</f>
        <v/>
      </c>
      <c r="T27" t="str">
        <f>IF($A27="","",SUMIFS(Allocation!$I$1:$I$175,Allocation!$C$1:$C$175,$A27))</f>
        <v/>
      </c>
      <c r="U27" t="str">
        <f>IF($A27="","",SUMIFS(Allocation!$J$1:$J$175,Allocation!$C$1:$C$175,$A27))</f>
        <v/>
      </c>
      <c r="V27" t="str">
        <f>IF($A27="","",SUMIFS(Allocation!$K$1:$K$175,Allocation!$C$1:$C$175,$A27))</f>
        <v/>
      </c>
      <c r="W27" t="str">
        <f>IF($A27="","",SUMIFS(Compta!$F$1:$F$675,Compta!$A$1:$A$675,$B27,Compta!$B$1:$B$675,"621",Compta!$C$1:$C$675,$A27))</f>
        <v/>
      </c>
      <c r="X27" t="str">
        <f>IF($A27="","",SUMIFS(Compta!$F$1:$F$675,Compta!$A$1:$A$675,$B27,Compta!$B$1:$B$675,"6411",Compta!$C$1:$C$675,$A27))</f>
        <v/>
      </c>
      <c r="Y27" t="str">
        <f>IF($A27="","",SUMIFS(Compta!$F$1:$F$675,Compta!$A$1:$A$675,$B27,Compta!$B$1:$B$675,"604",Compta!$C$1:$C$675,$A27)+SUMIFS(Compta!$F$1:$F$675,Compta!$A$1:$A$675,$B27,Compta!$B$1:$B$675,"6063",Compta!$C$1:$C$675,$A27))</f>
        <v/>
      </c>
      <c r="Z27" t="str">
        <f>IF($A27="","",SUMIFS(Compta!$F$1:$F$675,Compta!$A$1:$A$675,$B27,Compta!$B$1:$B$675,"6231",Compta!$C$1:$C$675,$A27))</f>
        <v/>
      </c>
      <c r="AA27" t="str">
        <f>IF($A27="","",SUMIFS(Compta!$F$1:$F$675,Compta!$A$1:$A$675,$B27,Compta!$B$1:$B$675,"6413",Compta!$C$1:$C$675,$A27)+SUMIFS(Compta!$F$1:$F$675,Compta!$A$1:$A$675,$B27,Compta!$B$1:$B$675,"645",Compta!$C$1:$C$675,$A27)+SUMIFS(Compta!$F$1:$F$675,Compta!$A$1:$A$675,$B27,Compta!$B$1:$B$675,"613",Compta!$C$1:$C$675,$A27)+SUMIFS(Compta!$F$1:$F$675,Compta!$A$1:$A$675,$B27,Compta!$B$1:$B$675,"615",Compta!$C$1:$C$675,$A27)+SUMIFS(Compta!$F$1:$F$675,Compta!$A$1:$A$675,$B27,Compta!$B$1:$B$675,"616",Compta!$C$1:$C$675,$A27)+SUMIFS(Compta!$F$1:$F$675,Compta!$A$1:$A$675,$B27,Compta!$B$1:$B$675,"625",Compta!$C$1:$C$675,$A27)+SUMIFS(Compta!$F$1:$F$675,Compta!$A$1:$A$675,$B27,Compta!$B$1:$B$675,"63511",Compta!$C$1:$C$675,$A27))</f>
        <v/>
      </c>
      <c r="AB27" t="str">
        <f>IF($A27="","",SUMIFS(Compta!$F$1:$F$675,Compta!$A$1:$A$675,"GRP",Compta!$B$1:$B$675,"6414",Compta!$C$1:$C$675,$A27)+SUMIFS(Compta!$F$1:$F$675,Compta!$A$1:$A$675,"GRP",Compta!$B$1:$B$675,"6226",Compta!$C$1:$C$675,$A27)+SUMIFS(Compta!$F$1:$F$675,Compta!$A$1:$A$675,"GRP",Compta!$B$1:$B$675,"626",Compta!$C$1:$C$675,$A27)+SUMIFS(Compta!$F$1:$F$675,Compta!$A$1:$A$675,"GRP",Compta!$B$1:$B$675,"6281",Compta!$C$1:$C$675,$A27)+SUMIFS(Compta!$F$1:$F$675,Compta!$A$1:$A$675,"GRP",Compta!$B$1:$B$675,"6331",Compta!$C$1:$C$675,$A27)+SUMIFS(Compta!$F$1:$F$675,Compta!$A$1:$A$675,"GRP",Compta!$B$1:$B$675,"6333",Compta!$C$1:$C$675,$A27))</f>
        <v/>
      </c>
      <c r="AC27" t="s">
        <v>297</v>
      </c>
      <c r="AD27" t="s">
        <v>297</v>
      </c>
      <c r="AE27" t="s">
        <v>297</v>
      </c>
      <c r="AF27" t="s">
        <v>297</v>
      </c>
      <c r="AG27" t="s">
        <v>297</v>
      </c>
      <c r="AH27" t="s">
        <v>297</v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 t="str">
        <f>IF($A27="","",SUMIFS(Compta!$F$1:$F$675,Compta!$A$1:$A$675,"GRP",Compta!$B$1:$B$675,"6236",Compta!$C$1:$C$675,$A27))</f>
        <v/>
      </c>
      <c r="AP27" t="s">
        <v>297</v>
      </c>
      <c r="AQ27" t="s">
        <v>297</v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IF(Allocation!D28="","",Allocation!I28)</f>
        <v/>
      </c>
      <c r="H28" t="str">
        <f>IF(Allocation!D28="","",Allocation!J28)</f>
        <v/>
      </c>
      <c r="I28" t="str">
        <f>IF(Allocation!D28="","",Allocation!K28)</f>
        <v/>
      </c>
      <c r="J28" t="str">
        <f>IF($A28="","",SUMIFS(Socle!$K$1:$K$175,Socle!$C$1:$C$175,$B28,Socle!$D$1:$D$175,$D28,Socle!$E$1:$E$175,$E28,Socle!$F$1:$F$175,$F28,Socle!$G$1:$G$175,$A28))</f>
        <v/>
      </c>
      <c r="K28" t="str">
        <f t="shared" si="0"/>
        <v/>
      </c>
      <c r="L28" t="str">
        <f>IF($A28="","",SUMIFS(Allocation!$I$1:$I$175,Allocation!$C$1:$C$175,$A28,Allocation!$D$1:$D$175,$B28))</f>
        <v/>
      </c>
      <c r="M28" t="str">
        <f>IF($A28="","",SUMIFS(Allocation!$J$1:$J$175,Allocation!$C$1:$C$175,$A28,Allocation!$D$1:$D$175,$B28))</f>
        <v/>
      </c>
      <c r="N28" t="str">
        <f>IF($A28="","",SUMIFS(Allocation!$K$1:$K$175,Allocation!$C$1:$C$175,$A28,Allocation!$D$1:$D$175,$B28))</f>
        <v/>
      </c>
      <c r="O28" t="str">
        <f t="shared" si="1"/>
        <v/>
      </c>
      <c r="P28" t="str">
        <f t="shared" si="2"/>
        <v/>
      </c>
      <c r="Q28" t="str">
        <f>IF($A28="","",SUMIFS(Allocation!$I$1:$I$175,Allocation!$C$1:$C$175,$A28,Allocation!$E$1:$E$175,$C28))</f>
        <v/>
      </c>
      <c r="R28" t="str">
        <f>IF($A28="","",SUMIFS(Allocation!$J$1:$J$175,Allocation!$C$1:$C$175,$A28,Allocation!$E$1:$E$175,$C28))</f>
        <v/>
      </c>
      <c r="S28" t="str">
        <f>IF($A28="","",SUMIFS(Allocation!$K$1:$K$175,Allocation!$C$1:$C$175,$A28,Allocation!$E$1:$E$175,$C28))</f>
        <v/>
      </c>
      <c r="T28" t="str">
        <f>IF($A28="","",SUMIFS(Allocation!$I$1:$I$175,Allocation!$C$1:$C$175,$A28))</f>
        <v/>
      </c>
      <c r="U28" t="str">
        <f>IF($A28="","",SUMIFS(Allocation!$J$1:$J$175,Allocation!$C$1:$C$175,$A28))</f>
        <v/>
      </c>
      <c r="V28" t="str">
        <f>IF($A28="","",SUMIFS(Allocation!$K$1:$K$175,Allocation!$C$1:$C$175,$A28))</f>
        <v/>
      </c>
      <c r="W28" t="str">
        <f>IF($A28="","",SUMIFS(Compta!$F$1:$F$675,Compta!$A$1:$A$675,$B28,Compta!$B$1:$B$675,"621",Compta!$C$1:$C$675,$A28))</f>
        <v/>
      </c>
      <c r="X28" t="str">
        <f>IF($A28="","",SUMIFS(Compta!$F$1:$F$675,Compta!$A$1:$A$675,$B28,Compta!$B$1:$B$675,"6411",Compta!$C$1:$C$675,$A28))</f>
        <v/>
      </c>
      <c r="Y28" t="str">
        <f>IF($A28="","",SUMIFS(Compta!$F$1:$F$675,Compta!$A$1:$A$675,$B28,Compta!$B$1:$B$675,"604",Compta!$C$1:$C$675,$A28)+SUMIFS(Compta!$F$1:$F$675,Compta!$A$1:$A$675,$B28,Compta!$B$1:$B$675,"6063",Compta!$C$1:$C$675,$A28))</f>
        <v/>
      </c>
      <c r="Z28" t="str">
        <f>IF($A28="","",SUMIFS(Compta!$F$1:$F$675,Compta!$A$1:$A$675,$B28,Compta!$B$1:$B$675,"6231",Compta!$C$1:$C$675,$A28))</f>
        <v/>
      </c>
      <c r="AA28" t="str">
        <f>IF($A28="","",SUMIFS(Compta!$F$1:$F$675,Compta!$A$1:$A$675,$B28,Compta!$B$1:$B$675,"6413",Compta!$C$1:$C$675,$A28)+SUMIFS(Compta!$F$1:$F$675,Compta!$A$1:$A$675,$B28,Compta!$B$1:$B$675,"645",Compta!$C$1:$C$675,$A28)+SUMIFS(Compta!$F$1:$F$675,Compta!$A$1:$A$675,$B28,Compta!$B$1:$B$675,"613",Compta!$C$1:$C$675,$A28)+SUMIFS(Compta!$F$1:$F$675,Compta!$A$1:$A$675,$B28,Compta!$B$1:$B$675,"615",Compta!$C$1:$C$675,$A28)+SUMIFS(Compta!$F$1:$F$675,Compta!$A$1:$A$675,$B28,Compta!$B$1:$B$675,"616",Compta!$C$1:$C$675,$A28)+SUMIFS(Compta!$F$1:$F$675,Compta!$A$1:$A$675,$B28,Compta!$B$1:$B$675,"625",Compta!$C$1:$C$675,$A28)+SUMIFS(Compta!$F$1:$F$675,Compta!$A$1:$A$675,$B28,Compta!$B$1:$B$675,"63511",Compta!$C$1:$C$675,$A28))</f>
        <v/>
      </c>
      <c r="AB28" t="str">
        <f>IF($A28="","",SUMIFS(Compta!$F$1:$F$675,Compta!$A$1:$A$675,"GRP",Compta!$B$1:$B$675,"6414",Compta!$C$1:$C$675,$A28)+SUMIFS(Compta!$F$1:$F$675,Compta!$A$1:$A$675,"GRP",Compta!$B$1:$B$675,"6226",Compta!$C$1:$C$675,$A28)+SUMIFS(Compta!$F$1:$F$675,Compta!$A$1:$A$675,"GRP",Compta!$B$1:$B$675,"626",Compta!$C$1:$C$675,$A28)+SUMIFS(Compta!$F$1:$F$675,Compta!$A$1:$A$675,"GRP",Compta!$B$1:$B$675,"6281",Compta!$C$1:$C$675,$A28)+SUMIFS(Compta!$F$1:$F$675,Compta!$A$1:$A$675,"GRP",Compta!$B$1:$B$675,"6331",Compta!$C$1:$C$675,$A28)+SUMIFS(Compta!$F$1:$F$675,Compta!$A$1:$A$675,"GRP",Compta!$B$1:$B$675,"6333",Compta!$C$1:$C$675,$A28))</f>
        <v/>
      </c>
      <c r="AC28" t="s">
        <v>297</v>
      </c>
      <c r="AD28" t="s">
        <v>297</v>
      </c>
      <c r="AE28" t="s">
        <v>297</v>
      </c>
      <c r="AF28" t="s">
        <v>297</v>
      </c>
      <c r="AG28" t="s">
        <v>297</v>
      </c>
      <c r="AH28" t="s">
        <v>297</v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 t="str">
        <f>IF($A28="","",SUMIFS(Compta!$F$1:$F$675,Compta!$A$1:$A$675,"GRP",Compta!$B$1:$B$675,"6236",Compta!$C$1:$C$675,$A28))</f>
        <v/>
      </c>
      <c r="AP28" t="s">
        <v>297</v>
      </c>
      <c r="AQ28" t="s">
        <v>297</v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IF(Allocation!D29="","",Allocation!I29)</f>
        <v/>
      </c>
      <c r="H29" t="str">
        <f>IF(Allocation!D29="","",Allocation!J29)</f>
        <v/>
      </c>
      <c r="I29" t="str">
        <f>IF(Allocation!D29="","",Allocation!K29)</f>
        <v/>
      </c>
      <c r="J29" t="str">
        <f>IF($A29="","",SUMIFS(Socle!$K$1:$K$175,Socle!$C$1:$C$175,$B29,Socle!$D$1:$D$175,$D29,Socle!$E$1:$E$175,$E29,Socle!$F$1:$F$175,$F29,Socle!$G$1:$G$175,$A29))</f>
        <v/>
      </c>
      <c r="K29" t="str">
        <f t="shared" si="0"/>
        <v/>
      </c>
      <c r="L29" t="str">
        <f>IF($A29="","",SUMIFS(Allocation!$I$1:$I$175,Allocation!$C$1:$C$175,$A29,Allocation!$D$1:$D$175,$B29))</f>
        <v/>
      </c>
      <c r="M29" t="str">
        <f>IF($A29="","",SUMIFS(Allocation!$J$1:$J$175,Allocation!$C$1:$C$175,$A29,Allocation!$D$1:$D$175,$B29))</f>
        <v/>
      </c>
      <c r="N29" t="str">
        <f>IF($A29="","",SUMIFS(Allocation!$K$1:$K$175,Allocation!$C$1:$C$175,$A29,Allocation!$D$1:$D$175,$B29))</f>
        <v/>
      </c>
      <c r="O29" t="str">
        <f t="shared" si="1"/>
        <v/>
      </c>
      <c r="P29" t="str">
        <f t="shared" si="2"/>
        <v/>
      </c>
      <c r="Q29" t="str">
        <f>IF($A29="","",SUMIFS(Allocation!$I$1:$I$175,Allocation!$C$1:$C$175,$A29,Allocation!$E$1:$E$175,$C29))</f>
        <v/>
      </c>
      <c r="R29" t="str">
        <f>IF($A29="","",SUMIFS(Allocation!$J$1:$J$175,Allocation!$C$1:$C$175,$A29,Allocation!$E$1:$E$175,$C29))</f>
        <v/>
      </c>
      <c r="S29" t="str">
        <f>IF($A29="","",SUMIFS(Allocation!$K$1:$K$175,Allocation!$C$1:$C$175,$A29,Allocation!$E$1:$E$175,$C29))</f>
        <v/>
      </c>
      <c r="T29" t="str">
        <f>IF($A29="","",SUMIFS(Allocation!$I$1:$I$175,Allocation!$C$1:$C$175,$A29))</f>
        <v/>
      </c>
      <c r="U29" t="str">
        <f>IF($A29="","",SUMIFS(Allocation!$J$1:$J$175,Allocation!$C$1:$C$175,$A29))</f>
        <v/>
      </c>
      <c r="V29" t="str">
        <f>IF($A29="","",SUMIFS(Allocation!$K$1:$K$175,Allocation!$C$1:$C$175,$A29))</f>
        <v/>
      </c>
      <c r="W29" t="str">
        <f>IF($A29="","",SUMIFS(Compta!$F$1:$F$675,Compta!$A$1:$A$675,$B29,Compta!$B$1:$B$675,"621",Compta!$C$1:$C$675,$A29))</f>
        <v/>
      </c>
      <c r="X29" t="str">
        <f>IF($A29="","",SUMIFS(Compta!$F$1:$F$675,Compta!$A$1:$A$675,$B29,Compta!$B$1:$B$675,"6411",Compta!$C$1:$C$675,$A29))</f>
        <v/>
      </c>
      <c r="Y29" t="str">
        <f>IF($A29="","",SUMIFS(Compta!$F$1:$F$675,Compta!$A$1:$A$675,$B29,Compta!$B$1:$B$675,"604",Compta!$C$1:$C$675,$A29)+SUMIFS(Compta!$F$1:$F$675,Compta!$A$1:$A$675,$B29,Compta!$B$1:$B$675,"6063",Compta!$C$1:$C$675,$A29))</f>
        <v/>
      </c>
      <c r="Z29" t="str">
        <f>IF($A29="","",SUMIFS(Compta!$F$1:$F$675,Compta!$A$1:$A$675,$B29,Compta!$B$1:$B$675,"6231",Compta!$C$1:$C$675,$A29))</f>
        <v/>
      </c>
      <c r="AA29" t="str">
        <f>IF($A29="","",SUMIFS(Compta!$F$1:$F$675,Compta!$A$1:$A$675,$B29,Compta!$B$1:$B$675,"6413",Compta!$C$1:$C$675,$A29)+SUMIFS(Compta!$F$1:$F$675,Compta!$A$1:$A$675,$B29,Compta!$B$1:$B$675,"645",Compta!$C$1:$C$675,$A29)+SUMIFS(Compta!$F$1:$F$675,Compta!$A$1:$A$675,$B29,Compta!$B$1:$B$675,"613",Compta!$C$1:$C$675,$A29)+SUMIFS(Compta!$F$1:$F$675,Compta!$A$1:$A$675,$B29,Compta!$B$1:$B$675,"615",Compta!$C$1:$C$675,$A29)+SUMIFS(Compta!$F$1:$F$675,Compta!$A$1:$A$675,$B29,Compta!$B$1:$B$675,"616",Compta!$C$1:$C$675,$A29)+SUMIFS(Compta!$F$1:$F$675,Compta!$A$1:$A$675,$B29,Compta!$B$1:$B$675,"625",Compta!$C$1:$C$675,$A29)+SUMIFS(Compta!$F$1:$F$675,Compta!$A$1:$A$675,$B29,Compta!$B$1:$B$675,"63511",Compta!$C$1:$C$675,$A29))</f>
        <v/>
      </c>
      <c r="AB29" t="str">
        <f>IF($A29="","",SUMIFS(Compta!$F$1:$F$675,Compta!$A$1:$A$675,"GRP",Compta!$B$1:$B$675,"6414",Compta!$C$1:$C$675,$A29)+SUMIFS(Compta!$F$1:$F$675,Compta!$A$1:$A$675,"GRP",Compta!$B$1:$B$675,"6226",Compta!$C$1:$C$675,$A29)+SUMIFS(Compta!$F$1:$F$675,Compta!$A$1:$A$675,"GRP",Compta!$B$1:$B$675,"626",Compta!$C$1:$C$675,$A29)+SUMIFS(Compta!$F$1:$F$675,Compta!$A$1:$A$675,"GRP",Compta!$B$1:$B$675,"6281",Compta!$C$1:$C$675,$A29)+SUMIFS(Compta!$F$1:$F$675,Compta!$A$1:$A$675,"GRP",Compta!$B$1:$B$675,"6331",Compta!$C$1:$C$675,$A29)+SUMIFS(Compta!$F$1:$F$675,Compta!$A$1:$A$675,"GRP",Compta!$B$1:$B$675,"6333",Compta!$C$1:$C$675,$A29))</f>
        <v/>
      </c>
      <c r="AC29" t="s">
        <v>297</v>
      </c>
      <c r="AD29" t="s">
        <v>297</v>
      </c>
      <c r="AE29" t="s">
        <v>297</v>
      </c>
      <c r="AF29" t="s">
        <v>297</v>
      </c>
      <c r="AG29" t="s">
        <v>297</v>
      </c>
      <c r="AH29" t="s">
        <v>297</v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 t="str">
        <f>IF($A29="","",SUMIFS(Compta!$F$1:$F$675,Compta!$A$1:$A$675,"GRP",Compta!$B$1:$B$675,"6236",Compta!$C$1:$C$675,$A29))</f>
        <v/>
      </c>
      <c r="AP29" t="s">
        <v>297</v>
      </c>
      <c r="AQ29" t="s">
        <v>297</v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IF(Allocation!D30="","",Allocation!I30)</f>
        <v/>
      </c>
      <c r="H30" t="str">
        <f>IF(Allocation!D30="","",Allocation!J30)</f>
        <v/>
      </c>
      <c r="I30" t="str">
        <f>IF(Allocation!D30="","",Allocation!K30)</f>
        <v/>
      </c>
      <c r="J30" t="str">
        <f>IF($A30="","",SUMIFS(Socle!$K$1:$K$175,Socle!$C$1:$C$175,$B30,Socle!$D$1:$D$175,$D30,Socle!$E$1:$E$175,$E30,Socle!$F$1:$F$175,$F30,Socle!$G$1:$G$175,$A30))</f>
        <v/>
      </c>
      <c r="K30" t="str">
        <f t="shared" si="0"/>
        <v/>
      </c>
      <c r="L30" t="str">
        <f>IF($A30="","",SUMIFS(Allocation!$I$1:$I$175,Allocation!$C$1:$C$175,$A30,Allocation!$D$1:$D$175,$B30))</f>
        <v/>
      </c>
      <c r="M30" t="str">
        <f>IF($A30="","",SUMIFS(Allocation!$J$1:$J$175,Allocation!$C$1:$C$175,$A30,Allocation!$D$1:$D$175,$B30))</f>
        <v/>
      </c>
      <c r="N30" t="str">
        <f>IF($A30="","",SUMIFS(Allocation!$K$1:$K$175,Allocation!$C$1:$C$175,$A30,Allocation!$D$1:$D$175,$B30))</f>
        <v/>
      </c>
      <c r="O30" t="str">
        <f t="shared" si="1"/>
        <v/>
      </c>
      <c r="P30" t="str">
        <f t="shared" si="2"/>
        <v/>
      </c>
      <c r="Q30" t="str">
        <f>IF($A30="","",SUMIFS(Allocation!$I$1:$I$175,Allocation!$C$1:$C$175,$A30,Allocation!$E$1:$E$175,$C30))</f>
        <v/>
      </c>
      <c r="R30" t="str">
        <f>IF($A30="","",SUMIFS(Allocation!$J$1:$J$175,Allocation!$C$1:$C$175,$A30,Allocation!$E$1:$E$175,$C30))</f>
        <v/>
      </c>
      <c r="S30" t="str">
        <f>IF($A30="","",SUMIFS(Allocation!$K$1:$K$175,Allocation!$C$1:$C$175,$A30,Allocation!$E$1:$E$175,$C30))</f>
        <v/>
      </c>
      <c r="T30" t="str">
        <f>IF($A30="","",SUMIFS(Allocation!$I$1:$I$175,Allocation!$C$1:$C$175,$A30))</f>
        <v/>
      </c>
      <c r="U30" t="str">
        <f>IF($A30="","",SUMIFS(Allocation!$J$1:$J$175,Allocation!$C$1:$C$175,$A30))</f>
        <v/>
      </c>
      <c r="V30" t="str">
        <f>IF($A30="","",SUMIFS(Allocation!$K$1:$K$175,Allocation!$C$1:$C$175,$A30))</f>
        <v/>
      </c>
      <c r="W30" t="str">
        <f>IF($A30="","",SUMIFS(Compta!$F$1:$F$675,Compta!$A$1:$A$675,$B30,Compta!$B$1:$B$675,"621",Compta!$C$1:$C$675,$A30))</f>
        <v/>
      </c>
      <c r="X30" t="str">
        <f>IF($A30="","",SUMIFS(Compta!$F$1:$F$675,Compta!$A$1:$A$675,$B30,Compta!$B$1:$B$675,"6411",Compta!$C$1:$C$675,$A30))</f>
        <v/>
      </c>
      <c r="Y30" t="str">
        <f>IF($A30="","",SUMIFS(Compta!$F$1:$F$675,Compta!$A$1:$A$675,$B30,Compta!$B$1:$B$675,"604",Compta!$C$1:$C$675,$A30)+SUMIFS(Compta!$F$1:$F$675,Compta!$A$1:$A$675,$B30,Compta!$B$1:$B$675,"6063",Compta!$C$1:$C$675,$A30))</f>
        <v/>
      </c>
      <c r="Z30" t="str">
        <f>IF($A30="","",SUMIFS(Compta!$F$1:$F$675,Compta!$A$1:$A$675,$B30,Compta!$B$1:$B$675,"6231",Compta!$C$1:$C$675,$A30))</f>
        <v/>
      </c>
      <c r="AA30" t="str">
        <f>IF($A30="","",SUMIFS(Compta!$F$1:$F$675,Compta!$A$1:$A$675,$B30,Compta!$B$1:$B$675,"6413",Compta!$C$1:$C$675,$A30)+SUMIFS(Compta!$F$1:$F$675,Compta!$A$1:$A$675,$B30,Compta!$B$1:$B$675,"645",Compta!$C$1:$C$675,$A30)+SUMIFS(Compta!$F$1:$F$675,Compta!$A$1:$A$675,$B30,Compta!$B$1:$B$675,"613",Compta!$C$1:$C$675,$A30)+SUMIFS(Compta!$F$1:$F$675,Compta!$A$1:$A$675,$B30,Compta!$B$1:$B$675,"615",Compta!$C$1:$C$675,$A30)+SUMIFS(Compta!$F$1:$F$675,Compta!$A$1:$A$675,$B30,Compta!$B$1:$B$675,"616",Compta!$C$1:$C$675,$A30)+SUMIFS(Compta!$F$1:$F$675,Compta!$A$1:$A$675,$B30,Compta!$B$1:$B$675,"625",Compta!$C$1:$C$675,$A30)+SUMIFS(Compta!$F$1:$F$675,Compta!$A$1:$A$675,$B30,Compta!$B$1:$B$675,"63511",Compta!$C$1:$C$675,$A30))</f>
        <v/>
      </c>
      <c r="AB30" t="str">
        <f>IF($A30="","",SUMIFS(Compta!$F$1:$F$675,Compta!$A$1:$A$675,"GRP",Compta!$B$1:$B$675,"6414",Compta!$C$1:$C$675,$A30)+SUMIFS(Compta!$F$1:$F$675,Compta!$A$1:$A$675,"GRP",Compta!$B$1:$B$675,"6226",Compta!$C$1:$C$675,$A30)+SUMIFS(Compta!$F$1:$F$675,Compta!$A$1:$A$675,"GRP",Compta!$B$1:$B$675,"626",Compta!$C$1:$C$675,$A30)+SUMIFS(Compta!$F$1:$F$675,Compta!$A$1:$A$675,"GRP",Compta!$B$1:$B$675,"6281",Compta!$C$1:$C$675,$A30)+SUMIFS(Compta!$F$1:$F$675,Compta!$A$1:$A$675,"GRP",Compta!$B$1:$B$675,"6331",Compta!$C$1:$C$675,$A30)+SUMIFS(Compta!$F$1:$F$675,Compta!$A$1:$A$675,"GRP",Compta!$B$1:$B$675,"6333",Compta!$C$1:$C$675,$A30))</f>
        <v/>
      </c>
      <c r="AC30" t="s">
        <v>297</v>
      </c>
      <c r="AD30" t="s">
        <v>297</v>
      </c>
      <c r="AE30" t="s">
        <v>297</v>
      </c>
      <c r="AF30" t="s">
        <v>297</v>
      </c>
      <c r="AG30" t="s">
        <v>297</v>
      </c>
      <c r="AH30" t="s">
        <v>297</v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 t="str">
        <f>IF($A30="","",SUMIFS(Compta!$F$1:$F$675,Compta!$A$1:$A$675,"GRP",Compta!$B$1:$B$675,"6236",Compta!$C$1:$C$675,$A30))</f>
        <v/>
      </c>
      <c r="AP30" t="s">
        <v>297</v>
      </c>
      <c r="AQ30" t="s">
        <v>297</v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IF(Allocation!D31="","",Allocation!I31)</f>
        <v/>
      </c>
      <c r="H31" t="str">
        <f>IF(Allocation!D31="","",Allocation!J31)</f>
        <v/>
      </c>
      <c r="I31" t="str">
        <f>IF(Allocation!D31="","",Allocation!K31)</f>
        <v/>
      </c>
      <c r="J31" t="str">
        <f>IF($A31="","",SUMIFS(Socle!$K$1:$K$175,Socle!$C$1:$C$175,$B31,Socle!$D$1:$D$175,$D31,Socle!$E$1:$E$175,$E31,Socle!$F$1:$F$175,$F31,Socle!$G$1:$G$175,$A31))</f>
        <v/>
      </c>
      <c r="K31" t="str">
        <f t="shared" si="0"/>
        <v/>
      </c>
      <c r="L31" t="str">
        <f>IF($A31="","",SUMIFS(Allocation!$I$1:$I$175,Allocation!$C$1:$C$175,$A31,Allocation!$D$1:$D$175,$B31))</f>
        <v/>
      </c>
      <c r="M31" t="str">
        <f>IF($A31="","",SUMIFS(Allocation!$J$1:$J$175,Allocation!$C$1:$C$175,$A31,Allocation!$D$1:$D$175,$B31))</f>
        <v/>
      </c>
      <c r="N31" t="str">
        <f>IF($A31="","",SUMIFS(Allocation!$K$1:$K$175,Allocation!$C$1:$C$175,$A31,Allocation!$D$1:$D$175,$B31))</f>
        <v/>
      </c>
      <c r="O31" t="str">
        <f t="shared" si="1"/>
        <v/>
      </c>
      <c r="P31" t="str">
        <f t="shared" si="2"/>
        <v/>
      </c>
      <c r="Q31" t="str">
        <f>IF($A31="","",SUMIFS(Allocation!$I$1:$I$175,Allocation!$C$1:$C$175,$A31,Allocation!$E$1:$E$175,$C31))</f>
        <v/>
      </c>
      <c r="R31" t="str">
        <f>IF($A31="","",SUMIFS(Allocation!$J$1:$J$175,Allocation!$C$1:$C$175,$A31,Allocation!$E$1:$E$175,$C31))</f>
        <v/>
      </c>
      <c r="S31" t="str">
        <f>IF($A31="","",SUMIFS(Allocation!$K$1:$K$175,Allocation!$C$1:$C$175,$A31,Allocation!$E$1:$E$175,$C31))</f>
        <v/>
      </c>
      <c r="T31" t="str">
        <f>IF($A31="","",SUMIFS(Allocation!$I$1:$I$175,Allocation!$C$1:$C$175,$A31))</f>
        <v/>
      </c>
      <c r="U31" t="str">
        <f>IF($A31="","",SUMIFS(Allocation!$J$1:$J$175,Allocation!$C$1:$C$175,$A31))</f>
        <v/>
      </c>
      <c r="V31" t="str">
        <f>IF($A31="","",SUMIFS(Allocation!$K$1:$K$175,Allocation!$C$1:$C$175,$A31))</f>
        <v/>
      </c>
      <c r="W31" t="str">
        <f>IF($A31="","",SUMIFS(Compta!$F$1:$F$675,Compta!$A$1:$A$675,$B31,Compta!$B$1:$B$675,"621",Compta!$C$1:$C$675,$A31))</f>
        <v/>
      </c>
      <c r="X31" t="str">
        <f>IF($A31="","",SUMIFS(Compta!$F$1:$F$675,Compta!$A$1:$A$675,$B31,Compta!$B$1:$B$675,"6411",Compta!$C$1:$C$675,$A31))</f>
        <v/>
      </c>
      <c r="Y31" t="str">
        <f>IF($A31="","",SUMIFS(Compta!$F$1:$F$675,Compta!$A$1:$A$675,$B31,Compta!$B$1:$B$675,"604",Compta!$C$1:$C$675,$A31)+SUMIFS(Compta!$F$1:$F$675,Compta!$A$1:$A$675,$B31,Compta!$B$1:$B$675,"6063",Compta!$C$1:$C$675,$A31))</f>
        <v/>
      </c>
      <c r="Z31" t="str">
        <f>IF($A31="","",SUMIFS(Compta!$F$1:$F$675,Compta!$A$1:$A$675,$B31,Compta!$B$1:$B$675,"6231",Compta!$C$1:$C$675,$A31))</f>
        <v/>
      </c>
      <c r="AA31" t="str">
        <f>IF($A31="","",SUMIFS(Compta!$F$1:$F$675,Compta!$A$1:$A$675,$B31,Compta!$B$1:$B$675,"6413",Compta!$C$1:$C$675,$A31)+SUMIFS(Compta!$F$1:$F$675,Compta!$A$1:$A$675,$B31,Compta!$B$1:$B$675,"645",Compta!$C$1:$C$675,$A31)+SUMIFS(Compta!$F$1:$F$675,Compta!$A$1:$A$675,$B31,Compta!$B$1:$B$675,"613",Compta!$C$1:$C$675,$A31)+SUMIFS(Compta!$F$1:$F$675,Compta!$A$1:$A$675,$B31,Compta!$B$1:$B$675,"615",Compta!$C$1:$C$675,$A31)+SUMIFS(Compta!$F$1:$F$675,Compta!$A$1:$A$675,$B31,Compta!$B$1:$B$675,"616",Compta!$C$1:$C$675,$A31)+SUMIFS(Compta!$F$1:$F$675,Compta!$A$1:$A$675,$B31,Compta!$B$1:$B$675,"625",Compta!$C$1:$C$675,$A31)+SUMIFS(Compta!$F$1:$F$675,Compta!$A$1:$A$675,$B31,Compta!$B$1:$B$675,"63511",Compta!$C$1:$C$675,$A31))</f>
        <v/>
      </c>
      <c r="AB31" t="str">
        <f>IF($A31="","",SUMIFS(Compta!$F$1:$F$675,Compta!$A$1:$A$675,"GRP",Compta!$B$1:$B$675,"6414",Compta!$C$1:$C$675,$A31)+SUMIFS(Compta!$F$1:$F$675,Compta!$A$1:$A$675,"GRP",Compta!$B$1:$B$675,"6226",Compta!$C$1:$C$675,$A31)+SUMIFS(Compta!$F$1:$F$675,Compta!$A$1:$A$675,"GRP",Compta!$B$1:$B$675,"626",Compta!$C$1:$C$675,$A31)+SUMIFS(Compta!$F$1:$F$675,Compta!$A$1:$A$675,"GRP",Compta!$B$1:$B$675,"6281",Compta!$C$1:$C$675,$A31)+SUMIFS(Compta!$F$1:$F$675,Compta!$A$1:$A$675,"GRP",Compta!$B$1:$B$675,"6331",Compta!$C$1:$C$675,$A31)+SUMIFS(Compta!$F$1:$F$675,Compta!$A$1:$A$675,"GRP",Compta!$B$1:$B$675,"6333",Compta!$C$1:$C$675,$A31))</f>
        <v/>
      </c>
      <c r="AC31" t="s">
        <v>297</v>
      </c>
      <c r="AD31" t="s">
        <v>297</v>
      </c>
      <c r="AE31" t="s">
        <v>297</v>
      </c>
      <c r="AF31" t="s">
        <v>297</v>
      </c>
      <c r="AG31" t="s">
        <v>297</v>
      </c>
      <c r="AH31" t="s">
        <v>297</v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 t="str">
        <f>IF($A31="","",SUMIFS(Compta!$F$1:$F$675,Compta!$A$1:$A$675,"GRP",Compta!$B$1:$B$675,"6236",Compta!$C$1:$C$675,$A31))</f>
        <v/>
      </c>
      <c r="AP31" t="s">
        <v>297</v>
      </c>
      <c r="AQ31" t="s">
        <v>297</v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IF(Allocation!D32="","",Allocation!I32)</f>
        <v/>
      </c>
      <c r="H32" t="str">
        <f>IF(Allocation!D32="","",Allocation!J32)</f>
        <v/>
      </c>
      <c r="I32" t="str">
        <f>IF(Allocation!D32="","",Allocation!K32)</f>
        <v/>
      </c>
      <c r="J32" t="str">
        <f>IF($A32="","",SUMIFS(Socle!$K$1:$K$175,Socle!$C$1:$C$175,$B32,Socle!$D$1:$D$175,$D32,Socle!$E$1:$E$175,$E32,Socle!$F$1:$F$175,$F32,Socle!$G$1:$G$175,$A32))</f>
        <v/>
      </c>
      <c r="K32" t="str">
        <f t="shared" si="0"/>
        <v/>
      </c>
      <c r="L32" t="str">
        <f>IF($A32="","",SUMIFS(Allocation!$I$1:$I$175,Allocation!$C$1:$C$175,$A32,Allocation!$D$1:$D$175,$B32))</f>
        <v/>
      </c>
      <c r="M32" t="str">
        <f>IF($A32="","",SUMIFS(Allocation!$J$1:$J$175,Allocation!$C$1:$C$175,$A32,Allocation!$D$1:$D$175,$B32))</f>
        <v/>
      </c>
      <c r="N32" t="str">
        <f>IF($A32="","",SUMIFS(Allocation!$K$1:$K$175,Allocation!$C$1:$C$175,$A32,Allocation!$D$1:$D$175,$B32))</f>
        <v/>
      </c>
      <c r="O32" t="str">
        <f t="shared" si="1"/>
        <v/>
      </c>
      <c r="P32" t="str">
        <f t="shared" si="2"/>
        <v/>
      </c>
      <c r="Q32" t="str">
        <f>IF($A32="","",SUMIFS(Allocation!$I$1:$I$175,Allocation!$C$1:$C$175,$A32,Allocation!$E$1:$E$175,$C32))</f>
        <v/>
      </c>
      <c r="R32" t="str">
        <f>IF($A32="","",SUMIFS(Allocation!$J$1:$J$175,Allocation!$C$1:$C$175,$A32,Allocation!$E$1:$E$175,$C32))</f>
        <v/>
      </c>
      <c r="S32" t="str">
        <f>IF($A32="","",SUMIFS(Allocation!$K$1:$K$175,Allocation!$C$1:$C$175,$A32,Allocation!$E$1:$E$175,$C32))</f>
        <v/>
      </c>
      <c r="T32" t="str">
        <f>IF($A32="","",SUMIFS(Allocation!$I$1:$I$175,Allocation!$C$1:$C$175,$A32))</f>
        <v/>
      </c>
      <c r="U32" t="str">
        <f>IF($A32="","",SUMIFS(Allocation!$J$1:$J$175,Allocation!$C$1:$C$175,$A32))</f>
        <v/>
      </c>
      <c r="V32" t="str">
        <f>IF($A32="","",SUMIFS(Allocation!$K$1:$K$175,Allocation!$C$1:$C$175,$A32))</f>
        <v/>
      </c>
      <c r="W32" t="str">
        <f>IF($A32="","",SUMIFS(Compta!$F$1:$F$675,Compta!$A$1:$A$675,$B32,Compta!$B$1:$B$675,"621",Compta!$C$1:$C$675,$A32))</f>
        <v/>
      </c>
      <c r="X32" t="str">
        <f>IF($A32="","",SUMIFS(Compta!$F$1:$F$675,Compta!$A$1:$A$675,$B32,Compta!$B$1:$B$675,"6411",Compta!$C$1:$C$675,$A32))</f>
        <v/>
      </c>
      <c r="Y32" t="str">
        <f>IF($A32="","",SUMIFS(Compta!$F$1:$F$675,Compta!$A$1:$A$675,$B32,Compta!$B$1:$B$675,"604",Compta!$C$1:$C$675,$A32)+SUMIFS(Compta!$F$1:$F$675,Compta!$A$1:$A$675,$B32,Compta!$B$1:$B$675,"6063",Compta!$C$1:$C$675,$A32))</f>
        <v/>
      </c>
      <c r="Z32" t="str">
        <f>IF($A32="","",SUMIFS(Compta!$F$1:$F$675,Compta!$A$1:$A$675,$B32,Compta!$B$1:$B$675,"6231",Compta!$C$1:$C$675,$A32))</f>
        <v/>
      </c>
      <c r="AA32" t="str">
        <f>IF($A32="","",SUMIFS(Compta!$F$1:$F$675,Compta!$A$1:$A$675,$B32,Compta!$B$1:$B$675,"6413",Compta!$C$1:$C$675,$A32)+SUMIFS(Compta!$F$1:$F$675,Compta!$A$1:$A$675,$B32,Compta!$B$1:$B$675,"645",Compta!$C$1:$C$675,$A32)+SUMIFS(Compta!$F$1:$F$675,Compta!$A$1:$A$675,$B32,Compta!$B$1:$B$675,"613",Compta!$C$1:$C$675,$A32)+SUMIFS(Compta!$F$1:$F$675,Compta!$A$1:$A$675,$B32,Compta!$B$1:$B$675,"615",Compta!$C$1:$C$675,$A32)+SUMIFS(Compta!$F$1:$F$675,Compta!$A$1:$A$675,$B32,Compta!$B$1:$B$675,"616",Compta!$C$1:$C$675,$A32)+SUMIFS(Compta!$F$1:$F$675,Compta!$A$1:$A$675,$B32,Compta!$B$1:$B$675,"625",Compta!$C$1:$C$675,$A32)+SUMIFS(Compta!$F$1:$F$675,Compta!$A$1:$A$675,$B32,Compta!$B$1:$B$675,"63511",Compta!$C$1:$C$675,$A32))</f>
        <v/>
      </c>
      <c r="AB32" t="str">
        <f>IF($A32="","",SUMIFS(Compta!$F$1:$F$675,Compta!$A$1:$A$675,"GRP",Compta!$B$1:$B$675,"6414",Compta!$C$1:$C$675,$A32)+SUMIFS(Compta!$F$1:$F$675,Compta!$A$1:$A$675,"GRP",Compta!$B$1:$B$675,"6226",Compta!$C$1:$C$675,$A32)+SUMIFS(Compta!$F$1:$F$675,Compta!$A$1:$A$675,"GRP",Compta!$B$1:$B$675,"626",Compta!$C$1:$C$675,$A32)+SUMIFS(Compta!$F$1:$F$675,Compta!$A$1:$A$675,"GRP",Compta!$B$1:$B$675,"6281",Compta!$C$1:$C$675,$A32)+SUMIFS(Compta!$F$1:$F$675,Compta!$A$1:$A$675,"GRP",Compta!$B$1:$B$675,"6331",Compta!$C$1:$C$675,$A32)+SUMIFS(Compta!$F$1:$F$675,Compta!$A$1:$A$675,"GRP",Compta!$B$1:$B$675,"6333",Compta!$C$1:$C$675,$A32))</f>
        <v/>
      </c>
      <c r="AC32" t="s">
        <v>297</v>
      </c>
      <c r="AD32" t="s">
        <v>297</v>
      </c>
      <c r="AE32" t="s">
        <v>297</v>
      </c>
      <c r="AF32" t="s">
        <v>297</v>
      </c>
      <c r="AG32" t="s">
        <v>297</v>
      </c>
      <c r="AH32" t="s">
        <v>297</v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 t="str">
        <f>IF($A32="","",SUMIFS(Compta!$F$1:$F$675,Compta!$A$1:$A$675,"GRP",Compta!$B$1:$B$675,"6236",Compta!$C$1:$C$675,$A32))</f>
        <v/>
      </c>
      <c r="AP32" t="s">
        <v>297</v>
      </c>
      <c r="AQ32" t="s">
        <v>297</v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IF(Allocation!D33="","",Allocation!I33)</f>
        <v/>
      </c>
      <c r="H33" t="str">
        <f>IF(Allocation!D33="","",Allocation!J33)</f>
        <v/>
      </c>
      <c r="I33" t="str">
        <f>IF(Allocation!D33="","",Allocation!K33)</f>
        <v/>
      </c>
      <c r="J33" t="str">
        <f>IF($A33="","",SUMIFS(Socle!$K$1:$K$175,Socle!$C$1:$C$175,$B33,Socle!$D$1:$D$175,$D33,Socle!$E$1:$E$175,$E33,Socle!$F$1:$F$175,$F33,Socle!$G$1:$G$175,$A33))</f>
        <v/>
      </c>
      <c r="K33" t="str">
        <f t="shared" si="0"/>
        <v/>
      </c>
      <c r="L33" t="str">
        <f>IF($A33="","",SUMIFS(Allocation!$I$1:$I$175,Allocation!$C$1:$C$175,$A33,Allocation!$D$1:$D$175,$B33))</f>
        <v/>
      </c>
      <c r="M33" t="str">
        <f>IF($A33="","",SUMIFS(Allocation!$J$1:$J$175,Allocation!$C$1:$C$175,$A33,Allocation!$D$1:$D$175,$B33))</f>
        <v/>
      </c>
      <c r="N33" t="str">
        <f>IF($A33="","",SUMIFS(Allocation!$K$1:$K$175,Allocation!$C$1:$C$175,$A33,Allocation!$D$1:$D$175,$B33))</f>
        <v/>
      </c>
      <c r="O33" t="str">
        <f t="shared" si="1"/>
        <v/>
      </c>
      <c r="P33" t="str">
        <f t="shared" si="2"/>
        <v/>
      </c>
      <c r="Q33" t="str">
        <f>IF($A33="","",SUMIFS(Allocation!$I$1:$I$175,Allocation!$C$1:$C$175,$A33,Allocation!$E$1:$E$175,$C33))</f>
        <v/>
      </c>
      <c r="R33" t="str">
        <f>IF($A33="","",SUMIFS(Allocation!$J$1:$J$175,Allocation!$C$1:$C$175,$A33,Allocation!$E$1:$E$175,$C33))</f>
        <v/>
      </c>
      <c r="S33" t="str">
        <f>IF($A33="","",SUMIFS(Allocation!$K$1:$K$175,Allocation!$C$1:$C$175,$A33,Allocation!$E$1:$E$175,$C33))</f>
        <v/>
      </c>
      <c r="T33" t="str">
        <f>IF($A33="","",SUMIFS(Allocation!$I$1:$I$175,Allocation!$C$1:$C$175,$A33))</f>
        <v/>
      </c>
      <c r="U33" t="str">
        <f>IF($A33="","",SUMIFS(Allocation!$J$1:$J$175,Allocation!$C$1:$C$175,$A33))</f>
        <v/>
      </c>
      <c r="V33" t="str">
        <f>IF($A33="","",SUMIFS(Allocation!$K$1:$K$175,Allocation!$C$1:$C$175,$A33))</f>
        <v/>
      </c>
      <c r="W33" t="str">
        <f>IF($A33="","",SUMIFS(Compta!$F$1:$F$675,Compta!$A$1:$A$675,$B33,Compta!$B$1:$B$675,"621",Compta!$C$1:$C$675,$A33))</f>
        <v/>
      </c>
      <c r="X33" t="str">
        <f>IF($A33="","",SUMIFS(Compta!$F$1:$F$675,Compta!$A$1:$A$675,$B33,Compta!$B$1:$B$675,"6411",Compta!$C$1:$C$675,$A33))</f>
        <v/>
      </c>
      <c r="Y33" t="str">
        <f>IF($A33="","",SUMIFS(Compta!$F$1:$F$675,Compta!$A$1:$A$675,$B33,Compta!$B$1:$B$675,"604",Compta!$C$1:$C$675,$A33)+SUMIFS(Compta!$F$1:$F$675,Compta!$A$1:$A$675,$B33,Compta!$B$1:$B$675,"6063",Compta!$C$1:$C$675,$A33))</f>
        <v/>
      </c>
      <c r="Z33" t="str">
        <f>IF($A33="","",SUMIFS(Compta!$F$1:$F$675,Compta!$A$1:$A$675,$B33,Compta!$B$1:$B$675,"6231",Compta!$C$1:$C$675,$A33))</f>
        <v/>
      </c>
      <c r="AA33" t="str">
        <f>IF($A33="","",SUMIFS(Compta!$F$1:$F$675,Compta!$A$1:$A$675,$B33,Compta!$B$1:$B$675,"6413",Compta!$C$1:$C$675,$A33)+SUMIFS(Compta!$F$1:$F$675,Compta!$A$1:$A$675,$B33,Compta!$B$1:$B$675,"645",Compta!$C$1:$C$675,$A33)+SUMIFS(Compta!$F$1:$F$675,Compta!$A$1:$A$675,$B33,Compta!$B$1:$B$675,"613",Compta!$C$1:$C$675,$A33)+SUMIFS(Compta!$F$1:$F$675,Compta!$A$1:$A$675,$B33,Compta!$B$1:$B$675,"615",Compta!$C$1:$C$675,$A33)+SUMIFS(Compta!$F$1:$F$675,Compta!$A$1:$A$675,$B33,Compta!$B$1:$B$675,"616",Compta!$C$1:$C$675,$A33)+SUMIFS(Compta!$F$1:$F$675,Compta!$A$1:$A$675,$B33,Compta!$B$1:$B$675,"625",Compta!$C$1:$C$675,$A33)+SUMIFS(Compta!$F$1:$F$675,Compta!$A$1:$A$675,$B33,Compta!$B$1:$B$675,"63511",Compta!$C$1:$C$675,$A33))</f>
        <v/>
      </c>
      <c r="AB33" t="str">
        <f>IF($A33="","",SUMIFS(Compta!$F$1:$F$675,Compta!$A$1:$A$675,"GRP",Compta!$B$1:$B$675,"6414",Compta!$C$1:$C$675,$A33)+SUMIFS(Compta!$F$1:$F$675,Compta!$A$1:$A$675,"GRP",Compta!$B$1:$B$675,"6226",Compta!$C$1:$C$675,$A33)+SUMIFS(Compta!$F$1:$F$675,Compta!$A$1:$A$675,"GRP",Compta!$B$1:$B$675,"626",Compta!$C$1:$C$675,$A33)+SUMIFS(Compta!$F$1:$F$675,Compta!$A$1:$A$675,"GRP",Compta!$B$1:$B$675,"6281",Compta!$C$1:$C$675,$A33)+SUMIFS(Compta!$F$1:$F$675,Compta!$A$1:$A$675,"GRP",Compta!$B$1:$B$675,"6331",Compta!$C$1:$C$675,$A33)+SUMIFS(Compta!$F$1:$F$675,Compta!$A$1:$A$675,"GRP",Compta!$B$1:$B$675,"6333",Compta!$C$1:$C$675,$A33))</f>
        <v/>
      </c>
      <c r="AC33" t="s">
        <v>297</v>
      </c>
      <c r="AD33" t="s">
        <v>297</v>
      </c>
      <c r="AE33" t="s">
        <v>297</v>
      </c>
      <c r="AF33" t="s">
        <v>297</v>
      </c>
      <c r="AG33" t="s">
        <v>297</v>
      </c>
      <c r="AH33" t="s">
        <v>297</v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 t="str">
        <f>IF($A33="","",SUMIFS(Compta!$F$1:$F$675,Compta!$A$1:$A$675,"GRP",Compta!$B$1:$B$675,"6236",Compta!$C$1:$C$675,$A33))</f>
        <v/>
      </c>
      <c r="AP33" t="s">
        <v>297</v>
      </c>
      <c r="AQ33" t="s">
        <v>297</v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IF(Allocation!D34="","",Allocation!I34)</f>
        <v/>
      </c>
      <c r="H34" t="str">
        <f>IF(Allocation!D34="","",Allocation!J34)</f>
        <v/>
      </c>
      <c r="I34" t="str">
        <f>IF(Allocation!D34="","",Allocation!K34)</f>
        <v/>
      </c>
      <c r="J34" t="str">
        <f>IF($A34="","",SUMIFS(Socle!$K$1:$K$175,Socle!$C$1:$C$175,$B34,Socle!$D$1:$D$175,$D34,Socle!$E$1:$E$175,$E34,Socle!$F$1:$F$175,$F34,Socle!$G$1:$G$175,$A34))</f>
        <v/>
      </c>
      <c r="K34" t="str">
        <f t="shared" si="0"/>
        <v/>
      </c>
      <c r="L34" t="str">
        <f>IF($A34="","",SUMIFS(Allocation!$I$1:$I$175,Allocation!$C$1:$C$175,$A34,Allocation!$D$1:$D$175,$B34))</f>
        <v/>
      </c>
      <c r="M34" t="str">
        <f>IF($A34="","",SUMIFS(Allocation!$J$1:$J$175,Allocation!$C$1:$C$175,$A34,Allocation!$D$1:$D$175,$B34))</f>
        <v/>
      </c>
      <c r="N34" t="str">
        <f>IF($A34="","",SUMIFS(Allocation!$K$1:$K$175,Allocation!$C$1:$C$175,$A34,Allocation!$D$1:$D$175,$B34))</f>
        <v/>
      </c>
      <c r="O34" t="str">
        <f t="shared" si="1"/>
        <v/>
      </c>
      <c r="P34" t="str">
        <f t="shared" si="2"/>
        <v/>
      </c>
      <c r="Q34" t="str">
        <f>IF($A34="","",SUMIFS(Allocation!$I$1:$I$175,Allocation!$C$1:$C$175,$A34,Allocation!$E$1:$E$175,$C34))</f>
        <v/>
      </c>
      <c r="R34" t="str">
        <f>IF($A34="","",SUMIFS(Allocation!$J$1:$J$175,Allocation!$C$1:$C$175,$A34,Allocation!$E$1:$E$175,$C34))</f>
        <v/>
      </c>
      <c r="S34" t="str">
        <f>IF($A34="","",SUMIFS(Allocation!$K$1:$K$175,Allocation!$C$1:$C$175,$A34,Allocation!$E$1:$E$175,$C34))</f>
        <v/>
      </c>
      <c r="T34" t="str">
        <f>IF($A34="","",SUMIFS(Allocation!$I$1:$I$175,Allocation!$C$1:$C$175,$A34))</f>
        <v/>
      </c>
      <c r="U34" t="str">
        <f>IF($A34="","",SUMIFS(Allocation!$J$1:$J$175,Allocation!$C$1:$C$175,$A34))</f>
        <v/>
      </c>
      <c r="V34" t="str">
        <f>IF($A34="","",SUMIFS(Allocation!$K$1:$K$175,Allocation!$C$1:$C$175,$A34))</f>
        <v/>
      </c>
      <c r="W34" t="str">
        <f>IF($A34="","",SUMIFS(Compta!$F$1:$F$675,Compta!$A$1:$A$675,$B34,Compta!$B$1:$B$675,"621",Compta!$C$1:$C$675,$A34))</f>
        <v/>
      </c>
      <c r="X34" t="str">
        <f>IF($A34="","",SUMIFS(Compta!$F$1:$F$675,Compta!$A$1:$A$675,$B34,Compta!$B$1:$B$675,"6411",Compta!$C$1:$C$675,$A34))</f>
        <v/>
      </c>
      <c r="Y34" t="str">
        <f>IF($A34="","",SUMIFS(Compta!$F$1:$F$675,Compta!$A$1:$A$675,$B34,Compta!$B$1:$B$675,"604",Compta!$C$1:$C$675,$A34)+SUMIFS(Compta!$F$1:$F$675,Compta!$A$1:$A$675,$B34,Compta!$B$1:$B$675,"6063",Compta!$C$1:$C$675,$A34))</f>
        <v/>
      </c>
      <c r="Z34" t="str">
        <f>IF($A34="","",SUMIFS(Compta!$F$1:$F$675,Compta!$A$1:$A$675,$B34,Compta!$B$1:$B$675,"6231",Compta!$C$1:$C$675,$A34))</f>
        <v/>
      </c>
      <c r="AA34" t="str">
        <f>IF($A34="","",SUMIFS(Compta!$F$1:$F$675,Compta!$A$1:$A$675,$B34,Compta!$B$1:$B$675,"6413",Compta!$C$1:$C$675,$A34)+SUMIFS(Compta!$F$1:$F$675,Compta!$A$1:$A$675,$B34,Compta!$B$1:$B$675,"645",Compta!$C$1:$C$675,$A34)+SUMIFS(Compta!$F$1:$F$675,Compta!$A$1:$A$675,$B34,Compta!$B$1:$B$675,"613",Compta!$C$1:$C$675,$A34)+SUMIFS(Compta!$F$1:$F$675,Compta!$A$1:$A$675,$B34,Compta!$B$1:$B$675,"615",Compta!$C$1:$C$675,$A34)+SUMIFS(Compta!$F$1:$F$675,Compta!$A$1:$A$675,$B34,Compta!$B$1:$B$675,"616",Compta!$C$1:$C$675,$A34)+SUMIFS(Compta!$F$1:$F$675,Compta!$A$1:$A$675,$B34,Compta!$B$1:$B$675,"625",Compta!$C$1:$C$675,$A34)+SUMIFS(Compta!$F$1:$F$675,Compta!$A$1:$A$675,$B34,Compta!$B$1:$B$675,"63511",Compta!$C$1:$C$675,$A34))</f>
        <v/>
      </c>
      <c r="AB34" t="str">
        <f>IF($A34="","",SUMIFS(Compta!$F$1:$F$675,Compta!$A$1:$A$675,"GRP",Compta!$B$1:$B$675,"6414",Compta!$C$1:$C$675,$A34)+SUMIFS(Compta!$F$1:$F$675,Compta!$A$1:$A$675,"GRP",Compta!$B$1:$B$675,"6226",Compta!$C$1:$C$675,$A34)+SUMIFS(Compta!$F$1:$F$675,Compta!$A$1:$A$675,"GRP",Compta!$B$1:$B$675,"626",Compta!$C$1:$C$675,$A34)+SUMIFS(Compta!$F$1:$F$675,Compta!$A$1:$A$675,"GRP",Compta!$B$1:$B$675,"6281",Compta!$C$1:$C$675,$A34)+SUMIFS(Compta!$F$1:$F$675,Compta!$A$1:$A$675,"GRP",Compta!$B$1:$B$675,"6331",Compta!$C$1:$C$675,$A34)+SUMIFS(Compta!$F$1:$F$675,Compta!$A$1:$A$675,"GRP",Compta!$B$1:$B$675,"6333",Compta!$C$1:$C$675,$A34))</f>
        <v/>
      </c>
      <c r="AC34" t="s">
        <v>297</v>
      </c>
      <c r="AD34" t="s">
        <v>297</v>
      </c>
      <c r="AE34" t="s">
        <v>297</v>
      </c>
      <c r="AF34" t="s">
        <v>297</v>
      </c>
      <c r="AG34" t="s">
        <v>297</v>
      </c>
      <c r="AH34" t="s">
        <v>297</v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 t="str">
        <f>IF($A34="","",SUMIFS(Compta!$F$1:$F$675,Compta!$A$1:$A$675,"GRP",Compta!$B$1:$B$675,"6236",Compta!$C$1:$C$675,$A34))</f>
        <v/>
      </c>
      <c r="AP34" t="s">
        <v>297</v>
      </c>
      <c r="AQ34" t="s">
        <v>297</v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IF(Allocation!D35="","",Allocation!I35)</f>
        <v/>
      </c>
      <c r="H35" t="str">
        <f>IF(Allocation!D35="","",Allocation!J35)</f>
        <v/>
      </c>
      <c r="I35" t="str">
        <f>IF(Allocation!D35="","",Allocation!K35)</f>
        <v/>
      </c>
      <c r="J35" t="str">
        <f>IF($A35="","",SUMIFS(Socle!$K$1:$K$175,Socle!$C$1:$C$175,$B35,Socle!$D$1:$D$175,$D35,Socle!$E$1:$E$175,$E35,Socle!$F$1:$F$175,$F35,Socle!$G$1:$G$175,$A35))</f>
        <v/>
      </c>
      <c r="K35" t="str">
        <f t="shared" si="0"/>
        <v/>
      </c>
      <c r="L35" t="str">
        <f>IF($A35="","",SUMIFS(Allocation!$I$1:$I$175,Allocation!$C$1:$C$175,$A35,Allocation!$D$1:$D$175,$B35))</f>
        <v/>
      </c>
      <c r="M35" t="str">
        <f>IF($A35="","",SUMIFS(Allocation!$J$1:$J$175,Allocation!$C$1:$C$175,$A35,Allocation!$D$1:$D$175,$B35))</f>
        <v/>
      </c>
      <c r="N35" t="str">
        <f>IF($A35="","",SUMIFS(Allocation!$K$1:$K$175,Allocation!$C$1:$C$175,$A35,Allocation!$D$1:$D$175,$B35))</f>
        <v/>
      </c>
      <c r="O35" t="str">
        <f t="shared" si="1"/>
        <v/>
      </c>
      <c r="P35" t="str">
        <f t="shared" si="2"/>
        <v/>
      </c>
      <c r="Q35" t="str">
        <f>IF($A35="","",SUMIFS(Allocation!$I$1:$I$175,Allocation!$C$1:$C$175,$A35,Allocation!$E$1:$E$175,$C35))</f>
        <v/>
      </c>
      <c r="R35" t="str">
        <f>IF($A35="","",SUMIFS(Allocation!$J$1:$J$175,Allocation!$C$1:$C$175,$A35,Allocation!$E$1:$E$175,$C35))</f>
        <v/>
      </c>
      <c r="S35" t="str">
        <f>IF($A35="","",SUMIFS(Allocation!$K$1:$K$175,Allocation!$C$1:$C$175,$A35,Allocation!$E$1:$E$175,$C35))</f>
        <v/>
      </c>
      <c r="T35" t="str">
        <f>IF($A35="","",SUMIFS(Allocation!$I$1:$I$175,Allocation!$C$1:$C$175,$A35))</f>
        <v/>
      </c>
      <c r="U35" t="str">
        <f>IF($A35="","",SUMIFS(Allocation!$J$1:$J$175,Allocation!$C$1:$C$175,$A35))</f>
        <v/>
      </c>
      <c r="V35" t="str">
        <f>IF($A35="","",SUMIFS(Allocation!$K$1:$K$175,Allocation!$C$1:$C$175,$A35))</f>
        <v/>
      </c>
      <c r="W35" t="str">
        <f>IF($A35="","",SUMIFS(Compta!$F$1:$F$675,Compta!$A$1:$A$675,$B35,Compta!$B$1:$B$675,"621",Compta!$C$1:$C$675,$A35))</f>
        <v/>
      </c>
      <c r="X35" t="str">
        <f>IF($A35="","",SUMIFS(Compta!$F$1:$F$675,Compta!$A$1:$A$675,$B35,Compta!$B$1:$B$675,"6411",Compta!$C$1:$C$675,$A35))</f>
        <v/>
      </c>
      <c r="Y35" t="str">
        <f>IF($A35="","",SUMIFS(Compta!$F$1:$F$675,Compta!$A$1:$A$675,$B35,Compta!$B$1:$B$675,"604",Compta!$C$1:$C$675,$A35)+SUMIFS(Compta!$F$1:$F$675,Compta!$A$1:$A$675,$B35,Compta!$B$1:$B$675,"6063",Compta!$C$1:$C$675,$A35))</f>
        <v/>
      </c>
      <c r="Z35" t="str">
        <f>IF($A35="","",SUMIFS(Compta!$F$1:$F$675,Compta!$A$1:$A$675,$B35,Compta!$B$1:$B$675,"6231",Compta!$C$1:$C$675,$A35))</f>
        <v/>
      </c>
      <c r="AA35" t="str">
        <f>IF($A35="","",SUMIFS(Compta!$F$1:$F$675,Compta!$A$1:$A$675,$B35,Compta!$B$1:$B$675,"6413",Compta!$C$1:$C$675,$A35)+SUMIFS(Compta!$F$1:$F$675,Compta!$A$1:$A$675,$B35,Compta!$B$1:$B$675,"645",Compta!$C$1:$C$675,$A35)+SUMIFS(Compta!$F$1:$F$675,Compta!$A$1:$A$675,$B35,Compta!$B$1:$B$675,"613",Compta!$C$1:$C$675,$A35)+SUMIFS(Compta!$F$1:$F$675,Compta!$A$1:$A$675,$B35,Compta!$B$1:$B$675,"615",Compta!$C$1:$C$675,$A35)+SUMIFS(Compta!$F$1:$F$675,Compta!$A$1:$A$675,$B35,Compta!$B$1:$B$675,"616",Compta!$C$1:$C$675,$A35)+SUMIFS(Compta!$F$1:$F$675,Compta!$A$1:$A$675,$B35,Compta!$B$1:$B$675,"625",Compta!$C$1:$C$675,$A35)+SUMIFS(Compta!$F$1:$F$675,Compta!$A$1:$A$675,$B35,Compta!$B$1:$B$675,"63511",Compta!$C$1:$C$675,$A35))</f>
        <v/>
      </c>
      <c r="AB35" t="str">
        <f>IF($A35="","",SUMIFS(Compta!$F$1:$F$675,Compta!$A$1:$A$675,"GRP",Compta!$B$1:$B$675,"6414",Compta!$C$1:$C$675,$A35)+SUMIFS(Compta!$F$1:$F$675,Compta!$A$1:$A$675,"GRP",Compta!$B$1:$B$675,"6226",Compta!$C$1:$C$675,$A35)+SUMIFS(Compta!$F$1:$F$675,Compta!$A$1:$A$675,"GRP",Compta!$B$1:$B$675,"626",Compta!$C$1:$C$675,$A35)+SUMIFS(Compta!$F$1:$F$675,Compta!$A$1:$A$675,"GRP",Compta!$B$1:$B$675,"6281",Compta!$C$1:$C$675,$A35)+SUMIFS(Compta!$F$1:$F$675,Compta!$A$1:$A$675,"GRP",Compta!$B$1:$B$675,"6331",Compta!$C$1:$C$675,$A35)+SUMIFS(Compta!$F$1:$F$675,Compta!$A$1:$A$675,"GRP",Compta!$B$1:$B$675,"6333",Compta!$C$1:$C$675,$A35))</f>
        <v/>
      </c>
      <c r="AC35" t="s">
        <v>297</v>
      </c>
      <c r="AD35" t="s">
        <v>297</v>
      </c>
      <c r="AE35" t="s">
        <v>297</v>
      </c>
      <c r="AF35" t="s">
        <v>297</v>
      </c>
      <c r="AG35" t="s">
        <v>297</v>
      </c>
      <c r="AH35" t="s">
        <v>297</v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 t="str">
        <f>IF($A35="","",SUMIFS(Compta!$F$1:$F$675,Compta!$A$1:$A$675,"GRP",Compta!$B$1:$B$675,"6236",Compta!$C$1:$C$675,$A35))</f>
        <v/>
      </c>
      <c r="AP35" t="s">
        <v>297</v>
      </c>
      <c r="AQ35" t="s">
        <v>297</v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IF(Allocation!D36="","",Allocation!I36)</f>
        <v/>
      </c>
      <c r="H36" t="str">
        <f>IF(Allocation!D36="","",Allocation!J36)</f>
        <v/>
      </c>
      <c r="I36" t="str">
        <f>IF(Allocation!D36="","",Allocation!K36)</f>
        <v/>
      </c>
      <c r="J36" t="str">
        <f>IF($A36="","",SUMIFS(Socle!$K$1:$K$175,Socle!$C$1:$C$175,$B36,Socle!$D$1:$D$175,$D36,Socle!$E$1:$E$175,$E36,Socle!$F$1:$F$175,$F36,Socle!$G$1:$G$175,$A36))</f>
        <v/>
      </c>
      <c r="K36" t="str">
        <f t="shared" si="0"/>
        <v/>
      </c>
      <c r="L36" t="str">
        <f>IF($A36="","",SUMIFS(Allocation!$I$1:$I$175,Allocation!$C$1:$C$175,$A36,Allocation!$D$1:$D$175,$B36))</f>
        <v/>
      </c>
      <c r="M36" t="str">
        <f>IF($A36="","",SUMIFS(Allocation!$J$1:$J$175,Allocation!$C$1:$C$175,$A36,Allocation!$D$1:$D$175,$B36))</f>
        <v/>
      </c>
      <c r="N36" t="str">
        <f>IF($A36="","",SUMIFS(Allocation!$K$1:$K$175,Allocation!$C$1:$C$175,$A36,Allocation!$D$1:$D$175,$B36))</f>
        <v/>
      </c>
      <c r="O36" t="str">
        <f t="shared" si="1"/>
        <v/>
      </c>
      <c r="P36" t="str">
        <f t="shared" si="2"/>
        <v/>
      </c>
      <c r="Q36" t="str">
        <f>IF($A36="","",SUMIFS(Allocation!$I$1:$I$175,Allocation!$C$1:$C$175,$A36,Allocation!$E$1:$E$175,$C36))</f>
        <v/>
      </c>
      <c r="R36" t="str">
        <f>IF($A36="","",SUMIFS(Allocation!$J$1:$J$175,Allocation!$C$1:$C$175,$A36,Allocation!$E$1:$E$175,$C36))</f>
        <v/>
      </c>
      <c r="S36" t="str">
        <f>IF($A36="","",SUMIFS(Allocation!$K$1:$K$175,Allocation!$C$1:$C$175,$A36,Allocation!$E$1:$E$175,$C36))</f>
        <v/>
      </c>
      <c r="T36" t="str">
        <f>IF($A36="","",SUMIFS(Allocation!$I$1:$I$175,Allocation!$C$1:$C$175,$A36))</f>
        <v/>
      </c>
      <c r="U36" t="str">
        <f>IF($A36="","",SUMIFS(Allocation!$J$1:$J$175,Allocation!$C$1:$C$175,$A36))</f>
        <v/>
      </c>
      <c r="V36" t="str">
        <f>IF($A36="","",SUMIFS(Allocation!$K$1:$K$175,Allocation!$C$1:$C$175,$A36))</f>
        <v/>
      </c>
      <c r="W36" t="str">
        <f>IF($A36="","",SUMIFS(Compta!$F$1:$F$675,Compta!$A$1:$A$675,$B36,Compta!$B$1:$B$675,"621",Compta!$C$1:$C$675,$A36))</f>
        <v/>
      </c>
      <c r="X36" t="str">
        <f>IF($A36="","",SUMIFS(Compta!$F$1:$F$675,Compta!$A$1:$A$675,$B36,Compta!$B$1:$B$675,"6411",Compta!$C$1:$C$675,$A36))</f>
        <v/>
      </c>
      <c r="Y36" t="str">
        <f>IF($A36="","",SUMIFS(Compta!$F$1:$F$675,Compta!$A$1:$A$675,$B36,Compta!$B$1:$B$675,"604",Compta!$C$1:$C$675,$A36)+SUMIFS(Compta!$F$1:$F$675,Compta!$A$1:$A$675,$B36,Compta!$B$1:$B$675,"6063",Compta!$C$1:$C$675,$A36))</f>
        <v/>
      </c>
      <c r="Z36" t="str">
        <f>IF($A36="","",SUMIFS(Compta!$F$1:$F$675,Compta!$A$1:$A$675,$B36,Compta!$B$1:$B$675,"6231",Compta!$C$1:$C$675,$A36))</f>
        <v/>
      </c>
      <c r="AA36" t="str">
        <f>IF($A36="","",SUMIFS(Compta!$F$1:$F$675,Compta!$A$1:$A$675,$B36,Compta!$B$1:$B$675,"6413",Compta!$C$1:$C$675,$A36)+SUMIFS(Compta!$F$1:$F$675,Compta!$A$1:$A$675,$B36,Compta!$B$1:$B$675,"645",Compta!$C$1:$C$675,$A36)+SUMIFS(Compta!$F$1:$F$675,Compta!$A$1:$A$675,$B36,Compta!$B$1:$B$675,"613",Compta!$C$1:$C$675,$A36)+SUMIFS(Compta!$F$1:$F$675,Compta!$A$1:$A$675,$B36,Compta!$B$1:$B$675,"615",Compta!$C$1:$C$675,$A36)+SUMIFS(Compta!$F$1:$F$675,Compta!$A$1:$A$675,$B36,Compta!$B$1:$B$675,"616",Compta!$C$1:$C$675,$A36)+SUMIFS(Compta!$F$1:$F$675,Compta!$A$1:$A$675,$B36,Compta!$B$1:$B$675,"625",Compta!$C$1:$C$675,$A36)+SUMIFS(Compta!$F$1:$F$675,Compta!$A$1:$A$675,$B36,Compta!$B$1:$B$675,"63511",Compta!$C$1:$C$675,$A36))</f>
        <v/>
      </c>
      <c r="AB36" t="str">
        <f>IF($A36="","",SUMIFS(Compta!$F$1:$F$675,Compta!$A$1:$A$675,"GRP",Compta!$B$1:$B$675,"6414",Compta!$C$1:$C$675,$A36)+SUMIFS(Compta!$F$1:$F$675,Compta!$A$1:$A$675,"GRP",Compta!$B$1:$B$675,"6226",Compta!$C$1:$C$675,$A36)+SUMIFS(Compta!$F$1:$F$675,Compta!$A$1:$A$675,"GRP",Compta!$B$1:$B$675,"626",Compta!$C$1:$C$675,$A36)+SUMIFS(Compta!$F$1:$F$675,Compta!$A$1:$A$675,"GRP",Compta!$B$1:$B$675,"6281",Compta!$C$1:$C$675,$A36)+SUMIFS(Compta!$F$1:$F$675,Compta!$A$1:$A$675,"GRP",Compta!$B$1:$B$675,"6331",Compta!$C$1:$C$675,$A36)+SUMIFS(Compta!$F$1:$F$675,Compta!$A$1:$A$675,"GRP",Compta!$B$1:$B$675,"6333",Compta!$C$1:$C$675,$A36))</f>
        <v/>
      </c>
      <c r="AC36" t="s">
        <v>297</v>
      </c>
      <c r="AD36" t="s">
        <v>297</v>
      </c>
      <c r="AE36" t="s">
        <v>297</v>
      </c>
      <c r="AF36" t="s">
        <v>297</v>
      </c>
      <c r="AG36" t="s">
        <v>297</v>
      </c>
      <c r="AH36" t="s">
        <v>297</v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 t="str">
        <f>IF($A36="","",SUMIFS(Compta!$F$1:$F$675,Compta!$A$1:$A$675,"GRP",Compta!$B$1:$B$675,"6236",Compta!$C$1:$C$675,$A36))</f>
        <v/>
      </c>
      <c r="AP36" t="s">
        <v>297</v>
      </c>
      <c r="AQ36" t="s">
        <v>297</v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IF(Allocation!D37="","",Allocation!I37)</f>
        <v/>
      </c>
      <c r="H37" t="str">
        <f>IF(Allocation!D37="","",Allocation!J37)</f>
        <v/>
      </c>
      <c r="I37" t="str">
        <f>IF(Allocation!D37="","",Allocation!K37)</f>
        <v/>
      </c>
      <c r="J37" t="str">
        <f>IF($A37="","",SUMIFS(Socle!$K$1:$K$175,Socle!$C$1:$C$175,$B37,Socle!$D$1:$D$175,$D37,Socle!$E$1:$E$175,$E37,Socle!$F$1:$F$175,$F37,Socle!$G$1:$G$175,$A37))</f>
        <v/>
      </c>
      <c r="K37" t="str">
        <f t="shared" si="0"/>
        <v/>
      </c>
      <c r="L37" t="str">
        <f>IF($A37="","",SUMIFS(Allocation!$I$1:$I$175,Allocation!$C$1:$C$175,$A37,Allocation!$D$1:$D$175,$B37))</f>
        <v/>
      </c>
      <c r="M37" t="str">
        <f>IF($A37="","",SUMIFS(Allocation!$J$1:$J$175,Allocation!$C$1:$C$175,$A37,Allocation!$D$1:$D$175,$B37))</f>
        <v/>
      </c>
      <c r="N37" t="str">
        <f>IF($A37="","",SUMIFS(Allocation!$K$1:$K$175,Allocation!$C$1:$C$175,$A37,Allocation!$D$1:$D$175,$B37))</f>
        <v/>
      </c>
      <c r="O37" t="str">
        <f t="shared" si="1"/>
        <v/>
      </c>
      <c r="P37" t="str">
        <f t="shared" si="2"/>
        <v/>
      </c>
      <c r="Q37" t="str">
        <f>IF($A37="","",SUMIFS(Allocation!$I$1:$I$175,Allocation!$C$1:$C$175,$A37,Allocation!$E$1:$E$175,$C37))</f>
        <v/>
      </c>
      <c r="R37" t="str">
        <f>IF($A37="","",SUMIFS(Allocation!$J$1:$J$175,Allocation!$C$1:$C$175,$A37,Allocation!$E$1:$E$175,$C37))</f>
        <v/>
      </c>
      <c r="S37" t="str">
        <f>IF($A37="","",SUMIFS(Allocation!$K$1:$K$175,Allocation!$C$1:$C$175,$A37,Allocation!$E$1:$E$175,$C37))</f>
        <v/>
      </c>
      <c r="T37" t="str">
        <f>IF($A37="","",SUMIFS(Allocation!$I$1:$I$175,Allocation!$C$1:$C$175,$A37))</f>
        <v/>
      </c>
      <c r="U37" t="str">
        <f>IF($A37="","",SUMIFS(Allocation!$J$1:$J$175,Allocation!$C$1:$C$175,$A37))</f>
        <v/>
      </c>
      <c r="V37" t="str">
        <f>IF($A37="","",SUMIFS(Allocation!$K$1:$K$175,Allocation!$C$1:$C$175,$A37))</f>
        <v/>
      </c>
      <c r="W37" t="str">
        <f>IF($A37="","",SUMIFS(Compta!$F$1:$F$675,Compta!$A$1:$A$675,$B37,Compta!$B$1:$B$675,"621",Compta!$C$1:$C$675,$A37))</f>
        <v/>
      </c>
      <c r="X37" t="str">
        <f>IF($A37="","",SUMIFS(Compta!$F$1:$F$675,Compta!$A$1:$A$675,$B37,Compta!$B$1:$B$675,"6411",Compta!$C$1:$C$675,$A37))</f>
        <v/>
      </c>
      <c r="Y37" t="str">
        <f>IF($A37="","",SUMIFS(Compta!$F$1:$F$675,Compta!$A$1:$A$675,$B37,Compta!$B$1:$B$675,"604",Compta!$C$1:$C$675,$A37)+SUMIFS(Compta!$F$1:$F$675,Compta!$A$1:$A$675,$B37,Compta!$B$1:$B$675,"6063",Compta!$C$1:$C$675,$A37))</f>
        <v/>
      </c>
      <c r="Z37" t="str">
        <f>IF($A37="","",SUMIFS(Compta!$F$1:$F$675,Compta!$A$1:$A$675,$B37,Compta!$B$1:$B$675,"6231",Compta!$C$1:$C$675,$A37))</f>
        <v/>
      </c>
      <c r="AA37" t="str">
        <f>IF($A37="","",SUMIFS(Compta!$F$1:$F$675,Compta!$A$1:$A$675,$B37,Compta!$B$1:$B$675,"6413",Compta!$C$1:$C$675,$A37)+SUMIFS(Compta!$F$1:$F$675,Compta!$A$1:$A$675,$B37,Compta!$B$1:$B$675,"645",Compta!$C$1:$C$675,$A37)+SUMIFS(Compta!$F$1:$F$675,Compta!$A$1:$A$675,$B37,Compta!$B$1:$B$675,"613",Compta!$C$1:$C$675,$A37)+SUMIFS(Compta!$F$1:$F$675,Compta!$A$1:$A$675,$B37,Compta!$B$1:$B$675,"615",Compta!$C$1:$C$675,$A37)+SUMIFS(Compta!$F$1:$F$675,Compta!$A$1:$A$675,$B37,Compta!$B$1:$B$675,"616",Compta!$C$1:$C$675,$A37)+SUMIFS(Compta!$F$1:$F$675,Compta!$A$1:$A$675,$B37,Compta!$B$1:$B$675,"625",Compta!$C$1:$C$675,$A37)+SUMIFS(Compta!$F$1:$F$675,Compta!$A$1:$A$675,$B37,Compta!$B$1:$B$675,"63511",Compta!$C$1:$C$675,$A37))</f>
        <v/>
      </c>
      <c r="AB37" t="str">
        <f>IF($A37="","",SUMIFS(Compta!$F$1:$F$675,Compta!$A$1:$A$675,"GRP",Compta!$B$1:$B$675,"6414",Compta!$C$1:$C$675,$A37)+SUMIFS(Compta!$F$1:$F$675,Compta!$A$1:$A$675,"GRP",Compta!$B$1:$B$675,"6226",Compta!$C$1:$C$675,$A37)+SUMIFS(Compta!$F$1:$F$675,Compta!$A$1:$A$675,"GRP",Compta!$B$1:$B$675,"626",Compta!$C$1:$C$675,$A37)+SUMIFS(Compta!$F$1:$F$675,Compta!$A$1:$A$675,"GRP",Compta!$B$1:$B$675,"6281",Compta!$C$1:$C$675,$A37)+SUMIFS(Compta!$F$1:$F$675,Compta!$A$1:$A$675,"GRP",Compta!$B$1:$B$675,"6331",Compta!$C$1:$C$675,$A37)+SUMIFS(Compta!$F$1:$F$675,Compta!$A$1:$A$675,"GRP",Compta!$B$1:$B$675,"6333",Compta!$C$1:$C$675,$A37))</f>
        <v/>
      </c>
      <c r="AC37" t="s">
        <v>297</v>
      </c>
      <c r="AD37" t="s">
        <v>297</v>
      </c>
      <c r="AE37" t="s">
        <v>297</v>
      </c>
      <c r="AF37" t="s">
        <v>297</v>
      </c>
      <c r="AG37" t="s">
        <v>297</v>
      </c>
      <c r="AH37" t="s">
        <v>297</v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 t="str">
        <f>IF($A37="","",SUMIFS(Compta!$F$1:$F$675,Compta!$A$1:$A$675,"GRP",Compta!$B$1:$B$675,"6236",Compta!$C$1:$C$675,$A37))</f>
        <v/>
      </c>
      <c r="AP37" t="s">
        <v>297</v>
      </c>
      <c r="AQ37" t="s">
        <v>297</v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IF(Allocation!D38="","",Allocation!I38)</f>
        <v/>
      </c>
      <c r="H38" t="str">
        <f>IF(Allocation!D38="","",Allocation!J38)</f>
        <v/>
      </c>
      <c r="I38" t="str">
        <f>IF(Allocation!D38="","",Allocation!K38)</f>
        <v/>
      </c>
      <c r="J38" t="str">
        <f>IF($A38="","",SUMIFS(Socle!$K$1:$K$175,Socle!$C$1:$C$175,$B38,Socle!$D$1:$D$175,$D38,Socle!$E$1:$E$175,$E38,Socle!$F$1:$F$175,$F38,Socle!$G$1:$G$175,$A38))</f>
        <v/>
      </c>
      <c r="K38" t="str">
        <f t="shared" si="0"/>
        <v/>
      </c>
      <c r="L38" t="str">
        <f>IF($A38="","",SUMIFS(Allocation!$I$1:$I$175,Allocation!$C$1:$C$175,$A38,Allocation!$D$1:$D$175,$B38))</f>
        <v/>
      </c>
      <c r="M38" t="str">
        <f>IF($A38="","",SUMIFS(Allocation!$J$1:$J$175,Allocation!$C$1:$C$175,$A38,Allocation!$D$1:$D$175,$B38))</f>
        <v/>
      </c>
      <c r="N38" t="str">
        <f>IF($A38="","",SUMIFS(Allocation!$K$1:$K$175,Allocation!$C$1:$C$175,$A38,Allocation!$D$1:$D$175,$B38))</f>
        <v/>
      </c>
      <c r="O38" t="str">
        <f t="shared" si="1"/>
        <v/>
      </c>
      <c r="P38" t="str">
        <f t="shared" si="2"/>
        <v/>
      </c>
      <c r="Q38" t="str">
        <f>IF($A38="","",SUMIFS(Allocation!$I$1:$I$175,Allocation!$C$1:$C$175,$A38,Allocation!$E$1:$E$175,$C38))</f>
        <v/>
      </c>
      <c r="R38" t="str">
        <f>IF($A38="","",SUMIFS(Allocation!$J$1:$J$175,Allocation!$C$1:$C$175,$A38,Allocation!$E$1:$E$175,$C38))</f>
        <v/>
      </c>
      <c r="S38" t="str">
        <f>IF($A38="","",SUMIFS(Allocation!$K$1:$K$175,Allocation!$C$1:$C$175,$A38,Allocation!$E$1:$E$175,$C38))</f>
        <v/>
      </c>
      <c r="T38" t="str">
        <f>IF($A38="","",SUMIFS(Allocation!$I$1:$I$175,Allocation!$C$1:$C$175,$A38))</f>
        <v/>
      </c>
      <c r="U38" t="str">
        <f>IF($A38="","",SUMIFS(Allocation!$J$1:$J$175,Allocation!$C$1:$C$175,$A38))</f>
        <v/>
      </c>
      <c r="V38" t="str">
        <f>IF($A38="","",SUMIFS(Allocation!$K$1:$K$175,Allocation!$C$1:$C$175,$A38))</f>
        <v/>
      </c>
      <c r="W38" t="str">
        <f>IF($A38="","",SUMIFS(Compta!$F$1:$F$675,Compta!$A$1:$A$675,$B38,Compta!$B$1:$B$675,"621",Compta!$C$1:$C$675,$A38))</f>
        <v/>
      </c>
      <c r="X38" t="str">
        <f>IF($A38="","",SUMIFS(Compta!$F$1:$F$675,Compta!$A$1:$A$675,$B38,Compta!$B$1:$B$675,"6411",Compta!$C$1:$C$675,$A38))</f>
        <v/>
      </c>
      <c r="Y38" t="str">
        <f>IF($A38="","",SUMIFS(Compta!$F$1:$F$675,Compta!$A$1:$A$675,$B38,Compta!$B$1:$B$675,"604",Compta!$C$1:$C$675,$A38)+SUMIFS(Compta!$F$1:$F$675,Compta!$A$1:$A$675,$B38,Compta!$B$1:$B$675,"6063",Compta!$C$1:$C$675,$A38))</f>
        <v/>
      </c>
      <c r="Z38" t="str">
        <f>IF($A38="","",SUMIFS(Compta!$F$1:$F$675,Compta!$A$1:$A$675,$B38,Compta!$B$1:$B$675,"6231",Compta!$C$1:$C$675,$A38))</f>
        <v/>
      </c>
      <c r="AA38" t="str">
        <f>IF($A38="","",SUMIFS(Compta!$F$1:$F$675,Compta!$A$1:$A$675,$B38,Compta!$B$1:$B$675,"6413",Compta!$C$1:$C$675,$A38)+SUMIFS(Compta!$F$1:$F$675,Compta!$A$1:$A$675,$B38,Compta!$B$1:$B$675,"645",Compta!$C$1:$C$675,$A38)+SUMIFS(Compta!$F$1:$F$675,Compta!$A$1:$A$675,$B38,Compta!$B$1:$B$675,"613",Compta!$C$1:$C$675,$A38)+SUMIFS(Compta!$F$1:$F$675,Compta!$A$1:$A$675,$B38,Compta!$B$1:$B$675,"615",Compta!$C$1:$C$675,$A38)+SUMIFS(Compta!$F$1:$F$675,Compta!$A$1:$A$675,$B38,Compta!$B$1:$B$675,"616",Compta!$C$1:$C$675,$A38)+SUMIFS(Compta!$F$1:$F$675,Compta!$A$1:$A$675,$B38,Compta!$B$1:$B$675,"625",Compta!$C$1:$C$675,$A38)+SUMIFS(Compta!$F$1:$F$675,Compta!$A$1:$A$675,$B38,Compta!$B$1:$B$675,"63511",Compta!$C$1:$C$675,$A38))</f>
        <v/>
      </c>
      <c r="AB38" t="str">
        <f>IF($A38="","",SUMIFS(Compta!$F$1:$F$675,Compta!$A$1:$A$675,"GRP",Compta!$B$1:$B$675,"6414",Compta!$C$1:$C$675,$A38)+SUMIFS(Compta!$F$1:$F$675,Compta!$A$1:$A$675,"GRP",Compta!$B$1:$B$675,"6226",Compta!$C$1:$C$675,$A38)+SUMIFS(Compta!$F$1:$F$675,Compta!$A$1:$A$675,"GRP",Compta!$B$1:$B$675,"626",Compta!$C$1:$C$675,$A38)+SUMIFS(Compta!$F$1:$F$675,Compta!$A$1:$A$675,"GRP",Compta!$B$1:$B$675,"6281",Compta!$C$1:$C$675,$A38)+SUMIFS(Compta!$F$1:$F$675,Compta!$A$1:$A$675,"GRP",Compta!$B$1:$B$675,"6331",Compta!$C$1:$C$675,$A38)+SUMIFS(Compta!$F$1:$F$675,Compta!$A$1:$A$675,"GRP",Compta!$B$1:$B$675,"6333",Compta!$C$1:$C$675,$A38))</f>
        <v/>
      </c>
      <c r="AC38" t="s">
        <v>297</v>
      </c>
      <c r="AD38" t="s">
        <v>297</v>
      </c>
      <c r="AE38" t="s">
        <v>297</v>
      </c>
      <c r="AF38" t="s">
        <v>297</v>
      </c>
      <c r="AG38" t="s">
        <v>297</v>
      </c>
      <c r="AH38" t="s">
        <v>297</v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 t="str">
        <f>IF($A38="","",SUMIFS(Compta!$F$1:$F$675,Compta!$A$1:$A$675,"GRP",Compta!$B$1:$B$675,"6236",Compta!$C$1:$C$675,$A38))</f>
        <v/>
      </c>
      <c r="AP38" t="s">
        <v>297</v>
      </c>
      <c r="AQ38" t="s">
        <v>297</v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IF(Allocation!D39="","",Allocation!I39)</f>
        <v/>
      </c>
      <c r="H39" t="str">
        <f>IF(Allocation!D39="","",Allocation!J39)</f>
        <v/>
      </c>
      <c r="I39" t="str">
        <f>IF(Allocation!D39="","",Allocation!K39)</f>
        <v/>
      </c>
      <c r="J39" t="str">
        <f>IF($A39="","",SUMIFS(Socle!$K$1:$K$175,Socle!$C$1:$C$175,$B39,Socle!$D$1:$D$175,$D39,Socle!$E$1:$E$175,$E39,Socle!$F$1:$F$175,$F39,Socle!$G$1:$G$175,$A39))</f>
        <v/>
      </c>
      <c r="K39" t="str">
        <f t="shared" si="0"/>
        <v/>
      </c>
      <c r="L39" t="str">
        <f>IF($A39="","",SUMIFS(Allocation!$I$1:$I$175,Allocation!$C$1:$C$175,$A39,Allocation!$D$1:$D$175,$B39))</f>
        <v/>
      </c>
      <c r="M39" t="str">
        <f>IF($A39="","",SUMIFS(Allocation!$J$1:$J$175,Allocation!$C$1:$C$175,$A39,Allocation!$D$1:$D$175,$B39))</f>
        <v/>
      </c>
      <c r="N39" t="str">
        <f>IF($A39="","",SUMIFS(Allocation!$K$1:$K$175,Allocation!$C$1:$C$175,$A39,Allocation!$D$1:$D$175,$B39))</f>
        <v/>
      </c>
      <c r="O39" t="str">
        <f t="shared" si="1"/>
        <v/>
      </c>
      <c r="P39" t="str">
        <f t="shared" si="2"/>
        <v/>
      </c>
      <c r="Q39" t="str">
        <f>IF($A39="","",SUMIFS(Allocation!$I$1:$I$175,Allocation!$C$1:$C$175,$A39,Allocation!$E$1:$E$175,$C39))</f>
        <v/>
      </c>
      <c r="R39" t="str">
        <f>IF($A39="","",SUMIFS(Allocation!$J$1:$J$175,Allocation!$C$1:$C$175,$A39,Allocation!$E$1:$E$175,$C39))</f>
        <v/>
      </c>
      <c r="S39" t="str">
        <f>IF($A39="","",SUMIFS(Allocation!$K$1:$K$175,Allocation!$C$1:$C$175,$A39,Allocation!$E$1:$E$175,$C39))</f>
        <v/>
      </c>
      <c r="T39" t="str">
        <f>IF($A39="","",SUMIFS(Allocation!$I$1:$I$175,Allocation!$C$1:$C$175,$A39))</f>
        <v/>
      </c>
      <c r="U39" t="str">
        <f>IF($A39="","",SUMIFS(Allocation!$J$1:$J$175,Allocation!$C$1:$C$175,$A39))</f>
        <v/>
      </c>
      <c r="V39" t="str">
        <f>IF($A39="","",SUMIFS(Allocation!$K$1:$K$175,Allocation!$C$1:$C$175,$A39))</f>
        <v/>
      </c>
      <c r="W39" t="str">
        <f>IF($A39="","",SUMIFS(Compta!$F$1:$F$675,Compta!$A$1:$A$675,$B39,Compta!$B$1:$B$675,"621",Compta!$C$1:$C$675,$A39))</f>
        <v/>
      </c>
      <c r="X39" t="str">
        <f>IF($A39="","",SUMIFS(Compta!$F$1:$F$675,Compta!$A$1:$A$675,$B39,Compta!$B$1:$B$675,"6411",Compta!$C$1:$C$675,$A39))</f>
        <v/>
      </c>
      <c r="Y39" t="str">
        <f>IF($A39="","",SUMIFS(Compta!$F$1:$F$675,Compta!$A$1:$A$675,$B39,Compta!$B$1:$B$675,"604",Compta!$C$1:$C$675,$A39)+SUMIFS(Compta!$F$1:$F$675,Compta!$A$1:$A$675,$B39,Compta!$B$1:$B$675,"6063",Compta!$C$1:$C$675,$A39))</f>
        <v/>
      </c>
      <c r="Z39" t="str">
        <f>IF($A39="","",SUMIFS(Compta!$F$1:$F$675,Compta!$A$1:$A$675,$B39,Compta!$B$1:$B$675,"6231",Compta!$C$1:$C$675,$A39))</f>
        <v/>
      </c>
      <c r="AA39" t="str">
        <f>IF($A39="","",SUMIFS(Compta!$F$1:$F$675,Compta!$A$1:$A$675,$B39,Compta!$B$1:$B$675,"6413",Compta!$C$1:$C$675,$A39)+SUMIFS(Compta!$F$1:$F$675,Compta!$A$1:$A$675,$B39,Compta!$B$1:$B$675,"645",Compta!$C$1:$C$675,$A39)+SUMIFS(Compta!$F$1:$F$675,Compta!$A$1:$A$675,$B39,Compta!$B$1:$B$675,"613",Compta!$C$1:$C$675,$A39)+SUMIFS(Compta!$F$1:$F$675,Compta!$A$1:$A$675,$B39,Compta!$B$1:$B$675,"615",Compta!$C$1:$C$675,$A39)+SUMIFS(Compta!$F$1:$F$675,Compta!$A$1:$A$675,$B39,Compta!$B$1:$B$675,"616",Compta!$C$1:$C$675,$A39)+SUMIFS(Compta!$F$1:$F$675,Compta!$A$1:$A$675,$B39,Compta!$B$1:$B$675,"625",Compta!$C$1:$C$675,$A39)+SUMIFS(Compta!$F$1:$F$675,Compta!$A$1:$A$675,$B39,Compta!$B$1:$B$675,"63511",Compta!$C$1:$C$675,$A39))</f>
        <v/>
      </c>
      <c r="AB39" t="str">
        <f>IF($A39="","",SUMIFS(Compta!$F$1:$F$675,Compta!$A$1:$A$675,"GRP",Compta!$B$1:$B$675,"6414",Compta!$C$1:$C$675,$A39)+SUMIFS(Compta!$F$1:$F$675,Compta!$A$1:$A$675,"GRP",Compta!$B$1:$B$675,"6226",Compta!$C$1:$C$675,$A39)+SUMIFS(Compta!$F$1:$F$675,Compta!$A$1:$A$675,"GRP",Compta!$B$1:$B$675,"626",Compta!$C$1:$C$675,$A39)+SUMIFS(Compta!$F$1:$F$675,Compta!$A$1:$A$675,"GRP",Compta!$B$1:$B$675,"6281",Compta!$C$1:$C$675,$A39)+SUMIFS(Compta!$F$1:$F$675,Compta!$A$1:$A$675,"GRP",Compta!$B$1:$B$675,"6331",Compta!$C$1:$C$675,$A39)+SUMIFS(Compta!$F$1:$F$675,Compta!$A$1:$A$675,"GRP",Compta!$B$1:$B$675,"6333",Compta!$C$1:$C$675,$A39))</f>
        <v/>
      </c>
      <c r="AC39" t="s">
        <v>297</v>
      </c>
      <c r="AD39" t="s">
        <v>297</v>
      </c>
      <c r="AE39" t="s">
        <v>297</v>
      </c>
      <c r="AF39" t="s">
        <v>297</v>
      </c>
      <c r="AG39" t="s">
        <v>297</v>
      </c>
      <c r="AH39" t="s">
        <v>297</v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 t="str">
        <f>IF($A39="","",SUMIFS(Compta!$F$1:$F$675,Compta!$A$1:$A$675,"GRP",Compta!$B$1:$B$675,"6236",Compta!$C$1:$C$675,$A39))</f>
        <v/>
      </c>
      <c r="AP39" t="s">
        <v>297</v>
      </c>
      <c r="AQ39" t="s">
        <v>297</v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IF(Allocation!D40="","",Allocation!I40)</f>
        <v/>
      </c>
      <c r="H40" t="str">
        <f>IF(Allocation!D40="","",Allocation!J40)</f>
        <v/>
      </c>
      <c r="I40" t="str">
        <f>IF(Allocation!D40="","",Allocation!K40)</f>
        <v/>
      </c>
      <c r="J40" t="str">
        <f>IF($A40="","",SUMIFS(Socle!$K$1:$K$175,Socle!$C$1:$C$175,$B40,Socle!$D$1:$D$175,$D40,Socle!$E$1:$E$175,$E40,Socle!$F$1:$F$175,$F40,Socle!$G$1:$G$175,$A40))</f>
        <v/>
      </c>
      <c r="K40" t="str">
        <f t="shared" si="0"/>
        <v/>
      </c>
      <c r="L40" t="str">
        <f>IF($A40="","",SUMIFS(Allocation!$I$1:$I$175,Allocation!$C$1:$C$175,$A40,Allocation!$D$1:$D$175,$B40))</f>
        <v/>
      </c>
      <c r="M40" t="str">
        <f>IF($A40="","",SUMIFS(Allocation!$J$1:$J$175,Allocation!$C$1:$C$175,$A40,Allocation!$D$1:$D$175,$B40))</f>
        <v/>
      </c>
      <c r="N40" t="str">
        <f>IF($A40="","",SUMIFS(Allocation!$K$1:$K$175,Allocation!$C$1:$C$175,$A40,Allocation!$D$1:$D$175,$B40))</f>
        <v/>
      </c>
      <c r="O40" t="str">
        <f t="shared" si="1"/>
        <v/>
      </c>
      <c r="P40" t="str">
        <f t="shared" si="2"/>
        <v/>
      </c>
      <c r="Q40" t="str">
        <f>IF($A40="","",SUMIFS(Allocation!$I$1:$I$175,Allocation!$C$1:$C$175,$A40,Allocation!$E$1:$E$175,$C40))</f>
        <v/>
      </c>
      <c r="R40" t="str">
        <f>IF($A40="","",SUMIFS(Allocation!$J$1:$J$175,Allocation!$C$1:$C$175,$A40,Allocation!$E$1:$E$175,$C40))</f>
        <v/>
      </c>
      <c r="S40" t="str">
        <f>IF($A40="","",SUMIFS(Allocation!$K$1:$K$175,Allocation!$C$1:$C$175,$A40,Allocation!$E$1:$E$175,$C40))</f>
        <v/>
      </c>
      <c r="T40" t="str">
        <f>IF($A40="","",SUMIFS(Allocation!$I$1:$I$175,Allocation!$C$1:$C$175,$A40))</f>
        <v/>
      </c>
      <c r="U40" t="str">
        <f>IF($A40="","",SUMIFS(Allocation!$J$1:$J$175,Allocation!$C$1:$C$175,$A40))</f>
        <v/>
      </c>
      <c r="V40" t="str">
        <f>IF($A40="","",SUMIFS(Allocation!$K$1:$K$175,Allocation!$C$1:$C$175,$A40))</f>
        <v/>
      </c>
      <c r="W40" t="str">
        <f>IF($A40="","",SUMIFS(Compta!$F$1:$F$675,Compta!$A$1:$A$675,$B40,Compta!$B$1:$B$675,"621",Compta!$C$1:$C$675,$A40))</f>
        <v/>
      </c>
      <c r="X40" t="str">
        <f>IF($A40="","",SUMIFS(Compta!$F$1:$F$675,Compta!$A$1:$A$675,$B40,Compta!$B$1:$B$675,"6411",Compta!$C$1:$C$675,$A40))</f>
        <v/>
      </c>
      <c r="Y40" t="str">
        <f>IF($A40="","",SUMIFS(Compta!$F$1:$F$675,Compta!$A$1:$A$675,$B40,Compta!$B$1:$B$675,"604",Compta!$C$1:$C$675,$A40)+SUMIFS(Compta!$F$1:$F$675,Compta!$A$1:$A$675,$B40,Compta!$B$1:$B$675,"6063",Compta!$C$1:$C$675,$A40))</f>
        <v/>
      </c>
      <c r="Z40" t="str">
        <f>IF($A40="","",SUMIFS(Compta!$F$1:$F$675,Compta!$A$1:$A$675,$B40,Compta!$B$1:$B$675,"6231",Compta!$C$1:$C$675,$A40))</f>
        <v/>
      </c>
      <c r="AA40" t="str">
        <f>IF($A40="","",SUMIFS(Compta!$F$1:$F$675,Compta!$A$1:$A$675,$B40,Compta!$B$1:$B$675,"6413",Compta!$C$1:$C$675,$A40)+SUMIFS(Compta!$F$1:$F$675,Compta!$A$1:$A$675,$B40,Compta!$B$1:$B$675,"645",Compta!$C$1:$C$675,$A40)+SUMIFS(Compta!$F$1:$F$675,Compta!$A$1:$A$675,$B40,Compta!$B$1:$B$675,"613",Compta!$C$1:$C$675,$A40)+SUMIFS(Compta!$F$1:$F$675,Compta!$A$1:$A$675,$B40,Compta!$B$1:$B$675,"615",Compta!$C$1:$C$675,$A40)+SUMIFS(Compta!$F$1:$F$675,Compta!$A$1:$A$675,$B40,Compta!$B$1:$B$675,"616",Compta!$C$1:$C$675,$A40)+SUMIFS(Compta!$F$1:$F$675,Compta!$A$1:$A$675,$B40,Compta!$B$1:$B$675,"625",Compta!$C$1:$C$675,$A40)+SUMIFS(Compta!$F$1:$F$675,Compta!$A$1:$A$675,$B40,Compta!$B$1:$B$675,"63511",Compta!$C$1:$C$675,$A40))</f>
        <v/>
      </c>
      <c r="AB40" t="str">
        <f>IF($A40="","",SUMIFS(Compta!$F$1:$F$675,Compta!$A$1:$A$675,"GRP",Compta!$B$1:$B$675,"6414",Compta!$C$1:$C$675,$A40)+SUMIFS(Compta!$F$1:$F$675,Compta!$A$1:$A$675,"GRP",Compta!$B$1:$B$675,"6226",Compta!$C$1:$C$675,$A40)+SUMIFS(Compta!$F$1:$F$675,Compta!$A$1:$A$675,"GRP",Compta!$B$1:$B$675,"626",Compta!$C$1:$C$675,$A40)+SUMIFS(Compta!$F$1:$F$675,Compta!$A$1:$A$675,"GRP",Compta!$B$1:$B$675,"6281",Compta!$C$1:$C$675,$A40)+SUMIFS(Compta!$F$1:$F$675,Compta!$A$1:$A$675,"GRP",Compta!$B$1:$B$675,"6331",Compta!$C$1:$C$675,$A40)+SUMIFS(Compta!$F$1:$F$675,Compta!$A$1:$A$675,"GRP",Compta!$B$1:$B$675,"6333",Compta!$C$1:$C$675,$A40))</f>
        <v/>
      </c>
      <c r="AC40" t="s">
        <v>297</v>
      </c>
      <c r="AD40" t="s">
        <v>297</v>
      </c>
      <c r="AE40" t="s">
        <v>297</v>
      </c>
      <c r="AF40" t="s">
        <v>297</v>
      </c>
      <c r="AG40" t="s">
        <v>297</v>
      </c>
      <c r="AH40" t="s">
        <v>297</v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 t="str">
        <f>IF($A40="","",SUMIFS(Compta!$F$1:$F$675,Compta!$A$1:$A$675,"GRP",Compta!$B$1:$B$675,"6236",Compta!$C$1:$C$675,$A40))</f>
        <v/>
      </c>
      <c r="AP40" t="s">
        <v>297</v>
      </c>
      <c r="AQ40" t="s">
        <v>297</v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IF(Allocation!D41="","",Allocation!I41)</f>
        <v/>
      </c>
      <c r="H41" t="str">
        <f>IF(Allocation!D41="","",Allocation!J41)</f>
        <v/>
      </c>
      <c r="I41" t="str">
        <f>IF(Allocation!D41="","",Allocation!K41)</f>
        <v/>
      </c>
      <c r="J41" t="str">
        <f>IF($A41="","",SUMIFS(Socle!$K$1:$K$175,Socle!$C$1:$C$175,$B41,Socle!$D$1:$D$175,$D41,Socle!$E$1:$E$175,$E41,Socle!$F$1:$F$175,$F41,Socle!$G$1:$G$175,$A41))</f>
        <v/>
      </c>
      <c r="K41" t="str">
        <f t="shared" si="0"/>
        <v/>
      </c>
      <c r="L41" t="str">
        <f>IF($A41="","",SUMIFS(Allocation!$I$1:$I$175,Allocation!$C$1:$C$175,$A41,Allocation!$D$1:$D$175,$B41))</f>
        <v/>
      </c>
      <c r="M41" t="str">
        <f>IF($A41="","",SUMIFS(Allocation!$J$1:$J$175,Allocation!$C$1:$C$175,$A41,Allocation!$D$1:$D$175,$B41))</f>
        <v/>
      </c>
      <c r="N41" t="str">
        <f>IF($A41="","",SUMIFS(Allocation!$K$1:$K$175,Allocation!$C$1:$C$175,$A41,Allocation!$D$1:$D$175,$B41))</f>
        <v/>
      </c>
      <c r="O41" t="str">
        <f t="shared" si="1"/>
        <v/>
      </c>
      <c r="P41" t="str">
        <f t="shared" si="2"/>
        <v/>
      </c>
      <c r="Q41" t="str">
        <f>IF($A41="","",SUMIFS(Allocation!$I$1:$I$175,Allocation!$C$1:$C$175,$A41,Allocation!$E$1:$E$175,$C41))</f>
        <v/>
      </c>
      <c r="R41" t="str">
        <f>IF($A41="","",SUMIFS(Allocation!$J$1:$J$175,Allocation!$C$1:$C$175,$A41,Allocation!$E$1:$E$175,$C41))</f>
        <v/>
      </c>
      <c r="S41" t="str">
        <f>IF($A41="","",SUMIFS(Allocation!$K$1:$K$175,Allocation!$C$1:$C$175,$A41,Allocation!$E$1:$E$175,$C41))</f>
        <v/>
      </c>
      <c r="T41" t="str">
        <f>IF($A41="","",SUMIFS(Allocation!$I$1:$I$175,Allocation!$C$1:$C$175,$A41))</f>
        <v/>
      </c>
      <c r="U41" t="str">
        <f>IF($A41="","",SUMIFS(Allocation!$J$1:$J$175,Allocation!$C$1:$C$175,$A41))</f>
        <v/>
      </c>
      <c r="V41" t="str">
        <f>IF($A41="","",SUMIFS(Allocation!$K$1:$K$175,Allocation!$C$1:$C$175,$A41))</f>
        <v/>
      </c>
      <c r="W41" t="str">
        <f>IF($A41="","",SUMIFS(Compta!$F$1:$F$675,Compta!$A$1:$A$675,$B41,Compta!$B$1:$B$675,"621",Compta!$C$1:$C$675,$A41))</f>
        <v/>
      </c>
      <c r="X41" t="str">
        <f>IF($A41="","",SUMIFS(Compta!$F$1:$F$675,Compta!$A$1:$A$675,$B41,Compta!$B$1:$B$675,"6411",Compta!$C$1:$C$675,$A41))</f>
        <v/>
      </c>
      <c r="Y41" t="str">
        <f>IF($A41="","",SUMIFS(Compta!$F$1:$F$675,Compta!$A$1:$A$675,$B41,Compta!$B$1:$B$675,"604",Compta!$C$1:$C$675,$A41)+SUMIFS(Compta!$F$1:$F$675,Compta!$A$1:$A$675,$B41,Compta!$B$1:$B$675,"6063",Compta!$C$1:$C$675,$A41))</f>
        <v/>
      </c>
      <c r="Z41" t="str">
        <f>IF($A41="","",SUMIFS(Compta!$F$1:$F$675,Compta!$A$1:$A$675,$B41,Compta!$B$1:$B$675,"6231",Compta!$C$1:$C$675,$A41))</f>
        <v/>
      </c>
      <c r="AA41" t="str">
        <f>IF($A41="","",SUMIFS(Compta!$F$1:$F$675,Compta!$A$1:$A$675,$B41,Compta!$B$1:$B$675,"6413",Compta!$C$1:$C$675,$A41)+SUMIFS(Compta!$F$1:$F$675,Compta!$A$1:$A$675,$B41,Compta!$B$1:$B$675,"645",Compta!$C$1:$C$675,$A41)+SUMIFS(Compta!$F$1:$F$675,Compta!$A$1:$A$675,$B41,Compta!$B$1:$B$675,"613",Compta!$C$1:$C$675,$A41)+SUMIFS(Compta!$F$1:$F$675,Compta!$A$1:$A$675,$B41,Compta!$B$1:$B$675,"615",Compta!$C$1:$C$675,$A41)+SUMIFS(Compta!$F$1:$F$675,Compta!$A$1:$A$675,$B41,Compta!$B$1:$B$675,"616",Compta!$C$1:$C$675,$A41)+SUMIFS(Compta!$F$1:$F$675,Compta!$A$1:$A$675,$B41,Compta!$B$1:$B$675,"625",Compta!$C$1:$C$675,$A41)+SUMIFS(Compta!$F$1:$F$675,Compta!$A$1:$A$675,$B41,Compta!$B$1:$B$675,"63511",Compta!$C$1:$C$675,$A41))</f>
        <v/>
      </c>
      <c r="AB41" t="str">
        <f>IF($A41="","",SUMIFS(Compta!$F$1:$F$675,Compta!$A$1:$A$675,"GRP",Compta!$B$1:$B$675,"6414",Compta!$C$1:$C$675,$A41)+SUMIFS(Compta!$F$1:$F$675,Compta!$A$1:$A$675,"GRP",Compta!$B$1:$B$675,"6226",Compta!$C$1:$C$675,$A41)+SUMIFS(Compta!$F$1:$F$675,Compta!$A$1:$A$675,"GRP",Compta!$B$1:$B$675,"626",Compta!$C$1:$C$675,$A41)+SUMIFS(Compta!$F$1:$F$675,Compta!$A$1:$A$675,"GRP",Compta!$B$1:$B$675,"6281",Compta!$C$1:$C$675,$A41)+SUMIFS(Compta!$F$1:$F$675,Compta!$A$1:$A$675,"GRP",Compta!$B$1:$B$675,"6331",Compta!$C$1:$C$675,$A41)+SUMIFS(Compta!$F$1:$F$675,Compta!$A$1:$A$675,"GRP",Compta!$B$1:$B$675,"6333",Compta!$C$1:$C$675,$A41))</f>
        <v/>
      </c>
      <c r="AC41" t="s">
        <v>297</v>
      </c>
      <c r="AD41" t="s">
        <v>297</v>
      </c>
      <c r="AE41" t="s">
        <v>297</v>
      </c>
      <c r="AF41" t="s">
        <v>297</v>
      </c>
      <c r="AG41" t="s">
        <v>297</v>
      </c>
      <c r="AH41" t="s">
        <v>297</v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 t="str">
        <f>IF($A41="","",SUMIFS(Compta!$F$1:$F$675,Compta!$A$1:$A$675,"GRP",Compta!$B$1:$B$675,"6236",Compta!$C$1:$C$675,$A41))</f>
        <v/>
      </c>
      <c r="AP41" t="s">
        <v>297</v>
      </c>
      <c r="AQ41" t="s">
        <v>297</v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IF(Allocation!D42="","",Allocation!I42)</f>
        <v/>
      </c>
      <c r="H42" t="str">
        <f>IF(Allocation!D42="","",Allocation!J42)</f>
        <v/>
      </c>
      <c r="I42" t="str">
        <f>IF(Allocation!D42="","",Allocation!K42)</f>
        <v/>
      </c>
      <c r="J42" t="str">
        <f>IF($A42="","",SUMIFS(Socle!$K$1:$K$175,Socle!$C$1:$C$175,$B42,Socle!$D$1:$D$175,$D42,Socle!$E$1:$E$175,$E42,Socle!$F$1:$F$175,$F42,Socle!$G$1:$G$175,$A42))</f>
        <v/>
      </c>
      <c r="K42" t="str">
        <f t="shared" si="0"/>
        <v/>
      </c>
      <c r="L42" t="str">
        <f>IF($A42="","",SUMIFS(Allocation!$I$1:$I$175,Allocation!$C$1:$C$175,$A42,Allocation!$D$1:$D$175,$B42))</f>
        <v/>
      </c>
      <c r="M42" t="str">
        <f>IF($A42="","",SUMIFS(Allocation!$J$1:$J$175,Allocation!$C$1:$C$175,$A42,Allocation!$D$1:$D$175,$B42))</f>
        <v/>
      </c>
      <c r="N42" t="str">
        <f>IF($A42="","",SUMIFS(Allocation!$K$1:$K$175,Allocation!$C$1:$C$175,$A42,Allocation!$D$1:$D$175,$B42))</f>
        <v/>
      </c>
      <c r="O42" t="str">
        <f t="shared" si="1"/>
        <v/>
      </c>
      <c r="P42" t="str">
        <f t="shared" si="2"/>
        <v/>
      </c>
      <c r="Q42" t="str">
        <f>IF($A42="","",SUMIFS(Allocation!$I$1:$I$175,Allocation!$C$1:$C$175,$A42,Allocation!$E$1:$E$175,$C42))</f>
        <v/>
      </c>
      <c r="R42" t="str">
        <f>IF($A42="","",SUMIFS(Allocation!$J$1:$J$175,Allocation!$C$1:$C$175,$A42,Allocation!$E$1:$E$175,$C42))</f>
        <v/>
      </c>
      <c r="S42" t="str">
        <f>IF($A42="","",SUMIFS(Allocation!$K$1:$K$175,Allocation!$C$1:$C$175,$A42,Allocation!$E$1:$E$175,$C42))</f>
        <v/>
      </c>
      <c r="T42" t="str">
        <f>IF($A42="","",SUMIFS(Allocation!$I$1:$I$175,Allocation!$C$1:$C$175,$A42))</f>
        <v/>
      </c>
      <c r="U42" t="str">
        <f>IF($A42="","",SUMIFS(Allocation!$J$1:$J$175,Allocation!$C$1:$C$175,$A42))</f>
        <v/>
      </c>
      <c r="V42" t="str">
        <f>IF($A42="","",SUMIFS(Allocation!$K$1:$K$175,Allocation!$C$1:$C$175,$A42))</f>
        <v/>
      </c>
      <c r="W42" t="str">
        <f>IF($A42="","",SUMIFS(Compta!$F$1:$F$675,Compta!$A$1:$A$675,$B42,Compta!$B$1:$B$675,"621",Compta!$C$1:$C$675,$A42))</f>
        <v/>
      </c>
      <c r="X42" t="str">
        <f>IF($A42="","",SUMIFS(Compta!$F$1:$F$675,Compta!$A$1:$A$675,$B42,Compta!$B$1:$B$675,"6411",Compta!$C$1:$C$675,$A42))</f>
        <v/>
      </c>
      <c r="Y42" t="str">
        <f>IF($A42="","",SUMIFS(Compta!$F$1:$F$675,Compta!$A$1:$A$675,$B42,Compta!$B$1:$B$675,"604",Compta!$C$1:$C$675,$A42)+SUMIFS(Compta!$F$1:$F$675,Compta!$A$1:$A$675,$B42,Compta!$B$1:$B$675,"6063",Compta!$C$1:$C$675,$A42))</f>
        <v/>
      </c>
      <c r="Z42" t="str">
        <f>IF($A42="","",SUMIFS(Compta!$F$1:$F$675,Compta!$A$1:$A$675,$B42,Compta!$B$1:$B$675,"6231",Compta!$C$1:$C$675,$A42))</f>
        <v/>
      </c>
      <c r="AA42" t="str">
        <f>IF($A42="","",SUMIFS(Compta!$F$1:$F$675,Compta!$A$1:$A$675,$B42,Compta!$B$1:$B$675,"6413",Compta!$C$1:$C$675,$A42)+SUMIFS(Compta!$F$1:$F$675,Compta!$A$1:$A$675,$B42,Compta!$B$1:$B$675,"645",Compta!$C$1:$C$675,$A42)+SUMIFS(Compta!$F$1:$F$675,Compta!$A$1:$A$675,$B42,Compta!$B$1:$B$675,"613",Compta!$C$1:$C$675,$A42)+SUMIFS(Compta!$F$1:$F$675,Compta!$A$1:$A$675,$B42,Compta!$B$1:$B$675,"615",Compta!$C$1:$C$675,$A42)+SUMIFS(Compta!$F$1:$F$675,Compta!$A$1:$A$675,$B42,Compta!$B$1:$B$675,"616",Compta!$C$1:$C$675,$A42)+SUMIFS(Compta!$F$1:$F$675,Compta!$A$1:$A$675,$B42,Compta!$B$1:$B$675,"625",Compta!$C$1:$C$675,$A42)+SUMIFS(Compta!$F$1:$F$675,Compta!$A$1:$A$675,$B42,Compta!$B$1:$B$675,"63511",Compta!$C$1:$C$675,$A42))</f>
        <v/>
      </c>
      <c r="AB42" t="str">
        <f>IF($A42="","",SUMIFS(Compta!$F$1:$F$675,Compta!$A$1:$A$675,"GRP",Compta!$B$1:$B$675,"6414",Compta!$C$1:$C$675,$A42)+SUMIFS(Compta!$F$1:$F$675,Compta!$A$1:$A$675,"GRP",Compta!$B$1:$B$675,"6226",Compta!$C$1:$C$675,$A42)+SUMIFS(Compta!$F$1:$F$675,Compta!$A$1:$A$675,"GRP",Compta!$B$1:$B$675,"626",Compta!$C$1:$C$675,$A42)+SUMIFS(Compta!$F$1:$F$675,Compta!$A$1:$A$675,"GRP",Compta!$B$1:$B$675,"6281",Compta!$C$1:$C$675,$A42)+SUMIFS(Compta!$F$1:$F$675,Compta!$A$1:$A$675,"GRP",Compta!$B$1:$B$675,"6331",Compta!$C$1:$C$675,$A42)+SUMIFS(Compta!$F$1:$F$675,Compta!$A$1:$A$675,"GRP",Compta!$B$1:$B$675,"6333",Compta!$C$1:$C$675,$A42))</f>
        <v/>
      </c>
      <c r="AC42" t="s">
        <v>297</v>
      </c>
      <c r="AD42" t="s">
        <v>297</v>
      </c>
      <c r="AE42" t="s">
        <v>297</v>
      </c>
      <c r="AF42" t="s">
        <v>297</v>
      </c>
      <c r="AG42" t="s">
        <v>297</v>
      </c>
      <c r="AH42" t="s">
        <v>297</v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 t="str">
        <f>IF($A42="","",SUMIFS(Compta!$F$1:$F$675,Compta!$A$1:$A$675,"GRP",Compta!$B$1:$B$675,"6236",Compta!$C$1:$C$675,$A42))</f>
        <v/>
      </c>
      <c r="AP42" t="s">
        <v>297</v>
      </c>
      <c r="AQ42" t="s">
        <v>297</v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IF(Allocation!D43="","",Allocation!I43)</f>
        <v/>
      </c>
      <c r="H43" t="str">
        <f>IF(Allocation!D43="","",Allocation!J43)</f>
        <v/>
      </c>
      <c r="I43" t="str">
        <f>IF(Allocation!D43="","",Allocation!K43)</f>
        <v/>
      </c>
      <c r="J43" t="str">
        <f>IF($A43="","",SUMIFS(Socle!$K$1:$K$175,Socle!$C$1:$C$175,$B43,Socle!$D$1:$D$175,$D43,Socle!$E$1:$E$175,$E43,Socle!$F$1:$F$175,$F43,Socle!$G$1:$G$175,$A43))</f>
        <v/>
      </c>
      <c r="K43" t="str">
        <f t="shared" si="0"/>
        <v/>
      </c>
      <c r="L43" t="str">
        <f>IF($A43="","",SUMIFS(Allocation!$I$1:$I$175,Allocation!$C$1:$C$175,$A43,Allocation!$D$1:$D$175,$B43))</f>
        <v/>
      </c>
      <c r="M43" t="str">
        <f>IF($A43="","",SUMIFS(Allocation!$J$1:$J$175,Allocation!$C$1:$C$175,$A43,Allocation!$D$1:$D$175,$B43))</f>
        <v/>
      </c>
      <c r="N43" t="str">
        <f>IF($A43="","",SUMIFS(Allocation!$K$1:$K$175,Allocation!$C$1:$C$175,$A43,Allocation!$D$1:$D$175,$B43))</f>
        <v/>
      </c>
      <c r="O43" t="str">
        <f t="shared" si="1"/>
        <v/>
      </c>
      <c r="P43" t="str">
        <f t="shared" si="2"/>
        <v/>
      </c>
      <c r="Q43" t="str">
        <f>IF($A43="","",SUMIFS(Allocation!$I$1:$I$175,Allocation!$C$1:$C$175,$A43,Allocation!$E$1:$E$175,$C43))</f>
        <v/>
      </c>
      <c r="R43" t="str">
        <f>IF($A43="","",SUMIFS(Allocation!$J$1:$J$175,Allocation!$C$1:$C$175,$A43,Allocation!$E$1:$E$175,$C43))</f>
        <v/>
      </c>
      <c r="S43" t="str">
        <f>IF($A43="","",SUMIFS(Allocation!$K$1:$K$175,Allocation!$C$1:$C$175,$A43,Allocation!$E$1:$E$175,$C43))</f>
        <v/>
      </c>
      <c r="T43" t="str">
        <f>IF($A43="","",SUMIFS(Allocation!$I$1:$I$175,Allocation!$C$1:$C$175,$A43))</f>
        <v/>
      </c>
      <c r="U43" t="str">
        <f>IF($A43="","",SUMIFS(Allocation!$J$1:$J$175,Allocation!$C$1:$C$175,$A43))</f>
        <v/>
      </c>
      <c r="V43" t="str">
        <f>IF($A43="","",SUMIFS(Allocation!$K$1:$K$175,Allocation!$C$1:$C$175,$A43))</f>
        <v/>
      </c>
      <c r="W43" t="str">
        <f>IF($A43="","",SUMIFS(Compta!$F$1:$F$675,Compta!$A$1:$A$675,$B43,Compta!$B$1:$B$675,"621",Compta!$C$1:$C$675,$A43))</f>
        <v/>
      </c>
      <c r="X43" t="str">
        <f>IF($A43="","",SUMIFS(Compta!$F$1:$F$675,Compta!$A$1:$A$675,$B43,Compta!$B$1:$B$675,"6411",Compta!$C$1:$C$675,$A43))</f>
        <v/>
      </c>
      <c r="Y43" t="str">
        <f>IF($A43="","",SUMIFS(Compta!$F$1:$F$675,Compta!$A$1:$A$675,$B43,Compta!$B$1:$B$675,"604",Compta!$C$1:$C$675,$A43)+SUMIFS(Compta!$F$1:$F$675,Compta!$A$1:$A$675,$B43,Compta!$B$1:$B$675,"6063",Compta!$C$1:$C$675,$A43))</f>
        <v/>
      </c>
      <c r="Z43" t="str">
        <f>IF($A43="","",SUMIFS(Compta!$F$1:$F$675,Compta!$A$1:$A$675,$B43,Compta!$B$1:$B$675,"6231",Compta!$C$1:$C$675,$A43))</f>
        <v/>
      </c>
      <c r="AA43" t="str">
        <f>IF($A43="","",SUMIFS(Compta!$F$1:$F$675,Compta!$A$1:$A$675,$B43,Compta!$B$1:$B$675,"6413",Compta!$C$1:$C$675,$A43)+SUMIFS(Compta!$F$1:$F$675,Compta!$A$1:$A$675,$B43,Compta!$B$1:$B$675,"645",Compta!$C$1:$C$675,$A43)+SUMIFS(Compta!$F$1:$F$675,Compta!$A$1:$A$675,$B43,Compta!$B$1:$B$675,"613",Compta!$C$1:$C$675,$A43)+SUMIFS(Compta!$F$1:$F$675,Compta!$A$1:$A$675,$B43,Compta!$B$1:$B$675,"615",Compta!$C$1:$C$675,$A43)+SUMIFS(Compta!$F$1:$F$675,Compta!$A$1:$A$675,$B43,Compta!$B$1:$B$675,"616",Compta!$C$1:$C$675,$A43)+SUMIFS(Compta!$F$1:$F$675,Compta!$A$1:$A$675,$B43,Compta!$B$1:$B$675,"625",Compta!$C$1:$C$675,$A43)+SUMIFS(Compta!$F$1:$F$675,Compta!$A$1:$A$675,$B43,Compta!$B$1:$B$675,"63511",Compta!$C$1:$C$675,$A43))</f>
        <v/>
      </c>
      <c r="AB43" t="str">
        <f>IF($A43="","",SUMIFS(Compta!$F$1:$F$675,Compta!$A$1:$A$675,"GRP",Compta!$B$1:$B$675,"6414",Compta!$C$1:$C$675,$A43)+SUMIFS(Compta!$F$1:$F$675,Compta!$A$1:$A$675,"GRP",Compta!$B$1:$B$675,"6226",Compta!$C$1:$C$675,$A43)+SUMIFS(Compta!$F$1:$F$675,Compta!$A$1:$A$675,"GRP",Compta!$B$1:$B$675,"626",Compta!$C$1:$C$675,$A43)+SUMIFS(Compta!$F$1:$F$675,Compta!$A$1:$A$675,"GRP",Compta!$B$1:$B$675,"6281",Compta!$C$1:$C$675,$A43)+SUMIFS(Compta!$F$1:$F$675,Compta!$A$1:$A$675,"GRP",Compta!$B$1:$B$675,"6331",Compta!$C$1:$C$675,$A43)+SUMIFS(Compta!$F$1:$F$675,Compta!$A$1:$A$675,"GRP",Compta!$B$1:$B$675,"6333",Compta!$C$1:$C$675,$A43))</f>
        <v/>
      </c>
      <c r="AC43" t="s">
        <v>297</v>
      </c>
      <c r="AD43" t="s">
        <v>297</v>
      </c>
      <c r="AE43" t="s">
        <v>297</v>
      </c>
      <c r="AF43" t="s">
        <v>297</v>
      </c>
      <c r="AG43" t="s">
        <v>297</v>
      </c>
      <c r="AH43" t="s">
        <v>297</v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 t="str">
        <f>IF($A43="","",SUMIFS(Compta!$F$1:$F$675,Compta!$A$1:$A$675,"GRP",Compta!$B$1:$B$675,"6236",Compta!$C$1:$C$675,$A43))</f>
        <v/>
      </c>
      <c r="AP43" t="s">
        <v>297</v>
      </c>
      <c r="AQ43" t="s">
        <v>297</v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IF(Allocation!D44="","",Allocation!I44)</f>
        <v/>
      </c>
      <c r="H44" t="str">
        <f>IF(Allocation!D44="","",Allocation!J44)</f>
        <v/>
      </c>
      <c r="I44" t="str">
        <f>IF(Allocation!D44="","",Allocation!K44)</f>
        <v/>
      </c>
      <c r="J44" t="str">
        <f>IF($A44="","",SUMIFS(Socle!$K$1:$K$175,Socle!$C$1:$C$175,$B44,Socle!$D$1:$D$175,$D44,Socle!$E$1:$E$175,$E44,Socle!$F$1:$F$175,$F44,Socle!$G$1:$G$175,$A44))</f>
        <v/>
      </c>
      <c r="K44" t="str">
        <f t="shared" si="0"/>
        <v/>
      </c>
      <c r="L44" t="str">
        <f>IF($A44="","",SUMIFS(Allocation!$I$1:$I$175,Allocation!$C$1:$C$175,$A44,Allocation!$D$1:$D$175,$B44))</f>
        <v/>
      </c>
      <c r="M44" t="str">
        <f>IF($A44="","",SUMIFS(Allocation!$J$1:$J$175,Allocation!$C$1:$C$175,$A44,Allocation!$D$1:$D$175,$B44))</f>
        <v/>
      </c>
      <c r="N44" t="str">
        <f>IF($A44="","",SUMIFS(Allocation!$K$1:$K$175,Allocation!$C$1:$C$175,$A44,Allocation!$D$1:$D$175,$B44))</f>
        <v/>
      </c>
      <c r="O44" t="str">
        <f t="shared" si="1"/>
        <v/>
      </c>
      <c r="P44" t="str">
        <f t="shared" si="2"/>
        <v/>
      </c>
      <c r="Q44" t="str">
        <f>IF($A44="","",SUMIFS(Allocation!$I$1:$I$175,Allocation!$C$1:$C$175,$A44,Allocation!$E$1:$E$175,$C44))</f>
        <v/>
      </c>
      <c r="R44" t="str">
        <f>IF($A44="","",SUMIFS(Allocation!$J$1:$J$175,Allocation!$C$1:$C$175,$A44,Allocation!$E$1:$E$175,$C44))</f>
        <v/>
      </c>
      <c r="S44" t="str">
        <f>IF($A44="","",SUMIFS(Allocation!$K$1:$K$175,Allocation!$C$1:$C$175,$A44,Allocation!$E$1:$E$175,$C44))</f>
        <v/>
      </c>
      <c r="T44" t="str">
        <f>IF($A44="","",SUMIFS(Allocation!$I$1:$I$175,Allocation!$C$1:$C$175,$A44))</f>
        <v/>
      </c>
      <c r="U44" t="str">
        <f>IF($A44="","",SUMIFS(Allocation!$J$1:$J$175,Allocation!$C$1:$C$175,$A44))</f>
        <v/>
      </c>
      <c r="V44" t="str">
        <f>IF($A44="","",SUMIFS(Allocation!$K$1:$K$175,Allocation!$C$1:$C$175,$A44))</f>
        <v/>
      </c>
      <c r="W44" t="str">
        <f>IF($A44="","",SUMIFS(Compta!$F$1:$F$675,Compta!$A$1:$A$675,$B44,Compta!$B$1:$B$675,"621",Compta!$C$1:$C$675,$A44))</f>
        <v/>
      </c>
      <c r="X44" t="str">
        <f>IF($A44="","",SUMIFS(Compta!$F$1:$F$675,Compta!$A$1:$A$675,$B44,Compta!$B$1:$B$675,"6411",Compta!$C$1:$C$675,$A44))</f>
        <v/>
      </c>
      <c r="Y44" t="str">
        <f>IF($A44="","",SUMIFS(Compta!$F$1:$F$675,Compta!$A$1:$A$675,$B44,Compta!$B$1:$B$675,"604",Compta!$C$1:$C$675,$A44)+SUMIFS(Compta!$F$1:$F$675,Compta!$A$1:$A$675,$B44,Compta!$B$1:$B$675,"6063",Compta!$C$1:$C$675,$A44))</f>
        <v/>
      </c>
      <c r="Z44" t="str">
        <f>IF($A44="","",SUMIFS(Compta!$F$1:$F$675,Compta!$A$1:$A$675,$B44,Compta!$B$1:$B$675,"6231",Compta!$C$1:$C$675,$A44))</f>
        <v/>
      </c>
      <c r="AA44" t="str">
        <f>IF($A44="","",SUMIFS(Compta!$F$1:$F$675,Compta!$A$1:$A$675,$B44,Compta!$B$1:$B$675,"6413",Compta!$C$1:$C$675,$A44)+SUMIFS(Compta!$F$1:$F$675,Compta!$A$1:$A$675,$B44,Compta!$B$1:$B$675,"645",Compta!$C$1:$C$675,$A44)+SUMIFS(Compta!$F$1:$F$675,Compta!$A$1:$A$675,$B44,Compta!$B$1:$B$675,"613",Compta!$C$1:$C$675,$A44)+SUMIFS(Compta!$F$1:$F$675,Compta!$A$1:$A$675,$B44,Compta!$B$1:$B$675,"615",Compta!$C$1:$C$675,$A44)+SUMIFS(Compta!$F$1:$F$675,Compta!$A$1:$A$675,$B44,Compta!$B$1:$B$675,"616",Compta!$C$1:$C$675,$A44)+SUMIFS(Compta!$F$1:$F$675,Compta!$A$1:$A$675,$B44,Compta!$B$1:$B$675,"625",Compta!$C$1:$C$675,$A44)+SUMIFS(Compta!$F$1:$F$675,Compta!$A$1:$A$675,$B44,Compta!$B$1:$B$675,"63511",Compta!$C$1:$C$675,$A44))</f>
        <v/>
      </c>
      <c r="AB44" t="str">
        <f>IF($A44="","",SUMIFS(Compta!$F$1:$F$675,Compta!$A$1:$A$675,"GRP",Compta!$B$1:$B$675,"6414",Compta!$C$1:$C$675,$A44)+SUMIFS(Compta!$F$1:$F$675,Compta!$A$1:$A$675,"GRP",Compta!$B$1:$B$675,"6226",Compta!$C$1:$C$675,$A44)+SUMIFS(Compta!$F$1:$F$675,Compta!$A$1:$A$675,"GRP",Compta!$B$1:$B$675,"626",Compta!$C$1:$C$675,$A44)+SUMIFS(Compta!$F$1:$F$675,Compta!$A$1:$A$675,"GRP",Compta!$B$1:$B$675,"6281",Compta!$C$1:$C$675,$A44)+SUMIFS(Compta!$F$1:$F$675,Compta!$A$1:$A$675,"GRP",Compta!$B$1:$B$675,"6331",Compta!$C$1:$C$675,$A44)+SUMIFS(Compta!$F$1:$F$675,Compta!$A$1:$A$675,"GRP",Compta!$B$1:$B$675,"6333",Compta!$C$1:$C$675,$A44))</f>
        <v/>
      </c>
      <c r="AC44" t="s">
        <v>297</v>
      </c>
      <c r="AD44" t="s">
        <v>297</v>
      </c>
      <c r="AE44" t="s">
        <v>297</v>
      </c>
      <c r="AF44" t="s">
        <v>297</v>
      </c>
      <c r="AG44" t="s">
        <v>297</v>
      </c>
      <c r="AH44" t="s">
        <v>297</v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 t="str">
        <f>IF($A44="","",SUMIFS(Compta!$F$1:$F$675,Compta!$A$1:$A$675,"GRP",Compta!$B$1:$B$675,"6236",Compta!$C$1:$C$675,$A44))</f>
        <v/>
      </c>
      <c r="AP44" t="s">
        <v>297</v>
      </c>
      <c r="AQ44" t="s">
        <v>297</v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IF(Allocation!D45="","",Allocation!I45)</f>
        <v/>
      </c>
      <c r="H45" t="str">
        <f>IF(Allocation!D45="","",Allocation!J45)</f>
        <v/>
      </c>
      <c r="I45" t="str">
        <f>IF(Allocation!D45="","",Allocation!K45)</f>
        <v/>
      </c>
      <c r="J45" t="str">
        <f>IF($A45="","",SUMIFS(Socle!$K$1:$K$175,Socle!$C$1:$C$175,$B45,Socle!$D$1:$D$175,$D45,Socle!$E$1:$E$175,$E45,Socle!$F$1:$F$175,$F45,Socle!$G$1:$G$175,$A45))</f>
        <v/>
      </c>
      <c r="K45" t="str">
        <f t="shared" si="0"/>
        <v/>
      </c>
      <c r="L45" t="str">
        <f>IF($A45="","",SUMIFS(Allocation!$I$1:$I$175,Allocation!$C$1:$C$175,$A45,Allocation!$D$1:$D$175,$B45))</f>
        <v/>
      </c>
      <c r="M45" t="str">
        <f>IF($A45="","",SUMIFS(Allocation!$J$1:$J$175,Allocation!$C$1:$C$175,$A45,Allocation!$D$1:$D$175,$B45))</f>
        <v/>
      </c>
      <c r="N45" t="str">
        <f>IF($A45="","",SUMIFS(Allocation!$K$1:$K$175,Allocation!$C$1:$C$175,$A45,Allocation!$D$1:$D$175,$B45))</f>
        <v/>
      </c>
      <c r="O45" t="str">
        <f t="shared" si="1"/>
        <v/>
      </c>
      <c r="P45" t="str">
        <f t="shared" si="2"/>
        <v/>
      </c>
      <c r="Q45" t="str">
        <f>IF($A45="","",SUMIFS(Allocation!$I$1:$I$175,Allocation!$C$1:$C$175,$A45,Allocation!$E$1:$E$175,$C45))</f>
        <v/>
      </c>
      <c r="R45" t="str">
        <f>IF($A45="","",SUMIFS(Allocation!$J$1:$J$175,Allocation!$C$1:$C$175,$A45,Allocation!$E$1:$E$175,$C45))</f>
        <v/>
      </c>
      <c r="S45" t="str">
        <f>IF($A45="","",SUMIFS(Allocation!$K$1:$K$175,Allocation!$C$1:$C$175,$A45,Allocation!$E$1:$E$175,$C45))</f>
        <v/>
      </c>
      <c r="T45" t="str">
        <f>IF($A45="","",SUMIFS(Allocation!$I$1:$I$175,Allocation!$C$1:$C$175,$A45))</f>
        <v/>
      </c>
      <c r="U45" t="str">
        <f>IF($A45="","",SUMIFS(Allocation!$J$1:$J$175,Allocation!$C$1:$C$175,$A45))</f>
        <v/>
      </c>
      <c r="V45" t="str">
        <f>IF($A45="","",SUMIFS(Allocation!$K$1:$K$175,Allocation!$C$1:$C$175,$A45))</f>
        <v/>
      </c>
      <c r="W45" t="str">
        <f>IF($A45="","",SUMIFS(Compta!$F$1:$F$675,Compta!$A$1:$A$675,$B45,Compta!$B$1:$B$675,"621",Compta!$C$1:$C$675,$A45))</f>
        <v/>
      </c>
      <c r="X45" t="str">
        <f>IF($A45="","",SUMIFS(Compta!$F$1:$F$675,Compta!$A$1:$A$675,$B45,Compta!$B$1:$B$675,"6411",Compta!$C$1:$C$675,$A45))</f>
        <v/>
      </c>
      <c r="Y45" t="str">
        <f>IF($A45="","",SUMIFS(Compta!$F$1:$F$675,Compta!$A$1:$A$675,$B45,Compta!$B$1:$B$675,"604",Compta!$C$1:$C$675,$A45)+SUMIFS(Compta!$F$1:$F$675,Compta!$A$1:$A$675,$B45,Compta!$B$1:$B$675,"6063",Compta!$C$1:$C$675,$A45))</f>
        <v/>
      </c>
      <c r="Z45" t="str">
        <f>IF($A45="","",SUMIFS(Compta!$F$1:$F$675,Compta!$A$1:$A$675,$B45,Compta!$B$1:$B$675,"6231",Compta!$C$1:$C$675,$A45))</f>
        <v/>
      </c>
      <c r="AA45" t="str">
        <f>IF($A45="","",SUMIFS(Compta!$F$1:$F$675,Compta!$A$1:$A$675,$B45,Compta!$B$1:$B$675,"6413",Compta!$C$1:$C$675,$A45)+SUMIFS(Compta!$F$1:$F$675,Compta!$A$1:$A$675,$B45,Compta!$B$1:$B$675,"645",Compta!$C$1:$C$675,$A45)+SUMIFS(Compta!$F$1:$F$675,Compta!$A$1:$A$675,$B45,Compta!$B$1:$B$675,"613",Compta!$C$1:$C$675,$A45)+SUMIFS(Compta!$F$1:$F$675,Compta!$A$1:$A$675,$B45,Compta!$B$1:$B$675,"615",Compta!$C$1:$C$675,$A45)+SUMIFS(Compta!$F$1:$F$675,Compta!$A$1:$A$675,$B45,Compta!$B$1:$B$675,"616",Compta!$C$1:$C$675,$A45)+SUMIFS(Compta!$F$1:$F$675,Compta!$A$1:$A$675,$B45,Compta!$B$1:$B$675,"625",Compta!$C$1:$C$675,$A45)+SUMIFS(Compta!$F$1:$F$675,Compta!$A$1:$A$675,$B45,Compta!$B$1:$B$675,"63511",Compta!$C$1:$C$675,$A45))</f>
        <v/>
      </c>
      <c r="AB45" t="str">
        <f>IF($A45="","",SUMIFS(Compta!$F$1:$F$675,Compta!$A$1:$A$675,"GRP",Compta!$B$1:$B$675,"6414",Compta!$C$1:$C$675,$A45)+SUMIFS(Compta!$F$1:$F$675,Compta!$A$1:$A$675,"GRP",Compta!$B$1:$B$675,"6226",Compta!$C$1:$C$675,$A45)+SUMIFS(Compta!$F$1:$F$675,Compta!$A$1:$A$675,"GRP",Compta!$B$1:$B$675,"626",Compta!$C$1:$C$675,$A45)+SUMIFS(Compta!$F$1:$F$675,Compta!$A$1:$A$675,"GRP",Compta!$B$1:$B$675,"6281",Compta!$C$1:$C$675,$A45)+SUMIFS(Compta!$F$1:$F$675,Compta!$A$1:$A$675,"GRP",Compta!$B$1:$B$675,"6331",Compta!$C$1:$C$675,$A45)+SUMIFS(Compta!$F$1:$F$675,Compta!$A$1:$A$675,"GRP",Compta!$B$1:$B$675,"6333",Compta!$C$1:$C$675,$A45))</f>
        <v/>
      </c>
      <c r="AC45" t="s">
        <v>297</v>
      </c>
      <c r="AD45" t="s">
        <v>297</v>
      </c>
      <c r="AE45" t="s">
        <v>297</v>
      </c>
      <c r="AF45" t="s">
        <v>297</v>
      </c>
      <c r="AG45" t="s">
        <v>297</v>
      </c>
      <c r="AH45" t="s">
        <v>297</v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 t="str">
        <f>IF($A45="","",SUMIFS(Compta!$F$1:$F$675,Compta!$A$1:$A$675,"GRP",Compta!$B$1:$B$675,"6236",Compta!$C$1:$C$675,$A45))</f>
        <v/>
      </c>
      <c r="AP45" t="s">
        <v>297</v>
      </c>
      <c r="AQ45" t="s">
        <v>297</v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IF(Allocation!D46="","",Allocation!I46)</f>
        <v/>
      </c>
      <c r="H46" t="str">
        <f>IF(Allocation!D46="","",Allocation!J46)</f>
        <v/>
      </c>
      <c r="I46" t="str">
        <f>IF(Allocation!D46="","",Allocation!K46)</f>
        <v/>
      </c>
      <c r="J46" t="str">
        <f>IF($A46="","",SUMIFS(Socle!$K$1:$K$175,Socle!$C$1:$C$175,$B46,Socle!$D$1:$D$175,$D46,Socle!$E$1:$E$175,$E46,Socle!$F$1:$F$175,$F46,Socle!$G$1:$G$175,$A46))</f>
        <v/>
      </c>
      <c r="K46" t="str">
        <f t="shared" si="0"/>
        <v/>
      </c>
      <c r="L46" t="str">
        <f>IF($A46="","",SUMIFS(Allocation!$I$1:$I$175,Allocation!$C$1:$C$175,$A46,Allocation!$D$1:$D$175,$B46))</f>
        <v/>
      </c>
      <c r="M46" t="str">
        <f>IF($A46="","",SUMIFS(Allocation!$J$1:$J$175,Allocation!$C$1:$C$175,$A46,Allocation!$D$1:$D$175,$B46))</f>
        <v/>
      </c>
      <c r="N46" t="str">
        <f>IF($A46="","",SUMIFS(Allocation!$K$1:$K$175,Allocation!$C$1:$C$175,$A46,Allocation!$D$1:$D$175,$B46))</f>
        <v/>
      </c>
      <c r="O46" t="str">
        <f t="shared" si="1"/>
        <v/>
      </c>
      <c r="P46" t="str">
        <f t="shared" si="2"/>
        <v/>
      </c>
      <c r="Q46" t="str">
        <f>IF($A46="","",SUMIFS(Allocation!$I$1:$I$175,Allocation!$C$1:$C$175,$A46,Allocation!$E$1:$E$175,$C46))</f>
        <v/>
      </c>
      <c r="R46" t="str">
        <f>IF($A46="","",SUMIFS(Allocation!$J$1:$J$175,Allocation!$C$1:$C$175,$A46,Allocation!$E$1:$E$175,$C46))</f>
        <v/>
      </c>
      <c r="S46" t="str">
        <f>IF($A46="","",SUMIFS(Allocation!$K$1:$K$175,Allocation!$C$1:$C$175,$A46,Allocation!$E$1:$E$175,$C46))</f>
        <v/>
      </c>
      <c r="T46" t="str">
        <f>IF($A46="","",SUMIFS(Allocation!$I$1:$I$175,Allocation!$C$1:$C$175,$A46))</f>
        <v/>
      </c>
      <c r="U46" t="str">
        <f>IF($A46="","",SUMIFS(Allocation!$J$1:$J$175,Allocation!$C$1:$C$175,$A46))</f>
        <v/>
      </c>
      <c r="V46" t="str">
        <f>IF($A46="","",SUMIFS(Allocation!$K$1:$K$175,Allocation!$C$1:$C$175,$A46))</f>
        <v/>
      </c>
      <c r="W46" t="str">
        <f>IF($A46="","",SUMIFS(Compta!$F$1:$F$675,Compta!$A$1:$A$675,$B46,Compta!$B$1:$B$675,"621",Compta!$C$1:$C$675,$A46))</f>
        <v/>
      </c>
      <c r="X46" t="str">
        <f>IF($A46="","",SUMIFS(Compta!$F$1:$F$675,Compta!$A$1:$A$675,$B46,Compta!$B$1:$B$675,"6411",Compta!$C$1:$C$675,$A46))</f>
        <v/>
      </c>
      <c r="Y46" t="str">
        <f>IF($A46="","",SUMIFS(Compta!$F$1:$F$675,Compta!$A$1:$A$675,$B46,Compta!$B$1:$B$675,"604",Compta!$C$1:$C$675,$A46)+SUMIFS(Compta!$F$1:$F$675,Compta!$A$1:$A$675,$B46,Compta!$B$1:$B$675,"6063",Compta!$C$1:$C$675,$A46))</f>
        <v/>
      </c>
      <c r="Z46" t="str">
        <f>IF($A46="","",SUMIFS(Compta!$F$1:$F$675,Compta!$A$1:$A$675,$B46,Compta!$B$1:$B$675,"6231",Compta!$C$1:$C$675,$A46))</f>
        <v/>
      </c>
      <c r="AA46" t="str">
        <f>IF($A46="","",SUMIFS(Compta!$F$1:$F$675,Compta!$A$1:$A$675,$B46,Compta!$B$1:$B$675,"6413",Compta!$C$1:$C$675,$A46)+SUMIFS(Compta!$F$1:$F$675,Compta!$A$1:$A$675,$B46,Compta!$B$1:$B$675,"645",Compta!$C$1:$C$675,$A46)+SUMIFS(Compta!$F$1:$F$675,Compta!$A$1:$A$675,$B46,Compta!$B$1:$B$675,"613",Compta!$C$1:$C$675,$A46)+SUMIFS(Compta!$F$1:$F$675,Compta!$A$1:$A$675,$B46,Compta!$B$1:$B$675,"615",Compta!$C$1:$C$675,$A46)+SUMIFS(Compta!$F$1:$F$675,Compta!$A$1:$A$675,$B46,Compta!$B$1:$B$675,"616",Compta!$C$1:$C$675,$A46)+SUMIFS(Compta!$F$1:$F$675,Compta!$A$1:$A$675,$B46,Compta!$B$1:$B$675,"625",Compta!$C$1:$C$675,$A46)+SUMIFS(Compta!$F$1:$F$675,Compta!$A$1:$A$675,$B46,Compta!$B$1:$B$675,"63511",Compta!$C$1:$C$675,$A46))</f>
        <v/>
      </c>
      <c r="AB46" t="str">
        <f>IF($A46="","",SUMIFS(Compta!$F$1:$F$675,Compta!$A$1:$A$675,"GRP",Compta!$B$1:$B$675,"6414",Compta!$C$1:$C$675,$A46)+SUMIFS(Compta!$F$1:$F$675,Compta!$A$1:$A$675,"GRP",Compta!$B$1:$B$675,"6226",Compta!$C$1:$C$675,$A46)+SUMIFS(Compta!$F$1:$F$675,Compta!$A$1:$A$675,"GRP",Compta!$B$1:$B$675,"626",Compta!$C$1:$C$675,$A46)+SUMIFS(Compta!$F$1:$F$675,Compta!$A$1:$A$675,"GRP",Compta!$B$1:$B$675,"6281",Compta!$C$1:$C$675,$A46)+SUMIFS(Compta!$F$1:$F$675,Compta!$A$1:$A$675,"GRP",Compta!$B$1:$B$675,"6331",Compta!$C$1:$C$675,$A46)+SUMIFS(Compta!$F$1:$F$675,Compta!$A$1:$A$675,"GRP",Compta!$B$1:$B$675,"6333",Compta!$C$1:$C$675,$A46))</f>
        <v/>
      </c>
      <c r="AC46" t="s">
        <v>297</v>
      </c>
      <c r="AD46" t="s">
        <v>297</v>
      </c>
      <c r="AE46" t="s">
        <v>297</v>
      </c>
      <c r="AF46" t="s">
        <v>297</v>
      </c>
      <c r="AG46" t="s">
        <v>297</v>
      </c>
      <c r="AH46" t="s">
        <v>297</v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 t="str">
        <f>IF($A46="","",SUMIFS(Compta!$F$1:$F$675,Compta!$A$1:$A$675,"GRP",Compta!$B$1:$B$675,"6236",Compta!$C$1:$C$675,$A46))</f>
        <v/>
      </c>
      <c r="AP46" t="s">
        <v>297</v>
      </c>
      <c r="AQ46" t="s">
        <v>297</v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IF(Allocation!D47="","",Allocation!I47)</f>
        <v/>
      </c>
      <c r="H47" t="str">
        <f>IF(Allocation!D47="","",Allocation!J47)</f>
        <v/>
      </c>
      <c r="I47" t="str">
        <f>IF(Allocation!D47="","",Allocation!K47)</f>
        <v/>
      </c>
      <c r="J47" t="str">
        <f>IF($A47="","",SUMIFS(Socle!$K$1:$K$175,Socle!$C$1:$C$175,$B47,Socle!$D$1:$D$175,$D47,Socle!$E$1:$E$175,$E47,Socle!$F$1:$F$175,$F47,Socle!$G$1:$G$175,$A47))</f>
        <v/>
      </c>
      <c r="K47" t="str">
        <f t="shared" si="0"/>
        <v/>
      </c>
      <c r="L47" t="str">
        <f>IF($A47="","",SUMIFS(Allocation!$I$1:$I$175,Allocation!$C$1:$C$175,$A47,Allocation!$D$1:$D$175,$B47))</f>
        <v/>
      </c>
      <c r="M47" t="str">
        <f>IF($A47="","",SUMIFS(Allocation!$J$1:$J$175,Allocation!$C$1:$C$175,$A47,Allocation!$D$1:$D$175,$B47))</f>
        <v/>
      </c>
      <c r="N47" t="str">
        <f>IF($A47="","",SUMIFS(Allocation!$K$1:$K$175,Allocation!$C$1:$C$175,$A47,Allocation!$D$1:$D$175,$B47))</f>
        <v/>
      </c>
      <c r="O47" t="str">
        <f t="shared" si="1"/>
        <v/>
      </c>
      <c r="P47" t="str">
        <f t="shared" si="2"/>
        <v/>
      </c>
      <c r="Q47" t="str">
        <f>IF($A47="","",SUMIFS(Allocation!$I$1:$I$175,Allocation!$C$1:$C$175,$A47,Allocation!$E$1:$E$175,$C47))</f>
        <v/>
      </c>
      <c r="R47" t="str">
        <f>IF($A47="","",SUMIFS(Allocation!$J$1:$J$175,Allocation!$C$1:$C$175,$A47,Allocation!$E$1:$E$175,$C47))</f>
        <v/>
      </c>
      <c r="S47" t="str">
        <f>IF($A47="","",SUMIFS(Allocation!$K$1:$K$175,Allocation!$C$1:$C$175,$A47,Allocation!$E$1:$E$175,$C47))</f>
        <v/>
      </c>
      <c r="T47" t="str">
        <f>IF($A47="","",SUMIFS(Allocation!$I$1:$I$175,Allocation!$C$1:$C$175,$A47))</f>
        <v/>
      </c>
      <c r="U47" t="str">
        <f>IF($A47="","",SUMIFS(Allocation!$J$1:$J$175,Allocation!$C$1:$C$175,$A47))</f>
        <v/>
      </c>
      <c r="V47" t="str">
        <f>IF($A47="","",SUMIFS(Allocation!$K$1:$K$175,Allocation!$C$1:$C$175,$A47))</f>
        <v/>
      </c>
      <c r="W47" t="str">
        <f>IF($A47="","",SUMIFS(Compta!$F$1:$F$675,Compta!$A$1:$A$675,$B47,Compta!$B$1:$B$675,"621",Compta!$C$1:$C$675,$A47))</f>
        <v/>
      </c>
      <c r="X47" t="str">
        <f>IF($A47="","",SUMIFS(Compta!$F$1:$F$675,Compta!$A$1:$A$675,$B47,Compta!$B$1:$B$675,"6411",Compta!$C$1:$C$675,$A47))</f>
        <v/>
      </c>
      <c r="Y47" t="str">
        <f>IF($A47="","",SUMIFS(Compta!$F$1:$F$675,Compta!$A$1:$A$675,$B47,Compta!$B$1:$B$675,"604",Compta!$C$1:$C$675,$A47)+SUMIFS(Compta!$F$1:$F$675,Compta!$A$1:$A$675,$B47,Compta!$B$1:$B$675,"6063",Compta!$C$1:$C$675,$A47))</f>
        <v/>
      </c>
      <c r="Z47" t="str">
        <f>IF($A47="","",SUMIFS(Compta!$F$1:$F$675,Compta!$A$1:$A$675,$B47,Compta!$B$1:$B$675,"6231",Compta!$C$1:$C$675,$A47))</f>
        <v/>
      </c>
      <c r="AA47" t="str">
        <f>IF($A47="","",SUMIFS(Compta!$F$1:$F$675,Compta!$A$1:$A$675,$B47,Compta!$B$1:$B$675,"6413",Compta!$C$1:$C$675,$A47)+SUMIFS(Compta!$F$1:$F$675,Compta!$A$1:$A$675,$B47,Compta!$B$1:$B$675,"645",Compta!$C$1:$C$675,$A47)+SUMIFS(Compta!$F$1:$F$675,Compta!$A$1:$A$675,$B47,Compta!$B$1:$B$675,"613",Compta!$C$1:$C$675,$A47)+SUMIFS(Compta!$F$1:$F$675,Compta!$A$1:$A$675,$B47,Compta!$B$1:$B$675,"615",Compta!$C$1:$C$675,$A47)+SUMIFS(Compta!$F$1:$F$675,Compta!$A$1:$A$675,$B47,Compta!$B$1:$B$675,"616",Compta!$C$1:$C$675,$A47)+SUMIFS(Compta!$F$1:$F$675,Compta!$A$1:$A$675,$B47,Compta!$B$1:$B$675,"625",Compta!$C$1:$C$675,$A47)+SUMIFS(Compta!$F$1:$F$675,Compta!$A$1:$A$675,$B47,Compta!$B$1:$B$675,"63511",Compta!$C$1:$C$675,$A47))</f>
        <v/>
      </c>
      <c r="AB47" t="str">
        <f>IF($A47="","",SUMIFS(Compta!$F$1:$F$675,Compta!$A$1:$A$675,"GRP",Compta!$B$1:$B$675,"6414",Compta!$C$1:$C$675,$A47)+SUMIFS(Compta!$F$1:$F$675,Compta!$A$1:$A$675,"GRP",Compta!$B$1:$B$675,"6226",Compta!$C$1:$C$675,$A47)+SUMIFS(Compta!$F$1:$F$675,Compta!$A$1:$A$675,"GRP",Compta!$B$1:$B$675,"626",Compta!$C$1:$C$675,$A47)+SUMIFS(Compta!$F$1:$F$675,Compta!$A$1:$A$675,"GRP",Compta!$B$1:$B$675,"6281",Compta!$C$1:$C$675,$A47)+SUMIFS(Compta!$F$1:$F$675,Compta!$A$1:$A$675,"GRP",Compta!$B$1:$B$675,"6331",Compta!$C$1:$C$675,$A47)+SUMIFS(Compta!$F$1:$F$675,Compta!$A$1:$A$675,"GRP",Compta!$B$1:$B$675,"6333",Compta!$C$1:$C$675,$A47))</f>
        <v/>
      </c>
      <c r="AC47" t="s">
        <v>297</v>
      </c>
      <c r="AD47" t="s">
        <v>297</v>
      </c>
      <c r="AE47" t="s">
        <v>297</v>
      </c>
      <c r="AF47" t="s">
        <v>297</v>
      </c>
      <c r="AG47" t="s">
        <v>297</v>
      </c>
      <c r="AH47" t="s">
        <v>297</v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 t="str">
        <f>IF($A47="","",SUMIFS(Compta!$F$1:$F$675,Compta!$A$1:$A$675,"GRP",Compta!$B$1:$B$675,"6236",Compta!$C$1:$C$675,$A47))</f>
        <v/>
      </c>
      <c r="AP47" t="s">
        <v>297</v>
      </c>
      <c r="AQ47" t="s">
        <v>297</v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IF(Allocation!D48="","",Allocation!I48)</f>
        <v/>
      </c>
      <c r="H48" t="str">
        <f>IF(Allocation!D48="","",Allocation!J48)</f>
        <v/>
      </c>
      <c r="I48" t="str">
        <f>IF(Allocation!D48="","",Allocation!K48)</f>
        <v/>
      </c>
      <c r="J48" t="str">
        <f>IF($A48="","",SUMIFS(Socle!$K$1:$K$175,Socle!$C$1:$C$175,$B48,Socle!$D$1:$D$175,$D48,Socle!$E$1:$E$175,$E48,Socle!$F$1:$F$175,$F48,Socle!$G$1:$G$175,$A48))</f>
        <v/>
      </c>
      <c r="K48" t="str">
        <f t="shared" si="0"/>
        <v/>
      </c>
      <c r="L48" t="str">
        <f>IF($A48="","",SUMIFS(Allocation!$I$1:$I$175,Allocation!$C$1:$C$175,$A48,Allocation!$D$1:$D$175,$B48))</f>
        <v/>
      </c>
      <c r="M48" t="str">
        <f>IF($A48="","",SUMIFS(Allocation!$J$1:$J$175,Allocation!$C$1:$C$175,$A48,Allocation!$D$1:$D$175,$B48))</f>
        <v/>
      </c>
      <c r="N48" t="str">
        <f>IF($A48="","",SUMIFS(Allocation!$K$1:$K$175,Allocation!$C$1:$C$175,$A48,Allocation!$D$1:$D$175,$B48))</f>
        <v/>
      </c>
      <c r="O48" t="str">
        <f t="shared" si="1"/>
        <v/>
      </c>
      <c r="P48" t="str">
        <f t="shared" si="2"/>
        <v/>
      </c>
      <c r="Q48" t="str">
        <f>IF($A48="","",SUMIFS(Allocation!$I$1:$I$175,Allocation!$C$1:$C$175,$A48,Allocation!$E$1:$E$175,$C48))</f>
        <v/>
      </c>
      <c r="R48" t="str">
        <f>IF($A48="","",SUMIFS(Allocation!$J$1:$J$175,Allocation!$C$1:$C$175,$A48,Allocation!$E$1:$E$175,$C48))</f>
        <v/>
      </c>
      <c r="S48" t="str">
        <f>IF($A48="","",SUMIFS(Allocation!$K$1:$K$175,Allocation!$C$1:$C$175,$A48,Allocation!$E$1:$E$175,$C48))</f>
        <v/>
      </c>
      <c r="T48" t="str">
        <f>IF($A48="","",SUMIFS(Allocation!$I$1:$I$175,Allocation!$C$1:$C$175,$A48))</f>
        <v/>
      </c>
      <c r="U48" t="str">
        <f>IF($A48="","",SUMIFS(Allocation!$J$1:$J$175,Allocation!$C$1:$C$175,$A48))</f>
        <v/>
      </c>
      <c r="V48" t="str">
        <f>IF($A48="","",SUMIFS(Allocation!$K$1:$K$175,Allocation!$C$1:$C$175,$A48))</f>
        <v/>
      </c>
      <c r="W48" t="str">
        <f>IF($A48="","",SUMIFS(Compta!$F$1:$F$675,Compta!$A$1:$A$675,$B48,Compta!$B$1:$B$675,"621",Compta!$C$1:$C$675,$A48))</f>
        <v/>
      </c>
      <c r="X48" t="str">
        <f>IF($A48="","",SUMIFS(Compta!$F$1:$F$675,Compta!$A$1:$A$675,$B48,Compta!$B$1:$B$675,"6411",Compta!$C$1:$C$675,$A48))</f>
        <v/>
      </c>
      <c r="Y48" t="str">
        <f>IF($A48="","",SUMIFS(Compta!$F$1:$F$675,Compta!$A$1:$A$675,$B48,Compta!$B$1:$B$675,"604",Compta!$C$1:$C$675,$A48)+SUMIFS(Compta!$F$1:$F$675,Compta!$A$1:$A$675,$B48,Compta!$B$1:$B$675,"6063",Compta!$C$1:$C$675,$A48))</f>
        <v/>
      </c>
      <c r="Z48" t="str">
        <f>IF($A48="","",SUMIFS(Compta!$F$1:$F$675,Compta!$A$1:$A$675,$B48,Compta!$B$1:$B$675,"6231",Compta!$C$1:$C$675,$A48))</f>
        <v/>
      </c>
      <c r="AA48" t="str">
        <f>IF($A48="","",SUMIFS(Compta!$F$1:$F$675,Compta!$A$1:$A$675,$B48,Compta!$B$1:$B$675,"6413",Compta!$C$1:$C$675,$A48)+SUMIFS(Compta!$F$1:$F$675,Compta!$A$1:$A$675,$B48,Compta!$B$1:$B$675,"645",Compta!$C$1:$C$675,$A48)+SUMIFS(Compta!$F$1:$F$675,Compta!$A$1:$A$675,$B48,Compta!$B$1:$B$675,"613",Compta!$C$1:$C$675,$A48)+SUMIFS(Compta!$F$1:$F$675,Compta!$A$1:$A$675,$B48,Compta!$B$1:$B$675,"615",Compta!$C$1:$C$675,$A48)+SUMIFS(Compta!$F$1:$F$675,Compta!$A$1:$A$675,$B48,Compta!$B$1:$B$675,"616",Compta!$C$1:$C$675,$A48)+SUMIFS(Compta!$F$1:$F$675,Compta!$A$1:$A$675,$B48,Compta!$B$1:$B$675,"625",Compta!$C$1:$C$675,$A48)+SUMIFS(Compta!$F$1:$F$675,Compta!$A$1:$A$675,$B48,Compta!$B$1:$B$675,"63511",Compta!$C$1:$C$675,$A48))</f>
        <v/>
      </c>
      <c r="AB48" t="str">
        <f>IF($A48="","",SUMIFS(Compta!$F$1:$F$675,Compta!$A$1:$A$675,"GRP",Compta!$B$1:$B$675,"6414",Compta!$C$1:$C$675,$A48)+SUMIFS(Compta!$F$1:$F$675,Compta!$A$1:$A$675,"GRP",Compta!$B$1:$B$675,"6226",Compta!$C$1:$C$675,$A48)+SUMIFS(Compta!$F$1:$F$675,Compta!$A$1:$A$675,"GRP",Compta!$B$1:$B$675,"626",Compta!$C$1:$C$675,$A48)+SUMIFS(Compta!$F$1:$F$675,Compta!$A$1:$A$675,"GRP",Compta!$B$1:$B$675,"6281",Compta!$C$1:$C$675,$A48)+SUMIFS(Compta!$F$1:$F$675,Compta!$A$1:$A$675,"GRP",Compta!$B$1:$B$675,"6331",Compta!$C$1:$C$675,$A48)+SUMIFS(Compta!$F$1:$F$675,Compta!$A$1:$A$675,"GRP",Compta!$B$1:$B$675,"6333",Compta!$C$1:$C$675,$A48))</f>
        <v/>
      </c>
      <c r="AC48" t="s">
        <v>297</v>
      </c>
      <c r="AD48" t="s">
        <v>297</v>
      </c>
      <c r="AE48" t="s">
        <v>297</v>
      </c>
      <c r="AF48" t="s">
        <v>297</v>
      </c>
      <c r="AG48" t="s">
        <v>297</v>
      </c>
      <c r="AH48" t="s">
        <v>297</v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 t="str">
        <f>IF($A48="","",SUMIFS(Compta!$F$1:$F$675,Compta!$A$1:$A$675,"GRP",Compta!$B$1:$B$675,"6236",Compta!$C$1:$C$675,$A48))</f>
        <v/>
      </c>
      <c r="AP48" t="s">
        <v>297</v>
      </c>
      <c r="AQ48" t="s">
        <v>297</v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IF(Allocation!D49="","",Allocation!I49)</f>
        <v/>
      </c>
      <c r="H49" t="str">
        <f>IF(Allocation!D49="","",Allocation!J49)</f>
        <v/>
      </c>
      <c r="I49" t="str">
        <f>IF(Allocation!D49="","",Allocation!K49)</f>
        <v/>
      </c>
      <c r="J49" t="str">
        <f>IF($A49="","",SUMIFS(Socle!$K$1:$K$175,Socle!$C$1:$C$175,$B49,Socle!$D$1:$D$175,$D49,Socle!$E$1:$E$175,$E49,Socle!$F$1:$F$175,$F49,Socle!$G$1:$G$175,$A49))</f>
        <v/>
      </c>
      <c r="K49" t="str">
        <f t="shared" si="0"/>
        <v/>
      </c>
      <c r="L49" t="str">
        <f>IF($A49="","",SUMIFS(Allocation!$I$1:$I$175,Allocation!$C$1:$C$175,$A49,Allocation!$D$1:$D$175,$B49))</f>
        <v/>
      </c>
      <c r="M49" t="str">
        <f>IF($A49="","",SUMIFS(Allocation!$J$1:$J$175,Allocation!$C$1:$C$175,$A49,Allocation!$D$1:$D$175,$B49))</f>
        <v/>
      </c>
      <c r="N49" t="str">
        <f>IF($A49="","",SUMIFS(Allocation!$K$1:$K$175,Allocation!$C$1:$C$175,$A49,Allocation!$D$1:$D$175,$B49))</f>
        <v/>
      </c>
      <c r="O49" t="str">
        <f t="shared" si="1"/>
        <v/>
      </c>
      <c r="P49" t="str">
        <f t="shared" si="2"/>
        <v/>
      </c>
      <c r="Q49" t="str">
        <f>IF($A49="","",SUMIFS(Allocation!$I$1:$I$175,Allocation!$C$1:$C$175,$A49,Allocation!$E$1:$E$175,$C49))</f>
        <v/>
      </c>
      <c r="R49" t="str">
        <f>IF($A49="","",SUMIFS(Allocation!$J$1:$J$175,Allocation!$C$1:$C$175,$A49,Allocation!$E$1:$E$175,$C49))</f>
        <v/>
      </c>
      <c r="S49" t="str">
        <f>IF($A49="","",SUMIFS(Allocation!$K$1:$K$175,Allocation!$C$1:$C$175,$A49,Allocation!$E$1:$E$175,$C49))</f>
        <v/>
      </c>
      <c r="T49" t="str">
        <f>IF($A49="","",SUMIFS(Allocation!$I$1:$I$175,Allocation!$C$1:$C$175,$A49))</f>
        <v/>
      </c>
      <c r="U49" t="str">
        <f>IF($A49="","",SUMIFS(Allocation!$J$1:$J$175,Allocation!$C$1:$C$175,$A49))</f>
        <v/>
      </c>
      <c r="V49" t="str">
        <f>IF($A49="","",SUMIFS(Allocation!$K$1:$K$175,Allocation!$C$1:$C$175,$A49))</f>
        <v/>
      </c>
      <c r="W49" t="str">
        <f>IF($A49="","",SUMIFS(Compta!$F$1:$F$675,Compta!$A$1:$A$675,$B49,Compta!$B$1:$B$675,"621",Compta!$C$1:$C$675,$A49))</f>
        <v/>
      </c>
      <c r="X49" t="str">
        <f>IF($A49="","",SUMIFS(Compta!$F$1:$F$675,Compta!$A$1:$A$675,$B49,Compta!$B$1:$B$675,"6411",Compta!$C$1:$C$675,$A49))</f>
        <v/>
      </c>
      <c r="Y49" t="str">
        <f>IF($A49="","",SUMIFS(Compta!$F$1:$F$675,Compta!$A$1:$A$675,$B49,Compta!$B$1:$B$675,"604",Compta!$C$1:$C$675,$A49)+SUMIFS(Compta!$F$1:$F$675,Compta!$A$1:$A$675,$B49,Compta!$B$1:$B$675,"6063",Compta!$C$1:$C$675,$A49))</f>
        <v/>
      </c>
      <c r="Z49" t="str">
        <f>IF($A49="","",SUMIFS(Compta!$F$1:$F$675,Compta!$A$1:$A$675,$B49,Compta!$B$1:$B$675,"6231",Compta!$C$1:$C$675,$A49))</f>
        <v/>
      </c>
      <c r="AA49" t="str">
        <f>IF($A49="","",SUMIFS(Compta!$F$1:$F$675,Compta!$A$1:$A$675,$B49,Compta!$B$1:$B$675,"6413",Compta!$C$1:$C$675,$A49)+SUMIFS(Compta!$F$1:$F$675,Compta!$A$1:$A$675,$B49,Compta!$B$1:$B$675,"645",Compta!$C$1:$C$675,$A49)+SUMIFS(Compta!$F$1:$F$675,Compta!$A$1:$A$675,$B49,Compta!$B$1:$B$675,"613",Compta!$C$1:$C$675,$A49)+SUMIFS(Compta!$F$1:$F$675,Compta!$A$1:$A$675,$B49,Compta!$B$1:$B$675,"615",Compta!$C$1:$C$675,$A49)+SUMIFS(Compta!$F$1:$F$675,Compta!$A$1:$A$675,$B49,Compta!$B$1:$B$675,"616",Compta!$C$1:$C$675,$A49)+SUMIFS(Compta!$F$1:$F$675,Compta!$A$1:$A$675,$B49,Compta!$B$1:$B$675,"625",Compta!$C$1:$C$675,$A49)+SUMIFS(Compta!$F$1:$F$675,Compta!$A$1:$A$675,$B49,Compta!$B$1:$B$675,"63511",Compta!$C$1:$C$675,$A49))</f>
        <v/>
      </c>
      <c r="AB49" t="str">
        <f>IF($A49="","",SUMIFS(Compta!$F$1:$F$675,Compta!$A$1:$A$675,"GRP",Compta!$B$1:$B$675,"6414",Compta!$C$1:$C$675,$A49)+SUMIFS(Compta!$F$1:$F$675,Compta!$A$1:$A$675,"GRP",Compta!$B$1:$B$675,"6226",Compta!$C$1:$C$675,$A49)+SUMIFS(Compta!$F$1:$F$675,Compta!$A$1:$A$675,"GRP",Compta!$B$1:$B$675,"626",Compta!$C$1:$C$675,$A49)+SUMIFS(Compta!$F$1:$F$675,Compta!$A$1:$A$675,"GRP",Compta!$B$1:$B$675,"6281",Compta!$C$1:$C$675,$A49)+SUMIFS(Compta!$F$1:$F$675,Compta!$A$1:$A$675,"GRP",Compta!$B$1:$B$675,"6331",Compta!$C$1:$C$675,$A49)+SUMIFS(Compta!$F$1:$F$675,Compta!$A$1:$A$675,"GRP",Compta!$B$1:$B$675,"6333",Compta!$C$1:$C$675,$A49))</f>
        <v/>
      </c>
      <c r="AC49" t="s">
        <v>297</v>
      </c>
      <c r="AD49" t="s">
        <v>297</v>
      </c>
      <c r="AE49" t="s">
        <v>297</v>
      </c>
      <c r="AF49" t="s">
        <v>297</v>
      </c>
      <c r="AG49" t="s">
        <v>297</v>
      </c>
      <c r="AH49" t="s">
        <v>297</v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 t="str">
        <f>IF($A49="","",SUMIFS(Compta!$F$1:$F$675,Compta!$A$1:$A$675,"GRP",Compta!$B$1:$B$675,"6236",Compta!$C$1:$C$675,$A49))</f>
        <v/>
      </c>
      <c r="AP49" t="s">
        <v>297</v>
      </c>
      <c r="AQ49" t="s">
        <v>297</v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IF(Allocation!D50="","",Allocation!I50)</f>
        <v/>
      </c>
      <c r="H50" t="str">
        <f>IF(Allocation!D50="","",Allocation!J50)</f>
        <v/>
      </c>
      <c r="I50" t="str">
        <f>IF(Allocation!D50="","",Allocation!K50)</f>
        <v/>
      </c>
      <c r="J50" t="str">
        <f>IF($A50="","",SUMIFS(Socle!$K$1:$K$175,Socle!$C$1:$C$175,$B50,Socle!$D$1:$D$175,$D50,Socle!$E$1:$E$175,$E50,Socle!$F$1:$F$175,$F50,Socle!$G$1:$G$175,$A50))</f>
        <v/>
      </c>
      <c r="K50" t="str">
        <f t="shared" si="0"/>
        <v/>
      </c>
      <c r="L50" t="str">
        <f>IF($A50="","",SUMIFS(Allocation!$I$1:$I$175,Allocation!$C$1:$C$175,$A50,Allocation!$D$1:$D$175,$B50))</f>
        <v/>
      </c>
      <c r="M50" t="str">
        <f>IF($A50="","",SUMIFS(Allocation!$J$1:$J$175,Allocation!$C$1:$C$175,$A50,Allocation!$D$1:$D$175,$B50))</f>
        <v/>
      </c>
      <c r="N50" t="str">
        <f>IF($A50="","",SUMIFS(Allocation!$K$1:$K$175,Allocation!$C$1:$C$175,$A50,Allocation!$D$1:$D$175,$B50))</f>
        <v/>
      </c>
      <c r="O50" t="str">
        <f t="shared" si="1"/>
        <v/>
      </c>
      <c r="P50" t="str">
        <f t="shared" si="2"/>
        <v/>
      </c>
      <c r="Q50" t="str">
        <f>IF($A50="","",SUMIFS(Allocation!$I$1:$I$175,Allocation!$C$1:$C$175,$A50,Allocation!$E$1:$E$175,$C50))</f>
        <v/>
      </c>
      <c r="R50" t="str">
        <f>IF($A50="","",SUMIFS(Allocation!$J$1:$J$175,Allocation!$C$1:$C$175,$A50,Allocation!$E$1:$E$175,$C50))</f>
        <v/>
      </c>
      <c r="S50" t="str">
        <f>IF($A50="","",SUMIFS(Allocation!$K$1:$K$175,Allocation!$C$1:$C$175,$A50,Allocation!$E$1:$E$175,$C50))</f>
        <v/>
      </c>
      <c r="T50" t="str">
        <f>IF($A50="","",SUMIFS(Allocation!$I$1:$I$175,Allocation!$C$1:$C$175,$A50))</f>
        <v/>
      </c>
      <c r="U50" t="str">
        <f>IF($A50="","",SUMIFS(Allocation!$J$1:$J$175,Allocation!$C$1:$C$175,$A50))</f>
        <v/>
      </c>
      <c r="V50" t="str">
        <f>IF($A50="","",SUMIFS(Allocation!$K$1:$K$175,Allocation!$C$1:$C$175,$A50))</f>
        <v/>
      </c>
      <c r="W50" t="str">
        <f>IF($A50="","",SUMIFS(Compta!$F$1:$F$675,Compta!$A$1:$A$675,$B50,Compta!$B$1:$B$675,"621",Compta!$C$1:$C$675,$A50))</f>
        <v/>
      </c>
      <c r="X50" t="str">
        <f>IF($A50="","",SUMIFS(Compta!$F$1:$F$675,Compta!$A$1:$A$675,$B50,Compta!$B$1:$B$675,"6411",Compta!$C$1:$C$675,$A50))</f>
        <v/>
      </c>
      <c r="Y50" t="str">
        <f>IF($A50="","",SUMIFS(Compta!$F$1:$F$675,Compta!$A$1:$A$675,$B50,Compta!$B$1:$B$675,"604",Compta!$C$1:$C$675,$A50)+SUMIFS(Compta!$F$1:$F$675,Compta!$A$1:$A$675,$B50,Compta!$B$1:$B$675,"6063",Compta!$C$1:$C$675,$A50))</f>
        <v/>
      </c>
      <c r="Z50" t="str">
        <f>IF($A50="","",SUMIFS(Compta!$F$1:$F$675,Compta!$A$1:$A$675,$B50,Compta!$B$1:$B$675,"6231",Compta!$C$1:$C$675,$A50))</f>
        <v/>
      </c>
      <c r="AA50" t="str">
        <f>IF($A50="","",SUMIFS(Compta!$F$1:$F$675,Compta!$A$1:$A$675,$B50,Compta!$B$1:$B$675,"6413",Compta!$C$1:$C$675,$A50)+SUMIFS(Compta!$F$1:$F$675,Compta!$A$1:$A$675,$B50,Compta!$B$1:$B$675,"645",Compta!$C$1:$C$675,$A50)+SUMIFS(Compta!$F$1:$F$675,Compta!$A$1:$A$675,$B50,Compta!$B$1:$B$675,"613",Compta!$C$1:$C$675,$A50)+SUMIFS(Compta!$F$1:$F$675,Compta!$A$1:$A$675,$B50,Compta!$B$1:$B$675,"615",Compta!$C$1:$C$675,$A50)+SUMIFS(Compta!$F$1:$F$675,Compta!$A$1:$A$675,$B50,Compta!$B$1:$B$675,"616",Compta!$C$1:$C$675,$A50)+SUMIFS(Compta!$F$1:$F$675,Compta!$A$1:$A$675,$B50,Compta!$B$1:$B$675,"625",Compta!$C$1:$C$675,$A50)+SUMIFS(Compta!$F$1:$F$675,Compta!$A$1:$A$675,$B50,Compta!$B$1:$B$675,"63511",Compta!$C$1:$C$675,$A50))</f>
        <v/>
      </c>
      <c r="AB50" t="str">
        <f>IF($A50="","",SUMIFS(Compta!$F$1:$F$675,Compta!$A$1:$A$675,"GRP",Compta!$B$1:$B$675,"6414",Compta!$C$1:$C$675,$A50)+SUMIFS(Compta!$F$1:$F$675,Compta!$A$1:$A$675,"GRP",Compta!$B$1:$B$675,"6226",Compta!$C$1:$C$675,$A50)+SUMIFS(Compta!$F$1:$F$675,Compta!$A$1:$A$675,"GRP",Compta!$B$1:$B$675,"626",Compta!$C$1:$C$675,$A50)+SUMIFS(Compta!$F$1:$F$675,Compta!$A$1:$A$675,"GRP",Compta!$B$1:$B$675,"6281",Compta!$C$1:$C$675,$A50)+SUMIFS(Compta!$F$1:$F$675,Compta!$A$1:$A$675,"GRP",Compta!$B$1:$B$675,"6331",Compta!$C$1:$C$675,$A50)+SUMIFS(Compta!$F$1:$F$675,Compta!$A$1:$A$675,"GRP",Compta!$B$1:$B$675,"6333",Compta!$C$1:$C$675,$A50))</f>
        <v/>
      </c>
      <c r="AC50" t="s">
        <v>297</v>
      </c>
      <c r="AD50" t="s">
        <v>297</v>
      </c>
      <c r="AE50" t="s">
        <v>297</v>
      </c>
      <c r="AF50" t="s">
        <v>297</v>
      </c>
      <c r="AG50" t="s">
        <v>297</v>
      </c>
      <c r="AH50" t="s">
        <v>297</v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 t="str">
        <f>IF($A50="","",SUMIFS(Compta!$F$1:$F$675,Compta!$A$1:$A$675,"GRP",Compta!$B$1:$B$675,"6236",Compta!$C$1:$C$675,$A50))</f>
        <v/>
      </c>
      <c r="AP50" t="s">
        <v>297</v>
      </c>
      <c r="AQ50" t="s">
        <v>297</v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IF(Allocation!D51="","",Allocation!I51)</f>
        <v/>
      </c>
      <c r="H51" t="str">
        <f>IF(Allocation!D51="","",Allocation!J51)</f>
        <v/>
      </c>
      <c r="I51" t="str">
        <f>IF(Allocation!D51="","",Allocation!K51)</f>
        <v/>
      </c>
      <c r="J51" t="str">
        <f>IF($A51="","",SUMIFS(Socle!$K$1:$K$175,Socle!$C$1:$C$175,$B51,Socle!$D$1:$D$175,$D51,Socle!$E$1:$E$175,$E51,Socle!$F$1:$F$175,$F51,Socle!$G$1:$G$175,$A51))</f>
        <v/>
      </c>
      <c r="K51" t="str">
        <f t="shared" si="0"/>
        <v/>
      </c>
      <c r="L51" t="str">
        <f>IF($A51="","",SUMIFS(Allocation!$I$1:$I$175,Allocation!$C$1:$C$175,$A51,Allocation!$D$1:$D$175,$B51))</f>
        <v/>
      </c>
      <c r="M51" t="str">
        <f>IF($A51="","",SUMIFS(Allocation!$J$1:$J$175,Allocation!$C$1:$C$175,$A51,Allocation!$D$1:$D$175,$B51))</f>
        <v/>
      </c>
      <c r="N51" t="str">
        <f>IF($A51="","",SUMIFS(Allocation!$K$1:$K$175,Allocation!$C$1:$C$175,$A51,Allocation!$D$1:$D$175,$B51))</f>
        <v/>
      </c>
      <c r="O51" t="str">
        <f t="shared" si="1"/>
        <v/>
      </c>
      <c r="P51" t="str">
        <f t="shared" si="2"/>
        <v/>
      </c>
      <c r="Q51" t="str">
        <f>IF($A51="","",SUMIFS(Allocation!$I$1:$I$175,Allocation!$C$1:$C$175,$A51,Allocation!$E$1:$E$175,$C51))</f>
        <v/>
      </c>
      <c r="R51" t="str">
        <f>IF($A51="","",SUMIFS(Allocation!$J$1:$J$175,Allocation!$C$1:$C$175,$A51,Allocation!$E$1:$E$175,$C51))</f>
        <v/>
      </c>
      <c r="S51" t="str">
        <f>IF($A51="","",SUMIFS(Allocation!$K$1:$K$175,Allocation!$C$1:$C$175,$A51,Allocation!$E$1:$E$175,$C51))</f>
        <v/>
      </c>
      <c r="T51" t="str">
        <f>IF($A51="","",SUMIFS(Allocation!$I$1:$I$175,Allocation!$C$1:$C$175,$A51))</f>
        <v/>
      </c>
      <c r="U51" t="str">
        <f>IF($A51="","",SUMIFS(Allocation!$J$1:$J$175,Allocation!$C$1:$C$175,$A51))</f>
        <v/>
      </c>
      <c r="V51" t="str">
        <f>IF($A51="","",SUMIFS(Allocation!$K$1:$K$175,Allocation!$C$1:$C$175,$A51))</f>
        <v/>
      </c>
      <c r="W51" t="str">
        <f>IF($A51="","",SUMIFS(Compta!$F$1:$F$675,Compta!$A$1:$A$675,$B51,Compta!$B$1:$B$675,"621",Compta!$C$1:$C$675,$A51))</f>
        <v/>
      </c>
      <c r="X51" t="str">
        <f>IF($A51="","",SUMIFS(Compta!$F$1:$F$675,Compta!$A$1:$A$675,$B51,Compta!$B$1:$B$675,"6411",Compta!$C$1:$C$675,$A51))</f>
        <v/>
      </c>
      <c r="Y51" t="str">
        <f>IF($A51="","",SUMIFS(Compta!$F$1:$F$675,Compta!$A$1:$A$675,$B51,Compta!$B$1:$B$675,"604",Compta!$C$1:$C$675,$A51)+SUMIFS(Compta!$F$1:$F$675,Compta!$A$1:$A$675,$B51,Compta!$B$1:$B$675,"6063",Compta!$C$1:$C$675,$A51))</f>
        <v/>
      </c>
      <c r="Z51" t="str">
        <f>IF($A51="","",SUMIFS(Compta!$F$1:$F$675,Compta!$A$1:$A$675,$B51,Compta!$B$1:$B$675,"6231",Compta!$C$1:$C$675,$A51))</f>
        <v/>
      </c>
      <c r="AA51" t="str">
        <f>IF($A51="","",SUMIFS(Compta!$F$1:$F$675,Compta!$A$1:$A$675,$B51,Compta!$B$1:$B$675,"6413",Compta!$C$1:$C$675,$A51)+SUMIFS(Compta!$F$1:$F$675,Compta!$A$1:$A$675,$B51,Compta!$B$1:$B$675,"645",Compta!$C$1:$C$675,$A51)+SUMIFS(Compta!$F$1:$F$675,Compta!$A$1:$A$675,$B51,Compta!$B$1:$B$675,"613",Compta!$C$1:$C$675,$A51)+SUMIFS(Compta!$F$1:$F$675,Compta!$A$1:$A$675,$B51,Compta!$B$1:$B$675,"615",Compta!$C$1:$C$675,$A51)+SUMIFS(Compta!$F$1:$F$675,Compta!$A$1:$A$675,$B51,Compta!$B$1:$B$675,"616",Compta!$C$1:$C$675,$A51)+SUMIFS(Compta!$F$1:$F$675,Compta!$A$1:$A$675,$B51,Compta!$B$1:$B$675,"625",Compta!$C$1:$C$675,$A51)+SUMIFS(Compta!$F$1:$F$675,Compta!$A$1:$A$675,$B51,Compta!$B$1:$B$675,"63511",Compta!$C$1:$C$675,$A51))</f>
        <v/>
      </c>
      <c r="AB51" t="str">
        <f>IF($A51="","",SUMIFS(Compta!$F$1:$F$675,Compta!$A$1:$A$675,"GRP",Compta!$B$1:$B$675,"6414",Compta!$C$1:$C$675,$A51)+SUMIFS(Compta!$F$1:$F$675,Compta!$A$1:$A$675,"GRP",Compta!$B$1:$B$675,"6226",Compta!$C$1:$C$675,$A51)+SUMIFS(Compta!$F$1:$F$675,Compta!$A$1:$A$675,"GRP",Compta!$B$1:$B$675,"626",Compta!$C$1:$C$675,$A51)+SUMIFS(Compta!$F$1:$F$675,Compta!$A$1:$A$675,"GRP",Compta!$B$1:$B$675,"6281",Compta!$C$1:$C$675,$A51)+SUMIFS(Compta!$F$1:$F$675,Compta!$A$1:$A$675,"GRP",Compta!$B$1:$B$675,"6331",Compta!$C$1:$C$675,$A51)+SUMIFS(Compta!$F$1:$F$675,Compta!$A$1:$A$675,"GRP",Compta!$B$1:$B$675,"6333",Compta!$C$1:$C$675,$A51))</f>
        <v/>
      </c>
      <c r="AC51" t="s">
        <v>297</v>
      </c>
      <c r="AD51" t="s">
        <v>297</v>
      </c>
      <c r="AE51" t="s">
        <v>297</v>
      </c>
      <c r="AF51" t="s">
        <v>297</v>
      </c>
      <c r="AG51" t="s">
        <v>297</v>
      </c>
      <c r="AH51" t="s">
        <v>297</v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 t="str">
        <f>IF($A51="","",SUMIFS(Compta!$F$1:$F$675,Compta!$A$1:$A$675,"GRP",Compta!$B$1:$B$675,"6236",Compta!$C$1:$C$675,$A51))</f>
        <v/>
      </c>
      <c r="AP51" t="s">
        <v>297</v>
      </c>
      <c r="AQ51" t="s">
        <v>297</v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IF(Allocation!D52="","",Allocation!I52)</f>
        <v/>
      </c>
      <c r="H52" t="str">
        <f>IF(Allocation!D52="","",Allocation!J52)</f>
        <v/>
      </c>
      <c r="I52" t="str">
        <f>IF(Allocation!D52="","",Allocation!K52)</f>
        <v/>
      </c>
      <c r="J52" t="str">
        <f>IF($A52="","",SUMIFS(Socle!$K$1:$K$175,Socle!$C$1:$C$175,$B52,Socle!$D$1:$D$175,$D52,Socle!$E$1:$E$175,$E52,Socle!$F$1:$F$175,$F52,Socle!$G$1:$G$175,$A52))</f>
        <v/>
      </c>
      <c r="K52" t="str">
        <f t="shared" si="0"/>
        <v/>
      </c>
      <c r="L52" t="str">
        <f>IF($A52="","",SUMIFS(Allocation!$I$1:$I$175,Allocation!$C$1:$C$175,$A52,Allocation!$D$1:$D$175,$B52))</f>
        <v/>
      </c>
      <c r="M52" t="str">
        <f>IF($A52="","",SUMIFS(Allocation!$J$1:$J$175,Allocation!$C$1:$C$175,$A52,Allocation!$D$1:$D$175,$B52))</f>
        <v/>
      </c>
      <c r="N52" t="str">
        <f>IF($A52="","",SUMIFS(Allocation!$K$1:$K$175,Allocation!$C$1:$C$175,$A52,Allocation!$D$1:$D$175,$B52))</f>
        <v/>
      </c>
      <c r="O52" t="str">
        <f t="shared" si="1"/>
        <v/>
      </c>
      <c r="P52" t="str">
        <f t="shared" si="2"/>
        <v/>
      </c>
      <c r="Q52" t="str">
        <f>IF($A52="","",SUMIFS(Allocation!$I$1:$I$175,Allocation!$C$1:$C$175,$A52,Allocation!$E$1:$E$175,$C52))</f>
        <v/>
      </c>
      <c r="R52" t="str">
        <f>IF($A52="","",SUMIFS(Allocation!$J$1:$J$175,Allocation!$C$1:$C$175,$A52,Allocation!$E$1:$E$175,$C52))</f>
        <v/>
      </c>
      <c r="S52" t="str">
        <f>IF($A52="","",SUMIFS(Allocation!$K$1:$K$175,Allocation!$C$1:$C$175,$A52,Allocation!$E$1:$E$175,$C52))</f>
        <v/>
      </c>
      <c r="T52" t="str">
        <f>IF($A52="","",SUMIFS(Allocation!$I$1:$I$175,Allocation!$C$1:$C$175,$A52))</f>
        <v/>
      </c>
      <c r="U52" t="str">
        <f>IF($A52="","",SUMIFS(Allocation!$J$1:$J$175,Allocation!$C$1:$C$175,$A52))</f>
        <v/>
      </c>
      <c r="V52" t="str">
        <f>IF($A52="","",SUMIFS(Allocation!$K$1:$K$175,Allocation!$C$1:$C$175,$A52))</f>
        <v/>
      </c>
      <c r="W52" t="str">
        <f>IF($A52="","",SUMIFS(Compta!$F$1:$F$675,Compta!$A$1:$A$675,$B52,Compta!$B$1:$B$675,"621",Compta!$C$1:$C$675,$A52))</f>
        <v/>
      </c>
      <c r="X52" t="str">
        <f>IF($A52="","",SUMIFS(Compta!$F$1:$F$675,Compta!$A$1:$A$675,$B52,Compta!$B$1:$B$675,"6411",Compta!$C$1:$C$675,$A52))</f>
        <v/>
      </c>
      <c r="Y52" t="str">
        <f>IF($A52="","",SUMIFS(Compta!$F$1:$F$675,Compta!$A$1:$A$675,$B52,Compta!$B$1:$B$675,"604",Compta!$C$1:$C$675,$A52)+SUMIFS(Compta!$F$1:$F$675,Compta!$A$1:$A$675,$B52,Compta!$B$1:$B$675,"6063",Compta!$C$1:$C$675,$A52))</f>
        <v/>
      </c>
      <c r="Z52" t="str">
        <f>IF($A52="","",SUMIFS(Compta!$F$1:$F$675,Compta!$A$1:$A$675,$B52,Compta!$B$1:$B$675,"6231",Compta!$C$1:$C$675,$A52))</f>
        <v/>
      </c>
      <c r="AA52" t="str">
        <f>IF($A52="","",SUMIFS(Compta!$F$1:$F$675,Compta!$A$1:$A$675,$B52,Compta!$B$1:$B$675,"6413",Compta!$C$1:$C$675,$A52)+SUMIFS(Compta!$F$1:$F$675,Compta!$A$1:$A$675,$B52,Compta!$B$1:$B$675,"645",Compta!$C$1:$C$675,$A52)+SUMIFS(Compta!$F$1:$F$675,Compta!$A$1:$A$675,$B52,Compta!$B$1:$B$675,"613",Compta!$C$1:$C$675,$A52)+SUMIFS(Compta!$F$1:$F$675,Compta!$A$1:$A$675,$B52,Compta!$B$1:$B$675,"615",Compta!$C$1:$C$675,$A52)+SUMIFS(Compta!$F$1:$F$675,Compta!$A$1:$A$675,$B52,Compta!$B$1:$B$675,"616",Compta!$C$1:$C$675,$A52)+SUMIFS(Compta!$F$1:$F$675,Compta!$A$1:$A$675,$B52,Compta!$B$1:$B$675,"625",Compta!$C$1:$C$675,$A52)+SUMIFS(Compta!$F$1:$F$675,Compta!$A$1:$A$675,$B52,Compta!$B$1:$B$675,"63511",Compta!$C$1:$C$675,$A52))</f>
        <v/>
      </c>
      <c r="AB52" t="str">
        <f>IF($A52="","",SUMIFS(Compta!$F$1:$F$675,Compta!$A$1:$A$675,"GRP",Compta!$B$1:$B$675,"6414",Compta!$C$1:$C$675,$A52)+SUMIFS(Compta!$F$1:$F$675,Compta!$A$1:$A$675,"GRP",Compta!$B$1:$B$675,"6226",Compta!$C$1:$C$675,$A52)+SUMIFS(Compta!$F$1:$F$675,Compta!$A$1:$A$675,"GRP",Compta!$B$1:$B$675,"626",Compta!$C$1:$C$675,$A52)+SUMIFS(Compta!$F$1:$F$675,Compta!$A$1:$A$675,"GRP",Compta!$B$1:$B$675,"6281",Compta!$C$1:$C$675,$A52)+SUMIFS(Compta!$F$1:$F$675,Compta!$A$1:$A$675,"GRP",Compta!$B$1:$B$675,"6331",Compta!$C$1:$C$675,$A52)+SUMIFS(Compta!$F$1:$F$675,Compta!$A$1:$A$675,"GRP",Compta!$B$1:$B$675,"6333",Compta!$C$1:$C$675,$A52))</f>
        <v/>
      </c>
      <c r="AC52" t="s">
        <v>297</v>
      </c>
      <c r="AD52" t="s">
        <v>297</v>
      </c>
      <c r="AE52" t="s">
        <v>297</v>
      </c>
      <c r="AF52" t="s">
        <v>297</v>
      </c>
      <c r="AG52" t="s">
        <v>297</v>
      </c>
      <c r="AH52" t="s">
        <v>297</v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 t="str">
        <f>IF($A52="","",SUMIFS(Compta!$F$1:$F$675,Compta!$A$1:$A$675,"GRP",Compta!$B$1:$B$675,"6236",Compta!$C$1:$C$675,$A52))</f>
        <v/>
      </c>
      <c r="AP52" t="s">
        <v>297</v>
      </c>
      <c r="AQ52" t="s">
        <v>297</v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IF(Allocation!D53="","",Allocation!I53)</f>
        <v/>
      </c>
      <c r="H53" t="str">
        <f>IF(Allocation!D53="","",Allocation!J53)</f>
        <v/>
      </c>
      <c r="I53" t="str">
        <f>IF(Allocation!D53="","",Allocation!K53)</f>
        <v/>
      </c>
      <c r="J53" t="str">
        <f>IF($A53="","",SUMIFS(Socle!$K$1:$K$175,Socle!$C$1:$C$175,$B53,Socle!$D$1:$D$175,$D53,Socle!$E$1:$E$175,$E53,Socle!$F$1:$F$175,$F53,Socle!$G$1:$G$175,$A53))</f>
        <v/>
      </c>
      <c r="K53" t="str">
        <f t="shared" si="0"/>
        <v/>
      </c>
      <c r="L53" t="str">
        <f>IF($A53="","",SUMIFS(Allocation!$I$1:$I$175,Allocation!$C$1:$C$175,$A53,Allocation!$D$1:$D$175,$B53))</f>
        <v/>
      </c>
      <c r="M53" t="str">
        <f>IF($A53="","",SUMIFS(Allocation!$J$1:$J$175,Allocation!$C$1:$C$175,$A53,Allocation!$D$1:$D$175,$B53))</f>
        <v/>
      </c>
      <c r="N53" t="str">
        <f>IF($A53="","",SUMIFS(Allocation!$K$1:$K$175,Allocation!$C$1:$C$175,$A53,Allocation!$D$1:$D$175,$B53))</f>
        <v/>
      </c>
      <c r="O53" t="str">
        <f t="shared" si="1"/>
        <v/>
      </c>
      <c r="P53" t="str">
        <f t="shared" si="2"/>
        <v/>
      </c>
      <c r="Q53" t="str">
        <f>IF($A53="","",SUMIFS(Allocation!$I$1:$I$175,Allocation!$C$1:$C$175,$A53,Allocation!$E$1:$E$175,$C53))</f>
        <v/>
      </c>
      <c r="R53" t="str">
        <f>IF($A53="","",SUMIFS(Allocation!$J$1:$J$175,Allocation!$C$1:$C$175,$A53,Allocation!$E$1:$E$175,$C53))</f>
        <v/>
      </c>
      <c r="S53" t="str">
        <f>IF($A53="","",SUMIFS(Allocation!$K$1:$K$175,Allocation!$C$1:$C$175,$A53,Allocation!$E$1:$E$175,$C53))</f>
        <v/>
      </c>
      <c r="T53" t="str">
        <f>IF($A53="","",SUMIFS(Allocation!$I$1:$I$175,Allocation!$C$1:$C$175,$A53))</f>
        <v/>
      </c>
      <c r="U53" t="str">
        <f>IF($A53="","",SUMIFS(Allocation!$J$1:$J$175,Allocation!$C$1:$C$175,$A53))</f>
        <v/>
      </c>
      <c r="V53" t="str">
        <f>IF($A53="","",SUMIFS(Allocation!$K$1:$K$175,Allocation!$C$1:$C$175,$A53))</f>
        <v/>
      </c>
      <c r="W53" t="str">
        <f>IF($A53="","",SUMIFS(Compta!$F$1:$F$675,Compta!$A$1:$A$675,$B53,Compta!$B$1:$B$675,"621",Compta!$C$1:$C$675,$A53))</f>
        <v/>
      </c>
      <c r="X53" t="str">
        <f>IF($A53="","",SUMIFS(Compta!$F$1:$F$675,Compta!$A$1:$A$675,$B53,Compta!$B$1:$B$675,"6411",Compta!$C$1:$C$675,$A53))</f>
        <v/>
      </c>
      <c r="Y53" t="str">
        <f>IF($A53="","",SUMIFS(Compta!$F$1:$F$675,Compta!$A$1:$A$675,$B53,Compta!$B$1:$B$675,"604",Compta!$C$1:$C$675,$A53)+SUMIFS(Compta!$F$1:$F$675,Compta!$A$1:$A$675,$B53,Compta!$B$1:$B$675,"6063",Compta!$C$1:$C$675,$A53))</f>
        <v/>
      </c>
      <c r="Z53" t="str">
        <f>IF($A53="","",SUMIFS(Compta!$F$1:$F$675,Compta!$A$1:$A$675,$B53,Compta!$B$1:$B$675,"6231",Compta!$C$1:$C$675,$A53))</f>
        <v/>
      </c>
      <c r="AA53" t="str">
        <f>IF($A53="","",SUMIFS(Compta!$F$1:$F$675,Compta!$A$1:$A$675,$B53,Compta!$B$1:$B$675,"6413",Compta!$C$1:$C$675,$A53)+SUMIFS(Compta!$F$1:$F$675,Compta!$A$1:$A$675,$B53,Compta!$B$1:$B$675,"645",Compta!$C$1:$C$675,$A53)+SUMIFS(Compta!$F$1:$F$675,Compta!$A$1:$A$675,$B53,Compta!$B$1:$B$675,"613",Compta!$C$1:$C$675,$A53)+SUMIFS(Compta!$F$1:$F$675,Compta!$A$1:$A$675,$B53,Compta!$B$1:$B$675,"615",Compta!$C$1:$C$675,$A53)+SUMIFS(Compta!$F$1:$F$675,Compta!$A$1:$A$675,$B53,Compta!$B$1:$B$675,"616",Compta!$C$1:$C$675,$A53)+SUMIFS(Compta!$F$1:$F$675,Compta!$A$1:$A$675,$B53,Compta!$B$1:$B$675,"625",Compta!$C$1:$C$675,$A53)+SUMIFS(Compta!$F$1:$F$675,Compta!$A$1:$A$675,$B53,Compta!$B$1:$B$675,"63511",Compta!$C$1:$C$675,$A53))</f>
        <v/>
      </c>
      <c r="AB53" t="str">
        <f>IF($A53="","",SUMIFS(Compta!$F$1:$F$675,Compta!$A$1:$A$675,"GRP",Compta!$B$1:$B$675,"6414",Compta!$C$1:$C$675,$A53)+SUMIFS(Compta!$F$1:$F$675,Compta!$A$1:$A$675,"GRP",Compta!$B$1:$B$675,"6226",Compta!$C$1:$C$675,$A53)+SUMIFS(Compta!$F$1:$F$675,Compta!$A$1:$A$675,"GRP",Compta!$B$1:$B$675,"626",Compta!$C$1:$C$675,$A53)+SUMIFS(Compta!$F$1:$F$675,Compta!$A$1:$A$675,"GRP",Compta!$B$1:$B$675,"6281",Compta!$C$1:$C$675,$A53)+SUMIFS(Compta!$F$1:$F$675,Compta!$A$1:$A$675,"GRP",Compta!$B$1:$B$675,"6331",Compta!$C$1:$C$675,$A53)+SUMIFS(Compta!$F$1:$F$675,Compta!$A$1:$A$675,"GRP",Compta!$B$1:$B$675,"6333",Compta!$C$1:$C$675,$A53))</f>
        <v/>
      </c>
      <c r="AC53" t="s">
        <v>297</v>
      </c>
      <c r="AD53" t="s">
        <v>297</v>
      </c>
      <c r="AE53" t="s">
        <v>297</v>
      </c>
      <c r="AF53" t="s">
        <v>297</v>
      </c>
      <c r="AG53" t="s">
        <v>297</v>
      </c>
      <c r="AH53" t="s">
        <v>297</v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 t="str">
        <f>IF($A53="","",SUMIFS(Compta!$F$1:$F$675,Compta!$A$1:$A$675,"GRP",Compta!$B$1:$B$675,"6236",Compta!$C$1:$C$675,$A53))</f>
        <v/>
      </c>
      <c r="AP53" t="s">
        <v>297</v>
      </c>
      <c r="AQ53" t="s">
        <v>297</v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IF(Allocation!D54="","",Allocation!I54)</f>
        <v/>
      </c>
      <c r="H54" t="str">
        <f>IF(Allocation!D54="","",Allocation!J54)</f>
        <v/>
      </c>
      <c r="I54" t="str">
        <f>IF(Allocation!D54="","",Allocation!K54)</f>
        <v/>
      </c>
      <c r="J54" t="str">
        <f>IF($A54="","",SUMIFS(Socle!$K$1:$K$175,Socle!$C$1:$C$175,$B54,Socle!$D$1:$D$175,$D54,Socle!$E$1:$E$175,$E54,Socle!$F$1:$F$175,$F54,Socle!$G$1:$G$175,$A54))</f>
        <v/>
      </c>
      <c r="K54" t="str">
        <f t="shared" si="0"/>
        <v/>
      </c>
      <c r="L54" t="str">
        <f>IF($A54="","",SUMIFS(Allocation!$I$1:$I$175,Allocation!$C$1:$C$175,$A54,Allocation!$D$1:$D$175,$B54))</f>
        <v/>
      </c>
      <c r="M54" t="str">
        <f>IF($A54="","",SUMIFS(Allocation!$J$1:$J$175,Allocation!$C$1:$C$175,$A54,Allocation!$D$1:$D$175,$B54))</f>
        <v/>
      </c>
      <c r="N54" t="str">
        <f>IF($A54="","",SUMIFS(Allocation!$K$1:$K$175,Allocation!$C$1:$C$175,$A54,Allocation!$D$1:$D$175,$B54))</f>
        <v/>
      </c>
      <c r="O54" t="str">
        <f t="shared" si="1"/>
        <v/>
      </c>
      <c r="P54" t="str">
        <f t="shared" si="2"/>
        <v/>
      </c>
      <c r="Q54" t="str">
        <f>IF($A54="","",SUMIFS(Allocation!$I$1:$I$175,Allocation!$C$1:$C$175,$A54,Allocation!$E$1:$E$175,$C54))</f>
        <v/>
      </c>
      <c r="R54" t="str">
        <f>IF($A54="","",SUMIFS(Allocation!$J$1:$J$175,Allocation!$C$1:$C$175,$A54,Allocation!$E$1:$E$175,$C54))</f>
        <v/>
      </c>
      <c r="S54" t="str">
        <f>IF($A54="","",SUMIFS(Allocation!$K$1:$K$175,Allocation!$C$1:$C$175,$A54,Allocation!$E$1:$E$175,$C54))</f>
        <v/>
      </c>
      <c r="T54" t="str">
        <f>IF($A54="","",SUMIFS(Allocation!$I$1:$I$175,Allocation!$C$1:$C$175,$A54))</f>
        <v/>
      </c>
      <c r="U54" t="str">
        <f>IF($A54="","",SUMIFS(Allocation!$J$1:$J$175,Allocation!$C$1:$C$175,$A54))</f>
        <v/>
      </c>
      <c r="V54" t="str">
        <f>IF($A54="","",SUMIFS(Allocation!$K$1:$K$175,Allocation!$C$1:$C$175,$A54))</f>
        <v/>
      </c>
      <c r="W54" t="str">
        <f>IF($A54="","",SUMIFS(Compta!$F$1:$F$675,Compta!$A$1:$A$675,$B54,Compta!$B$1:$B$675,"621",Compta!$C$1:$C$675,$A54))</f>
        <v/>
      </c>
      <c r="X54" t="str">
        <f>IF($A54="","",SUMIFS(Compta!$F$1:$F$675,Compta!$A$1:$A$675,$B54,Compta!$B$1:$B$675,"6411",Compta!$C$1:$C$675,$A54))</f>
        <v/>
      </c>
      <c r="Y54" t="str">
        <f>IF($A54="","",SUMIFS(Compta!$F$1:$F$675,Compta!$A$1:$A$675,$B54,Compta!$B$1:$B$675,"604",Compta!$C$1:$C$675,$A54)+SUMIFS(Compta!$F$1:$F$675,Compta!$A$1:$A$675,$B54,Compta!$B$1:$B$675,"6063",Compta!$C$1:$C$675,$A54))</f>
        <v/>
      </c>
      <c r="Z54" t="str">
        <f>IF($A54="","",SUMIFS(Compta!$F$1:$F$675,Compta!$A$1:$A$675,$B54,Compta!$B$1:$B$675,"6231",Compta!$C$1:$C$675,$A54))</f>
        <v/>
      </c>
      <c r="AA54" t="str">
        <f>IF($A54="","",SUMIFS(Compta!$F$1:$F$675,Compta!$A$1:$A$675,$B54,Compta!$B$1:$B$675,"6413",Compta!$C$1:$C$675,$A54)+SUMIFS(Compta!$F$1:$F$675,Compta!$A$1:$A$675,$B54,Compta!$B$1:$B$675,"645",Compta!$C$1:$C$675,$A54)+SUMIFS(Compta!$F$1:$F$675,Compta!$A$1:$A$675,$B54,Compta!$B$1:$B$675,"613",Compta!$C$1:$C$675,$A54)+SUMIFS(Compta!$F$1:$F$675,Compta!$A$1:$A$675,$B54,Compta!$B$1:$B$675,"615",Compta!$C$1:$C$675,$A54)+SUMIFS(Compta!$F$1:$F$675,Compta!$A$1:$A$675,$B54,Compta!$B$1:$B$675,"616",Compta!$C$1:$C$675,$A54)+SUMIFS(Compta!$F$1:$F$675,Compta!$A$1:$A$675,$B54,Compta!$B$1:$B$675,"625",Compta!$C$1:$C$675,$A54)+SUMIFS(Compta!$F$1:$F$675,Compta!$A$1:$A$675,$B54,Compta!$B$1:$B$675,"63511",Compta!$C$1:$C$675,$A54))</f>
        <v/>
      </c>
      <c r="AB54" t="str">
        <f>IF($A54="","",SUMIFS(Compta!$F$1:$F$675,Compta!$A$1:$A$675,"GRP",Compta!$B$1:$B$675,"6414",Compta!$C$1:$C$675,$A54)+SUMIFS(Compta!$F$1:$F$675,Compta!$A$1:$A$675,"GRP",Compta!$B$1:$B$675,"6226",Compta!$C$1:$C$675,$A54)+SUMIFS(Compta!$F$1:$F$675,Compta!$A$1:$A$675,"GRP",Compta!$B$1:$B$675,"626",Compta!$C$1:$C$675,$A54)+SUMIFS(Compta!$F$1:$F$675,Compta!$A$1:$A$675,"GRP",Compta!$B$1:$B$675,"6281",Compta!$C$1:$C$675,$A54)+SUMIFS(Compta!$F$1:$F$675,Compta!$A$1:$A$675,"GRP",Compta!$B$1:$B$675,"6331",Compta!$C$1:$C$675,$A54)+SUMIFS(Compta!$F$1:$F$675,Compta!$A$1:$A$675,"GRP",Compta!$B$1:$B$675,"6333",Compta!$C$1:$C$675,$A54))</f>
        <v/>
      </c>
      <c r="AC54" t="s">
        <v>297</v>
      </c>
      <c r="AD54" t="s">
        <v>297</v>
      </c>
      <c r="AE54" t="s">
        <v>297</v>
      </c>
      <c r="AF54" t="s">
        <v>297</v>
      </c>
      <c r="AG54" t="s">
        <v>297</v>
      </c>
      <c r="AH54" t="s">
        <v>297</v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 t="str">
        <f>IF($A54="","",SUMIFS(Compta!$F$1:$F$675,Compta!$A$1:$A$675,"GRP",Compta!$B$1:$B$675,"6236",Compta!$C$1:$C$675,$A54))</f>
        <v/>
      </c>
      <c r="AP54" t="s">
        <v>297</v>
      </c>
      <c r="AQ54" t="s">
        <v>297</v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IF(Allocation!D55="","",Allocation!I55)</f>
        <v/>
      </c>
      <c r="H55" t="str">
        <f>IF(Allocation!D55="","",Allocation!J55)</f>
        <v/>
      </c>
      <c r="I55" t="str">
        <f>IF(Allocation!D55="","",Allocation!K55)</f>
        <v/>
      </c>
      <c r="J55" t="str">
        <f>IF($A55="","",SUMIFS(Socle!$K$1:$K$175,Socle!$C$1:$C$175,$B55,Socle!$D$1:$D$175,$D55,Socle!$E$1:$E$175,$E55,Socle!$F$1:$F$175,$F55,Socle!$G$1:$G$175,$A55))</f>
        <v/>
      </c>
      <c r="K55" t="str">
        <f t="shared" si="0"/>
        <v/>
      </c>
      <c r="L55" t="str">
        <f>IF($A55="","",SUMIFS(Allocation!$I$1:$I$175,Allocation!$C$1:$C$175,$A55,Allocation!$D$1:$D$175,$B55))</f>
        <v/>
      </c>
      <c r="M55" t="str">
        <f>IF($A55="","",SUMIFS(Allocation!$J$1:$J$175,Allocation!$C$1:$C$175,$A55,Allocation!$D$1:$D$175,$B55))</f>
        <v/>
      </c>
      <c r="N55" t="str">
        <f>IF($A55="","",SUMIFS(Allocation!$K$1:$K$175,Allocation!$C$1:$C$175,$A55,Allocation!$D$1:$D$175,$B55))</f>
        <v/>
      </c>
      <c r="O55" t="str">
        <f t="shared" si="1"/>
        <v/>
      </c>
      <c r="P55" t="str">
        <f t="shared" si="2"/>
        <v/>
      </c>
      <c r="Q55" t="str">
        <f>IF($A55="","",SUMIFS(Allocation!$I$1:$I$175,Allocation!$C$1:$C$175,$A55,Allocation!$E$1:$E$175,$C55))</f>
        <v/>
      </c>
      <c r="R55" t="str">
        <f>IF($A55="","",SUMIFS(Allocation!$J$1:$J$175,Allocation!$C$1:$C$175,$A55,Allocation!$E$1:$E$175,$C55))</f>
        <v/>
      </c>
      <c r="S55" t="str">
        <f>IF($A55="","",SUMIFS(Allocation!$K$1:$K$175,Allocation!$C$1:$C$175,$A55,Allocation!$E$1:$E$175,$C55))</f>
        <v/>
      </c>
      <c r="T55" t="str">
        <f>IF($A55="","",SUMIFS(Allocation!$I$1:$I$175,Allocation!$C$1:$C$175,$A55))</f>
        <v/>
      </c>
      <c r="U55" t="str">
        <f>IF($A55="","",SUMIFS(Allocation!$J$1:$J$175,Allocation!$C$1:$C$175,$A55))</f>
        <v/>
      </c>
      <c r="V55" t="str">
        <f>IF($A55="","",SUMIFS(Allocation!$K$1:$K$175,Allocation!$C$1:$C$175,$A55))</f>
        <v/>
      </c>
      <c r="W55" t="str">
        <f>IF($A55="","",SUMIFS(Compta!$F$1:$F$675,Compta!$A$1:$A$675,$B55,Compta!$B$1:$B$675,"621",Compta!$C$1:$C$675,$A55))</f>
        <v/>
      </c>
      <c r="X55" t="str">
        <f>IF($A55="","",SUMIFS(Compta!$F$1:$F$675,Compta!$A$1:$A$675,$B55,Compta!$B$1:$B$675,"6411",Compta!$C$1:$C$675,$A55))</f>
        <v/>
      </c>
      <c r="Y55" t="str">
        <f>IF($A55="","",SUMIFS(Compta!$F$1:$F$675,Compta!$A$1:$A$675,$B55,Compta!$B$1:$B$675,"604",Compta!$C$1:$C$675,$A55)+SUMIFS(Compta!$F$1:$F$675,Compta!$A$1:$A$675,$B55,Compta!$B$1:$B$675,"6063",Compta!$C$1:$C$675,$A55))</f>
        <v/>
      </c>
      <c r="Z55" t="str">
        <f>IF($A55="","",SUMIFS(Compta!$F$1:$F$675,Compta!$A$1:$A$675,$B55,Compta!$B$1:$B$675,"6231",Compta!$C$1:$C$675,$A55))</f>
        <v/>
      </c>
      <c r="AA55" t="str">
        <f>IF($A55="","",SUMIFS(Compta!$F$1:$F$675,Compta!$A$1:$A$675,$B55,Compta!$B$1:$B$675,"6413",Compta!$C$1:$C$675,$A55)+SUMIFS(Compta!$F$1:$F$675,Compta!$A$1:$A$675,$B55,Compta!$B$1:$B$675,"645",Compta!$C$1:$C$675,$A55)+SUMIFS(Compta!$F$1:$F$675,Compta!$A$1:$A$675,$B55,Compta!$B$1:$B$675,"613",Compta!$C$1:$C$675,$A55)+SUMIFS(Compta!$F$1:$F$675,Compta!$A$1:$A$675,$B55,Compta!$B$1:$B$675,"615",Compta!$C$1:$C$675,$A55)+SUMIFS(Compta!$F$1:$F$675,Compta!$A$1:$A$675,$B55,Compta!$B$1:$B$675,"616",Compta!$C$1:$C$675,$A55)+SUMIFS(Compta!$F$1:$F$675,Compta!$A$1:$A$675,$B55,Compta!$B$1:$B$675,"625",Compta!$C$1:$C$675,$A55)+SUMIFS(Compta!$F$1:$F$675,Compta!$A$1:$A$675,$B55,Compta!$B$1:$B$675,"63511",Compta!$C$1:$C$675,$A55))</f>
        <v/>
      </c>
      <c r="AB55" t="str">
        <f>IF($A55="","",SUMIFS(Compta!$F$1:$F$675,Compta!$A$1:$A$675,"GRP",Compta!$B$1:$B$675,"6414",Compta!$C$1:$C$675,$A55)+SUMIFS(Compta!$F$1:$F$675,Compta!$A$1:$A$675,"GRP",Compta!$B$1:$B$675,"6226",Compta!$C$1:$C$675,$A55)+SUMIFS(Compta!$F$1:$F$675,Compta!$A$1:$A$675,"GRP",Compta!$B$1:$B$675,"626",Compta!$C$1:$C$675,$A55)+SUMIFS(Compta!$F$1:$F$675,Compta!$A$1:$A$675,"GRP",Compta!$B$1:$B$675,"6281",Compta!$C$1:$C$675,$A55)+SUMIFS(Compta!$F$1:$F$675,Compta!$A$1:$A$675,"GRP",Compta!$B$1:$B$675,"6331",Compta!$C$1:$C$675,$A55)+SUMIFS(Compta!$F$1:$F$675,Compta!$A$1:$A$675,"GRP",Compta!$B$1:$B$675,"6333",Compta!$C$1:$C$675,$A55))</f>
        <v/>
      </c>
      <c r="AC55" t="s">
        <v>297</v>
      </c>
      <c r="AD55" t="s">
        <v>297</v>
      </c>
      <c r="AE55" t="s">
        <v>297</v>
      </c>
      <c r="AF55" t="s">
        <v>297</v>
      </c>
      <c r="AG55" t="s">
        <v>297</v>
      </c>
      <c r="AH55" t="s">
        <v>297</v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 t="str">
        <f>IF($A55="","",SUMIFS(Compta!$F$1:$F$675,Compta!$A$1:$A$675,"GRP",Compta!$B$1:$B$675,"6236",Compta!$C$1:$C$675,$A55))</f>
        <v/>
      </c>
      <c r="AP55" t="s">
        <v>297</v>
      </c>
      <c r="AQ55" t="s">
        <v>297</v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IF(Allocation!D56="","",Allocation!I56)</f>
        <v/>
      </c>
      <c r="H56" t="str">
        <f>IF(Allocation!D56="","",Allocation!J56)</f>
        <v/>
      </c>
      <c r="I56" t="str">
        <f>IF(Allocation!D56="","",Allocation!K56)</f>
        <v/>
      </c>
      <c r="J56" t="str">
        <f>IF($A56="","",SUMIFS(Socle!$K$1:$K$175,Socle!$C$1:$C$175,$B56,Socle!$D$1:$D$175,$D56,Socle!$E$1:$E$175,$E56,Socle!$F$1:$F$175,$F56,Socle!$G$1:$G$175,$A56))</f>
        <v/>
      </c>
      <c r="K56" t="str">
        <f t="shared" si="0"/>
        <v/>
      </c>
      <c r="L56" t="str">
        <f>IF($A56="","",SUMIFS(Allocation!$I$1:$I$175,Allocation!$C$1:$C$175,$A56,Allocation!$D$1:$D$175,$B56))</f>
        <v/>
      </c>
      <c r="M56" t="str">
        <f>IF($A56="","",SUMIFS(Allocation!$J$1:$J$175,Allocation!$C$1:$C$175,$A56,Allocation!$D$1:$D$175,$B56))</f>
        <v/>
      </c>
      <c r="N56" t="str">
        <f>IF($A56="","",SUMIFS(Allocation!$K$1:$K$175,Allocation!$C$1:$C$175,$A56,Allocation!$D$1:$D$175,$B56))</f>
        <v/>
      </c>
      <c r="O56" t="str">
        <f t="shared" si="1"/>
        <v/>
      </c>
      <c r="P56" t="str">
        <f t="shared" si="2"/>
        <v/>
      </c>
      <c r="Q56" t="str">
        <f>IF($A56="","",SUMIFS(Allocation!$I$1:$I$175,Allocation!$C$1:$C$175,$A56,Allocation!$E$1:$E$175,$C56))</f>
        <v/>
      </c>
      <c r="R56" t="str">
        <f>IF($A56="","",SUMIFS(Allocation!$J$1:$J$175,Allocation!$C$1:$C$175,$A56,Allocation!$E$1:$E$175,$C56))</f>
        <v/>
      </c>
      <c r="S56" t="str">
        <f>IF($A56="","",SUMIFS(Allocation!$K$1:$K$175,Allocation!$C$1:$C$175,$A56,Allocation!$E$1:$E$175,$C56))</f>
        <v/>
      </c>
      <c r="T56" t="str">
        <f>IF($A56="","",SUMIFS(Allocation!$I$1:$I$175,Allocation!$C$1:$C$175,$A56))</f>
        <v/>
      </c>
      <c r="U56" t="str">
        <f>IF($A56="","",SUMIFS(Allocation!$J$1:$J$175,Allocation!$C$1:$C$175,$A56))</f>
        <v/>
      </c>
      <c r="V56" t="str">
        <f>IF($A56="","",SUMIFS(Allocation!$K$1:$K$175,Allocation!$C$1:$C$175,$A56))</f>
        <v/>
      </c>
      <c r="W56" t="str">
        <f>IF($A56="","",SUMIFS(Compta!$F$1:$F$675,Compta!$A$1:$A$675,$B56,Compta!$B$1:$B$675,"621",Compta!$C$1:$C$675,$A56))</f>
        <v/>
      </c>
      <c r="X56" t="str">
        <f>IF($A56="","",SUMIFS(Compta!$F$1:$F$675,Compta!$A$1:$A$675,$B56,Compta!$B$1:$B$675,"6411",Compta!$C$1:$C$675,$A56))</f>
        <v/>
      </c>
      <c r="Y56" t="str">
        <f>IF($A56="","",SUMIFS(Compta!$F$1:$F$675,Compta!$A$1:$A$675,$B56,Compta!$B$1:$B$675,"604",Compta!$C$1:$C$675,$A56)+SUMIFS(Compta!$F$1:$F$675,Compta!$A$1:$A$675,$B56,Compta!$B$1:$B$675,"6063",Compta!$C$1:$C$675,$A56))</f>
        <v/>
      </c>
      <c r="Z56" t="str">
        <f>IF($A56="","",SUMIFS(Compta!$F$1:$F$675,Compta!$A$1:$A$675,$B56,Compta!$B$1:$B$675,"6231",Compta!$C$1:$C$675,$A56))</f>
        <v/>
      </c>
      <c r="AA56" t="str">
        <f>IF($A56="","",SUMIFS(Compta!$F$1:$F$675,Compta!$A$1:$A$675,$B56,Compta!$B$1:$B$675,"6413",Compta!$C$1:$C$675,$A56)+SUMIFS(Compta!$F$1:$F$675,Compta!$A$1:$A$675,$B56,Compta!$B$1:$B$675,"645",Compta!$C$1:$C$675,$A56)+SUMIFS(Compta!$F$1:$F$675,Compta!$A$1:$A$675,$B56,Compta!$B$1:$B$675,"613",Compta!$C$1:$C$675,$A56)+SUMIFS(Compta!$F$1:$F$675,Compta!$A$1:$A$675,$B56,Compta!$B$1:$B$675,"615",Compta!$C$1:$C$675,$A56)+SUMIFS(Compta!$F$1:$F$675,Compta!$A$1:$A$675,$B56,Compta!$B$1:$B$675,"616",Compta!$C$1:$C$675,$A56)+SUMIFS(Compta!$F$1:$F$675,Compta!$A$1:$A$675,$B56,Compta!$B$1:$B$675,"625",Compta!$C$1:$C$675,$A56)+SUMIFS(Compta!$F$1:$F$675,Compta!$A$1:$A$675,$B56,Compta!$B$1:$B$675,"63511",Compta!$C$1:$C$675,$A56))</f>
        <v/>
      </c>
      <c r="AB56" t="str">
        <f>IF($A56="","",SUMIFS(Compta!$F$1:$F$675,Compta!$A$1:$A$675,"GRP",Compta!$B$1:$B$675,"6414",Compta!$C$1:$C$675,$A56)+SUMIFS(Compta!$F$1:$F$675,Compta!$A$1:$A$675,"GRP",Compta!$B$1:$B$675,"6226",Compta!$C$1:$C$675,$A56)+SUMIFS(Compta!$F$1:$F$675,Compta!$A$1:$A$675,"GRP",Compta!$B$1:$B$675,"626",Compta!$C$1:$C$675,$A56)+SUMIFS(Compta!$F$1:$F$675,Compta!$A$1:$A$675,"GRP",Compta!$B$1:$B$675,"6281",Compta!$C$1:$C$675,$A56)+SUMIFS(Compta!$F$1:$F$675,Compta!$A$1:$A$675,"GRP",Compta!$B$1:$B$675,"6331",Compta!$C$1:$C$675,$A56)+SUMIFS(Compta!$F$1:$F$675,Compta!$A$1:$A$675,"GRP",Compta!$B$1:$B$675,"6333",Compta!$C$1:$C$675,$A56))</f>
        <v/>
      </c>
      <c r="AC56" t="s">
        <v>297</v>
      </c>
      <c r="AD56" t="s">
        <v>297</v>
      </c>
      <c r="AE56" t="s">
        <v>297</v>
      </c>
      <c r="AF56" t="s">
        <v>297</v>
      </c>
      <c r="AG56" t="s">
        <v>297</v>
      </c>
      <c r="AH56" t="s">
        <v>297</v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 t="str">
        <f>IF($A56="","",SUMIFS(Compta!$F$1:$F$675,Compta!$A$1:$A$675,"GRP",Compta!$B$1:$B$675,"6236",Compta!$C$1:$C$675,$A56))</f>
        <v/>
      </c>
      <c r="AP56" t="s">
        <v>297</v>
      </c>
      <c r="AQ56" t="s">
        <v>297</v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IF(Allocation!D57="","",Allocation!I57)</f>
        <v/>
      </c>
      <c r="H57" t="str">
        <f>IF(Allocation!D57="","",Allocation!J57)</f>
        <v/>
      </c>
      <c r="I57" t="str">
        <f>IF(Allocation!D57="","",Allocation!K57)</f>
        <v/>
      </c>
      <c r="J57" t="str">
        <f>IF($A57="","",SUMIFS(Socle!$K$1:$K$175,Socle!$C$1:$C$175,$B57,Socle!$D$1:$D$175,$D57,Socle!$E$1:$E$175,$E57,Socle!$F$1:$F$175,$F57,Socle!$G$1:$G$175,$A57))</f>
        <v/>
      </c>
      <c r="K57" t="str">
        <f t="shared" si="0"/>
        <v/>
      </c>
      <c r="L57" t="str">
        <f>IF($A57="","",SUMIFS(Allocation!$I$1:$I$175,Allocation!$C$1:$C$175,$A57,Allocation!$D$1:$D$175,$B57))</f>
        <v/>
      </c>
      <c r="M57" t="str">
        <f>IF($A57="","",SUMIFS(Allocation!$J$1:$J$175,Allocation!$C$1:$C$175,$A57,Allocation!$D$1:$D$175,$B57))</f>
        <v/>
      </c>
      <c r="N57" t="str">
        <f>IF($A57="","",SUMIFS(Allocation!$K$1:$K$175,Allocation!$C$1:$C$175,$A57,Allocation!$D$1:$D$175,$B57))</f>
        <v/>
      </c>
      <c r="O57" t="str">
        <f t="shared" si="1"/>
        <v/>
      </c>
      <c r="P57" t="str">
        <f t="shared" si="2"/>
        <v/>
      </c>
      <c r="Q57" t="str">
        <f>IF($A57="","",SUMIFS(Allocation!$I$1:$I$175,Allocation!$C$1:$C$175,$A57,Allocation!$E$1:$E$175,$C57))</f>
        <v/>
      </c>
      <c r="R57" t="str">
        <f>IF($A57="","",SUMIFS(Allocation!$J$1:$J$175,Allocation!$C$1:$C$175,$A57,Allocation!$E$1:$E$175,$C57))</f>
        <v/>
      </c>
      <c r="S57" t="str">
        <f>IF($A57="","",SUMIFS(Allocation!$K$1:$K$175,Allocation!$C$1:$C$175,$A57,Allocation!$E$1:$E$175,$C57))</f>
        <v/>
      </c>
      <c r="T57" t="str">
        <f>IF($A57="","",SUMIFS(Allocation!$I$1:$I$175,Allocation!$C$1:$C$175,$A57))</f>
        <v/>
      </c>
      <c r="U57" t="str">
        <f>IF($A57="","",SUMIFS(Allocation!$J$1:$J$175,Allocation!$C$1:$C$175,$A57))</f>
        <v/>
      </c>
      <c r="V57" t="str">
        <f>IF($A57="","",SUMIFS(Allocation!$K$1:$K$175,Allocation!$C$1:$C$175,$A57))</f>
        <v/>
      </c>
      <c r="W57" t="str">
        <f>IF($A57="","",SUMIFS(Compta!$F$1:$F$675,Compta!$A$1:$A$675,$B57,Compta!$B$1:$B$675,"621",Compta!$C$1:$C$675,$A57))</f>
        <v/>
      </c>
      <c r="X57" t="str">
        <f>IF($A57="","",SUMIFS(Compta!$F$1:$F$675,Compta!$A$1:$A$675,$B57,Compta!$B$1:$B$675,"6411",Compta!$C$1:$C$675,$A57))</f>
        <v/>
      </c>
      <c r="Y57" t="str">
        <f>IF($A57="","",SUMIFS(Compta!$F$1:$F$675,Compta!$A$1:$A$675,$B57,Compta!$B$1:$B$675,"604",Compta!$C$1:$C$675,$A57)+SUMIFS(Compta!$F$1:$F$675,Compta!$A$1:$A$675,$B57,Compta!$B$1:$B$675,"6063",Compta!$C$1:$C$675,$A57))</f>
        <v/>
      </c>
      <c r="Z57" t="str">
        <f>IF($A57="","",SUMIFS(Compta!$F$1:$F$675,Compta!$A$1:$A$675,$B57,Compta!$B$1:$B$675,"6231",Compta!$C$1:$C$675,$A57))</f>
        <v/>
      </c>
      <c r="AA57" t="str">
        <f>IF($A57="","",SUMIFS(Compta!$F$1:$F$675,Compta!$A$1:$A$675,$B57,Compta!$B$1:$B$675,"6413",Compta!$C$1:$C$675,$A57)+SUMIFS(Compta!$F$1:$F$675,Compta!$A$1:$A$675,$B57,Compta!$B$1:$B$675,"645",Compta!$C$1:$C$675,$A57)+SUMIFS(Compta!$F$1:$F$675,Compta!$A$1:$A$675,$B57,Compta!$B$1:$B$675,"613",Compta!$C$1:$C$675,$A57)+SUMIFS(Compta!$F$1:$F$675,Compta!$A$1:$A$675,$B57,Compta!$B$1:$B$675,"615",Compta!$C$1:$C$675,$A57)+SUMIFS(Compta!$F$1:$F$675,Compta!$A$1:$A$675,$B57,Compta!$B$1:$B$675,"616",Compta!$C$1:$C$675,$A57)+SUMIFS(Compta!$F$1:$F$675,Compta!$A$1:$A$675,$B57,Compta!$B$1:$B$675,"625",Compta!$C$1:$C$675,$A57)+SUMIFS(Compta!$F$1:$F$675,Compta!$A$1:$A$675,$B57,Compta!$B$1:$B$675,"63511",Compta!$C$1:$C$675,$A57))</f>
        <v/>
      </c>
      <c r="AB57" t="str">
        <f>IF($A57="","",SUMIFS(Compta!$F$1:$F$675,Compta!$A$1:$A$675,"GRP",Compta!$B$1:$B$675,"6414",Compta!$C$1:$C$675,$A57)+SUMIFS(Compta!$F$1:$F$675,Compta!$A$1:$A$675,"GRP",Compta!$B$1:$B$675,"6226",Compta!$C$1:$C$675,$A57)+SUMIFS(Compta!$F$1:$F$675,Compta!$A$1:$A$675,"GRP",Compta!$B$1:$B$675,"626",Compta!$C$1:$C$675,$A57)+SUMIFS(Compta!$F$1:$F$675,Compta!$A$1:$A$675,"GRP",Compta!$B$1:$B$675,"6281",Compta!$C$1:$C$675,$A57)+SUMIFS(Compta!$F$1:$F$675,Compta!$A$1:$A$675,"GRP",Compta!$B$1:$B$675,"6331",Compta!$C$1:$C$675,$A57)+SUMIFS(Compta!$F$1:$F$675,Compta!$A$1:$A$675,"GRP",Compta!$B$1:$B$675,"6333",Compta!$C$1:$C$675,$A57))</f>
        <v/>
      </c>
      <c r="AC57" t="s">
        <v>297</v>
      </c>
      <c r="AD57" t="s">
        <v>297</v>
      </c>
      <c r="AE57" t="s">
        <v>297</v>
      </c>
      <c r="AF57" t="s">
        <v>297</v>
      </c>
      <c r="AG57" t="s">
        <v>297</v>
      </c>
      <c r="AH57" t="s">
        <v>297</v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 t="str">
        <f>IF($A57="","",SUMIFS(Compta!$F$1:$F$675,Compta!$A$1:$A$675,"GRP",Compta!$B$1:$B$675,"6236",Compta!$C$1:$C$675,$A57))</f>
        <v/>
      </c>
      <c r="AP57" t="s">
        <v>297</v>
      </c>
      <c r="AQ57" t="s">
        <v>297</v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IF(Allocation!D58="","",Allocation!I58)</f>
        <v/>
      </c>
      <c r="H58" t="str">
        <f>IF(Allocation!D58="","",Allocation!J58)</f>
        <v/>
      </c>
      <c r="I58" t="str">
        <f>IF(Allocation!D58="","",Allocation!K58)</f>
        <v/>
      </c>
      <c r="J58" t="str">
        <f>IF($A58="","",SUMIFS(Socle!$K$1:$K$175,Socle!$C$1:$C$175,$B58,Socle!$D$1:$D$175,$D58,Socle!$E$1:$E$175,$E58,Socle!$F$1:$F$175,$F58,Socle!$G$1:$G$175,$A58))</f>
        <v/>
      </c>
      <c r="K58" t="str">
        <f t="shared" si="0"/>
        <v/>
      </c>
      <c r="L58" t="str">
        <f>IF($A58="","",SUMIFS(Allocation!$I$1:$I$175,Allocation!$C$1:$C$175,$A58,Allocation!$D$1:$D$175,$B58))</f>
        <v/>
      </c>
      <c r="M58" t="str">
        <f>IF($A58="","",SUMIFS(Allocation!$J$1:$J$175,Allocation!$C$1:$C$175,$A58,Allocation!$D$1:$D$175,$B58))</f>
        <v/>
      </c>
      <c r="N58" t="str">
        <f>IF($A58="","",SUMIFS(Allocation!$K$1:$K$175,Allocation!$C$1:$C$175,$A58,Allocation!$D$1:$D$175,$B58))</f>
        <v/>
      </c>
      <c r="O58" t="str">
        <f t="shared" si="1"/>
        <v/>
      </c>
      <c r="P58" t="str">
        <f t="shared" si="2"/>
        <v/>
      </c>
      <c r="Q58" t="str">
        <f>IF($A58="","",SUMIFS(Allocation!$I$1:$I$175,Allocation!$C$1:$C$175,$A58,Allocation!$E$1:$E$175,$C58))</f>
        <v/>
      </c>
      <c r="R58" t="str">
        <f>IF($A58="","",SUMIFS(Allocation!$J$1:$J$175,Allocation!$C$1:$C$175,$A58,Allocation!$E$1:$E$175,$C58))</f>
        <v/>
      </c>
      <c r="S58" t="str">
        <f>IF($A58="","",SUMIFS(Allocation!$K$1:$K$175,Allocation!$C$1:$C$175,$A58,Allocation!$E$1:$E$175,$C58))</f>
        <v/>
      </c>
      <c r="T58" t="str">
        <f>IF($A58="","",SUMIFS(Allocation!$I$1:$I$175,Allocation!$C$1:$C$175,$A58))</f>
        <v/>
      </c>
      <c r="U58" t="str">
        <f>IF($A58="","",SUMIFS(Allocation!$J$1:$J$175,Allocation!$C$1:$C$175,$A58))</f>
        <v/>
      </c>
      <c r="V58" t="str">
        <f>IF($A58="","",SUMIFS(Allocation!$K$1:$K$175,Allocation!$C$1:$C$175,$A58))</f>
        <v/>
      </c>
      <c r="W58" t="str">
        <f>IF($A58="","",SUMIFS(Compta!$F$1:$F$675,Compta!$A$1:$A$675,$B58,Compta!$B$1:$B$675,"621",Compta!$C$1:$C$675,$A58))</f>
        <v/>
      </c>
      <c r="X58" t="str">
        <f>IF($A58="","",SUMIFS(Compta!$F$1:$F$675,Compta!$A$1:$A$675,$B58,Compta!$B$1:$B$675,"6411",Compta!$C$1:$C$675,$A58))</f>
        <v/>
      </c>
      <c r="Y58" t="str">
        <f>IF($A58="","",SUMIFS(Compta!$F$1:$F$675,Compta!$A$1:$A$675,$B58,Compta!$B$1:$B$675,"604",Compta!$C$1:$C$675,$A58)+SUMIFS(Compta!$F$1:$F$675,Compta!$A$1:$A$675,$B58,Compta!$B$1:$B$675,"6063",Compta!$C$1:$C$675,$A58))</f>
        <v/>
      </c>
      <c r="Z58" t="str">
        <f>IF($A58="","",SUMIFS(Compta!$F$1:$F$675,Compta!$A$1:$A$675,$B58,Compta!$B$1:$B$675,"6231",Compta!$C$1:$C$675,$A58))</f>
        <v/>
      </c>
      <c r="AA58" t="str">
        <f>IF($A58="","",SUMIFS(Compta!$F$1:$F$675,Compta!$A$1:$A$675,$B58,Compta!$B$1:$B$675,"6413",Compta!$C$1:$C$675,$A58)+SUMIFS(Compta!$F$1:$F$675,Compta!$A$1:$A$675,$B58,Compta!$B$1:$B$675,"645",Compta!$C$1:$C$675,$A58)+SUMIFS(Compta!$F$1:$F$675,Compta!$A$1:$A$675,$B58,Compta!$B$1:$B$675,"613",Compta!$C$1:$C$675,$A58)+SUMIFS(Compta!$F$1:$F$675,Compta!$A$1:$A$675,$B58,Compta!$B$1:$B$675,"615",Compta!$C$1:$C$675,$A58)+SUMIFS(Compta!$F$1:$F$675,Compta!$A$1:$A$675,$B58,Compta!$B$1:$B$675,"616",Compta!$C$1:$C$675,$A58)+SUMIFS(Compta!$F$1:$F$675,Compta!$A$1:$A$675,$B58,Compta!$B$1:$B$675,"625",Compta!$C$1:$C$675,$A58)+SUMIFS(Compta!$F$1:$F$675,Compta!$A$1:$A$675,$B58,Compta!$B$1:$B$675,"63511",Compta!$C$1:$C$675,$A58))</f>
        <v/>
      </c>
      <c r="AB58" t="str">
        <f>IF($A58="","",SUMIFS(Compta!$F$1:$F$675,Compta!$A$1:$A$675,"GRP",Compta!$B$1:$B$675,"6414",Compta!$C$1:$C$675,$A58)+SUMIFS(Compta!$F$1:$F$675,Compta!$A$1:$A$675,"GRP",Compta!$B$1:$B$675,"6226",Compta!$C$1:$C$675,$A58)+SUMIFS(Compta!$F$1:$F$675,Compta!$A$1:$A$675,"GRP",Compta!$B$1:$B$675,"626",Compta!$C$1:$C$675,$A58)+SUMIFS(Compta!$F$1:$F$675,Compta!$A$1:$A$675,"GRP",Compta!$B$1:$B$675,"6281",Compta!$C$1:$C$675,$A58)+SUMIFS(Compta!$F$1:$F$675,Compta!$A$1:$A$675,"GRP",Compta!$B$1:$B$675,"6331",Compta!$C$1:$C$675,$A58)+SUMIFS(Compta!$F$1:$F$675,Compta!$A$1:$A$675,"GRP",Compta!$B$1:$B$675,"6333",Compta!$C$1:$C$675,$A58))</f>
        <v/>
      </c>
      <c r="AC58" t="s">
        <v>297</v>
      </c>
      <c r="AD58" t="s">
        <v>297</v>
      </c>
      <c r="AE58" t="s">
        <v>297</v>
      </c>
      <c r="AF58" t="s">
        <v>297</v>
      </c>
      <c r="AG58" t="s">
        <v>297</v>
      </c>
      <c r="AH58" t="s">
        <v>297</v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 t="str">
        <f>IF($A58="","",SUMIFS(Compta!$F$1:$F$675,Compta!$A$1:$A$675,"GRP",Compta!$B$1:$B$675,"6236",Compta!$C$1:$C$675,$A58))</f>
        <v/>
      </c>
      <c r="AP58" t="s">
        <v>297</v>
      </c>
      <c r="AQ58" t="s">
        <v>297</v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IF(Allocation!D59="","",Allocation!I59)</f>
        <v/>
      </c>
      <c r="H59" t="str">
        <f>IF(Allocation!D59="","",Allocation!J59)</f>
        <v/>
      </c>
      <c r="I59" t="str">
        <f>IF(Allocation!D59="","",Allocation!K59)</f>
        <v/>
      </c>
      <c r="J59" t="str">
        <f>IF($A59="","",SUMIFS(Socle!$K$1:$K$175,Socle!$C$1:$C$175,$B59,Socle!$D$1:$D$175,$D59,Socle!$E$1:$E$175,$E59,Socle!$F$1:$F$175,$F59,Socle!$G$1:$G$175,$A59))</f>
        <v/>
      </c>
      <c r="K59" t="str">
        <f t="shared" si="0"/>
        <v/>
      </c>
      <c r="L59" t="str">
        <f>IF($A59="","",SUMIFS(Allocation!$I$1:$I$175,Allocation!$C$1:$C$175,$A59,Allocation!$D$1:$D$175,$B59))</f>
        <v/>
      </c>
      <c r="M59" t="str">
        <f>IF($A59="","",SUMIFS(Allocation!$J$1:$J$175,Allocation!$C$1:$C$175,$A59,Allocation!$D$1:$D$175,$B59))</f>
        <v/>
      </c>
      <c r="N59" t="str">
        <f>IF($A59="","",SUMIFS(Allocation!$K$1:$K$175,Allocation!$C$1:$C$175,$A59,Allocation!$D$1:$D$175,$B59))</f>
        <v/>
      </c>
      <c r="O59" t="str">
        <f t="shared" si="1"/>
        <v/>
      </c>
      <c r="P59" t="str">
        <f t="shared" si="2"/>
        <v/>
      </c>
      <c r="Q59" t="str">
        <f>IF($A59="","",SUMIFS(Allocation!$I$1:$I$175,Allocation!$C$1:$C$175,$A59,Allocation!$E$1:$E$175,$C59))</f>
        <v/>
      </c>
      <c r="R59" t="str">
        <f>IF($A59="","",SUMIFS(Allocation!$J$1:$J$175,Allocation!$C$1:$C$175,$A59,Allocation!$E$1:$E$175,$C59))</f>
        <v/>
      </c>
      <c r="S59" t="str">
        <f>IF($A59="","",SUMIFS(Allocation!$K$1:$K$175,Allocation!$C$1:$C$175,$A59,Allocation!$E$1:$E$175,$C59))</f>
        <v/>
      </c>
      <c r="T59" t="str">
        <f>IF($A59="","",SUMIFS(Allocation!$I$1:$I$175,Allocation!$C$1:$C$175,$A59))</f>
        <v/>
      </c>
      <c r="U59" t="str">
        <f>IF($A59="","",SUMIFS(Allocation!$J$1:$J$175,Allocation!$C$1:$C$175,$A59))</f>
        <v/>
      </c>
      <c r="V59" t="str">
        <f>IF($A59="","",SUMIFS(Allocation!$K$1:$K$175,Allocation!$C$1:$C$175,$A59))</f>
        <v/>
      </c>
      <c r="W59" t="str">
        <f>IF($A59="","",SUMIFS(Compta!$F$1:$F$675,Compta!$A$1:$A$675,$B59,Compta!$B$1:$B$675,"621",Compta!$C$1:$C$675,$A59))</f>
        <v/>
      </c>
      <c r="X59" t="str">
        <f>IF($A59="","",SUMIFS(Compta!$F$1:$F$675,Compta!$A$1:$A$675,$B59,Compta!$B$1:$B$675,"6411",Compta!$C$1:$C$675,$A59))</f>
        <v/>
      </c>
      <c r="Y59" t="str">
        <f>IF($A59="","",SUMIFS(Compta!$F$1:$F$675,Compta!$A$1:$A$675,$B59,Compta!$B$1:$B$675,"604",Compta!$C$1:$C$675,$A59)+SUMIFS(Compta!$F$1:$F$675,Compta!$A$1:$A$675,$B59,Compta!$B$1:$B$675,"6063",Compta!$C$1:$C$675,$A59))</f>
        <v/>
      </c>
      <c r="Z59" t="str">
        <f>IF($A59="","",SUMIFS(Compta!$F$1:$F$675,Compta!$A$1:$A$675,$B59,Compta!$B$1:$B$675,"6231",Compta!$C$1:$C$675,$A59))</f>
        <v/>
      </c>
      <c r="AA59" t="str">
        <f>IF($A59="","",SUMIFS(Compta!$F$1:$F$675,Compta!$A$1:$A$675,$B59,Compta!$B$1:$B$675,"6413",Compta!$C$1:$C$675,$A59)+SUMIFS(Compta!$F$1:$F$675,Compta!$A$1:$A$675,$B59,Compta!$B$1:$B$675,"645",Compta!$C$1:$C$675,$A59)+SUMIFS(Compta!$F$1:$F$675,Compta!$A$1:$A$675,$B59,Compta!$B$1:$B$675,"613",Compta!$C$1:$C$675,$A59)+SUMIFS(Compta!$F$1:$F$675,Compta!$A$1:$A$675,$B59,Compta!$B$1:$B$675,"615",Compta!$C$1:$C$675,$A59)+SUMIFS(Compta!$F$1:$F$675,Compta!$A$1:$A$675,$B59,Compta!$B$1:$B$675,"616",Compta!$C$1:$C$675,$A59)+SUMIFS(Compta!$F$1:$F$675,Compta!$A$1:$A$675,$B59,Compta!$B$1:$B$675,"625",Compta!$C$1:$C$675,$A59)+SUMIFS(Compta!$F$1:$F$675,Compta!$A$1:$A$675,$B59,Compta!$B$1:$B$675,"63511",Compta!$C$1:$C$675,$A59))</f>
        <v/>
      </c>
      <c r="AB59" t="str">
        <f>IF($A59="","",SUMIFS(Compta!$F$1:$F$675,Compta!$A$1:$A$675,"GRP",Compta!$B$1:$B$675,"6414",Compta!$C$1:$C$675,$A59)+SUMIFS(Compta!$F$1:$F$675,Compta!$A$1:$A$675,"GRP",Compta!$B$1:$B$675,"6226",Compta!$C$1:$C$675,$A59)+SUMIFS(Compta!$F$1:$F$675,Compta!$A$1:$A$675,"GRP",Compta!$B$1:$B$675,"626",Compta!$C$1:$C$675,$A59)+SUMIFS(Compta!$F$1:$F$675,Compta!$A$1:$A$675,"GRP",Compta!$B$1:$B$675,"6281",Compta!$C$1:$C$675,$A59)+SUMIFS(Compta!$F$1:$F$675,Compta!$A$1:$A$675,"GRP",Compta!$B$1:$B$675,"6331",Compta!$C$1:$C$675,$A59)+SUMIFS(Compta!$F$1:$F$675,Compta!$A$1:$A$675,"GRP",Compta!$B$1:$B$675,"6333",Compta!$C$1:$C$675,$A59))</f>
        <v/>
      </c>
      <c r="AC59" t="s">
        <v>297</v>
      </c>
      <c r="AD59" t="s">
        <v>297</v>
      </c>
      <c r="AE59" t="s">
        <v>297</v>
      </c>
      <c r="AF59" t="s">
        <v>297</v>
      </c>
      <c r="AG59" t="s">
        <v>297</v>
      </c>
      <c r="AH59" t="s">
        <v>297</v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 t="str">
        <f>IF($A59="","",SUMIFS(Compta!$F$1:$F$675,Compta!$A$1:$A$675,"GRP",Compta!$B$1:$B$675,"6236",Compta!$C$1:$C$675,$A59))</f>
        <v/>
      </c>
      <c r="AP59" t="s">
        <v>297</v>
      </c>
      <c r="AQ59" t="s">
        <v>297</v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IF(Allocation!D60="","",Allocation!I60)</f>
        <v/>
      </c>
      <c r="H60" t="str">
        <f>IF(Allocation!D60="","",Allocation!J60)</f>
        <v/>
      </c>
      <c r="I60" t="str">
        <f>IF(Allocation!D60="","",Allocation!K60)</f>
        <v/>
      </c>
      <c r="J60" t="str">
        <f>IF($A60="","",SUMIFS(Socle!$K$1:$K$175,Socle!$C$1:$C$175,$B60,Socle!$D$1:$D$175,$D60,Socle!$E$1:$E$175,$E60,Socle!$F$1:$F$175,$F60,Socle!$G$1:$G$175,$A60))</f>
        <v/>
      </c>
      <c r="K60" t="str">
        <f t="shared" si="0"/>
        <v/>
      </c>
      <c r="L60" t="str">
        <f>IF($A60="","",SUMIFS(Allocation!$I$1:$I$175,Allocation!$C$1:$C$175,$A60,Allocation!$D$1:$D$175,$B60))</f>
        <v/>
      </c>
      <c r="M60" t="str">
        <f>IF($A60="","",SUMIFS(Allocation!$J$1:$J$175,Allocation!$C$1:$C$175,$A60,Allocation!$D$1:$D$175,$B60))</f>
        <v/>
      </c>
      <c r="N60" t="str">
        <f>IF($A60="","",SUMIFS(Allocation!$K$1:$K$175,Allocation!$C$1:$C$175,$A60,Allocation!$D$1:$D$175,$B60))</f>
        <v/>
      </c>
      <c r="O60" t="str">
        <f t="shared" si="1"/>
        <v/>
      </c>
      <c r="P60" t="str">
        <f t="shared" si="2"/>
        <v/>
      </c>
      <c r="Q60" t="str">
        <f>IF($A60="","",SUMIFS(Allocation!$I$1:$I$175,Allocation!$C$1:$C$175,$A60,Allocation!$E$1:$E$175,$C60))</f>
        <v/>
      </c>
      <c r="R60" t="str">
        <f>IF($A60="","",SUMIFS(Allocation!$J$1:$J$175,Allocation!$C$1:$C$175,$A60,Allocation!$E$1:$E$175,$C60))</f>
        <v/>
      </c>
      <c r="S60" t="str">
        <f>IF($A60="","",SUMIFS(Allocation!$K$1:$K$175,Allocation!$C$1:$C$175,$A60,Allocation!$E$1:$E$175,$C60))</f>
        <v/>
      </c>
      <c r="T60" t="str">
        <f>IF($A60="","",SUMIFS(Allocation!$I$1:$I$175,Allocation!$C$1:$C$175,$A60))</f>
        <v/>
      </c>
      <c r="U60" t="str">
        <f>IF($A60="","",SUMIFS(Allocation!$J$1:$J$175,Allocation!$C$1:$C$175,$A60))</f>
        <v/>
      </c>
      <c r="V60" t="str">
        <f>IF($A60="","",SUMIFS(Allocation!$K$1:$K$175,Allocation!$C$1:$C$175,$A60))</f>
        <v/>
      </c>
      <c r="W60" t="str">
        <f>IF($A60="","",SUMIFS(Compta!$F$1:$F$675,Compta!$A$1:$A$675,$B60,Compta!$B$1:$B$675,"621",Compta!$C$1:$C$675,$A60))</f>
        <v/>
      </c>
      <c r="X60" t="str">
        <f>IF($A60="","",SUMIFS(Compta!$F$1:$F$675,Compta!$A$1:$A$675,$B60,Compta!$B$1:$B$675,"6411",Compta!$C$1:$C$675,$A60))</f>
        <v/>
      </c>
      <c r="Y60" t="str">
        <f>IF($A60="","",SUMIFS(Compta!$F$1:$F$675,Compta!$A$1:$A$675,$B60,Compta!$B$1:$B$675,"604",Compta!$C$1:$C$675,$A60)+SUMIFS(Compta!$F$1:$F$675,Compta!$A$1:$A$675,$B60,Compta!$B$1:$B$675,"6063",Compta!$C$1:$C$675,$A60))</f>
        <v/>
      </c>
      <c r="Z60" t="str">
        <f>IF($A60="","",SUMIFS(Compta!$F$1:$F$675,Compta!$A$1:$A$675,$B60,Compta!$B$1:$B$675,"6231",Compta!$C$1:$C$675,$A60))</f>
        <v/>
      </c>
      <c r="AA60" t="str">
        <f>IF($A60="","",SUMIFS(Compta!$F$1:$F$675,Compta!$A$1:$A$675,$B60,Compta!$B$1:$B$675,"6413",Compta!$C$1:$C$675,$A60)+SUMIFS(Compta!$F$1:$F$675,Compta!$A$1:$A$675,$B60,Compta!$B$1:$B$675,"645",Compta!$C$1:$C$675,$A60)+SUMIFS(Compta!$F$1:$F$675,Compta!$A$1:$A$675,$B60,Compta!$B$1:$B$675,"613",Compta!$C$1:$C$675,$A60)+SUMIFS(Compta!$F$1:$F$675,Compta!$A$1:$A$675,$B60,Compta!$B$1:$B$675,"615",Compta!$C$1:$C$675,$A60)+SUMIFS(Compta!$F$1:$F$675,Compta!$A$1:$A$675,$B60,Compta!$B$1:$B$675,"616",Compta!$C$1:$C$675,$A60)+SUMIFS(Compta!$F$1:$F$675,Compta!$A$1:$A$675,$B60,Compta!$B$1:$B$675,"625",Compta!$C$1:$C$675,$A60)+SUMIFS(Compta!$F$1:$F$675,Compta!$A$1:$A$675,$B60,Compta!$B$1:$B$675,"63511",Compta!$C$1:$C$675,$A60))</f>
        <v/>
      </c>
      <c r="AB60" t="str">
        <f>IF($A60="","",SUMIFS(Compta!$F$1:$F$675,Compta!$A$1:$A$675,"GRP",Compta!$B$1:$B$675,"6414",Compta!$C$1:$C$675,$A60)+SUMIFS(Compta!$F$1:$F$675,Compta!$A$1:$A$675,"GRP",Compta!$B$1:$B$675,"6226",Compta!$C$1:$C$675,$A60)+SUMIFS(Compta!$F$1:$F$675,Compta!$A$1:$A$675,"GRP",Compta!$B$1:$B$675,"626",Compta!$C$1:$C$675,$A60)+SUMIFS(Compta!$F$1:$F$675,Compta!$A$1:$A$675,"GRP",Compta!$B$1:$B$675,"6281",Compta!$C$1:$C$675,$A60)+SUMIFS(Compta!$F$1:$F$675,Compta!$A$1:$A$675,"GRP",Compta!$B$1:$B$675,"6331",Compta!$C$1:$C$675,$A60)+SUMIFS(Compta!$F$1:$F$675,Compta!$A$1:$A$675,"GRP",Compta!$B$1:$B$675,"6333",Compta!$C$1:$C$675,$A60))</f>
        <v/>
      </c>
      <c r="AC60" t="s">
        <v>297</v>
      </c>
      <c r="AD60" t="s">
        <v>297</v>
      </c>
      <c r="AE60" t="s">
        <v>297</v>
      </c>
      <c r="AF60" t="s">
        <v>297</v>
      </c>
      <c r="AG60" t="s">
        <v>297</v>
      </c>
      <c r="AH60" t="s">
        <v>297</v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 t="str">
        <f>IF($A60="","",SUMIFS(Compta!$F$1:$F$675,Compta!$A$1:$A$675,"GRP",Compta!$B$1:$B$675,"6236",Compta!$C$1:$C$675,$A60))</f>
        <v/>
      </c>
      <c r="AP60" t="s">
        <v>297</v>
      </c>
      <c r="AQ60" t="s">
        <v>297</v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IF(Allocation!D61="","",Allocation!I61)</f>
        <v/>
      </c>
      <c r="H61" t="str">
        <f>IF(Allocation!D61="","",Allocation!J61)</f>
        <v/>
      </c>
      <c r="I61" t="str">
        <f>IF(Allocation!D61="","",Allocation!K61)</f>
        <v/>
      </c>
      <c r="J61" t="str">
        <f>IF($A61="","",SUMIFS(Socle!$K$1:$K$175,Socle!$C$1:$C$175,$B61,Socle!$D$1:$D$175,$D61,Socle!$E$1:$E$175,$E61,Socle!$F$1:$F$175,$F61,Socle!$G$1:$G$175,$A61))</f>
        <v/>
      </c>
      <c r="K61" t="str">
        <f t="shared" si="0"/>
        <v/>
      </c>
      <c r="L61" t="str">
        <f>IF($A61="","",SUMIFS(Allocation!$I$1:$I$175,Allocation!$C$1:$C$175,$A61,Allocation!$D$1:$D$175,$B61))</f>
        <v/>
      </c>
      <c r="M61" t="str">
        <f>IF($A61="","",SUMIFS(Allocation!$J$1:$J$175,Allocation!$C$1:$C$175,$A61,Allocation!$D$1:$D$175,$B61))</f>
        <v/>
      </c>
      <c r="N61" t="str">
        <f>IF($A61="","",SUMIFS(Allocation!$K$1:$K$175,Allocation!$C$1:$C$175,$A61,Allocation!$D$1:$D$175,$B61))</f>
        <v/>
      </c>
      <c r="O61" t="str">
        <f t="shared" si="1"/>
        <v/>
      </c>
      <c r="P61" t="str">
        <f t="shared" si="2"/>
        <v/>
      </c>
      <c r="Q61" t="str">
        <f>IF($A61="","",SUMIFS(Allocation!$I$1:$I$175,Allocation!$C$1:$C$175,$A61,Allocation!$E$1:$E$175,$C61))</f>
        <v/>
      </c>
      <c r="R61" t="str">
        <f>IF($A61="","",SUMIFS(Allocation!$J$1:$J$175,Allocation!$C$1:$C$175,$A61,Allocation!$E$1:$E$175,$C61))</f>
        <v/>
      </c>
      <c r="S61" t="str">
        <f>IF($A61="","",SUMIFS(Allocation!$K$1:$K$175,Allocation!$C$1:$C$175,$A61,Allocation!$E$1:$E$175,$C61))</f>
        <v/>
      </c>
      <c r="T61" t="str">
        <f>IF($A61="","",SUMIFS(Allocation!$I$1:$I$175,Allocation!$C$1:$C$175,$A61))</f>
        <v/>
      </c>
      <c r="U61" t="str">
        <f>IF($A61="","",SUMIFS(Allocation!$J$1:$J$175,Allocation!$C$1:$C$175,$A61))</f>
        <v/>
      </c>
      <c r="V61" t="str">
        <f>IF($A61="","",SUMIFS(Allocation!$K$1:$K$175,Allocation!$C$1:$C$175,$A61))</f>
        <v/>
      </c>
      <c r="W61" t="str">
        <f>IF($A61="","",SUMIFS(Compta!$F$1:$F$675,Compta!$A$1:$A$675,$B61,Compta!$B$1:$B$675,"621",Compta!$C$1:$C$675,$A61))</f>
        <v/>
      </c>
      <c r="X61" t="str">
        <f>IF($A61="","",SUMIFS(Compta!$F$1:$F$675,Compta!$A$1:$A$675,$B61,Compta!$B$1:$B$675,"6411",Compta!$C$1:$C$675,$A61))</f>
        <v/>
      </c>
      <c r="Y61" t="str">
        <f>IF($A61="","",SUMIFS(Compta!$F$1:$F$675,Compta!$A$1:$A$675,$B61,Compta!$B$1:$B$675,"604",Compta!$C$1:$C$675,$A61)+SUMIFS(Compta!$F$1:$F$675,Compta!$A$1:$A$675,$B61,Compta!$B$1:$B$675,"6063",Compta!$C$1:$C$675,$A61))</f>
        <v/>
      </c>
      <c r="Z61" t="str">
        <f>IF($A61="","",SUMIFS(Compta!$F$1:$F$675,Compta!$A$1:$A$675,$B61,Compta!$B$1:$B$675,"6231",Compta!$C$1:$C$675,$A61))</f>
        <v/>
      </c>
      <c r="AA61" t="str">
        <f>IF($A61="","",SUMIFS(Compta!$F$1:$F$675,Compta!$A$1:$A$675,$B61,Compta!$B$1:$B$675,"6413",Compta!$C$1:$C$675,$A61)+SUMIFS(Compta!$F$1:$F$675,Compta!$A$1:$A$675,$B61,Compta!$B$1:$B$675,"645",Compta!$C$1:$C$675,$A61)+SUMIFS(Compta!$F$1:$F$675,Compta!$A$1:$A$675,$B61,Compta!$B$1:$B$675,"613",Compta!$C$1:$C$675,$A61)+SUMIFS(Compta!$F$1:$F$675,Compta!$A$1:$A$675,$B61,Compta!$B$1:$B$675,"615",Compta!$C$1:$C$675,$A61)+SUMIFS(Compta!$F$1:$F$675,Compta!$A$1:$A$675,$B61,Compta!$B$1:$B$675,"616",Compta!$C$1:$C$675,$A61)+SUMIFS(Compta!$F$1:$F$675,Compta!$A$1:$A$675,$B61,Compta!$B$1:$B$675,"625",Compta!$C$1:$C$675,$A61)+SUMIFS(Compta!$F$1:$F$675,Compta!$A$1:$A$675,$B61,Compta!$B$1:$B$675,"63511",Compta!$C$1:$C$675,$A61))</f>
        <v/>
      </c>
      <c r="AB61" t="str">
        <f>IF($A61="","",SUMIFS(Compta!$F$1:$F$675,Compta!$A$1:$A$675,"GRP",Compta!$B$1:$B$675,"6414",Compta!$C$1:$C$675,$A61)+SUMIFS(Compta!$F$1:$F$675,Compta!$A$1:$A$675,"GRP",Compta!$B$1:$B$675,"6226",Compta!$C$1:$C$675,$A61)+SUMIFS(Compta!$F$1:$F$675,Compta!$A$1:$A$675,"GRP",Compta!$B$1:$B$675,"626",Compta!$C$1:$C$675,$A61)+SUMIFS(Compta!$F$1:$F$675,Compta!$A$1:$A$675,"GRP",Compta!$B$1:$B$675,"6281",Compta!$C$1:$C$675,$A61)+SUMIFS(Compta!$F$1:$F$675,Compta!$A$1:$A$675,"GRP",Compta!$B$1:$B$675,"6331",Compta!$C$1:$C$675,$A61)+SUMIFS(Compta!$F$1:$F$675,Compta!$A$1:$A$675,"GRP",Compta!$B$1:$B$675,"6333",Compta!$C$1:$C$675,$A61))</f>
        <v/>
      </c>
      <c r="AC61" t="s">
        <v>297</v>
      </c>
      <c r="AD61" t="s">
        <v>297</v>
      </c>
      <c r="AE61" t="s">
        <v>297</v>
      </c>
      <c r="AF61" t="s">
        <v>297</v>
      </c>
      <c r="AG61" t="s">
        <v>297</v>
      </c>
      <c r="AH61" t="s">
        <v>297</v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 t="str">
        <f>IF($A61="","",SUMIFS(Compta!$F$1:$F$675,Compta!$A$1:$A$675,"GRP",Compta!$B$1:$B$675,"6236",Compta!$C$1:$C$675,$A61))</f>
        <v/>
      </c>
      <c r="AP61" t="s">
        <v>297</v>
      </c>
      <c r="AQ61" t="s">
        <v>297</v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IF(Allocation!D62="","",Allocation!I62)</f>
        <v/>
      </c>
      <c r="H62" t="str">
        <f>IF(Allocation!D62="","",Allocation!J62)</f>
        <v/>
      </c>
      <c r="I62" t="str">
        <f>IF(Allocation!D62="","",Allocation!K62)</f>
        <v/>
      </c>
      <c r="J62" t="str">
        <f>IF($A62="","",SUMIFS(Socle!$K$1:$K$175,Socle!$C$1:$C$175,$B62,Socle!$D$1:$D$175,$D62,Socle!$E$1:$E$175,$E62,Socle!$F$1:$F$175,$F62,Socle!$G$1:$G$175,$A62))</f>
        <v/>
      </c>
      <c r="K62" t="str">
        <f t="shared" si="0"/>
        <v/>
      </c>
      <c r="L62" t="str">
        <f>IF($A62="","",SUMIFS(Allocation!$I$1:$I$175,Allocation!$C$1:$C$175,$A62,Allocation!$D$1:$D$175,$B62))</f>
        <v/>
      </c>
      <c r="M62" t="str">
        <f>IF($A62="","",SUMIFS(Allocation!$J$1:$J$175,Allocation!$C$1:$C$175,$A62,Allocation!$D$1:$D$175,$B62))</f>
        <v/>
      </c>
      <c r="N62" t="str">
        <f>IF($A62="","",SUMIFS(Allocation!$K$1:$K$175,Allocation!$C$1:$C$175,$A62,Allocation!$D$1:$D$175,$B62))</f>
        <v/>
      </c>
      <c r="O62" t="str">
        <f t="shared" si="1"/>
        <v/>
      </c>
      <c r="P62" t="str">
        <f t="shared" si="2"/>
        <v/>
      </c>
      <c r="Q62" t="str">
        <f>IF($A62="","",SUMIFS(Allocation!$I$1:$I$175,Allocation!$C$1:$C$175,$A62,Allocation!$E$1:$E$175,$C62))</f>
        <v/>
      </c>
      <c r="R62" t="str">
        <f>IF($A62="","",SUMIFS(Allocation!$J$1:$J$175,Allocation!$C$1:$C$175,$A62,Allocation!$E$1:$E$175,$C62))</f>
        <v/>
      </c>
      <c r="S62" t="str">
        <f>IF($A62="","",SUMIFS(Allocation!$K$1:$K$175,Allocation!$C$1:$C$175,$A62,Allocation!$E$1:$E$175,$C62))</f>
        <v/>
      </c>
      <c r="T62" t="str">
        <f>IF($A62="","",SUMIFS(Allocation!$I$1:$I$175,Allocation!$C$1:$C$175,$A62))</f>
        <v/>
      </c>
      <c r="U62" t="str">
        <f>IF($A62="","",SUMIFS(Allocation!$J$1:$J$175,Allocation!$C$1:$C$175,$A62))</f>
        <v/>
      </c>
      <c r="V62" t="str">
        <f>IF($A62="","",SUMIFS(Allocation!$K$1:$K$175,Allocation!$C$1:$C$175,$A62))</f>
        <v/>
      </c>
      <c r="W62" t="str">
        <f>IF($A62="","",SUMIFS(Compta!$F$1:$F$675,Compta!$A$1:$A$675,$B62,Compta!$B$1:$B$675,"621",Compta!$C$1:$C$675,$A62))</f>
        <v/>
      </c>
      <c r="X62" t="str">
        <f>IF($A62="","",SUMIFS(Compta!$F$1:$F$675,Compta!$A$1:$A$675,$B62,Compta!$B$1:$B$675,"6411",Compta!$C$1:$C$675,$A62))</f>
        <v/>
      </c>
      <c r="Y62" t="str">
        <f>IF($A62="","",SUMIFS(Compta!$F$1:$F$675,Compta!$A$1:$A$675,$B62,Compta!$B$1:$B$675,"604",Compta!$C$1:$C$675,$A62)+SUMIFS(Compta!$F$1:$F$675,Compta!$A$1:$A$675,$B62,Compta!$B$1:$B$675,"6063",Compta!$C$1:$C$675,$A62))</f>
        <v/>
      </c>
      <c r="Z62" t="str">
        <f>IF($A62="","",SUMIFS(Compta!$F$1:$F$675,Compta!$A$1:$A$675,$B62,Compta!$B$1:$B$675,"6231",Compta!$C$1:$C$675,$A62))</f>
        <v/>
      </c>
      <c r="AA62" t="str">
        <f>IF($A62="","",SUMIFS(Compta!$F$1:$F$675,Compta!$A$1:$A$675,$B62,Compta!$B$1:$B$675,"6413",Compta!$C$1:$C$675,$A62)+SUMIFS(Compta!$F$1:$F$675,Compta!$A$1:$A$675,$B62,Compta!$B$1:$B$675,"645",Compta!$C$1:$C$675,$A62)+SUMIFS(Compta!$F$1:$F$675,Compta!$A$1:$A$675,$B62,Compta!$B$1:$B$675,"613",Compta!$C$1:$C$675,$A62)+SUMIFS(Compta!$F$1:$F$675,Compta!$A$1:$A$675,$B62,Compta!$B$1:$B$675,"615",Compta!$C$1:$C$675,$A62)+SUMIFS(Compta!$F$1:$F$675,Compta!$A$1:$A$675,$B62,Compta!$B$1:$B$675,"616",Compta!$C$1:$C$675,$A62)+SUMIFS(Compta!$F$1:$F$675,Compta!$A$1:$A$675,$B62,Compta!$B$1:$B$675,"625",Compta!$C$1:$C$675,$A62)+SUMIFS(Compta!$F$1:$F$675,Compta!$A$1:$A$675,$B62,Compta!$B$1:$B$675,"63511",Compta!$C$1:$C$675,$A62))</f>
        <v/>
      </c>
      <c r="AB62" t="str">
        <f>IF($A62="","",SUMIFS(Compta!$F$1:$F$675,Compta!$A$1:$A$675,"GRP",Compta!$B$1:$B$675,"6414",Compta!$C$1:$C$675,$A62)+SUMIFS(Compta!$F$1:$F$675,Compta!$A$1:$A$675,"GRP",Compta!$B$1:$B$675,"6226",Compta!$C$1:$C$675,$A62)+SUMIFS(Compta!$F$1:$F$675,Compta!$A$1:$A$675,"GRP",Compta!$B$1:$B$675,"626",Compta!$C$1:$C$675,$A62)+SUMIFS(Compta!$F$1:$F$675,Compta!$A$1:$A$675,"GRP",Compta!$B$1:$B$675,"6281",Compta!$C$1:$C$675,$A62)+SUMIFS(Compta!$F$1:$F$675,Compta!$A$1:$A$675,"GRP",Compta!$B$1:$B$675,"6331",Compta!$C$1:$C$675,$A62)+SUMIFS(Compta!$F$1:$F$675,Compta!$A$1:$A$675,"GRP",Compta!$B$1:$B$675,"6333",Compta!$C$1:$C$675,$A62))</f>
        <v/>
      </c>
      <c r="AC62" t="s">
        <v>297</v>
      </c>
      <c r="AD62" t="s">
        <v>297</v>
      </c>
      <c r="AE62" t="s">
        <v>297</v>
      </c>
      <c r="AF62" t="s">
        <v>297</v>
      </c>
      <c r="AG62" t="s">
        <v>297</v>
      </c>
      <c r="AH62" t="s">
        <v>297</v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 t="str">
        <f>IF($A62="","",SUMIFS(Compta!$F$1:$F$675,Compta!$A$1:$A$675,"GRP",Compta!$B$1:$B$675,"6236",Compta!$C$1:$C$675,$A62))</f>
        <v/>
      </c>
      <c r="AP62" t="s">
        <v>297</v>
      </c>
      <c r="AQ62" t="s">
        <v>297</v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IF(Allocation!D63="","",Allocation!I63)</f>
        <v/>
      </c>
      <c r="H63" t="str">
        <f>IF(Allocation!D63="","",Allocation!J63)</f>
        <v/>
      </c>
      <c r="I63" t="str">
        <f>IF(Allocation!D63="","",Allocation!K63)</f>
        <v/>
      </c>
      <c r="J63" t="str">
        <f>IF($A63="","",SUMIFS(Socle!$K$1:$K$175,Socle!$C$1:$C$175,$B63,Socle!$D$1:$D$175,$D63,Socle!$E$1:$E$175,$E63,Socle!$F$1:$F$175,$F63,Socle!$G$1:$G$175,$A63))</f>
        <v/>
      </c>
      <c r="K63" t="str">
        <f t="shared" si="0"/>
        <v/>
      </c>
      <c r="L63" t="str">
        <f>IF($A63="","",SUMIFS(Allocation!$I$1:$I$175,Allocation!$C$1:$C$175,$A63,Allocation!$D$1:$D$175,$B63))</f>
        <v/>
      </c>
      <c r="M63" t="str">
        <f>IF($A63="","",SUMIFS(Allocation!$J$1:$J$175,Allocation!$C$1:$C$175,$A63,Allocation!$D$1:$D$175,$B63))</f>
        <v/>
      </c>
      <c r="N63" t="str">
        <f>IF($A63="","",SUMIFS(Allocation!$K$1:$K$175,Allocation!$C$1:$C$175,$A63,Allocation!$D$1:$D$175,$B63))</f>
        <v/>
      </c>
      <c r="O63" t="str">
        <f t="shared" si="1"/>
        <v/>
      </c>
      <c r="P63" t="str">
        <f t="shared" si="2"/>
        <v/>
      </c>
      <c r="Q63" t="str">
        <f>IF($A63="","",SUMIFS(Allocation!$I$1:$I$175,Allocation!$C$1:$C$175,$A63,Allocation!$E$1:$E$175,$C63))</f>
        <v/>
      </c>
      <c r="R63" t="str">
        <f>IF($A63="","",SUMIFS(Allocation!$J$1:$J$175,Allocation!$C$1:$C$175,$A63,Allocation!$E$1:$E$175,$C63))</f>
        <v/>
      </c>
      <c r="S63" t="str">
        <f>IF($A63="","",SUMIFS(Allocation!$K$1:$K$175,Allocation!$C$1:$C$175,$A63,Allocation!$E$1:$E$175,$C63))</f>
        <v/>
      </c>
      <c r="T63" t="str">
        <f>IF($A63="","",SUMIFS(Allocation!$I$1:$I$175,Allocation!$C$1:$C$175,$A63))</f>
        <v/>
      </c>
      <c r="U63" t="str">
        <f>IF($A63="","",SUMIFS(Allocation!$J$1:$J$175,Allocation!$C$1:$C$175,$A63))</f>
        <v/>
      </c>
      <c r="V63" t="str">
        <f>IF($A63="","",SUMIFS(Allocation!$K$1:$K$175,Allocation!$C$1:$C$175,$A63))</f>
        <v/>
      </c>
      <c r="W63" t="str">
        <f>IF($A63="","",SUMIFS(Compta!$F$1:$F$675,Compta!$A$1:$A$675,$B63,Compta!$B$1:$B$675,"621",Compta!$C$1:$C$675,$A63))</f>
        <v/>
      </c>
      <c r="X63" t="str">
        <f>IF($A63="","",SUMIFS(Compta!$F$1:$F$675,Compta!$A$1:$A$675,$B63,Compta!$B$1:$B$675,"6411",Compta!$C$1:$C$675,$A63))</f>
        <v/>
      </c>
      <c r="Y63" t="str">
        <f>IF($A63="","",SUMIFS(Compta!$F$1:$F$675,Compta!$A$1:$A$675,$B63,Compta!$B$1:$B$675,"604",Compta!$C$1:$C$675,$A63)+SUMIFS(Compta!$F$1:$F$675,Compta!$A$1:$A$675,$B63,Compta!$B$1:$B$675,"6063",Compta!$C$1:$C$675,$A63))</f>
        <v/>
      </c>
      <c r="Z63" t="str">
        <f>IF($A63="","",SUMIFS(Compta!$F$1:$F$675,Compta!$A$1:$A$675,$B63,Compta!$B$1:$B$675,"6231",Compta!$C$1:$C$675,$A63))</f>
        <v/>
      </c>
      <c r="AA63" t="str">
        <f>IF($A63="","",SUMIFS(Compta!$F$1:$F$675,Compta!$A$1:$A$675,$B63,Compta!$B$1:$B$675,"6413",Compta!$C$1:$C$675,$A63)+SUMIFS(Compta!$F$1:$F$675,Compta!$A$1:$A$675,$B63,Compta!$B$1:$B$675,"645",Compta!$C$1:$C$675,$A63)+SUMIFS(Compta!$F$1:$F$675,Compta!$A$1:$A$675,$B63,Compta!$B$1:$B$675,"613",Compta!$C$1:$C$675,$A63)+SUMIFS(Compta!$F$1:$F$675,Compta!$A$1:$A$675,$B63,Compta!$B$1:$B$675,"615",Compta!$C$1:$C$675,$A63)+SUMIFS(Compta!$F$1:$F$675,Compta!$A$1:$A$675,$B63,Compta!$B$1:$B$675,"616",Compta!$C$1:$C$675,$A63)+SUMIFS(Compta!$F$1:$F$675,Compta!$A$1:$A$675,$B63,Compta!$B$1:$B$675,"625",Compta!$C$1:$C$675,$A63)+SUMIFS(Compta!$F$1:$F$675,Compta!$A$1:$A$675,$B63,Compta!$B$1:$B$675,"63511",Compta!$C$1:$C$675,$A63))</f>
        <v/>
      </c>
      <c r="AB63" t="str">
        <f>IF($A63="","",SUMIFS(Compta!$F$1:$F$675,Compta!$A$1:$A$675,"GRP",Compta!$B$1:$B$675,"6414",Compta!$C$1:$C$675,$A63)+SUMIFS(Compta!$F$1:$F$675,Compta!$A$1:$A$675,"GRP",Compta!$B$1:$B$675,"6226",Compta!$C$1:$C$675,$A63)+SUMIFS(Compta!$F$1:$F$675,Compta!$A$1:$A$675,"GRP",Compta!$B$1:$B$675,"626",Compta!$C$1:$C$675,$A63)+SUMIFS(Compta!$F$1:$F$675,Compta!$A$1:$A$675,"GRP",Compta!$B$1:$B$675,"6281",Compta!$C$1:$C$675,$A63)+SUMIFS(Compta!$F$1:$F$675,Compta!$A$1:$A$675,"GRP",Compta!$B$1:$B$675,"6331",Compta!$C$1:$C$675,$A63)+SUMIFS(Compta!$F$1:$F$675,Compta!$A$1:$A$675,"GRP",Compta!$B$1:$B$675,"6333",Compta!$C$1:$C$675,$A63))</f>
        <v/>
      </c>
      <c r="AC63" t="s">
        <v>297</v>
      </c>
      <c r="AD63" t="s">
        <v>297</v>
      </c>
      <c r="AE63" t="s">
        <v>297</v>
      </c>
      <c r="AF63" t="s">
        <v>297</v>
      </c>
      <c r="AG63" t="s">
        <v>297</v>
      </c>
      <c r="AH63" t="s">
        <v>297</v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 t="str">
        <f>IF($A63="","",SUMIFS(Compta!$F$1:$F$675,Compta!$A$1:$A$675,"GRP",Compta!$B$1:$B$675,"6236",Compta!$C$1:$C$675,$A63))</f>
        <v/>
      </c>
      <c r="AP63" t="s">
        <v>297</v>
      </c>
      <c r="AQ63" t="s">
        <v>297</v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IF(Allocation!D64="","",Allocation!I64)</f>
        <v/>
      </c>
      <c r="H64" t="str">
        <f>IF(Allocation!D64="","",Allocation!J64)</f>
        <v/>
      </c>
      <c r="I64" t="str">
        <f>IF(Allocation!D64="","",Allocation!K64)</f>
        <v/>
      </c>
      <c r="J64" t="str">
        <f>IF($A64="","",SUMIFS(Socle!$K$1:$K$175,Socle!$C$1:$C$175,$B64,Socle!$D$1:$D$175,$D64,Socle!$E$1:$E$175,$E64,Socle!$F$1:$F$175,$F64,Socle!$G$1:$G$175,$A64))</f>
        <v/>
      </c>
      <c r="K64" t="str">
        <f t="shared" si="0"/>
        <v/>
      </c>
      <c r="L64" t="str">
        <f>IF($A64="","",SUMIFS(Allocation!$I$1:$I$175,Allocation!$C$1:$C$175,$A64,Allocation!$D$1:$D$175,$B64))</f>
        <v/>
      </c>
      <c r="M64" t="str">
        <f>IF($A64="","",SUMIFS(Allocation!$J$1:$J$175,Allocation!$C$1:$C$175,$A64,Allocation!$D$1:$D$175,$B64))</f>
        <v/>
      </c>
      <c r="N64" t="str">
        <f>IF($A64="","",SUMIFS(Allocation!$K$1:$K$175,Allocation!$C$1:$C$175,$A64,Allocation!$D$1:$D$175,$B64))</f>
        <v/>
      </c>
      <c r="O64" t="str">
        <f t="shared" si="1"/>
        <v/>
      </c>
      <c r="P64" t="str">
        <f t="shared" si="2"/>
        <v/>
      </c>
      <c r="Q64" t="str">
        <f>IF($A64="","",SUMIFS(Allocation!$I$1:$I$175,Allocation!$C$1:$C$175,$A64,Allocation!$E$1:$E$175,$C64))</f>
        <v/>
      </c>
      <c r="R64" t="str">
        <f>IF($A64="","",SUMIFS(Allocation!$J$1:$J$175,Allocation!$C$1:$C$175,$A64,Allocation!$E$1:$E$175,$C64))</f>
        <v/>
      </c>
      <c r="S64" t="str">
        <f>IF($A64="","",SUMIFS(Allocation!$K$1:$K$175,Allocation!$C$1:$C$175,$A64,Allocation!$E$1:$E$175,$C64))</f>
        <v/>
      </c>
      <c r="T64" t="str">
        <f>IF($A64="","",SUMIFS(Allocation!$I$1:$I$175,Allocation!$C$1:$C$175,$A64))</f>
        <v/>
      </c>
      <c r="U64" t="str">
        <f>IF($A64="","",SUMIFS(Allocation!$J$1:$J$175,Allocation!$C$1:$C$175,$A64))</f>
        <v/>
      </c>
      <c r="V64" t="str">
        <f>IF($A64="","",SUMIFS(Allocation!$K$1:$K$175,Allocation!$C$1:$C$175,$A64))</f>
        <v/>
      </c>
      <c r="W64" t="str">
        <f>IF($A64="","",SUMIFS(Compta!$F$1:$F$675,Compta!$A$1:$A$675,$B64,Compta!$B$1:$B$675,"621",Compta!$C$1:$C$675,$A64))</f>
        <v/>
      </c>
      <c r="X64" t="str">
        <f>IF($A64="","",SUMIFS(Compta!$F$1:$F$675,Compta!$A$1:$A$675,$B64,Compta!$B$1:$B$675,"6411",Compta!$C$1:$C$675,$A64))</f>
        <v/>
      </c>
      <c r="Y64" t="str">
        <f>IF($A64="","",SUMIFS(Compta!$F$1:$F$675,Compta!$A$1:$A$675,$B64,Compta!$B$1:$B$675,"604",Compta!$C$1:$C$675,$A64)+SUMIFS(Compta!$F$1:$F$675,Compta!$A$1:$A$675,$B64,Compta!$B$1:$B$675,"6063",Compta!$C$1:$C$675,$A64))</f>
        <v/>
      </c>
      <c r="Z64" t="str">
        <f>IF($A64="","",SUMIFS(Compta!$F$1:$F$675,Compta!$A$1:$A$675,$B64,Compta!$B$1:$B$675,"6231",Compta!$C$1:$C$675,$A64))</f>
        <v/>
      </c>
      <c r="AA64" t="str">
        <f>IF($A64="","",SUMIFS(Compta!$F$1:$F$675,Compta!$A$1:$A$675,$B64,Compta!$B$1:$B$675,"6413",Compta!$C$1:$C$675,$A64)+SUMIFS(Compta!$F$1:$F$675,Compta!$A$1:$A$675,$B64,Compta!$B$1:$B$675,"645",Compta!$C$1:$C$675,$A64)+SUMIFS(Compta!$F$1:$F$675,Compta!$A$1:$A$675,$B64,Compta!$B$1:$B$675,"613",Compta!$C$1:$C$675,$A64)+SUMIFS(Compta!$F$1:$F$675,Compta!$A$1:$A$675,$B64,Compta!$B$1:$B$675,"615",Compta!$C$1:$C$675,$A64)+SUMIFS(Compta!$F$1:$F$675,Compta!$A$1:$A$675,$B64,Compta!$B$1:$B$675,"616",Compta!$C$1:$C$675,$A64)+SUMIFS(Compta!$F$1:$F$675,Compta!$A$1:$A$675,$B64,Compta!$B$1:$B$675,"625",Compta!$C$1:$C$675,$A64)+SUMIFS(Compta!$F$1:$F$675,Compta!$A$1:$A$675,$B64,Compta!$B$1:$B$675,"63511",Compta!$C$1:$C$675,$A64))</f>
        <v/>
      </c>
      <c r="AB64" t="str">
        <f>IF($A64="","",SUMIFS(Compta!$F$1:$F$675,Compta!$A$1:$A$675,"GRP",Compta!$B$1:$B$675,"6414",Compta!$C$1:$C$675,$A64)+SUMIFS(Compta!$F$1:$F$675,Compta!$A$1:$A$675,"GRP",Compta!$B$1:$B$675,"6226",Compta!$C$1:$C$675,$A64)+SUMIFS(Compta!$F$1:$F$675,Compta!$A$1:$A$675,"GRP",Compta!$B$1:$B$675,"626",Compta!$C$1:$C$675,$A64)+SUMIFS(Compta!$F$1:$F$675,Compta!$A$1:$A$675,"GRP",Compta!$B$1:$B$675,"6281",Compta!$C$1:$C$675,$A64)+SUMIFS(Compta!$F$1:$F$675,Compta!$A$1:$A$675,"GRP",Compta!$B$1:$B$675,"6331",Compta!$C$1:$C$675,$A64)+SUMIFS(Compta!$F$1:$F$675,Compta!$A$1:$A$675,"GRP",Compta!$B$1:$B$675,"6333",Compta!$C$1:$C$675,$A64))</f>
        <v/>
      </c>
      <c r="AC64" t="s">
        <v>297</v>
      </c>
      <c r="AD64" t="s">
        <v>297</v>
      </c>
      <c r="AE64" t="s">
        <v>297</v>
      </c>
      <c r="AF64" t="s">
        <v>297</v>
      </c>
      <c r="AG64" t="s">
        <v>297</v>
      </c>
      <c r="AH64" t="s">
        <v>297</v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 t="str">
        <f>IF($A64="","",SUMIFS(Compta!$F$1:$F$675,Compta!$A$1:$A$675,"GRP",Compta!$B$1:$B$675,"6236",Compta!$C$1:$C$675,$A64))</f>
        <v/>
      </c>
      <c r="AP64" t="s">
        <v>297</v>
      </c>
      <c r="AQ64" t="s">
        <v>297</v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IF(Allocation!D65="","",Allocation!I65)</f>
        <v/>
      </c>
      <c r="H65" t="str">
        <f>IF(Allocation!D65="","",Allocation!J65)</f>
        <v/>
      </c>
      <c r="I65" t="str">
        <f>IF(Allocation!D65="","",Allocation!K65)</f>
        <v/>
      </c>
      <c r="J65" t="str">
        <f>IF($A65="","",SUMIFS(Socle!$K$1:$K$175,Socle!$C$1:$C$175,$B65,Socle!$D$1:$D$175,$D65,Socle!$E$1:$E$175,$E65,Socle!$F$1:$F$175,$F65,Socle!$G$1:$G$175,$A65))</f>
        <v/>
      </c>
      <c r="K65" t="str">
        <f t="shared" si="0"/>
        <v/>
      </c>
      <c r="L65" t="str">
        <f>IF($A65="","",SUMIFS(Allocation!$I$1:$I$175,Allocation!$C$1:$C$175,$A65,Allocation!$D$1:$D$175,$B65))</f>
        <v/>
      </c>
      <c r="M65" t="str">
        <f>IF($A65="","",SUMIFS(Allocation!$J$1:$J$175,Allocation!$C$1:$C$175,$A65,Allocation!$D$1:$D$175,$B65))</f>
        <v/>
      </c>
      <c r="N65" t="str">
        <f>IF($A65="","",SUMIFS(Allocation!$K$1:$K$175,Allocation!$C$1:$C$175,$A65,Allocation!$D$1:$D$175,$B65))</f>
        <v/>
      </c>
      <c r="O65" t="str">
        <f t="shared" si="1"/>
        <v/>
      </c>
      <c r="P65" t="str">
        <f t="shared" si="2"/>
        <v/>
      </c>
      <c r="Q65" t="str">
        <f>IF($A65="","",SUMIFS(Allocation!$I$1:$I$175,Allocation!$C$1:$C$175,$A65,Allocation!$E$1:$E$175,$C65))</f>
        <v/>
      </c>
      <c r="R65" t="str">
        <f>IF($A65="","",SUMIFS(Allocation!$J$1:$J$175,Allocation!$C$1:$C$175,$A65,Allocation!$E$1:$E$175,$C65))</f>
        <v/>
      </c>
      <c r="S65" t="str">
        <f>IF($A65="","",SUMIFS(Allocation!$K$1:$K$175,Allocation!$C$1:$C$175,$A65,Allocation!$E$1:$E$175,$C65))</f>
        <v/>
      </c>
      <c r="T65" t="str">
        <f>IF($A65="","",SUMIFS(Allocation!$I$1:$I$175,Allocation!$C$1:$C$175,$A65))</f>
        <v/>
      </c>
      <c r="U65" t="str">
        <f>IF($A65="","",SUMIFS(Allocation!$J$1:$J$175,Allocation!$C$1:$C$175,$A65))</f>
        <v/>
      </c>
      <c r="V65" t="str">
        <f>IF($A65="","",SUMIFS(Allocation!$K$1:$K$175,Allocation!$C$1:$C$175,$A65))</f>
        <v/>
      </c>
      <c r="W65" t="str">
        <f>IF($A65="","",SUMIFS(Compta!$F$1:$F$675,Compta!$A$1:$A$675,$B65,Compta!$B$1:$B$675,"621",Compta!$C$1:$C$675,$A65))</f>
        <v/>
      </c>
      <c r="X65" t="str">
        <f>IF($A65="","",SUMIFS(Compta!$F$1:$F$675,Compta!$A$1:$A$675,$B65,Compta!$B$1:$B$675,"6411",Compta!$C$1:$C$675,$A65))</f>
        <v/>
      </c>
      <c r="Y65" t="str">
        <f>IF($A65="","",SUMIFS(Compta!$F$1:$F$675,Compta!$A$1:$A$675,$B65,Compta!$B$1:$B$675,"604",Compta!$C$1:$C$675,$A65)+SUMIFS(Compta!$F$1:$F$675,Compta!$A$1:$A$675,$B65,Compta!$B$1:$B$675,"6063",Compta!$C$1:$C$675,$A65))</f>
        <v/>
      </c>
      <c r="Z65" t="str">
        <f>IF($A65="","",SUMIFS(Compta!$F$1:$F$675,Compta!$A$1:$A$675,$B65,Compta!$B$1:$B$675,"6231",Compta!$C$1:$C$675,$A65))</f>
        <v/>
      </c>
      <c r="AA65" t="str">
        <f>IF($A65="","",SUMIFS(Compta!$F$1:$F$675,Compta!$A$1:$A$675,$B65,Compta!$B$1:$B$675,"6413",Compta!$C$1:$C$675,$A65)+SUMIFS(Compta!$F$1:$F$675,Compta!$A$1:$A$675,$B65,Compta!$B$1:$B$675,"645",Compta!$C$1:$C$675,$A65)+SUMIFS(Compta!$F$1:$F$675,Compta!$A$1:$A$675,$B65,Compta!$B$1:$B$675,"613",Compta!$C$1:$C$675,$A65)+SUMIFS(Compta!$F$1:$F$675,Compta!$A$1:$A$675,$B65,Compta!$B$1:$B$675,"615",Compta!$C$1:$C$675,$A65)+SUMIFS(Compta!$F$1:$F$675,Compta!$A$1:$A$675,$B65,Compta!$B$1:$B$675,"616",Compta!$C$1:$C$675,$A65)+SUMIFS(Compta!$F$1:$F$675,Compta!$A$1:$A$675,$B65,Compta!$B$1:$B$675,"625",Compta!$C$1:$C$675,$A65)+SUMIFS(Compta!$F$1:$F$675,Compta!$A$1:$A$675,$B65,Compta!$B$1:$B$675,"63511",Compta!$C$1:$C$675,$A65))</f>
        <v/>
      </c>
      <c r="AB65" t="str">
        <f>IF($A65="","",SUMIFS(Compta!$F$1:$F$675,Compta!$A$1:$A$675,"GRP",Compta!$B$1:$B$675,"6414",Compta!$C$1:$C$675,$A65)+SUMIFS(Compta!$F$1:$F$675,Compta!$A$1:$A$675,"GRP",Compta!$B$1:$B$675,"6226",Compta!$C$1:$C$675,$A65)+SUMIFS(Compta!$F$1:$F$675,Compta!$A$1:$A$675,"GRP",Compta!$B$1:$B$675,"626",Compta!$C$1:$C$675,$A65)+SUMIFS(Compta!$F$1:$F$675,Compta!$A$1:$A$675,"GRP",Compta!$B$1:$B$675,"6281",Compta!$C$1:$C$675,$A65)+SUMIFS(Compta!$F$1:$F$675,Compta!$A$1:$A$675,"GRP",Compta!$B$1:$B$675,"6331",Compta!$C$1:$C$675,$A65)+SUMIFS(Compta!$F$1:$F$675,Compta!$A$1:$A$675,"GRP",Compta!$B$1:$B$675,"6333",Compta!$C$1:$C$675,$A65))</f>
        <v/>
      </c>
      <c r="AC65" t="s">
        <v>297</v>
      </c>
      <c r="AD65" t="s">
        <v>297</v>
      </c>
      <c r="AE65" t="s">
        <v>297</v>
      </c>
      <c r="AF65" t="s">
        <v>297</v>
      </c>
      <c r="AG65" t="s">
        <v>297</v>
      </c>
      <c r="AH65" t="s">
        <v>297</v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 t="str">
        <f>IF($A65="","",SUMIFS(Compta!$F$1:$F$675,Compta!$A$1:$A$675,"GRP",Compta!$B$1:$B$675,"6236",Compta!$C$1:$C$675,$A65))</f>
        <v/>
      </c>
      <c r="AP65" t="s">
        <v>297</v>
      </c>
      <c r="AQ65" t="s">
        <v>297</v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IF(Allocation!D66="","",Allocation!I66)</f>
        <v/>
      </c>
      <c r="H66" t="str">
        <f>IF(Allocation!D66="","",Allocation!J66)</f>
        <v/>
      </c>
      <c r="I66" t="str">
        <f>IF(Allocation!D66="","",Allocation!K66)</f>
        <v/>
      </c>
      <c r="J66" t="str">
        <f>IF($A66="","",SUMIFS(Socle!$K$1:$K$175,Socle!$C$1:$C$175,$B66,Socle!$D$1:$D$175,$D66,Socle!$E$1:$E$175,$E66,Socle!$F$1:$F$175,$F66,Socle!$G$1:$G$175,$A66))</f>
        <v/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 t="str">
        <f>IF($A66="","",SUMIFS(Allocation!$I$1:$I$175,Allocation!$C$1:$C$175,$A66,Allocation!$D$1:$D$175,$B66))</f>
        <v/>
      </c>
      <c r="M66" t="str">
        <f>IF($A66="","",SUMIFS(Allocation!$J$1:$J$175,Allocation!$C$1:$C$175,$A66,Allocation!$D$1:$D$175,$B66))</f>
        <v/>
      </c>
      <c r="N66" t="str">
        <f>IF($A66="","",SUMIFS(Allocation!$K$1:$K$175,Allocation!$C$1:$C$175,$A66,Allocation!$D$1:$D$175,$B66))</f>
        <v/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 t="str">
        <f>IF($A66="","",SUMIFS(Allocation!$I$1:$I$175,Allocation!$C$1:$C$175,$A66,Allocation!$E$1:$E$175,$C66))</f>
        <v/>
      </c>
      <c r="R66" t="str">
        <f>IF($A66="","",SUMIFS(Allocation!$J$1:$J$175,Allocation!$C$1:$C$175,$A66,Allocation!$E$1:$E$175,$C66))</f>
        <v/>
      </c>
      <c r="S66" t="str">
        <f>IF($A66="","",SUMIFS(Allocation!$K$1:$K$175,Allocation!$C$1:$C$175,$A66,Allocation!$E$1:$E$175,$C66))</f>
        <v/>
      </c>
      <c r="T66" t="str">
        <f>IF($A66="","",SUMIFS(Allocation!$I$1:$I$175,Allocation!$C$1:$C$175,$A66))</f>
        <v/>
      </c>
      <c r="U66" t="str">
        <f>IF($A66="","",SUMIFS(Allocation!$J$1:$J$175,Allocation!$C$1:$C$175,$A66))</f>
        <v/>
      </c>
      <c r="V66" t="str">
        <f>IF($A66="","",SUMIFS(Allocation!$K$1:$K$175,Allocation!$C$1:$C$175,$A66))</f>
        <v/>
      </c>
      <c r="W66" t="str">
        <f>IF($A66="","",SUMIFS(Compta!$F$1:$F$675,Compta!$A$1:$A$675,$B66,Compta!$B$1:$B$675,"621",Compta!$C$1:$C$675,$A66))</f>
        <v/>
      </c>
      <c r="X66" t="str">
        <f>IF($A66="","",SUMIFS(Compta!$F$1:$F$675,Compta!$A$1:$A$675,$B66,Compta!$B$1:$B$675,"6411",Compta!$C$1:$C$675,$A66))</f>
        <v/>
      </c>
      <c r="Y66" t="str">
        <f>IF($A66="","",SUMIFS(Compta!$F$1:$F$675,Compta!$A$1:$A$675,$B66,Compta!$B$1:$B$675,"604",Compta!$C$1:$C$675,$A66)+SUMIFS(Compta!$F$1:$F$675,Compta!$A$1:$A$675,$B66,Compta!$B$1:$B$675,"6063",Compta!$C$1:$C$675,$A66))</f>
        <v/>
      </c>
      <c r="Z66" t="str">
        <f>IF($A66="","",SUMIFS(Compta!$F$1:$F$675,Compta!$A$1:$A$675,$B66,Compta!$B$1:$B$675,"6231",Compta!$C$1:$C$675,$A66))</f>
        <v/>
      </c>
      <c r="AA66" t="str">
        <f>IF($A66="","",SUMIFS(Compta!$F$1:$F$675,Compta!$A$1:$A$675,$B66,Compta!$B$1:$B$675,"6413",Compta!$C$1:$C$675,$A66)+SUMIFS(Compta!$F$1:$F$675,Compta!$A$1:$A$675,$B66,Compta!$B$1:$B$675,"645",Compta!$C$1:$C$675,$A66)+SUMIFS(Compta!$F$1:$F$675,Compta!$A$1:$A$675,$B66,Compta!$B$1:$B$675,"613",Compta!$C$1:$C$675,$A66)+SUMIFS(Compta!$F$1:$F$675,Compta!$A$1:$A$675,$B66,Compta!$B$1:$B$675,"615",Compta!$C$1:$C$675,$A66)+SUMIFS(Compta!$F$1:$F$675,Compta!$A$1:$A$675,$B66,Compta!$B$1:$B$675,"616",Compta!$C$1:$C$675,$A66)+SUMIFS(Compta!$F$1:$F$675,Compta!$A$1:$A$675,$B66,Compta!$B$1:$B$675,"625",Compta!$C$1:$C$675,$A66)+SUMIFS(Compta!$F$1:$F$675,Compta!$A$1:$A$675,$B66,Compta!$B$1:$B$675,"63511",Compta!$C$1:$C$675,$A66))</f>
        <v/>
      </c>
      <c r="AB66" t="str">
        <f>IF($A66="","",SUMIFS(Compta!$F$1:$F$675,Compta!$A$1:$A$675,"GRP",Compta!$B$1:$B$675,"6414",Compta!$C$1:$C$675,$A66)+SUMIFS(Compta!$F$1:$F$675,Compta!$A$1:$A$675,"GRP",Compta!$B$1:$B$675,"6226",Compta!$C$1:$C$675,$A66)+SUMIFS(Compta!$F$1:$F$675,Compta!$A$1:$A$675,"GRP",Compta!$B$1:$B$675,"626",Compta!$C$1:$C$675,$A66)+SUMIFS(Compta!$F$1:$F$675,Compta!$A$1:$A$675,"GRP",Compta!$B$1:$B$675,"6281",Compta!$C$1:$C$675,$A66)+SUMIFS(Compta!$F$1:$F$675,Compta!$A$1:$A$675,"GRP",Compta!$B$1:$B$675,"6331",Compta!$C$1:$C$675,$A66)+SUMIFS(Compta!$F$1:$F$675,Compta!$A$1:$A$675,"GRP",Compta!$B$1:$B$675,"6333",Compta!$C$1:$C$675,$A66))</f>
        <v/>
      </c>
      <c r="AC66" t="s">
        <v>297</v>
      </c>
      <c r="AD66" t="s">
        <v>297</v>
      </c>
      <c r="AE66" t="s">
        <v>297</v>
      </c>
      <c r="AF66" t="s">
        <v>297</v>
      </c>
      <c r="AG66" t="s">
        <v>297</v>
      </c>
      <c r="AH66" t="s">
        <v>297</v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 t="str">
        <f>IF($A66="","",SUMIFS(Compta!$F$1:$F$675,Compta!$A$1:$A$675,"GRP",Compta!$B$1:$B$675,"6236",Compta!$C$1:$C$675,$A66))</f>
        <v/>
      </c>
      <c r="AP66" t="s">
        <v>297</v>
      </c>
      <c r="AQ66" t="s">
        <v>297</v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IF(Allocation!D67="","",Allocation!I67)</f>
        <v/>
      </c>
      <c r="H67" t="str">
        <f>IF(Allocation!D67="","",Allocation!J67)</f>
        <v/>
      </c>
      <c r="I67" t="str">
        <f>IF(Allocation!D67="","",Allocation!K67)</f>
        <v/>
      </c>
      <c r="J67" t="str">
        <f>IF($A67="","",SUMIFS(Socle!$K$1:$K$175,Socle!$C$1:$C$175,$B67,Socle!$D$1:$D$175,$D67,Socle!$E$1:$E$175,$E67,Socle!$F$1:$F$175,$F67,Socle!$G$1:$G$175,$A67))</f>
        <v/>
      </c>
      <c r="K67" t="str">
        <f t="shared" si="10"/>
        <v/>
      </c>
      <c r="L67" t="str">
        <f>IF($A67="","",SUMIFS(Allocation!$I$1:$I$175,Allocation!$C$1:$C$175,$A67,Allocation!$D$1:$D$175,$B67))</f>
        <v/>
      </c>
      <c r="M67" t="str">
        <f>IF($A67="","",SUMIFS(Allocation!$J$1:$J$175,Allocation!$C$1:$C$175,$A67,Allocation!$D$1:$D$175,$B67))</f>
        <v/>
      </c>
      <c r="N67" t="str">
        <f>IF($A67="","",SUMIFS(Allocation!$K$1:$K$175,Allocation!$C$1:$C$175,$A67,Allocation!$D$1:$D$175,$B67))</f>
        <v/>
      </c>
      <c r="O67" t="str">
        <f t="shared" si="11"/>
        <v/>
      </c>
      <c r="P67" t="str">
        <f t="shared" si="12"/>
        <v/>
      </c>
      <c r="Q67" t="str">
        <f>IF($A67="","",SUMIFS(Allocation!$I$1:$I$175,Allocation!$C$1:$C$175,$A67,Allocation!$E$1:$E$175,$C67))</f>
        <v/>
      </c>
      <c r="R67" t="str">
        <f>IF($A67="","",SUMIFS(Allocation!$J$1:$J$175,Allocation!$C$1:$C$175,$A67,Allocation!$E$1:$E$175,$C67))</f>
        <v/>
      </c>
      <c r="S67" t="str">
        <f>IF($A67="","",SUMIFS(Allocation!$K$1:$K$175,Allocation!$C$1:$C$175,$A67,Allocation!$E$1:$E$175,$C67))</f>
        <v/>
      </c>
      <c r="T67" t="str">
        <f>IF($A67="","",SUMIFS(Allocation!$I$1:$I$175,Allocation!$C$1:$C$175,$A67))</f>
        <v/>
      </c>
      <c r="U67" t="str">
        <f>IF($A67="","",SUMIFS(Allocation!$J$1:$J$175,Allocation!$C$1:$C$175,$A67))</f>
        <v/>
      </c>
      <c r="V67" t="str">
        <f>IF($A67="","",SUMIFS(Allocation!$K$1:$K$175,Allocation!$C$1:$C$175,$A67))</f>
        <v/>
      </c>
      <c r="W67" t="str">
        <f>IF($A67="","",SUMIFS(Compta!$F$1:$F$675,Compta!$A$1:$A$675,$B67,Compta!$B$1:$B$675,"621",Compta!$C$1:$C$675,$A67))</f>
        <v/>
      </c>
      <c r="X67" t="str">
        <f>IF($A67="","",SUMIFS(Compta!$F$1:$F$675,Compta!$A$1:$A$675,$B67,Compta!$B$1:$B$675,"6411",Compta!$C$1:$C$675,$A67))</f>
        <v/>
      </c>
      <c r="Y67" t="str">
        <f>IF($A67="","",SUMIFS(Compta!$F$1:$F$675,Compta!$A$1:$A$675,$B67,Compta!$B$1:$B$675,"604",Compta!$C$1:$C$675,$A67)+SUMIFS(Compta!$F$1:$F$675,Compta!$A$1:$A$675,$B67,Compta!$B$1:$B$675,"6063",Compta!$C$1:$C$675,$A67))</f>
        <v/>
      </c>
      <c r="Z67" t="str">
        <f>IF($A67="","",SUMIFS(Compta!$F$1:$F$675,Compta!$A$1:$A$675,$B67,Compta!$B$1:$B$675,"6231",Compta!$C$1:$C$675,$A67))</f>
        <v/>
      </c>
      <c r="AA67" t="str">
        <f>IF($A67="","",SUMIFS(Compta!$F$1:$F$675,Compta!$A$1:$A$675,$B67,Compta!$B$1:$B$675,"6413",Compta!$C$1:$C$675,$A67)+SUMIFS(Compta!$F$1:$F$675,Compta!$A$1:$A$675,$B67,Compta!$B$1:$B$675,"645",Compta!$C$1:$C$675,$A67)+SUMIFS(Compta!$F$1:$F$675,Compta!$A$1:$A$675,$B67,Compta!$B$1:$B$675,"613",Compta!$C$1:$C$675,$A67)+SUMIFS(Compta!$F$1:$F$675,Compta!$A$1:$A$675,$B67,Compta!$B$1:$B$675,"615",Compta!$C$1:$C$675,$A67)+SUMIFS(Compta!$F$1:$F$675,Compta!$A$1:$A$675,$B67,Compta!$B$1:$B$675,"616",Compta!$C$1:$C$675,$A67)+SUMIFS(Compta!$F$1:$F$675,Compta!$A$1:$A$675,$B67,Compta!$B$1:$B$675,"625",Compta!$C$1:$C$675,$A67)+SUMIFS(Compta!$F$1:$F$675,Compta!$A$1:$A$675,$B67,Compta!$B$1:$B$675,"63511",Compta!$C$1:$C$675,$A67))</f>
        <v/>
      </c>
      <c r="AB67" t="str">
        <f>IF($A67="","",SUMIFS(Compta!$F$1:$F$675,Compta!$A$1:$A$675,"GRP",Compta!$B$1:$B$675,"6414",Compta!$C$1:$C$675,$A67)+SUMIFS(Compta!$F$1:$F$675,Compta!$A$1:$A$675,"GRP",Compta!$B$1:$B$675,"6226",Compta!$C$1:$C$675,$A67)+SUMIFS(Compta!$F$1:$F$675,Compta!$A$1:$A$675,"GRP",Compta!$B$1:$B$675,"626",Compta!$C$1:$C$675,$A67)+SUMIFS(Compta!$F$1:$F$675,Compta!$A$1:$A$675,"GRP",Compta!$B$1:$B$675,"6281",Compta!$C$1:$C$675,$A67)+SUMIFS(Compta!$F$1:$F$675,Compta!$A$1:$A$675,"GRP",Compta!$B$1:$B$675,"6331",Compta!$C$1:$C$675,$A67)+SUMIFS(Compta!$F$1:$F$675,Compta!$A$1:$A$675,"GRP",Compta!$B$1:$B$675,"6333",Compta!$C$1:$C$675,$A67))</f>
        <v/>
      </c>
      <c r="AC67" t="s">
        <v>297</v>
      </c>
      <c r="AD67" t="s">
        <v>297</v>
      </c>
      <c r="AE67" t="s">
        <v>297</v>
      </c>
      <c r="AF67" t="s">
        <v>297</v>
      </c>
      <c r="AG67" t="s">
        <v>297</v>
      </c>
      <c r="AH67" t="s">
        <v>297</v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 t="str">
        <f>IF($A67="","",SUMIFS(Compta!$F$1:$F$675,Compta!$A$1:$A$675,"GRP",Compta!$B$1:$B$675,"6236",Compta!$C$1:$C$675,$A67))</f>
        <v/>
      </c>
      <c r="AP67" t="s">
        <v>297</v>
      </c>
      <c r="AQ67" t="s">
        <v>297</v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IF(Allocation!D68="","",Allocation!I68)</f>
        <v/>
      </c>
      <c r="H68" t="str">
        <f>IF(Allocation!D68="","",Allocation!J68)</f>
        <v/>
      </c>
      <c r="I68" t="str">
        <f>IF(Allocation!D68="","",Allocation!K68)</f>
        <v/>
      </c>
      <c r="J68" t="str">
        <f>IF($A68="","",SUMIFS(Socle!$K$1:$K$175,Socle!$C$1:$C$175,$B68,Socle!$D$1:$D$175,$D68,Socle!$E$1:$E$175,$E68,Socle!$F$1:$F$175,$F68,Socle!$G$1:$G$175,$A68))</f>
        <v/>
      </c>
      <c r="K68" t="str">
        <f t="shared" si="10"/>
        <v/>
      </c>
      <c r="L68" t="str">
        <f>IF($A68="","",SUMIFS(Allocation!$I$1:$I$175,Allocation!$C$1:$C$175,$A68,Allocation!$D$1:$D$175,$B68))</f>
        <v/>
      </c>
      <c r="M68" t="str">
        <f>IF($A68="","",SUMIFS(Allocation!$J$1:$J$175,Allocation!$C$1:$C$175,$A68,Allocation!$D$1:$D$175,$B68))</f>
        <v/>
      </c>
      <c r="N68" t="str">
        <f>IF($A68="","",SUMIFS(Allocation!$K$1:$K$175,Allocation!$C$1:$C$175,$A68,Allocation!$D$1:$D$175,$B68))</f>
        <v/>
      </c>
      <c r="O68" t="str">
        <f t="shared" si="11"/>
        <v/>
      </c>
      <c r="P68" t="str">
        <f t="shared" si="12"/>
        <v/>
      </c>
      <c r="Q68" t="str">
        <f>IF($A68="","",SUMIFS(Allocation!$I$1:$I$175,Allocation!$C$1:$C$175,$A68,Allocation!$E$1:$E$175,$C68))</f>
        <v/>
      </c>
      <c r="R68" t="str">
        <f>IF($A68="","",SUMIFS(Allocation!$J$1:$J$175,Allocation!$C$1:$C$175,$A68,Allocation!$E$1:$E$175,$C68))</f>
        <v/>
      </c>
      <c r="S68" t="str">
        <f>IF($A68="","",SUMIFS(Allocation!$K$1:$K$175,Allocation!$C$1:$C$175,$A68,Allocation!$E$1:$E$175,$C68))</f>
        <v/>
      </c>
      <c r="T68" t="str">
        <f>IF($A68="","",SUMIFS(Allocation!$I$1:$I$175,Allocation!$C$1:$C$175,$A68))</f>
        <v/>
      </c>
      <c r="U68" t="str">
        <f>IF($A68="","",SUMIFS(Allocation!$J$1:$J$175,Allocation!$C$1:$C$175,$A68))</f>
        <v/>
      </c>
      <c r="V68" t="str">
        <f>IF($A68="","",SUMIFS(Allocation!$K$1:$K$175,Allocation!$C$1:$C$175,$A68))</f>
        <v/>
      </c>
      <c r="W68" t="str">
        <f>IF($A68="","",SUMIFS(Compta!$F$1:$F$675,Compta!$A$1:$A$675,$B68,Compta!$B$1:$B$675,"621",Compta!$C$1:$C$675,$A68))</f>
        <v/>
      </c>
      <c r="X68" t="str">
        <f>IF($A68="","",SUMIFS(Compta!$F$1:$F$675,Compta!$A$1:$A$675,$B68,Compta!$B$1:$B$675,"6411",Compta!$C$1:$C$675,$A68))</f>
        <v/>
      </c>
      <c r="Y68" t="str">
        <f>IF($A68="","",SUMIFS(Compta!$F$1:$F$675,Compta!$A$1:$A$675,$B68,Compta!$B$1:$B$675,"604",Compta!$C$1:$C$675,$A68)+SUMIFS(Compta!$F$1:$F$675,Compta!$A$1:$A$675,$B68,Compta!$B$1:$B$675,"6063",Compta!$C$1:$C$675,$A68))</f>
        <v/>
      </c>
      <c r="Z68" t="str">
        <f>IF($A68="","",SUMIFS(Compta!$F$1:$F$675,Compta!$A$1:$A$675,$B68,Compta!$B$1:$B$675,"6231",Compta!$C$1:$C$675,$A68))</f>
        <v/>
      </c>
      <c r="AA68" t="str">
        <f>IF($A68="","",SUMIFS(Compta!$F$1:$F$675,Compta!$A$1:$A$675,$B68,Compta!$B$1:$B$675,"6413",Compta!$C$1:$C$675,$A68)+SUMIFS(Compta!$F$1:$F$675,Compta!$A$1:$A$675,$B68,Compta!$B$1:$B$675,"645",Compta!$C$1:$C$675,$A68)+SUMIFS(Compta!$F$1:$F$675,Compta!$A$1:$A$675,$B68,Compta!$B$1:$B$675,"613",Compta!$C$1:$C$675,$A68)+SUMIFS(Compta!$F$1:$F$675,Compta!$A$1:$A$675,$B68,Compta!$B$1:$B$675,"615",Compta!$C$1:$C$675,$A68)+SUMIFS(Compta!$F$1:$F$675,Compta!$A$1:$A$675,$B68,Compta!$B$1:$B$675,"616",Compta!$C$1:$C$675,$A68)+SUMIFS(Compta!$F$1:$F$675,Compta!$A$1:$A$675,$B68,Compta!$B$1:$B$675,"625",Compta!$C$1:$C$675,$A68)+SUMIFS(Compta!$F$1:$F$675,Compta!$A$1:$A$675,$B68,Compta!$B$1:$B$675,"63511",Compta!$C$1:$C$675,$A68))</f>
        <v/>
      </c>
      <c r="AB68" t="str">
        <f>IF($A68="","",SUMIFS(Compta!$F$1:$F$675,Compta!$A$1:$A$675,"GRP",Compta!$B$1:$B$675,"6414",Compta!$C$1:$C$675,$A68)+SUMIFS(Compta!$F$1:$F$675,Compta!$A$1:$A$675,"GRP",Compta!$B$1:$B$675,"6226",Compta!$C$1:$C$675,$A68)+SUMIFS(Compta!$F$1:$F$675,Compta!$A$1:$A$675,"GRP",Compta!$B$1:$B$675,"626",Compta!$C$1:$C$675,$A68)+SUMIFS(Compta!$F$1:$F$675,Compta!$A$1:$A$675,"GRP",Compta!$B$1:$B$675,"6281",Compta!$C$1:$C$675,$A68)+SUMIFS(Compta!$F$1:$F$675,Compta!$A$1:$A$675,"GRP",Compta!$B$1:$B$675,"6331",Compta!$C$1:$C$675,$A68)+SUMIFS(Compta!$F$1:$F$675,Compta!$A$1:$A$675,"GRP",Compta!$B$1:$B$675,"6333",Compta!$C$1:$C$675,$A68))</f>
        <v/>
      </c>
      <c r="AC68" t="s">
        <v>297</v>
      </c>
      <c r="AD68" t="s">
        <v>297</v>
      </c>
      <c r="AE68" t="s">
        <v>297</v>
      </c>
      <c r="AF68" t="s">
        <v>297</v>
      </c>
      <c r="AG68" t="s">
        <v>297</v>
      </c>
      <c r="AH68" t="s">
        <v>297</v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 t="str">
        <f>IF($A68="","",SUMIFS(Compta!$F$1:$F$675,Compta!$A$1:$A$675,"GRP",Compta!$B$1:$B$675,"6236",Compta!$C$1:$C$675,$A68))</f>
        <v/>
      </c>
      <c r="AP68" t="s">
        <v>297</v>
      </c>
      <c r="AQ68" t="s">
        <v>297</v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IF(Allocation!D69="","",Allocation!I69)</f>
        <v/>
      </c>
      <c r="H69" t="str">
        <f>IF(Allocation!D69="","",Allocation!J69)</f>
        <v/>
      </c>
      <c r="I69" t="str">
        <f>IF(Allocation!D69="","",Allocation!K69)</f>
        <v/>
      </c>
      <c r="J69" t="str">
        <f>IF($A69="","",SUMIFS(Socle!$K$1:$K$175,Socle!$C$1:$C$175,$B69,Socle!$D$1:$D$175,$D69,Socle!$E$1:$E$175,$E69,Socle!$F$1:$F$175,$F69,Socle!$G$1:$G$175,$A69))</f>
        <v/>
      </c>
      <c r="K69" t="str">
        <f t="shared" si="10"/>
        <v/>
      </c>
      <c r="L69" t="str">
        <f>IF($A69="","",SUMIFS(Allocation!$I$1:$I$175,Allocation!$C$1:$C$175,$A69,Allocation!$D$1:$D$175,$B69))</f>
        <v/>
      </c>
      <c r="M69" t="str">
        <f>IF($A69="","",SUMIFS(Allocation!$J$1:$J$175,Allocation!$C$1:$C$175,$A69,Allocation!$D$1:$D$175,$B69))</f>
        <v/>
      </c>
      <c r="N69" t="str">
        <f>IF($A69="","",SUMIFS(Allocation!$K$1:$K$175,Allocation!$C$1:$C$175,$A69,Allocation!$D$1:$D$175,$B69))</f>
        <v/>
      </c>
      <c r="O69" t="str">
        <f t="shared" si="11"/>
        <v/>
      </c>
      <c r="P69" t="str">
        <f t="shared" si="12"/>
        <v/>
      </c>
      <c r="Q69" t="str">
        <f>IF($A69="","",SUMIFS(Allocation!$I$1:$I$175,Allocation!$C$1:$C$175,$A69,Allocation!$E$1:$E$175,$C69))</f>
        <v/>
      </c>
      <c r="R69" t="str">
        <f>IF($A69="","",SUMIFS(Allocation!$J$1:$J$175,Allocation!$C$1:$C$175,$A69,Allocation!$E$1:$E$175,$C69))</f>
        <v/>
      </c>
      <c r="S69" t="str">
        <f>IF($A69="","",SUMIFS(Allocation!$K$1:$K$175,Allocation!$C$1:$C$175,$A69,Allocation!$E$1:$E$175,$C69))</f>
        <v/>
      </c>
      <c r="T69" t="str">
        <f>IF($A69="","",SUMIFS(Allocation!$I$1:$I$175,Allocation!$C$1:$C$175,$A69))</f>
        <v/>
      </c>
      <c r="U69" t="str">
        <f>IF($A69="","",SUMIFS(Allocation!$J$1:$J$175,Allocation!$C$1:$C$175,$A69))</f>
        <v/>
      </c>
      <c r="V69" t="str">
        <f>IF($A69="","",SUMIFS(Allocation!$K$1:$K$175,Allocation!$C$1:$C$175,$A69))</f>
        <v/>
      </c>
      <c r="W69" t="str">
        <f>IF($A69="","",SUMIFS(Compta!$F$1:$F$675,Compta!$A$1:$A$675,$B69,Compta!$B$1:$B$675,"621",Compta!$C$1:$C$675,$A69))</f>
        <v/>
      </c>
      <c r="X69" t="str">
        <f>IF($A69="","",SUMIFS(Compta!$F$1:$F$675,Compta!$A$1:$A$675,$B69,Compta!$B$1:$B$675,"6411",Compta!$C$1:$C$675,$A69))</f>
        <v/>
      </c>
      <c r="Y69" t="str">
        <f>IF($A69="","",SUMIFS(Compta!$F$1:$F$675,Compta!$A$1:$A$675,$B69,Compta!$B$1:$B$675,"604",Compta!$C$1:$C$675,$A69)+SUMIFS(Compta!$F$1:$F$675,Compta!$A$1:$A$675,$B69,Compta!$B$1:$B$675,"6063",Compta!$C$1:$C$675,$A69))</f>
        <v/>
      </c>
      <c r="Z69" t="str">
        <f>IF($A69="","",SUMIFS(Compta!$F$1:$F$675,Compta!$A$1:$A$675,$B69,Compta!$B$1:$B$675,"6231",Compta!$C$1:$C$675,$A69))</f>
        <v/>
      </c>
      <c r="AA69" t="str">
        <f>IF($A69="","",SUMIFS(Compta!$F$1:$F$675,Compta!$A$1:$A$675,$B69,Compta!$B$1:$B$675,"6413",Compta!$C$1:$C$675,$A69)+SUMIFS(Compta!$F$1:$F$675,Compta!$A$1:$A$675,$B69,Compta!$B$1:$B$675,"645",Compta!$C$1:$C$675,$A69)+SUMIFS(Compta!$F$1:$F$675,Compta!$A$1:$A$675,$B69,Compta!$B$1:$B$675,"613",Compta!$C$1:$C$675,$A69)+SUMIFS(Compta!$F$1:$F$675,Compta!$A$1:$A$675,$B69,Compta!$B$1:$B$675,"615",Compta!$C$1:$C$675,$A69)+SUMIFS(Compta!$F$1:$F$675,Compta!$A$1:$A$675,$B69,Compta!$B$1:$B$675,"616",Compta!$C$1:$C$675,$A69)+SUMIFS(Compta!$F$1:$F$675,Compta!$A$1:$A$675,$B69,Compta!$B$1:$B$675,"625",Compta!$C$1:$C$675,$A69)+SUMIFS(Compta!$F$1:$F$675,Compta!$A$1:$A$675,$B69,Compta!$B$1:$B$675,"63511",Compta!$C$1:$C$675,$A69))</f>
        <v/>
      </c>
      <c r="AB69" t="str">
        <f>IF($A69="","",SUMIFS(Compta!$F$1:$F$675,Compta!$A$1:$A$675,"GRP",Compta!$B$1:$B$675,"6414",Compta!$C$1:$C$675,$A69)+SUMIFS(Compta!$F$1:$F$675,Compta!$A$1:$A$675,"GRP",Compta!$B$1:$B$675,"6226",Compta!$C$1:$C$675,$A69)+SUMIFS(Compta!$F$1:$F$675,Compta!$A$1:$A$675,"GRP",Compta!$B$1:$B$675,"626",Compta!$C$1:$C$675,$A69)+SUMIFS(Compta!$F$1:$F$675,Compta!$A$1:$A$675,"GRP",Compta!$B$1:$B$675,"6281",Compta!$C$1:$C$675,$A69)+SUMIFS(Compta!$F$1:$F$675,Compta!$A$1:$A$675,"GRP",Compta!$B$1:$B$675,"6331",Compta!$C$1:$C$675,$A69)+SUMIFS(Compta!$F$1:$F$675,Compta!$A$1:$A$675,"GRP",Compta!$B$1:$B$675,"6333",Compta!$C$1:$C$675,$A69))</f>
        <v/>
      </c>
      <c r="AC69" t="s">
        <v>297</v>
      </c>
      <c r="AD69" t="s">
        <v>297</v>
      </c>
      <c r="AE69" t="s">
        <v>297</v>
      </c>
      <c r="AF69" t="s">
        <v>297</v>
      </c>
      <c r="AG69" t="s">
        <v>297</v>
      </c>
      <c r="AH69" t="s">
        <v>297</v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 t="str">
        <f>IF($A69="","",SUMIFS(Compta!$F$1:$F$675,Compta!$A$1:$A$675,"GRP",Compta!$B$1:$B$675,"6236",Compta!$C$1:$C$675,$A69))</f>
        <v/>
      </c>
      <c r="AP69" t="s">
        <v>297</v>
      </c>
      <c r="AQ69" t="s">
        <v>297</v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IF(Allocation!D70="","",Allocation!I70)</f>
        <v/>
      </c>
      <c r="H70" t="str">
        <f>IF(Allocation!D70="","",Allocation!J70)</f>
        <v/>
      </c>
      <c r="I70" t="str">
        <f>IF(Allocation!D70="","",Allocation!K70)</f>
        <v/>
      </c>
      <c r="J70" t="str">
        <f>IF($A70="","",SUMIFS(Socle!$K$1:$K$175,Socle!$C$1:$C$175,$B70,Socle!$D$1:$D$175,$D70,Socle!$E$1:$E$175,$E70,Socle!$F$1:$F$175,$F70,Socle!$G$1:$G$175,$A70))</f>
        <v/>
      </c>
      <c r="K70" t="str">
        <f t="shared" si="10"/>
        <v/>
      </c>
      <c r="L70" t="str">
        <f>IF($A70="","",SUMIFS(Allocation!$I$1:$I$175,Allocation!$C$1:$C$175,$A70,Allocation!$D$1:$D$175,$B70))</f>
        <v/>
      </c>
      <c r="M70" t="str">
        <f>IF($A70="","",SUMIFS(Allocation!$J$1:$J$175,Allocation!$C$1:$C$175,$A70,Allocation!$D$1:$D$175,$B70))</f>
        <v/>
      </c>
      <c r="N70" t="str">
        <f>IF($A70="","",SUMIFS(Allocation!$K$1:$K$175,Allocation!$C$1:$C$175,$A70,Allocation!$D$1:$D$175,$B70))</f>
        <v/>
      </c>
      <c r="O70" t="str">
        <f t="shared" si="11"/>
        <v/>
      </c>
      <c r="P70" t="str">
        <f t="shared" si="12"/>
        <v/>
      </c>
      <c r="Q70" t="str">
        <f>IF($A70="","",SUMIFS(Allocation!$I$1:$I$175,Allocation!$C$1:$C$175,$A70,Allocation!$E$1:$E$175,$C70))</f>
        <v/>
      </c>
      <c r="R70" t="str">
        <f>IF($A70="","",SUMIFS(Allocation!$J$1:$J$175,Allocation!$C$1:$C$175,$A70,Allocation!$E$1:$E$175,$C70))</f>
        <v/>
      </c>
      <c r="S70" t="str">
        <f>IF($A70="","",SUMIFS(Allocation!$K$1:$K$175,Allocation!$C$1:$C$175,$A70,Allocation!$E$1:$E$175,$C70))</f>
        <v/>
      </c>
      <c r="T70" t="str">
        <f>IF($A70="","",SUMIFS(Allocation!$I$1:$I$175,Allocation!$C$1:$C$175,$A70))</f>
        <v/>
      </c>
      <c r="U70" t="str">
        <f>IF($A70="","",SUMIFS(Allocation!$J$1:$J$175,Allocation!$C$1:$C$175,$A70))</f>
        <v/>
      </c>
      <c r="V70" t="str">
        <f>IF($A70="","",SUMIFS(Allocation!$K$1:$K$175,Allocation!$C$1:$C$175,$A70))</f>
        <v/>
      </c>
      <c r="W70" t="str">
        <f>IF($A70="","",SUMIFS(Compta!$F$1:$F$675,Compta!$A$1:$A$675,$B70,Compta!$B$1:$B$675,"621",Compta!$C$1:$C$675,$A70))</f>
        <v/>
      </c>
      <c r="X70" t="str">
        <f>IF($A70="","",SUMIFS(Compta!$F$1:$F$675,Compta!$A$1:$A$675,$B70,Compta!$B$1:$B$675,"6411",Compta!$C$1:$C$675,$A70))</f>
        <v/>
      </c>
      <c r="Y70" t="str">
        <f>IF($A70="","",SUMIFS(Compta!$F$1:$F$675,Compta!$A$1:$A$675,$B70,Compta!$B$1:$B$675,"604",Compta!$C$1:$C$675,$A70)+SUMIFS(Compta!$F$1:$F$675,Compta!$A$1:$A$675,$B70,Compta!$B$1:$B$675,"6063",Compta!$C$1:$C$675,$A70))</f>
        <v/>
      </c>
      <c r="Z70" t="str">
        <f>IF($A70="","",SUMIFS(Compta!$F$1:$F$675,Compta!$A$1:$A$675,$B70,Compta!$B$1:$B$675,"6231",Compta!$C$1:$C$675,$A70))</f>
        <v/>
      </c>
      <c r="AA70" t="str">
        <f>IF($A70="","",SUMIFS(Compta!$F$1:$F$675,Compta!$A$1:$A$675,$B70,Compta!$B$1:$B$675,"6413",Compta!$C$1:$C$675,$A70)+SUMIFS(Compta!$F$1:$F$675,Compta!$A$1:$A$675,$B70,Compta!$B$1:$B$675,"645",Compta!$C$1:$C$675,$A70)+SUMIFS(Compta!$F$1:$F$675,Compta!$A$1:$A$675,$B70,Compta!$B$1:$B$675,"613",Compta!$C$1:$C$675,$A70)+SUMIFS(Compta!$F$1:$F$675,Compta!$A$1:$A$675,$B70,Compta!$B$1:$B$675,"615",Compta!$C$1:$C$675,$A70)+SUMIFS(Compta!$F$1:$F$675,Compta!$A$1:$A$675,$B70,Compta!$B$1:$B$675,"616",Compta!$C$1:$C$675,$A70)+SUMIFS(Compta!$F$1:$F$675,Compta!$A$1:$A$675,$B70,Compta!$B$1:$B$675,"625",Compta!$C$1:$C$675,$A70)+SUMIFS(Compta!$F$1:$F$675,Compta!$A$1:$A$675,$B70,Compta!$B$1:$B$675,"63511",Compta!$C$1:$C$675,$A70))</f>
        <v/>
      </c>
      <c r="AB70" t="str">
        <f>IF($A70="","",SUMIFS(Compta!$F$1:$F$675,Compta!$A$1:$A$675,"GRP",Compta!$B$1:$B$675,"6414",Compta!$C$1:$C$675,$A70)+SUMIFS(Compta!$F$1:$F$675,Compta!$A$1:$A$675,"GRP",Compta!$B$1:$B$675,"6226",Compta!$C$1:$C$675,$A70)+SUMIFS(Compta!$F$1:$F$675,Compta!$A$1:$A$675,"GRP",Compta!$B$1:$B$675,"626",Compta!$C$1:$C$675,$A70)+SUMIFS(Compta!$F$1:$F$675,Compta!$A$1:$A$675,"GRP",Compta!$B$1:$B$675,"6281",Compta!$C$1:$C$675,$A70)+SUMIFS(Compta!$F$1:$F$675,Compta!$A$1:$A$675,"GRP",Compta!$B$1:$B$675,"6331",Compta!$C$1:$C$675,$A70)+SUMIFS(Compta!$F$1:$F$675,Compta!$A$1:$A$675,"GRP",Compta!$B$1:$B$675,"6333",Compta!$C$1:$C$675,$A70))</f>
        <v/>
      </c>
      <c r="AC70" t="s">
        <v>297</v>
      </c>
      <c r="AD70" t="s">
        <v>297</v>
      </c>
      <c r="AE70" t="s">
        <v>297</v>
      </c>
      <c r="AF70" t="s">
        <v>297</v>
      </c>
      <c r="AG70" t="s">
        <v>297</v>
      </c>
      <c r="AH70" t="s">
        <v>297</v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 t="str">
        <f>IF($A70="","",SUMIFS(Compta!$F$1:$F$675,Compta!$A$1:$A$675,"GRP",Compta!$B$1:$B$675,"6236",Compta!$C$1:$C$675,$A70))</f>
        <v/>
      </c>
      <c r="AP70" t="s">
        <v>297</v>
      </c>
      <c r="AQ70" t="s">
        <v>297</v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IF(Allocation!D71="","",Allocation!I71)</f>
        <v/>
      </c>
      <c r="H71" t="str">
        <f>IF(Allocation!D71="","",Allocation!J71)</f>
        <v/>
      </c>
      <c r="I71" t="str">
        <f>IF(Allocation!D71="","",Allocation!K71)</f>
        <v/>
      </c>
      <c r="J71" t="str">
        <f>IF($A71="","",SUMIFS(Socle!$K$1:$K$175,Socle!$C$1:$C$175,$B71,Socle!$D$1:$D$175,$D71,Socle!$E$1:$E$175,$E71,Socle!$F$1:$F$175,$F71,Socle!$G$1:$G$175,$A71))</f>
        <v/>
      </c>
      <c r="K71" t="str">
        <f t="shared" si="10"/>
        <v/>
      </c>
      <c r="L71" t="str">
        <f>IF($A71="","",SUMIFS(Allocation!$I$1:$I$175,Allocation!$C$1:$C$175,$A71,Allocation!$D$1:$D$175,$B71))</f>
        <v/>
      </c>
      <c r="M71" t="str">
        <f>IF($A71="","",SUMIFS(Allocation!$J$1:$J$175,Allocation!$C$1:$C$175,$A71,Allocation!$D$1:$D$175,$B71))</f>
        <v/>
      </c>
      <c r="N71" t="str">
        <f>IF($A71="","",SUMIFS(Allocation!$K$1:$K$175,Allocation!$C$1:$C$175,$A71,Allocation!$D$1:$D$175,$B71))</f>
        <v/>
      </c>
      <c r="O71" t="str">
        <f t="shared" si="11"/>
        <v/>
      </c>
      <c r="P71" t="str">
        <f t="shared" si="12"/>
        <v/>
      </c>
      <c r="Q71" t="str">
        <f>IF($A71="","",SUMIFS(Allocation!$I$1:$I$175,Allocation!$C$1:$C$175,$A71,Allocation!$E$1:$E$175,$C71))</f>
        <v/>
      </c>
      <c r="R71" t="str">
        <f>IF($A71="","",SUMIFS(Allocation!$J$1:$J$175,Allocation!$C$1:$C$175,$A71,Allocation!$E$1:$E$175,$C71))</f>
        <v/>
      </c>
      <c r="S71" t="str">
        <f>IF($A71="","",SUMIFS(Allocation!$K$1:$K$175,Allocation!$C$1:$C$175,$A71,Allocation!$E$1:$E$175,$C71))</f>
        <v/>
      </c>
      <c r="T71" t="str">
        <f>IF($A71="","",SUMIFS(Allocation!$I$1:$I$175,Allocation!$C$1:$C$175,$A71))</f>
        <v/>
      </c>
      <c r="U71" t="str">
        <f>IF($A71="","",SUMIFS(Allocation!$J$1:$J$175,Allocation!$C$1:$C$175,$A71))</f>
        <v/>
      </c>
      <c r="V71" t="str">
        <f>IF($A71="","",SUMIFS(Allocation!$K$1:$K$175,Allocation!$C$1:$C$175,$A71))</f>
        <v/>
      </c>
      <c r="W71" t="str">
        <f>IF($A71="","",SUMIFS(Compta!$F$1:$F$675,Compta!$A$1:$A$675,$B71,Compta!$B$1:$B$675,"621",Compta!$C$1:$C$675,$A71))</f>
        <v/>
      </c>
      <c r="X71" t="str">
        <f>IF($A71="","",SUMIFS(Compta!$F$1:$F$675,Compta!$A$1:$A$675,$B71,Compta!$B$1:$B$675,"6411",Compta!$C$1:$C$675,$A71))</f>
        <v/>
      </c>
      <c r="Y71" t="str">
        <f>IF($A71="","",SUMIFS(Compta!$F$1:$F$675,Compta!$A$1:$A$675,$B71,Compta!$B$1:$B$675,"604",Compta!$C$1:$C$675,$A71)+SUMIFS(Compta!$F$1:$F$675,Compta!$A$1:$A$675,$B71,Compta!$B$1:$B$675,"6063",Compta!$C$1:$C$675,$A71))</f>
        <v/>
      </c>
      <c r="Z71" t="str">
        <f>IF($A71="","",SUMIFS(Compta!$F$1:$F$675,Compta!$A$1:$A$675,$B71,Compta!$B$1:$B$675,"6231",Compta!$C$1:$C$675,$A71))</f>
        <v/>
      </c>
      <c r="AA71" t="str">
        <f>IF($A71="","",SUMIFS(Compta!$F$1:$F$675,Compta!$A$1:$A$675,$B71,Compta!$B$1:$B$675,"6413",Compta!$C$1:$C$675,$A71)+SUMIFS(Compta!$F$1:$F$675,Compta!$A$1:$A$675,$B71,Compta!$B$1:$B$675,"645",Compta!$C$1:$C$675,$A71)+SUMIFS(Compta!$F$1:$F$675,Compta!$A$1:$A$675,$B71,Compta!$B$1:$B$675,"613",Compta!$C$1:$C$675,$A71)+SUMIFS(Compta!$F$1:$F$675,Compta!$A$1:$A$675,$B71,Compta!$B$1:$B$675,"615",Compta!$C$1:$C$675,$A71)+SUMIFS(Compta!$F$1:$F$675,Compta!$A$1:$A$675,$B71,Compta!$B$1:$B$675,"616",Compta!$C$1:$C$675,$A71)+SUMIFS(Compta!$F$1:$F$675,Compta!$A$1:$A$675,$B71,Compta!$B$1:$B$675,"625",Compta!$C$1:$C$675,$A71)+SUMIFS(Compta!$F$1:$F$675,Compta!$A$1:$A$675,$B71,Compta!$B$1:$B$675,"63511",Compta!$C$1:$C$675,$A71))</f>
        <v/>
      </c>
      <c r="AB71" t="str">
        <f>IF($A71="","",SUMIFS(Compta!$F$1:$F$675,Compta!$A$1:$A$675,"GRP",Compta!$B$1:$B$675,"6414",Compta!$C$1:$C$675,$A71)+SUMIFS(Compta!$F$1:$F$675,Compta!$A$1:$A$675,"GRP",Compta!$B$1:$B$675,"6226",Compta!$C$1:$C$675,$A71)+SUMIFS(Compta!$F$1:$F$675,Compta!$A$1:$A$675,"GRP",Compta!$B$1:$B$675,"626",Compta!$C$1:$C$675,$A71)+SUMIFS(Compta!$F$1:$F$675,Compta!$A$1:$A$675,"GRP",Compta!$B$1:$B$675,"6281",Compta!$C$1:$C$675,$A71)+SUMIFS(Compta!$F$1:$F$675,Compta!$A$1:$A$675,"GRP",Compta!$B$1:$B$675,"6331",Compta!$C$1:$C$675,$A71)+SUMIFS(Compta!$F$1:$F$675,Compta!$A$1:$A$675,"GRP",Compta!$B$1:$B$675,"6333",Compta!$C$1:$C$675,$A71))</f>
        <v/>
      </c>
      <c r="AC71" t="s">
        <v>297</v>
      </c>
      <c r="AD71" t="s">
        <v>297</v>
      </c>
      <c r="AE71" t="s">
        <v>297</v>
      </c>
      <c r="AF71" t="s">
        <v>297</v>
      </c>
      <c r="AG71" t="s">
        <v>297</v>
      </c>
      <c r="AH71" t="s">
        <v>297</v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 t="str">
        <f>IF($A71="","",SUMIFS(Compta!$F$1:$F$675,Compta!$A$1:$A$675,"GRP",Compta!$B$1:$B$675,"6236",Compta!$C$1:$C$675,$A71))</f>
        <v/>
      </c>
      <c r="AP71" t="s">
        <v>297</v>
      </c>
      <c r="AQ71" t="s">
        <v>297</v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IF(Allocation!D72="","",Allocation!I72)</f>
        <v/>
      </c>
      <c r="H72" t="str">
        <f>IF(Allocation!D72="","",Allocation!J72)</f>
        <v/>
      </c>
      <c r="I72" t="str">
        <f>IF(Allocation!D72="","",Allocation!K72)</f>
        <v/>
      </c>
      <c r="J72" t="str">
        <f>IF($A72="","",SUMIFS(Socle!$K$1:$K$175,Socle!$C$1:$C$175,$B72,Socle!$D$1:$D$175,$D72,Socle!$E$1:$E$175,$E72,Socle!$F$1:$F$175,$F72,Socle!$G$1:$G$175,$A72))</f>
        <v/>
      </c>
      <c r="K72" t="str">
        <f t="shared" si="10"/>
        <v/>
      </c>
      <c r="L72" t="str">
        <f>IF($A72="","",SUMIFS(Allocation!$I$1:$I$175,Allocation!$C$1:$C$175,$A72,Allocation!$D$1:$D$175,$B72))</f>
        <v/>
      </c>
      <c r="M72" t="str">
        <f>IF($A72="","",SUMIFS(Allocation!$J$1:$J$175,Allocation!$C$1:$C$175,$A72,Allocation!$D$1:$D$175,$B72))</f>
        <v/>
      </c>
      <c r="N72" t="str">
        <f>IF($A72="","",SUMIFS(Allocation!$K$1:$K$175,Allocation!$C$1:$C$175,$A72,Allocation!$D$1:$D$175,$B72))</f>
        <v/>
      </c>
      <c r="O72" t="str">
        <f t="shared" si="11"/>
        <v/>
      </c>
      <c r="P72" t="str">
        <f t="shared" si="12"/>
        <v/>
      </c>
      <c r="Q72" t="str">
        <f>IF($A72="","",SUMIFS(Allocation!$I$1:$I$175,Allocation!$C$1:$C$175,$A72,Allocation!$E$1:$E$175,$C72))</f>
        <v/>
      </c>
      <c r="R72" t="str">
        <f>IF($A72="","",SUMIFS(Allocation!$J$1:$J$175,Allocation!$C$1:$C$175,$A72,Allocation!$E$1:$E$175,$C72))</f>
        <v/>
      </c>
      <c r="S72" t="str">
        <f>IF($A72="","",SUMIFS(Allocation!$K$1:$K$175,Allocation!$C$1:$C$175,$A72,Allocation!$E$1:$E$175,$C72))</f>
        <v/>
      </c>
      <c r="T72" t="str">
        <f>IF($A72="","",SUMIFS(Allocation!$I$1:$I$175,Allocation!$C$1:$C$175,$A72))</f>
        <v/>
      </c>
      <c r="U72" t="str">
        <f>IF($A72="","",SUMIFS(Allocation!$J$1:$J$175,Allocation!$C$1:$C$175,$A72))</f>
        <v/>
      </c>
      <c r="V72" t="str">
        <f>IF($A72="","",SUMIFS(Allocation!$K$1:$K$175,Allocation!$C$1:$C$175,$A72))</f>
        <v/>
      </c>
      <c r="W72" t="str">
        <f>IF($A72="","",SUMIFS(Compta!$F$1:$F$675,Compta!$A$1:$A$675,$B72,Compta!$B$1:$B$675,"621",Compta!$C$1:$C$675,$A72))</f>
        <v/>
      </c>
      <c r="X72" t="str">
        <f>IF($A72="","",SUMIFS(Compta!$F$1:$F$675,Compta!$A$1:$A$675,$B72,Compta!$B$1:$B$675,"6411",Compta!$C$1:$C$675,$A72))</f>
        <v/>
      </c>
      <c r="Y72" t="str">
        <f>IF($A72="","",SUMIFS(Compta!$F$1:$F$675,Compta!$A$1:$A$675,$B72,Compta!$B$1:$B$675,"604",Compta!$C$1:$C$675,$A72)+SUMIFS(Compta!$F$1:$F$675,Compta!$A$1:$A$675,$B72,Compta!$B$1:$B$675,"6063",Compta!$C$1:$C$675,$A72))</f>
        <v/>
      </c>
      <c r="Z72" t="str">
        <f>IF($A72="","",SUMIFS(Compta!$F$1:$F$675,Compta!$A$1:$A$675,$B72,Compta!$B$1:$B$675,"6231",Compta!$C$1:$C$675,$A72))</f>
        <v/>
      </c>
      <c r="AA72" t="str">
        <f>IF($A72="","",SUMIFS(Compta!$F$1:$F$675,Compta!$A$1:$A$675,$B72,Compta!$B$1:$B$675,"6413",Compta!$C$1:$C$675,$A72)+SUMIFS(Compta!$F$1:$F$675,Compta!$A$1:$A$675,$B72,Compta!$B$1:$B$675,"645",Compta!$C$1:$C$675,$A72)+SUMIFS(Compta!$F$1:$F$675,Compta!$A$1:$A$675,$B72,Compta!$B$1:$B$675,"613",Compta!$C$1:$C$675,$A72)+SUMIFS(Compta!$F$1:$F$675,Compta!$A$1:$A$675,$B72,Compta!$B$1:$B$675,"615",Compta!$C$1:$C$675,$A72)+SUMIFS(Compta!$F$1:$F$675,Compta!$A$1:$A$675,$B72,Compta!$B$1:$B$675,"616",Compta!$C$1:$C$675,$A72)+SUMIFS(Compta!$F$1:$F$675,Compta!$A$1:$A$675,$B72,Compta!$B$1:$B$675,"625",Compta!$C$1:$C$675,$A72)+SUMIFS(Compta!$F$1:$F$675,Compta!$A$1:$A$675,$B72,Compta!$B$1:$B$675,"63511",Compta!$C$1:$C$675,$A72))</f>
        <v/>
      </c>
      <c r="AB72" t="str">
        <f>IF($A72="","",SUMIFS(Compta!$F$1:$F$675,Compta!$A$1:$A$675,"GRP",Compta!$B$1:$B$675,"6414",Compta!$C$1:$C$675,$A72)+SUMIFS(Compta!$F$1:$F$675,Compta!$A$1:$A$675,"GRP",Compta!$B$1:$B$675,"6226",Compta!$C$1:$C$675,$A72)+SUMIFS(Compta!$F$1:$F$675,Compta!$A$1:$A$675,"GRP",Compta!$B$1:$B$675,"626",Compta!$C$1:$C$675,$A72)+SUMIFS(Compta!$F$1:$F$675,Compta!$A$1:$A$675,"GRP",Compta!$B$1:$B$675,"6281",Compta!$C$1:$C$675,$A72)+SUMIFS(Compta!$F$1:$F$675,Compta!$A$1:$A$675,"GRP",Compta!$B$1:$B$675,"6331",Compta!$C$1:$C$675,$A72)+SUMIFS(Compta!$F$1:$F$675,Compta!$A$1:$A$675,"GRP",Compta!$B$1:$B$675,"6333",Compta!$C$1:$C$675,$A72))</f>
        <v/>
      </c>
      <c r="AC72" t="s">
        <v>297</v>
      </c>
      <c r="AD72" t="s">
        <v>297</v>
      </c>
      <c r="AE72" t="s">
        <v>297</v>
      </c>
      <c r="AF72" t="s">
        <v>297</v>
      </c>
      <c r="AG72" t="s">
        <v>297</v>
      </c>
      <c r="AH72" t="s">
        <v>297</v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 t="str">
        <f>IF($A72="","",SUMIFS(Compta!$F$1:$F$675,Compta!$A$1:$A$675,"GRP",Compta!$B$1:$B$675,"6236",Compta!$C$1:$C$675,$A72))</f>
        <v/>
      </c>
      <c r="AP72" t="s">
        <v>297</v>
      </c>
      <c r="AQ72" t="s">
        <v>297</v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IF(Allocation!D73="","",Allocation!I73)</f>
        <v/>
      </c>
      <c r="H73" t="str">
        <f>IF(Allocation!D73="","",Allocation!J73)</f>
        <v/>
      </c>
      <c r="I73" t="str">
        <f>IF(Allocation!D73="","",Allocation!K73)</f>
        <v/>
      </c>
      <c r="J73" t="str">
        <f>IF($A73="","",SUMIFS(Socle!$K$1:$K$175,Socle!$C$1:$C$175,$B73,Socle!$D$1:$D$175,$D73,Socle!$E$1:$E$175,$E73,Socle!$F$1:$F$175,$F73,Socle!$G$1:$G$175,$A73))</f>
        <v/>
      </c>
      <c r="K73" t="str">
        <f t="shared" si="10"/>
        <v/>
      </c>
      <c r="L73" t="str">
        <f>IF($A73="","",SUMIFS(Allocation!$I$1:$I$175,Allocation!$C$1:$C$175,$A73,Allocation!$D$1:$D$175,$B73))</f>
        <v/>
      </c>
      <c r="M73" t="str">
        <f>IF($A73="","",SUMIFS(Allocation!$J$1:$J$175,Allocation!$C$1:$C$175,$A73,Allocation!$D$1:$D$175,$B73))</f>
        <v/>
      </c>
      <c r="N73" t="str">
        <f>IF($A73="","",SUMIFS(Allocation!$K$1:$K$175,Allocation!$C$1:$C$175,$A73,Allocation!$D$1:$D$175,$B73))</f>
        <v/>
      </c>
      <c r="O73" t="str">
        <f t="shared" si="11"/>
        <v/>
      </c>
      <c r="P73" t="str">
        <f t="shared" si="12"/>
        <v/>
      </c>
      <c r="Q73" t="str">
        <f>IF($A73="","",SUMIFS(Allocation!$I$1:$I$175,Allocation!$C$1:$C$175,$A73,Allocation!$E$1:$E$175,$C73))</f>
        <v/>
      </c>
      <c r="R73" t="str">
        <f>IF($A73="","",SUMIFS(Allocation!$J$1:$J$175,Allocation!$C$1:$C$175,$A73,Allocation!$E$1:$E$175,$C73))</f>
        <v/>
      </c>
      <c r="S73" t="str">
        <f>IF($A73="","",SUMIFS(Allocation!$K$1:$K$175,Allocation!$C$1:$C$175,$A73,Allocation!$E$1:$E$175,$C73))</f>
        <v/>
      </c>
      <c r="T73" t="str">
        <f>IF($A73="","",SUMIFS(Allocation!$I$1:$I$175,Allocation!$C$1:$C$175,$A73))</f>
        <v/>
      </c>
      <c r="U73" t="str">
        <f>IF($A73="","",SUMIFS(Allocation!$J$1:$J$175,Allocation!$C$1:$C$175,$A73))</f>
        <v/>
      </c>
      <c r="V73" t="str">
        <f>IF($A73="","",SUMIFS(Allocation!$K$1:$K$175,Allocation!$C$1:$C$175,$A73))</f>
        <v/>
      </c>
      <c r="W73" t="str">
        <f>IF($A73="","",SUMIFS(Compta!$F$1:$F$675,Compta!$A$1:$A$675,$B73,Compta!$B$1:$B$675,"621",Compta!$C$1:$C$675,$A73))</f>
        <v/>
      </c>
      <c r="X73" t="str">
        <f>IF($A73="","",SUMIFS(Compta!$F$1:$F$675,Compta!$A$1:$A$675,$B73,Compta!$B$1:$B$675,"6411",Compta!$C$1:$C$675,$A73))</f>
        <v/>
      </c>
      <c r="Y73" t="str">
        <f>IF($A73="","",SUMIFS(Compta!$F$1:$F$675,Compta!$A$1:$A$675,$B73,Compta!$B$1:$B$675,"604",Compta!$C$1:$C$675,$A73)+SUMIFS(Compta!$F$1:$F$675,Compta!$A$1:$A$675,$B73,Compta!$B$1:$B$675,"6063",Compta!$C$1:$C$675,$A73))</f>
        <v/>
      </c>
      <c r="Z73" t="str">
        <f>IF($A73="","",SUMIFS(Compta!$F$1:$F$675,Compta!$A$1:$A$675,$B73,Compta!$B$1:$B$675,"6231",Compta!$C$1:$C$675,$A73))</f>
        <v/>
      </c>
      <c r="AA73" t="str">
        <f>IF($A73="","",SUMIFS(Compta!$F$1:$F$675,Compta!$A$1:$A$675,$B73,Compta!$B$1:$B$675,"6413",Compta!$C$1:$C$675,$A73)+SUMIFS(Compta!$F$1:$F$675,Compta!$A$1:$A$675,$B73,Compta!$B$1:$B$675,"645",Compta!$C$1:$C$675,$A73)+SUMIFS(Compta!$F$1:$F$675,Compta!$A$1:$A$675,$B73,Compta!$B$1:$B$675,"613",Compta!$C$1:$C$675,$A73)+SUMIFS(Compta!$F$1:$F$675,Compta!$A$1:$A$675,$B73,Compta!$B$1:$B$675,"615",Compta!$C$1:$C$675,$A73)+SUMIFS(Compta!$F$1:$F$675,Compta!$A$1:$A$675,$B73,Compta!$B$1:$B$675,"616",Compta!$C$1:$C$675,$A73)+SUMIFS(Compta!$F$1:$F$675,Compta!$A$1:$A$675,$B73,Compta!$B$1:$B$675,"625",Compta!$C$1:$C$675,$A73)+SUMIFS(Compta!$F$1:$F$675,Compta!$A$1:$A$675,$B73,Compta!$B$1:$B$675,"63511",Compta!$C$1:$C$675,$A73))</f>
        <v/>
      </c>
      <c r="AB73" t="str">
        <f>IF($A73="","",SUMIFS(Compta!$F$1:$F$675,Compta!$A$1:$A$675,"GRP",Compta!$B$1:$B$675,"6414",Compta!$C$1:$C$675,$A73)+SUMIFS(Compta!$F$1:$F$675,Compta!$A$1:$A$675,"GRP",Compta!$B$1:$B$675,"6226",Compta!$C$1:$C$675,$A73)+SUMIFS(Compta!$F$1:$F$675,Compta!$A$1:$A$675,"GRP",Compta!$B$1:$B$675,"626",Compta!$C$1:$C$675,$A73)+SUMIFS(Compta!$F$1:$F$675,Compta!$A$1:$A$675,"GRP",Compta!$B$1:$B$675,"6281",Compta!$C$1:$C$675,$A73)+SUMIFS(Compta!$F$1:$F$675,Compta!$A$1:$A$675,"GRP",Compta!$B$1:$B$675,"6331",Compta!$C$1:$C$675,$A73)+SUMIFS(Compta!$F$1:$F$675,Compta!$A$1:$A$675,"GRP",Compta!$B$1:$B$675,"6333",Compta!$C$1:$C$675,$A73))</f>
        <v/>
      </c>
      <c r="AC73" t="s">
        <v>297</v>
      </c>
      <c r="AD73" t="s">
        <v>297</v>
      </c>
      <c r="AE73" t="s">
        <v>297</v>
      </c>
      <c r="AF73" t="s">
        <v>297</v>
      </c>
      <c r="AG73" t="s">
        <v>297</v>
      </c>
      <c r="AH73" t="s">
        <v>297</v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 t="str">
        <f>IF($A73="","",SUMIFS(Compta!$F$1:$F$675,Compta!$A$1:$A$675,"GRP",Compta!$B$1:$B$675,"6236",Compta!$C$1:$C$675,$A73))</f>
        <v/>
      </c>
      <c r="AP73" t="s">
        <v>297</v>
      </c>
      <c r="AQ73" t="s">
        <v>297</v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IF(Allocation!D74="","",Allocation!I74)</f>
        <v/>
      </c>
      <c r="H74" t="str">
        <f>IF(Allocation!D74="","",Allocation!J74)</f>
        <v/>
      </c>
      <c r="I74" t="str">
        <f>IF(Allocation!D74="","",Allocation!K74)</f>
        <v/>
      </c>
      <c r="J74" t="str">
        <f>IF($A74="","",SUMIFS(Socle!$K$1:$K$175,Socle!$C$1:$C$175,$B74,Socle!$D$1:$D$175,$D74,Socle!$E$1:$E$175,$E74,Socle!$F$1:$F$175,$F74,Socle!$G$1:$G$175,$A74))</f>
        <v/>
      </c>
      <c r="K74" t="str">
        <f t="shared" si="10"/>
        <v/>
      </c>
      <c r="L74" t="str">
        <f>IF($A74="","",SUMIFS(Allocation!$I$1:$I$175,Allocation!$C$1:$C$175,$A74,Allocation!$D$1:$D$175,$B74))</f>
        <v/>
      </c>
      <c r="M74" t="str">
        <f>IF($A74="","",SUMIFS(Allocation!$J$1:$J$175,Allocation!$C$1:$C$175,$A74,Allocation!$D$1:$D$175,$B74))</f>
        <v/>
      </c>
      <c r="N74" t="str">
        <f>IF($A74="","",SUMIFS(Allocation!$K$1:$K$175,Allocation!$C$1:$C$175,$A74,Allocation!$D$1:$D$175,$B74))</f>
        <v/>
      </c>
      <c r="O74" t="str">
        <f t="shared" si="11"/>
        <v/>
      </c>
      <c r="P74" t="str">
        <f t="shared" si="12"/>
        <v/>
      </c>
      <c r="Q74" t="str">
        <f>IF($A74="","",SUMIFS(Allocation!$I$1:$I$175,Allocation!$C$1:$C$175,$A74,Allocation!$E$1:$E$175,$C74))</f>
        <v/>
      </c>
      <c r="R74" t="str">
        <f>IF($A74="","",SUMIFS(Allocation!$J$1:$J$175,Allocation!$C$1:$C$175,$A74,Allocation!$E$1:$E$175,$C74))</f>
        <v/>
      </c>
      <c r="S74" t="str">
        <f>IF($A74="","",SUMIFS(Allocation!$K$1:$K$175,Allocation!$C$1:$C$175,$A74,Allocation!$E$1:$E$175,$C74))</f>
        <v/>
      </c>
      <c r="T74" t="str">
        <f>IF($A74="","",SUMIFS(Allocation!$I$1:$I$175,Allocation!$C$1:$C$175,$A74))</f>
        <v/>
      </c>
      <c r="U74" t="str">
        <f>IF($A74="","",SUMIFS(Allocation!$J$1:$J$175,Allocation!$C$1:$C$175,$A74))</f>
        <v/>
      </c>
      <c r="V74" t="str">
        <f>IF($A74="","",SUMIFS(Allocation!$K$1:$K$175,Allocation!$C$1:$C$175,$A74))</f>
        <v/>
      </c>
      <c r="W74" t="str">
        <f>IF($A74="","",SUMIFS(Compta!$F$1:$F$675,Compta!$A$1:$A$675,$B74,Compta!$B$1:$B$675,"621",Compta!$C$1:$C$675,$A74))</f>
        <v/>
      </c>
      <c r="X74" t="str">
        <f>IF($A74="","",SUMIFS(Compta!$F$1:$F$675,Compta!$A$1:$A$675,$B74,Compta!$B$1:$B$675,"6411",Compta!$C$1:$C$675,$A74))</f>
        <v/>
      </c>
      <c r="Y74" t="str">
        <f>IF($A74="","",SUMIFS(Compta!$F$1:$F$675,Compta!$A$1:$A$675,$B74,Compta!$B$1:$B$675,"604",Compta!$C$1:$C$675,$A74)+SUMIFS(Compta!$F$1:$F$675,Compta!$A$1:$A$675,$B74,Compta!$B$1:$B$675,"6063",Compta!$C$1:$C$675,$A74))</f>
        <v/>
      </c>
      <c r="Z74" t="str">
        <f>IF($A74="","",SUMIFS(Compta!$F$1:$F$675,Compta!$A$1:$A$675,$B74,Compta!$B$1:$B$675,"6231",Compta!$C$1:$C$675,$A74))</f>
        <v/>
      </c>
      <c r="AA74" t="str">
        <f>IF($A74="","",SUMIFS(Compta!$F$1:$F$675,Compta!$A$1:$A$675,$B74,Compta!$B$1:$B$675,"6413",Compta!$C$1:$C$675,$A74)+SUMIFS(Compta!$F$1:$F$675,Compta!$A$1:$A$675,$B74,Compta!$B$1:$B$675,"645",Compta!$C$1:$C$675,$A74)+SUMIFS(Compta!$F$1:$F$675,Compta!$A$1:$A$675,$B74,Compta!$B$1:$B$675,"613",Compta!$C$1:$C$675,$A74)+SUMIFS(Compta!$F$1:$F$675,Compta!$A$1:$A$675,$B74,Compta!$B$1:$B$675,"615",Compta!$C$1:$C$675,$A74)+SUMIFS(Compta!$F$1:$F$675,Compta!$A$1:$A$675,$B74,Compta!$B$1:$B$675,"616",Compta!$C$1:$C$675,$A74)+SUMIFS(Compta!$F$1:$F$675,Compta!$A$1:$A$675,$B74,Compta!$B$1:$B$675,"625",Compta!$C$1:$C$675,$A74)+SUMIFS(Compta!$F$1:$F$675,Compta!$A$1:$A$675,$B74,Compta!$B$1:$B$675,"63511",Compta!$C$1:$C$675,$A74))</f>
        <v/>
      </c>
      <c r="AB74" t="str">
        <f>IF($A74="","",SUMIFS(Compta!$F$1:$F$675,Compta!$A$1:$A$675,"GRP",Compta!$B$1:$B$675,"6414",Compta!$C$1:$C$675,$A74)+SUMIFS(Compta!$F$1:$F$675,Compta!$A$1:$A$675,"GRP",Compta!$B$1:$B$675,"6226",Compta!$C$1:$C$675,$A74)+SUMIFS(Compta!$F$1:$F$675,Compta!$A$1:$A$675,"GRP",Compta!$B$1:$B$675,"626",Compta!$C$1:$C$675,$A74)+SUMIFS(Compta!$F$1:$F$675,Compta!$A$1:$A$675,"GRP",Compta!$B$1:$B$675,"6281",Compta!$C$1:$C$675,$A74)+SUMIFS(Compta!$F$1:$F$675,Compta!$A$1:$A$675,"GRP",Compta!$B$1:$B$675,"6331",Compta!$C$1:$C$675,$A74)+SUMIFS(Compta!$F$1:$F$675,Compta!$A$1:$A$675,"GRP",Compta!$B$1:$B$675,"6333",Compta!$C$1:$C$675,$A74))</f>
        <v/>
      </c>
      <c r="AC74" t="s">
        <v>297</v>
      </c>
      <c r="AD74" t="s">
        <v>297</v>
      </c>
      <c r="AE74" t="s">
        <v>297</v>
      </c>
      <c r="AF74" t="s">
        <v>297</v>
      </c>
      <c r="AG74" t="s">
        <v>297</v>
      </c>
      <c r="AH74" t="s">
        <v>297</v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 t="str">
        <f>IF($A74="","",SUMIFS(Compta!$F$1:$F$675,Compta!$A$1:$A$675,"GRP",Compta!$B$1:$B$675,"6236",Compta!$C$1:$C$675,$A74))</f>
        <v/>
      </c>
      <c r="AP74" t="s">
        <v>297</v>
      </c>
      <c r="AQ74" t="s">
        <v>297</v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IF(Allocation!D75="","",Allocation!I75)</f>
        <v/>
      </c>
      <c r="H75" t="str">
        <f>IF(Allocation!D75="","",Allocation!J75)</f>
        <v/>
      </c>
      <c r="I75" t="str">
        <f>IF(Allocation!D75="","",Allocation!K75)</f>
        <v/>
      </c>
      <c r="J75" t="str">
        <f>IF($A75="","",SUMIFS(Socle!$K$1:$K$175,Socle!$C$1:$C$175,$B75,Socle!$D$1:$D$175,$D75,Socle!$E$1:$E$175,$E75,Socle!$F$1:$F$175,$F75,Socle!$G$1:$G$175,$A75))</f>
        <v/>
      </c>
      <c r="K75" t="str">
        <f t="shared" si="10"/>
        <v/>
      </c>
      <c r="L75" t="str">
        <f>IF($A75="","",SUMIFS(Allocation!$I$1:$I$175,Allocation!$C$1:$C$175,$A75,Allocation!$D$1:$D$175,$B75))</f>
        <v/>
      </c>
      <c r="M75" t="str">
        <f>IF($A75="","",SUMIFS(Allocation!$J$1:$J$175,Allocation!$C$1:$C$175,$A75,Allocation!$D$1:$D$175,$B75))</f>
        <v/>
      </c>
      <c r="N75" t="str">
        <f>IF($A75="","",SUMIFS(Allocation!$K$1:$K$175,Allocation!$C$1:$C$175,$A75,Allocation!$D$1:$D$175,$B75))</f>
        <v/>
      </c>
      <c r="O75" t="str">
        <f t="shared" si="11"/>
        <v/>
      </c>
      <c r="P75" t="str">
        <f t="shared" si="12"/>
        <v/>
      </c>
      <c r="Q75" t="str">
        <f>IF($A75="","",SUMIFS(Allocation!$I$1:$I$175,Allocation!$C$1:$C$175,$A75,Allocation!$E$1:$E$175,$C75))</f>
        <v/>
      </c>
      <c r="R75" t="str">
        <f>IF($A75="","",SUMIFS(Allocation!$J$1:$J$175,Allocation!$C$1:$C$175,$A75,Allocation!$E$1:$E$175,$C75))</f>
        <v/>
      </c>
      <c r="S75" t="str">
        <f>IF($A75="","",SUMIFS(Allocation!$K$1:$K$175,Allocation!$C$1:$C$175,$A75,Allocation!$E$1:$E$175,$C75))</f>
        <v/>
      </c>
      <c r="T75" t="str">
        <f>IF($A75="","",SUMIFS(Allocation!$I$1:$I$175,Allocation!$C$1:$C$175,$A75))</f>
        <v/>
      </c>
      <c r="U75" t="str">
        <f>IF($A75="","",SUMIFS(Allocation!$J$1:$J$175,Allocation!$C$1:$C$175,$A75))</f>
        <v/>
      </c>
      <c r="V75" t="str">
        <f>IF($A75="","",SUMIFS(Allocation!$K$1:$K$175,Allocation!$C$1:$C$175,$A75))</f>
        <v/>
      </c>
      <c r="W75" t="str">
        <f>IF($A75="","",SUMIFS(Compta!$F$1:$F$675,Compta!$A$1:$A$675,$B75,Compta!$B$1:$B$675,"621",Compta!$C$1:$C$675,$A75))</f>
        <v/>
      </c>
      <c r="X75" t="str">
        <f>IF($A75="","",SUMIFS(Compta!$F$1:$F$675,Compta!$A$1:$A$675,$B75,Compta!$B$1:$B$675,"6411",Compta!$C$1:$C$675,$A75))</f>
        <v/>
      </c>
      <c r="Y75" t="str">
        <f>IF($A75="","",SUMIFS(Compta!$F$1:$F$675,Compta!$A$1:$A$675,$B75,Compta!$B$1:$B$675,"604",Compta!$C$1:$C$675,$A75)+SUMIFS(Compta!$F$1:$F$675,Compta!$A$1:$A$675,$B75,Compta!$B$1:$B$675,"6063",Compta!$C$1:$C$675,$A75))</f>
        <v/>
      </c>
      <c r="Z75" t="str">
        <f>IF($A75="","",SUMIFS(Compta!$F$1:$F$675,Compta!$A$1:$A$675,$B75,Compta!$B$1:$B$675,"6231",Compta!$C$1:$C$675,$A75))</f>
        <v/>
      </c>
      <c r="AA75" t="str">
        <f>IF($A75="","",SUMIFS(Compta!$F$1:$F$675,Compta!$A$1:$A$675,$B75,Compta!$B$1:$B$675,"6413",Compta!$C$1:$C$675,$A75)+SUMIFS(Compta!$F$1:$F$675,Compta!$A$1:$A$675,$B75,Compta!$B$1:$B$675,"645",Compta!$C$1:$C$675,$A75)+SUMIFS(Compta!$F$1:$F$675,Compta!$A$1:$A$675,$B75,Compta!$B$1:$B$675,"613",Compta!$C$1:$C$675,$A75)+SUMIFS(Compta!$F$1:$F$675,Compta!$A$1:$A$675,$B75,Compta!$B$1:$B$675,"615",Compta!$C$1:$C$675,$A75)+SUMIFS(Compta!$F$1:$F$675,Compta!$A$1:$A$675,$B75,Compta!$B$1:$B$675,"616",Compta!$C$1:$C$675,$A75)+SUMIFS(Compta!$F$1:$F$675,Compta!$A$1:$A$675,$B75,Compta!$B$1:$B$675,"625",Compta!$C$1:$C$675,$A75)+SUMIFS(Compta!$F$1:$F$675,Compta!$A$1:$A$675,$B75,Compta!$B$1:$B$675,"63511",Compta!$C$1:$C$675,$A75))</f>
        <v/>
      </c>
      <c r="AB75" t="str">
        <f>IF($A75="","",SUMIFS(Compta!$F$1:$F$675,Compta!$A$1:$A$675,"GRP",Compta!$B$1:$B$675,"6414",Compta!$C$1:$C$675,$A75)+SUMIFS(Compta!$F$1:$F$675,Compta!$A$1:$A$675,"GRP",Compta!$B$1:$B$675,"6226",Compta!$C$1:$C$675,$A75)+SUMIFS(Compta!$F$1:$F$675,Compta!$A$1:$A$675,"GRP",Compta!$B$1:$B$675,"626",Compta!$C$1:$C$675,$A75)+SUMIFS(Compta!$F$1:$F$675,Compta!$A$1:$A$675,"GRP",Compta!$B$1:$B$675,"6281",Compta!$C$1:$C$675,$A75)+SUMIFS(Compta!$F$1:$F$675,Compta!$A$1:$A$675,"GRP",Compta!$B$1:$B$675,"6331",Compta!$C$1:$C$675,$A75)+SUMIFS(Compta!$F$1:$F$675,Compta!$A$1:$A$675,"GRP",Compta!$B$1:$B$675,"6333",Compta!$C$1:$C$675,$A75))</f>
        <v/>
      </c>
      <c r="AC75" t="s">
        <v>297</v>
      </c>
      <c r="AD75" t="s">
        <v>297</v>
      </c>
      <c r="AE75" t="s">
        <v>297</v>
      </c>
      <c r="AF75" t="s">
        <v>297</v>
      </c>
      <c r="AG75" t="s">
        <v>297</v>
      </c>
      <c r="AH75" t="s">
        <v>297</v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 t="str">
        <f>IF($A75="","",SUMIFS(Compta!$F$1:$F$675,Compta!$A$1:$A$675,"GRP",Compta!$B$1:$B$675,"6236",Compta!$C$1:$C$675,$A75))</f>
        <v/>
      </c>
      <c r="AP75" t="s">
        <v>297</v>
      </c>
      <c r="AQ75" t="s">
        <v>297</v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IF(Allocation!D76="","",Allocation!I76)</f>
        <v/>
      </c>
      <c r="H76" t="str">
        <f>IF(Allocation!D76="","",Allocation!J76)</f>
        <v/>
      </c>
      <c r="I76" t="str">
        <f>IF(Allocation!D76="","",Allocation!K76)</f>
        <v/>
      </c>
      <c r="J76" t="str">
        <f>IF($A76="","",SUMIFS(Socle!$K$1:$K$175,Socle!$C$1:$C$175,$B76,Socle!$D$1:$D$175,$D76,Socle!$E$1:$E$175,$E76,Socle!$F$1:$F$175,$F76,Socle!$G$1:$G$175,$A76))</f>
        <v/>
      </c>
      <c r="K76" t="str">
        <f t="shared" si="10"/>
        <v/>
      </c>
      <c r="L76" t="str">
        <f>IF($A76="","",SUMIFS(Allocation!$I$1:$I$175,Allocation!$C$1:$C$175,$A76,Allocation!$D$1:$D$175,$B76))</f>
        <v/>
      </c>
      <c r="M76" t="str">
        <f>IF($A76="","",SUMIFS(Allocation!$J$1:$J$175,Allocation!$C$1:$C$175,$A76,Allocation!$D$1:$D$175,$B76))</f>
        <v/>
      </c>
      <c r="N76" t="str">
        <f>IF($A76="","",SUMIFS(Allocation!$K$1:$K$175,Allocation!$C$1:$C$175,$A76,Allocation!$D$1:$D$175,$B76))</f>
        <v/>
      </c>
      <c r="O76" t="str">
        <f t="shared" si="11"/>
        <v/>
      </c>
      <c r="P76" t="str">
        <f t="shared" si="12"/>
        <v/>
      </c>
      <c r="Q76" t="str">
        <f>IF($A76="","",SUMIFS(Allocation!$I$1:$I$175,Allocation!$C$1:$C$175,$A76,Allocation!$E$1:$E$175,$C76))</f>
        <v/>
      </c>
      <c r="R76" t="str">
        <f>IF($A76="","",SUMIFS(Allocation!$J$1:$J$175,Allocation!$C$1:$C$175,$A76,Allocation!$E$1:$E$175,$C76))</f>
        <v/>
      </c>
      <c r="S76" t="str">
        <f>IF($A76="","",SUMIFS(Allocation!$K$1:$K$175,Allocation!$C$1:$C$175,$A76,Allocation!$E$1:$E$175,$C76))</f>
        <v/>
      </c>
      <c r="T76" t="str">
        <f>IF($A76="","",SUMIFS(Allocation!$I$1:$I$175,Allocation!$C$1:$C$175,$A76))</f>
        <v/>
      </c>
      <c r="U76" t="str">
        <f>IF($A76="","",SUMIFS(Allocation!$J$1:$J$175,Allocation!$C$1:$C$175,$A76))</f>
        <v/>
      </c>
      <c r="V76" t="str">
        <f>IF($A76="","",SUMIFS(Allocation!$K$1:$K$175,Allocation!$C$1:$C$175,$A76))</f>
        <v/>
      </c>
      <c r="W76" t="str">
        <f>IF($A76="","",SUMIFS(Compta!$F$1:$F$675,Compta!$A$1:$A$675,$B76,Compta!$B$1:$B$675,"621",Compta!$C$1:$C$675,$A76))</f>
        <v/>
      </c>
      <c r="X76" t="str">
        <f>IF($A76="","",SUMIFS(Compta!$F$1:$F$675,Compta!$A$1:$A$675,$B76,Compta!$B$1:$B$675,"6411",Compta!$C$1:$C$675,$A76))</f>
        <v/>
      </c>
      <c r="Y76" t="str">
        <f>IF($A76="","",SUMIFS(Compta!$F$1:$F$675,Compta!$A$1:$A$675,$B76,Compta!$B$1:$B$675,"604",Compta!$C$1:$C$675,$A76)+SUMIFS(Compta!$F$1:$F$675,Compta!$A$1:$A$675,$B76,Compta!$B$1:$B$675,"6063",Compta!$C$1:$C$675,$A76))</f>
        <v/>
      </c>
      <c r="Z76" t="str">
        <f>IF($A76="","",SUMIFS(Compta!$F$1:$F$675,Compta!$A$1:$A$675,$B76,Compta!$B$1:$B$675,"6231",Compta!$C$1:$C$675,$A76))</f>
        <v/>
      </c>
      <c r="AA76" t="str">
        <f>IF($A76="","",SUMIFS(Compta!$F$1:$F$675,Compta!$A$1:$A$675,$B76,Compta!$B$1:$B$675,"6413",Compta!$C$1:$C$675,$A76)+SUMIFS(Compta!$F$1:$F$675,Compta!$A$1:$A$675,$B76,Compta!$B$1:$B$675,"645",Compta!$C$1:$C$675,$A76)+SUMIFS(Compta!$F$1:$F$675,Compta!$A$1:$A$675,$B76,Compta!$B$1:$B$675,"613",Compta!$C$1:$C$675,$A76)+SUMIFS(Compta!$F$1:$F$675,Compta!$A$1:$A$675,$B76,Compta!$B$1:$B$675,"615",Compta!$C$1:$C$675,$A76)+SUMIFS(Compta!$F$1:$F$675,Compta!$A$1:$A$675,$B76,Compta!$B$1:$B$675,"616",Compta!$C$1:$C$675,$A76)+SUMIFS(Compta!$F$1:$F$675,Compta!$A$1:$A$675,$B76,Compta!$B$1:$B$675,"625",Compta!$C$1:$C$675,$A76)+SUMIFS(Compta!$F$1:$F$675,Compta!$A$1:$A$675,$B76,Compta!$B$1:$B$675,"63511",Compta!$C$1:$C$675,$A76))</f>
        <v/>
      </c>
      <c r="AB76" t="str">
        <f>IF($A76="","",SUMIFS(Compta!$F$1:$F$675,Compta!$A$1:$A$675,"GRP",Compta!$B$1:$B$675,"6414",Compta!$C$1:$C$675,$A76)+SUMIFS(Compta!$F$1:$F$675,Compta!$A$1:$A$675,"GRP",Compta!$B$1:$B$675,"6226",Compta!$C$1:$C$675,$A76)+SUMIFS(Compta!$F$1:$F$675,Compta!$A$1:$A$675,"GRP",Compta!$B$1:$B$675,"626",Compta!$C$1:$C$675,$A76)+SUMIFS(Compta!$F$1:$F$675,Compta!$A$1:$A$675,"GRP",Compta!$B$1:$B$675,"6281",Compta!$C$1:$C$675,$A76)+SUMIFS(Compta!$F$1:$F$675,Compta!$A$1:$A$675,"GRP",Compta!$B$1:$B$675,"6331",Compta!$C$1:$C$675,$A76)+SUMIFS(Compta!$F$1:$F$675,Compta!$A$1:$A$675,"GRP",Compta!$B$1:$B$675,"6333",Compta!$C$1:$C$675,$A76))</f>
        <v/>
      </c>
      <c r="AC76" t="s">
        <v>297</v>
      </c>
      <c r="AD76" t="s">
        <v>297</v>
      </c>
      <c r="AE76" t="s">
        <v>297</v>
      </c>
      <c r="AF76" t="s">
        <v>297</v>
      </c>
      <c r="AG76" t="s">
        <v>297</v>
      </c>
      <c r="AH76" t="s">
        <v>297</v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 t="str">
        <f>IF($A76="","",SUMIFS(Compta!$F$1:$F$675,Compta!$A$1:$A$675,"GRP",Compta!$B$1:$B$675,"6236",Compta!$C$1:$C$675,$A76))</f>
        <v/>
      </c>
      <c r="AP76" t="s">
        <v>297</v>
      </c>
      <c r="AQ76" t="s">
        <v>297</v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IF(Allocation!D77="","",Allocation!I77)</f>
        <v/>
      </c>
      <c r="H77" t="str">
        <f>IF(Allocation!D77="","",Allocation!J77)</f>
        <v/>
      </c>
      <c r="I77" t="str">
        <f>IF(Allocation!D77="","",Allocation!K77)</f>
        <v/>
      </c>
      <c r="J77" t="str">
        <f>IF($A77="","",SUMIFS(Socle!$K$1:$K$175,Socle!$C$1:$C$175,$B77,Socle!$D$1:$D$175,$D77,Socle!$E$1:$E$175,$E77,Socle!$F$1:$F$175,$F77,Socle!$G$1:$G$175,$A77))</f>
        <v/>
      </c>
      <c r="K77" t="str">
        <f t="shared" si="10"/>
        <v/>
      </c>
      <c r="L77" t="str">
        <f>IF($A77="","",SUMIFS(Allocation!$I$1:$I$175,Allocation!$C$1:$C$175,$A77,Allocation!$D$1:$D$175,$B77))</f>
        <v/>
      </c>
      <c r="M77" t="str">
        <f>IF($A77="","",SUMIFS(Allocation!$J$1:$J$175,Allocation!$C$1:$C$175,$A77,Allocation!$D$1:$D$175,$B77))</f>
        <v/>
      </c>
      <c r="N77" t="str">
        <f>IF($A77="","",SUMIFS(Allocation!$K$1:$K$175,Allocation!$C$1:$C$175,$A77,Allocation!$D$1:$D$175,$B77))</f>
        <v/>
      </c>
      <c r="O77" t="str">
        <f t="shared" si="11"/>
        <v/>
      </c>
      <c r="P77" t="str">
        <f t="shared" si="12"/>
        <v/>
      </c>
      <c r="Q77" t="str">
        <f>IF($A77="","",SUMIFS(Allocation!$I$1:$I$175,Allocation!$C$1:$C$175,$A77,Allocation!$E$1:$E$175,$C77))</f>
        <v/>
      </c>
      <c r="R77" t="str">
        <f>IF($A77="","",SUMIFS(Allocation!$J$1:$J$175,Allocation!$C$1:$C$175,$A77,Allocation!$E$1:$E$175,$C77))</f>
        <v/>
      </c>
      <c r="S77" t="str">
        <f>IF($A77="","",SUMIFS(Allocation!$K$1:$K$175,Allocation!$C$1:$C$175,$A77,Allocation!$E$1:$E$175,$C77))</f>
        <v/>
      </c>
      <c r="T77" t="str">
        <f>IF($A77="","",SUMIFS(Allocation!$I$1:$I$175,Allocation!$C$1:$C$175,$A77))</f>
        <v/>
      </c>
      <c r="U77" t="str">
        <f>IF($A77="","",SUMIFS(Allocation!$J$1:$J$175,Allocation!$C$1:$C$175,$A77))</f>
        <v/>
      </c>
      <c r="V77" t="str">
        <f>IF($A77="","",SUMIFS(Allocation!$K$1:$K$175,Allocation!$C$1:$C$175,$A77))</f>
        <v/>
      </c>
      <c r="W77" t="str">
        <f>IF($A77="","",SUMIFS(Compta!$F$1:$F$675,Compta!$A$1:$A$675,$B77,Compta!$B$1:$B$675,"621",Compta!$C$1:$C$675,$A77))</f>
        <v/>
      </c>
      <c r="X77" t="str">
        <f>IF($A77="","",SUMIFS(Compta!$F$1:$F$675,Compta!$A$1:$A$675,$B77,Compta!$B$1:$B$675,"6411",Compta!$C$1:$C$675,$A77))</f>
        <v/>
      </c>
      <c r="Y77" t="str">
        <f>IF($A77="","",SUMIFS(Compta!$F$1:$F$675,Compta!$A$1:$A$675,$B77,Compta!$B$1:$B$675,"604",Compta!$C$1:$C$675,$A77)+SUMIFS(Compta!$F$1:$F$675,Compta!$A$1:$A$675,$B77,Compta!$B$1:$B$675,"6063",Compta!$C$1:$C$675,$A77))</f>
        <v/>
      </c>
      <c r="Z77" t="str">
        <f>IF($A77="","",SUMIFS(Compta!$F$1:$F$675,Compta!$A$1:$A$675,$B77,Compta!$B$1:$B$675,"6231",Compta!$C$1:$C$675,$A77))</f>
        <v/>
      </c>
      <c r="AA77" t="str">
        <f>IF($A77="","",SUMIFS(Compta!$F$1:$F$675,Compta!$A$1:$A$675,$B77,Compta!$B$1:$B$675,"6413",Compta!$C$1:$C$675,$A77)+SUMIFS(Compta!$F$1:$F$675,Compta!$A$1:$A$675,$B77,Compta!$B$1:$B$675,"645",Compta!$C$1:$C$675,$A77)+SUMIFS(Compta!$F$1:$F$675,Compta!$A$1:$A$675,$B77,Compta!$B$1:$B$675,"613",Compta!$C$1:$C$675,$A77)+SUMIFS(Compta!$F$1:$F$675,Compta!$A$1:$A$675,$B77,Compta!$B$1:$B$675,"615",Compta!$C$1:$C$675,$A77)+SUMIFS(Compta!$F$1:$F$675,Compta!$A$1:$A$675,$B77,Compta!$B$1:$B$675,"616",Compta!$C$1:$C$675,$A77)+SUMIFS(Compta!$F$1:$F$675,Compta!$A$1:$A$675,$B77,Compta!$B$1:$B$675,"625",Compta!$C$1:$C$675,$A77)+SUMIFS(Compta!$F$1:$F$675,Compta!$A$1:$A$675,$B77,Compta!$B$1:$B$675,"63511",Compta!$C$1:$C$675,$A77))</f>
        <v/>
      </c>
      <c r="AB77" t="str">
        <f>IF($A77="","",SUMIFS(Compta!$F$1:$F$675,Compta!$A$1:$A$675,"GRP",Compta!$B$1:$B$675,"6414",Compta!$C$1:$C$675,$A77)+SUMIFS(Compta!$F$1:$F$675,Compta!$A$1:$A$675,"GRP",Compta!$B$1:$B$675,"6226",Compta!$C$1:$C$675,$A77)+SUMIFS(Compta!$F$1:$F$675,Compta!$A$1:$A$675,"GRP",Compta!$B$1:$B$675,"626",Compta!$C$1:$C$675,$A77)+SUMIFS(Compta!$F$1:$F$675,Compta!$A$1:$A$675,"GRP",Compta!$B$1:$B$675,"6281",Compta!$C$1:$C$675,$A77)+SUMIFS(Compta!$F$1:$F$675,Compta!$A$1:$A$675,"GRP",Compta!$B$1:$B$675,"6331",Compta!$C$1:$C$675,$A77)+SUMIFS(Compta!$F$1:$F$675,Compta!$A$1:$A$675,"GRP",Compta!$B$1:$B$675,"6333",Compta!$C$1:$C$675,$A77))</f>
        <v/>
      </c>
      <c r="AC77" t="s">
        <v>297</v>
      </c>
      <c r="AD77" t="s">
        <v>297</v>
      </c>
      <c r="AE77" t="s">
        <v>297</v>
      </c>
      <c r="AF77" t="s">
        <v>297</v>
      </c>
      <c r="AG77" t="s">
        <v>297</v>
      </c>
      <c r="AH77" t="s">
        <v>297</v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 t="str">
        <f>IF($A77="","",SUMIFS(Compta!$F$1:$F$675,Compta!$A$1:$A$675,"GRP",Compta!$B$1:$B$675,"6236",Compta!$C$1:$C$675,$A77))</f>
        <v/>
      </c>
      <c r="AP77" t="s">
        <v>297</v>
      </c>
      <c r="AQ77" t="s">
        <v>297</v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IF(Allocation!D78="","",Allocation!I78)</f>
        <v/>
      </c>
      <c r="H78" t="str">
        <f>IF(Allocation!D78="","",Allocation!J78)</f>
        <v/>
      </c>
      <c r="I78" t="str">
        <f>IF(Allocation!D78="","",Allocation!K78)</f>
        <v/>
      </c>
      <c r="J78" t="str">
        <f>IF($A78="","",SUMIFS(Socle!$K$1:$K$175,Socle!$C$1:$C$175,$B78,Socle!$D$1:$D$175,$D78,Socle!$E$1:$E$175,$E78,Socle!$F$1:$F$175,$F78,Socle!$G$1:$G$175,$A78))</f>
        <v/>
      </c>
      <c r="K78" t="str">
        <f t="shared" si="10"/>
        <v/>
      </c>
      <c r="L78" t="str">
        <f>IF($A78="","",SUMIFS(Allocation!$I$1:$I$175,Allocation!$C$1:$C$175,$A78,Allocation!$D$1:$D$175,$B78))</f>
        <v/>
      </c>
      <c r="M78" t="str">
        <f>IF($A78="","",SUMIFS(Allocation!$J$1:$J$175,Allocation!$C$1:$C$175,$A78,Allocation!$D$1:$D$175,$B78))</f>
        <v/>
      </c>
      <c r="N78" t="str">
        <f>IF($A78="","",SUMIFS(Allocation!$K$1:$K$175,Allocation!$C$1:$C$175,$A78,Allocation!$D$1:$D$175,$B78))</f>
        <v/>
      </c>
      <c r="O78" t="str">
        <f t="shared" si="11"/>
        <v/>
      </c>
      <c r="P78" t="str">
        <f t="shared" si="12"/>
        <v/>
      </c>
      <c r="Q78" t="str">
        <f>IF($A78="","",SUMIFS(Allocation!$I$1:$I$175,Allocation!$C$1:$C$175,$A78,Allocation!$E$1:$E$175,$C78))</f>
        <v/>
      </c>
      <c r="R78" t="str">
        <f>IF($A78="","",SUMIFS(Allocation!$J$1:$J$175,Allocation!$C$1:$C$175,$A78,Allocation!$E$1:$E$175,$C78))</f>
        <v/>
      </c>
      <c r="S78" t="str">
        <f>IF($A78="","",SUMIFS(Allocation!$K$1:$K$175,Allocation!$C$1:$C$175,$A78,Allocation!$E$1:$E$175,$C78))</f>
        <v/>
      </c>
      <c r="T78" t="str">
        <f>IF($A78="","",SUMIFS(Allocation!$I$1:$I$175,Allocation!$C$1:$C$175,$A78))</f>
        <v/>
      </c>
      <c r="U78" t="str">
        <f>IF($A78="","",SUMIFS(Allocation!$J$1:$J$175,Allocation!$C$1:$C$175,$A78))</f>
        <v/>
      </c>
      <c r="V78" t="str">
        <f>IF($A78="","",SUMIFS(Allocation!$K$1:$K$175,Allocation!$C$1:$C$175,$A78))</f>
        <v/>
      </c>
      <c r="W78" t="str">
        <f>IF($A78="","",SUMIFS(Compta!$F$1:$F$675,Compta!$A$1:$A$675,$B78,Compta!$B$1:$B$675,"621",Compta!$C$1:$C$675,$A78))</f>
        <v/>
      </c>
      <c r="X78" t="str">
        <f>IF($A78="","",SUMIFS(Compta!$F$1:$F$675,Compta!$A$1:$A$675,$B78,Compta!$B$1:$B$675,"6411",Compta!$C$1:$C$675,$A78))</f>
        <v/>
      </c>
      <c r="Y78" t="str">
        <f>IF($A78="","",SUMIFS(Compta!$F$1:$F$675,Compta!$A$1:$A$675,$B78,Compta!$B$1:$B$675,"604",Compta!$C$1:$C$675,$A78)+SUMIFS(Compta!$F$1:$F$675,Compta!$A$1:$A$675,$B78,Compta!$B$1:$B$675,"6063",Compta!$C$1:$C$675,$A78))</f>
        <v/>
      </c>
      <c r="Z78" t="str">
        <f>IF($A78="","",SUMIFS(Compta!$F$1:$F$675,Compta!$A$1:$A$675,$B78,Compta!$B$1:$B$675,"6231",Compta!$C$1:$C$675,$A78))</f>
        <v/>
      </c>
      <c r="AA78" t="str">
        <f>IF($A78="","",SUMIFS(Compta!$F$1:$F$675,Compta!$A$1:$A$675,$B78,Compta!$B$1:$B$675,"6413",Compta!$C$1:$C$675,$A78)+SUMIFS(Compta!$F$1:$F$675,Compta!$A$1:$A$675,$B78,Compta!$B$1:$B$675,"645",Compta!$C$1:$C$675,$A78)+SUMIFS(Compta!$F$1:$F$675,Compta!$A$1:$A$675,$B78,Compta!$B$1:$B$675,"613",Compta!$C$1:$C$675,$A78)+SUMIFS(Compta!$F$1:$F$675,Compta!$A$1:$A$675,$B78,Compta!$B$1:$B$675,"615",Compta!$C$1:$C$675,$A78)+SUMIFS(Compta!$F$1:$F$675,Compta!$A$1:$A$675,$B78,Compta!$B$1:$B$675,"616",Compta!$C$1:$C$675,$A78)+SUMIFS(Compta!$F$1:$F$675,Compta!$A$1:$A$675,$B78,Compta!$B$1:$B$675,"625",Compta!$C$1:$C$675,$A78)+SUMIFS(Compta!$F$1:$F$675,Compta!$A$1:$A$675,$B78,Compta!$B$1:$B$675,"63511",Compta!$C$1:$C$675,$A78))</f>
        <v/>
      </c>
      <c r="AB78" t="str">
        <f>IF($A78="","",SUMIFS(Compta!$F$1:$F$675,Compta!$A$1:$A$675,"GRP",Compta!$B$1:$B$675,"6414",Compta!$C$1:$C$675,$A78)+SUMIFS(Compta!$F$1:$F$675,Compta!$A$1:$A$675,"GRP",Compta!$B$1:$B$675,"6226",Compta!$C$1:$C$675,$A78)+SUMIFS(Compta!$F$1:$F$675,Compta!$A$1:$A$675,"GRP",Compta!$B$1:$B$675,"626",Compta!$C$1:$C$675,$A78)+SUMIFS(Compta!$F$1:$F$675,Compta!$A$1:$A$675,"GRP",Compta!$B$1:$B$675,"6281",Compta!$C$1:$C$675,$A78)+SUMIFS(Compta!$F$1:$F$675,Compta!$A$1:$A$675,"GRP",Compta!$B$1:$B$675,"6331",Compta!$C$1:$C$675,$A78)+SUMIFS(Compta!$F$1:$F$675,Compta!$A$1:$A$675,"GRP",Compta!$B$1:$B$675,"6333",Compta!$C$1:$C$675,$A78))</f>
        <v/>
      </c>
      <c r="AC78" t="s">
        <v>297</v>
      </c>
      <c r="AD78" t="s">
        <v>297</v>
      </c>
      <c r="AE78" t="s">
        <v>297</v>
      </c>
      <c r="AF78" t="s">
        <v>297</v>
      </c>
      <c r="AG78" t="s">
        <v>297</v>
      </c>
      <c r="AH78" t="s">
        <v>297</v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 t="str">
        <f>IF($A78="","",SUMIFS(Compta!$F$1:$F$675,Compta!$A$1:$A$675,"GRP",Compta!$B$1:$B$675,"6236",Compta!$C$1:$C$675,$A78))</f>
        <v/>
      </c>
      <c r="AP78" t="s">
        <v>297</v>
      </c>
      <c r="AQ78" t="s">
        <v>297</v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IF(Allocation!D79="","",Allocation!I79)</f>
        <v/>
      </c>
      <c r="H79" t="str">
        <f>IF(Allocation!D79="","",Allocation!J79)</f>
        <v/>
      </c>
      <c r="I79" t="str">
        <f>IF(Allocation!D79="","",Allocation!K79)</f>
        <v/>
      </c>
      <c r="J79" t="str">
        <f>IF($A79="","",SUMIFS(Socle!$K$1:$K$175,Socle!$C$1:$C$175,$B79,Socle!$D$1:$D$175,$D79,Socle!$E$1:$E$175,$E79,Socle!$F$1:$F$175,$F79,Socle!$G$1:$G$175,$A79))</f>
        <v/>
      </c>
      <c r="K79" t="str">
        <f t="shared" si="10"/>
        <v/>
      </c>
      <c r="L79" t="str">
        <f>IF($A79="","",SUMIFS(Allocation!$I$1:$I$175,Allocation!$C$1:$C$175,$A79,Allocation!$D$1:$D$175,$B79))</f>
        <v/>
      </c>
      <c r="M79" t="str">
        <f>IF($A79="","",SUMIFS(Allocation!$J$1:$J$175,Allocation!$C$1:$C$175,$A79,Allocation!$D$1:$D$175,$B79))</f>
        <v/>
      </c>
      <c r="N79" t="str">
        <f>IF($A79="","",SUMIFS(Allocation!$K$1:$K$175,Allocation!$C$1:$C$175,$A79,Allocation!$D$1:$D$175,$B79))</f>
        <v/>
      </c>
      <c r="O79" t="str">
        <f t="shared" si="11"/>
        <v/>
      </c>
      <c r="P79" t="str">
        <f t="shared" si="12"/>
        <v/>
      </c>
      <c r="Q79" t="str">
        <f>IF($A79="","",SUMIFS(Allocation!$I$1:$I$175,Allocation!$C$1:$C$175,$A79,Allocation!$E$1:$E$175,$C79))</f>
        <v/>
      </c>
      <c r="R79" t="str">
        <f>IF($A79="","",SUMIFS(Allocation!$J$1:$J$175,Allocation!$C$1:$C$175,$A79,Allocation!$E$1:$E$175,$C79))</f>
        <v/>
      </c>
      <c r="S79" t="str">
        <f>IF($A79="","",SUMIFS(Allocation!$K$1:$K$175,Allocation!$C$1:$C$175,$A79,Allocation!$E$1:$E$175,$C79))</f>
        <v/>
      </c>
      <c r="T79" t="str">
        <f>IF($A79="","",SUMIFS(Allocation!$I$1:$I$175,Allocation!$C$1:$C$175,$A79))</f>
        <v/>
      </c>
      <c r="U79" t="str">
        <f>IF($A79="","",SUMIFS(Allocation!$J$1:$J$175,Allocation!$C$1:$C$175,$A79))</f>
        <v/>
      </c>
      <c r="V79" t="str">
        <f>IF($A79="","",SUMIFS(Allocation!$K$1:$K$175,Allocation!$C$1:$C$175,$A79))</f>
        <v/>
      </c>
      <c r="W79" t="str">
        <f>IF($A79="","",SUMIFS(Compta!$F$1:$F$675,Compta!$A$1:$A$675,$B79,Compta!$B$1:$B$675,"621",Compta!$C$1:$C$675,$A79))</f>
        <v/>
      </c>
      <c r="X79" t="str">
        <f>IF($A79="","",SUMIFS(Compta!$F$1:$F$675,Compta!$A$1:$A$675,$B79,Compta!$B$1:$B$675,"6411",Compta!$C$1:$C$675,$A79))</f>
        <v/>
      </c>
      <c r="Y79" t="str">
        <f>IF($A79="","",SUMIFS(Compta!$F$1:$F$675,Compta!$A$1:$A$675,$B79,Compta!$B$1:$B$675,"604",Compta!$C$1:$C$675,$A79)+SUMIFS(Compta!$F$1:$F$675,Compta!$A$1:$A$675,$B79,Compta!$B$1:$B$675,"6063",Compta!$C$1:$C$675,$A79))</f>
        <v/>
      </c>
      <c r="Z79" t="str">
        <f>IF($A79="","",SUMIFS(Compta!$F$1:$F$675,Compta!$A$1:$A$675,$B79,Compta!$B$1:$B$675,"6231",Compta!$C$1:$C$675,$A79))</f>
        <v/>
      </c>
      <c r="AA79" t="str">
        <f>IF($A79="","",SUMIFS(Compta!$F$1:$F$675,Compta!$A$1:$A$675,$B79,Compta!$B$1:$B$675,"6413",Compta!$C$1:$C$675,$A79)+SUMIFS(Compta!$F$1:$F$675,Compta!$A$1:$A$675,$B79,Compta!$B$1:$B$675,"645",Compta!$C$1:$C$675,$A79)+SUMIFS(Compta!$F$1:$F$675,Compta!$A$1:$A$675,$B79,Compta!$B$1:$B$675,"613",Compta!$C$1:$C$675,$A79)+SUMIFS(Compta!$F$1:$F$675,Compta!$A$1:$A$675,$B79,Compta!$B$1:$B$675,"615",Compta!$C$1:$C$675,$A79)+SUMIFS(Compta!$F$1:$F$675,Compta!$A$1:$A$675,$B79,Compta!$B$1:$B$675,"616",Compta!$C$1:$C$675,$A79)+SUMIFS(Compta!$F$1:$F$675,Compta!$A$1:$A$675,$B79,Compta!$B$1:$B$675,"625",Compta!$C$1:$C$675,$A79)+SUMIFS(Compta!$F$1:$F$675,Compta!$A$1:$A$675,$B79,Compta!$B$1:$B$675,"63511",Compta!$C$1:$C$675,$A79))</f>
        <v/>
      </c>
      <c r="AB79" t="str">
        <f>IF($A79="","",SUMIFS(Compta!$F$1:$F$675,Compta!$A$1:$A$675,"GRP",Compta!$B$1:$B$675,"6414",Compta!$C$1:$C$675,$A79)+SUMIFS(Compta!$F$1:$F$675,Compta!$A$1:$A$675,"GRP",Compta!$B$1:$B$675,"6226",Compta!$C$1:$C$675,$A79)+SUMIFS(Compta!$F$1:$F$675,Compta!$A$1:$A$675,"GRP",Compta!$B$1:$B$675,"626",Compta!$C$1:$C$675,$A79)+SUMIFS(Compta!$F$1:$F$675,Compta!$A$1:$A$675,"GRP",Compta!$B$1:$B$675,"6281",Compta!$C$1:$C$675,$A79)+SUMIFS(Compta!$F$1:$F$675,Compta!$A$1:$A$675,"GRP",Compta!$B$1:$B$675,"6331",Compta!$C$1:$C$675,$A79)+SUMIFS(Compta!$F$1:$F$675,Compta!$A$1:$A$675,"GRP",Compta!$B$1:$B$675,"6333",Compta!$C$1:$C$675,$A79))</f>
        <v/>
      </c>
      <c r="AC79" t="s">
        <v>297</v>
      </c>
      <c r="AD79" t="s">
        <v>297</v>
      </c>
      <c r="AE79" t="s">
        <v>297</v>
      </c>
      <c r="AF79" t="s">
        <v>297</v>
      </c>
      <c r="AG79" t="s">
        <v>297</v>
      </c>
      <c r="AH79" t="s">
        <v>297</v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 t="str">
        <f>IF($A79="","",SUMIFS(Compta!$F$1:$F$675,Compta!$A$1:$A$675,"GRP",Compta!$B$1:$B$675,"6236",Compta!$C$1:$C$675,$A79))</f>
        <v/>
      </c>
      <c r="AP79" t="s">
        <v>297</v>
      </c>
      <c r="AQ79" t="s">
        <v>297</v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IF(Allocation!D80="","",Allocation!I80)</f>
        <v/>
      </c>
      <c r="H80" t="str">
        <f>IF(Allocation!D80="","",Allocation!J80)</f>
        <v/>
      </c>
      <c r="I80" t="str">
        <f>IF(Allocation!D80="","",Allocation!K80)</f>
        <v/>
      </c>
      <c r="J80" t="str">
        <f>IF($A80="","",SUMIFS(Socle!$K$1:$K$175,Socle!$C$1:$C$175,$B80,Socle!$D$1:$D$175,$D80,Socle!$E$1:$E$175,$E80,Socle!$F$1:$F$175,$F80,Socle!$G$1:$G$175,$A80))</f>
        <v/>
      </c>
      <c r="K80" t="str">
        <f t="shared" si="10"/>
        <v/>
      </c>
      <c r="L80" t="str">
        <f>IF($A80="","",SUMIFS(Allocation!$I$1:$I$175,Allocation!$C$1:$C$175,$A80,Allocation!$D$1:$D$175,$B80))</f>
        <v/>
      </c>
      <c r="M80" t="str">
        <f>IF($A80="","",SUMIFS(Allocation!$J$1:$J$175,Allocation!$C$1:$C$175,$A80,Allocation!$D$1:$D$175,$B80))</f>
        <v/>
      </c>
      <c r="N80" t="str">
        <f>IF($A80="","",SUMIFS(Allocation!$K$1:$K$175,Allocation!$C$1:$C$175,$A80,Allocation!$D$1:$D$175,$B80))</f>
        <v/>
      </c>
      <c r="O80" t="str">
        <f t="shared" si="11"/>
        <v/>
      </c>
      <c r="P80" t="str">
        <f t="shared" si="12"/>
        <v/>
      </c>
      <c r="Q80" t="str">
        <f>IF($A80="","",SUMIFS(Allocation!$I$1:$I$175,Allocation!$C$1:$C$175,$A80,Allocation!$E$1:$E$175,$C80))</f>
        <v/>
      </c>
      <c r="R80" t="str">
        <f>IF($A80="","",SUMIFS(Allocation!$J$1:$J$175,Allocation!$C$1:$C$175,$A80,Allocation!$E$1:$E$175,$C80))</f>
        <v/>
      </c>
      <c r="S80" t="str">
        <f>IF($A80="","",SUMIFS(Allocation!$K$1:$K$175,Allocation!$C$1:$C$175,$A80,Allocation!$E$1:$E$175,$C80))</f>
        <v/>
      </c>
      <c r="T80" t="str">
        <f>IF($A80="","",SUMIFS(Allocation!$I$1:$I$175,Allocation!$C$1:$C$175,$A80))</f>
        <v/>
      </c>
      <c r="U80" t="str">
        <f>IF($A80="","",SUMIFS(Allocation!$J$1:$J$175,Allocation!$C$1:$C$175,$A80))</f>
        <v/>
      </c>
      <c r="V80" t="str">
        <f>IF($A80="","",SUMIFS(Allocation!$K$1:$K$175,Allocation!$C$1:$C$175,$A80))</f>
        <v/>
      </c>
      <c r="W80" t="str">
        <f>IF($A80="","",SUMIFS(Compta!$F$1:$F$675,Compta!$A$1:$A$675,$B80,Compta!$B$1:$B$675,"621",Compta!$C$1:$C$675,$A80))</f>
        <v/>
      </c>
      <c r="X80" t="str">
        <f>IF($A80="","",SUMIFS(Compta!$F$1:$F$675,Compta!$A$1:$A$675,$B80,Compta!$B$1:$B$675,"6411",Compta!$C$1:$C$675,$A80))</f>
        <v/>
      </c>
      <c r="Y80" t="str">
        <f>IF($A80="","",SUMIFS(Compta!$F$1:$F$675,Compta!$A$1:$A$675,$B80,Compta!$B$1:$B$675,"604",Compta!$C$1:$C$675,$A80)+SUMIFS(Compta!$F$1:$F$675,Compta!$A$1:$A$675,$B80,Compta!$B$1:$B$675,"6063",Compta!$C$1:$C$675,$A80))</f>
        <v/>
      </c>
      <c r="Z80" t="str">
        <f>IF($A80="","",SUMIFS(Compta!$F$1:$F$675,Compta!$A$1:$A$675,$B80,Compta!$B$1:$B$675,"6231",Compta!$C$1:$C$675,$A80))</f>
        <v/>
      </c>
      <c r="AA80" t="str">
        <f>IF($A80="","",SUMIFS(Compta!$F$1:$F$675,Compta!$A$1:$A$675,$B80,Compta!$B$1:$B$675,"6413",Compta!$C$1:$C$675,$A80)+SUMIFS(Compta!$F$1:$F$675,Compta!$A$1:$A$675,$B80,Compta!$B$1:$B$675,"645",Compta!$C$1:$C$675,$A80)+SUMIFS(Compta!$F$1:$F$675,Compta!$A$1:$A$675,$B80,Compta!$B$1:$B$675,"613",Compta!$C$1:$C$675,$A80)+SUMIFS(Compta!$F$1:$F$675,Compta!$A$1:$A$675,$B80,Compta!$B$1:$B$675,"615",Compta!$C$1:$C$675,$A80)+SUMIFS(Compta!$F$1:$F$675,Compta!$A$1:$A$675,$B80,Compta!$B$1:$B$675,"616",Compta!$C$1:$C$675,$A80)+SUMIFS(Compta!$F$1:$F$675,Compta!$A$1:$A$675,$B80,Compta!$B$1:$B$675,"625",Compta!$C$1:$C$675,$A80)+SUMIFS(Compta!$F$1:$F$675,Compta!$A$1:$A$675,$B80,Compta!$B$1:$B$675,"63511",Compta!$C$1:$C$675,$A80))</f>
        <v/>
      </c>
      <c r="AB80" t="str">
        <f>IF($A80="","",SUMIFS(Compta!$F$1:$F$675,Compta!$A$1:$A$675,"GRP",Compta!$B$1:$B$675,"6414",Compta!$C$1:$C$675,$A80)+SUMIFS(Compta!$F$1:$F$675,Compta!$A$1:$A$675,"GRP",Compta!$B$1:$B$675,"6226",Compta!$C$1:$C$675,$A80)+SUMIFS(Compta!$F$1:$F$675,Compta!$A$1:$A$675,"GRP",Compta!$B$1:$B$675,"626",Compta!$C$1:$C$675,$A80)+SUMIFS(Compta!$F$1:$F$675,Compta!$A$1:$A$675,"GRP",Compta!$B$1:$B$675,"6281",Compta!$C$1:$C$675,$A80)+SUMIFS(Compta!$F$1:$F$675,Compta!$A$1:$A$675,"GRP",Compta!$B$1:$B$675,"6331",Compta!$C$1:$C$675,$A80)+SUMIFS(Compta!$F$1:$F$675,Compta!$A$1:$A$675,"GRP",Compta!$B$1:$B$675,"6333",Compta!$C$1:$C$675,$A80))</f>
        <v/>
      </c>
      <c r="AC80" t="s">
        <v>297</v>
      </c>
      <c r="AD80" t="s">
        <v>297</v>
      </c>
      <c r="AE80" t="s">
        <v>297</v>
      </c>
      <c r="AF80" t="s">
        <v>297</v>
      </c>
      <c r="AG80" t="s">
        <v>297</v>
      </c>
      <c r="AH80" t="s">
        <v>297</v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 t="str">
        <f>IF($A80="","",SUMIFS(Compta!$F$1:$F$675,Compta!$A$1:$A$675,"GRP",Compta!$B$1:$B$675,"6236",Compta!$C$1:$C$675,$A80))</f>
        <v/>
      </c>
      <c r="AP80" t="s">
        <v>297</v>
      </c>
      <c r="AQ80" t="s">
        <v>297</v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IF(Allocation!D81="","",Allocation!I81)</f>
        <v/>
      </c>
      <c r="H81" t="str">
        <f>IF(Allocation!D81="","",Allocation!J81)</f>
        <v/>
      </c>
      <c r="I81" t="str">
        <f>IF(Allocation!D81="","",Allocation!K81)</f>
        <v/>
      </c>
      <c r="J81" t="str">
        <f>IF($A81="","",SUMIFS(Socle!$K$1:$K$175,Socle!$C$1:$C$175,$B81,Socle!$D$1:$D$175,$D81,Socle!$E$1:$E$175,$E81,Socle!$F$1:$F$175,$F81,Socle!$G$1:$G$175,$A81))</f>
        <v/>
      </c>
      <c r="K81" t="str">
        <f t="shared" si="10"/>
        <v/>
      </c>
      <c r="L81" t="str">
        <f>IF($A81="","",SUMIFS(Allocation!$I$1:$I$175,Allocation!$C$1:$C$175,$A81,Allocation!$D$1:$D$175,$B81))</f>
        <v/>
      </c>
      <c r="M81" t="str">
        <f>IF($A81="","",SUMIFS(Allocation!$J$1:$J$175,Allocation!$C$1:$C$175,$A81,Allocation!$D$1:$D$175,$B81))</f>
        <v/>
      </c>
      <c r="N81" t="str">
        <f>IF($A81="","",SUMIFS(Allocation!$K$1:$K$175,Allocation!$C$1:$C$175,$A81,Allocation!$D$1:$D$175,$B81))</f>
        <v/>
      </c>
      <c r="O81" t="str">
        <f t="shared" si="11"/>
        <v/>
      </c>
      <c r="P81" t="str">
        <f t="shared" si="12"/>
        <v/>
      </c>
      <c r="Q81" t="str">
        <f>IF($A81="","",SUMIFS(Allocation!$I$1:$I$175,Allocation!$C$1:$C$175,$A81,Allocation!$E$1:$E$175,$C81))</f>
        <v/>
      </c>
      <c r="R81" t="str">
        <f>IF($A81="","",SUMIFS(Allocation!$J$1:$J$175,Allocation!$C$1:$C$175,$A81,Allocation!$E$1:$E$175,$C81))</f>
        <v/>
      </c>
      <c r="S81" t="str">
        <f>IF($A81="","",SUMIFS(Allocation!$K$1:$K$175,Allocation!$C$1:$C$175,$A81,Allocation!$E$1:$E$175,$C81))</f>
        <v/>
      </c>
      <c r="T81" t="str">
        <f>IF($A81="","",SUMIFS(Allocation!$I$1:$I$175,Allocation!$C$1:$C$175,$A81))</f>
        <v/>
      </c>
      <c r="U81" t="str">
        <f>IF($A81="","",SUMIFS(Allocation!$J$1:$J$175,Allocation!$C$1:$C$175,$A81))</f>
        <v/>
      </c>
      <c r="V81" t="str">
        <f>IF($A81="","",SUMIFS(Allocation!$K$1:$K$175,Allocation!$C$1:$C$175,$A81))</f>
        <v/>
      </c>
      <c r="W81" t="str">
        <f>IF($A81="","",SUMIFS(Compta!$F$1:$F$675,Compta!$A$1:$A$675,$B81,Compta!$B$1:$B$675,"621",Compta!$C$1:$C$675,$A81))</f>
        <v/>
      </c>
      <c r="X81" t="str">
        <f>IF($A81="","",SUMIFS(Compta!$F$1:$F$675,Compta!$A$1:$A$675,$B81,Compta!$B$1:$B$675,"6411",Compta!$C$1:$C$675,$A81))</f>
        <v/>
      </c>
      <c r="Y81" t="str">
        <f>IF($A81="","",SUMIFS(Compta!$F$1:$F$675,Compta!$A$1:$A$675,$B81,Compta!$B$1:$B$675,"604",Compta!$C$1:$C$675,$A81)+SUMIFS(Compta!$F$1:$F$675,Compta!$A$1:$A$675,$B81,Compta!$B$1:$B$675,"6063",Compta!$C$1:$C$675,$A81))</f>
        <v/>
      </c>
      <c r="Z81" t="str">
        <f>IF($A81="","",SUMIFS(Compta!$F$1:$F$675,Compta!$A$1:$A$675,$B81,Compta!$B$1:$B$675,"6231",Compta!$C$1:$C$675,$A81))</f>
        <v/>
      </c>
      <c r="AA81" t="str">
        <f>IF($A81="","",SUMIFS(Compta!$F$1:$F$675,Compta!$A$1:$A$675,$B81,Compta!$B$1:$B$675,"6413",Compta!$C$1:$C$675,$A81)+SUMIFS(Compta!$F$1:$F$675,Compta!$A$1:$A$675,$B81,Compta!$B$1:$B$675,"645",Compta!$C$1:$C$675,$A81)+SUMIFS(Compta!$F$1:$F$675,Compta!$A$1:$A$675,$B81,Compta!$B$1:$B$675,"613",Compta!$C$1:$C$675,$A81)+SUMIFS(Compta!$F$1:$F$675,Compta!$A$1:$A$675,$B81,Compta!$B$1:$B$675,"615",Compta!$C$1:$C$675,$A81)+SUMIFS(Compta!$F$1:$F$675,Compta!$A$1:$A$675,$B81,Compta!$B$1:$B$675,"616",Compta!$C$1:$C$675,$A81)+SUMIFS(Compta!$F$1:$F$675,Compta!$A$1:$A$675,$B81,Compta!$B$1:$B$675,"625",Compta!$C$1:$C$675,$A81)+SUMIFS(Compta!$F$1:$F$675,Compta!$A$1:$A$675,$B81,Compta!$B$1:$B$675,"63511",Compta!$C$1:$C$675,$A81))</f>
        <v/>
      </c>
      <c r="AB81" t="str">
        <f>IF($A81="","",SUMIFS(Compta!$F$1:$F$675,Compta!$A$1:$A$675,"GRP",Compta!$B$1:$B$675,"6414",Compta!$C$1:$C$675,$A81)+SUMIFS(Compta!$F$1:$F$675,Compta!$A$1:$A$675,"GRP",Compta!$B$1:$B$675,"6226",Compta!$C$1:$C$675,$A81)+SUMIFS(Compta!$F$1:$F$675,Compta!$A$1:$A$675,"GRP",Compta!$B$1:$B$675,"626",Compta!$C$1:$C$675,$A81)+SUMIFS(Compta!$F$1:$F$675,Compta!$A$1:$A$675,"GRP",Compta!$B$1:$B$675,"6281",Compta!$C$1:$C$675,$A81)+SUMIFS(Compta!$F$1:$F$675,Compta!$A$1:$A$675,"GRP",Compta!$B$1:$B$675,"6331",Compta!$C$1:$C$675,$A81)+SUMIFS(Compta!$F$1:$F$675,Compta!$A$1:$A$675,"GRP",Compta!$B$1:$B$675,"6333",Compta!$C$1:$C$675,$A81))</f>
        <v/>
      </c>
      <c r="AC81" t="s">
        <v>297</v>
      </c>
      <c r="AD81" t="s">
        <v>297</v>
      </c>
      <c r="AE81" t="s">
        <v>297</v>
      </c>
      <c r="AF81" t="s">
        <v>297</v>
      </c>
      <c r="AG81" t="s">
        <v>297</v>
      </c>
      <c r="AH81" t="s">
        <v>297</v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 t="str">
        <f>IF($A81="","",SUMIFS(Compta!$F$1:$F$675,Compta!$A$1:$A$675,"GRP",Compta!$B$1:$B$675,"6236",Compta!$C$1:$C$675,$A81))</f>
        <v/>
      </c>
      <c r="AP81" t="s">
        <v>297</v>
      </c>
      <c r="AQ81" t="s">
        <v>297</v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IF(Allocation!D82="","",Allocation!I82)</f>
        <v/>
      </c>
      <c r="H82" t="str">
        <f>IF(Allocation!D82="","",Allocation!J82)</f>
        <v/>
      </c>
      <c r="I82" t="str">
        <f>IF(Allocation!D82="","",Allocation!K82)</f>
        <v/>
      </c>
      <c r="J82" t="str">
        <f>IF($A82="","",SUMIFS(Socle!$K$1:$K$175,Socle!$C$1:$C$175,$B82,Socle!$D$1:$D$175,$D82,Socle!$E$1:$E$175,$E82,Socle!$F$1:$F$175,$F82,Socle!$G$1:$G$175,$A82))</f>
        <v/>
      </c>
      <c r="K82" t="str">
        <f t="shared" si="10"/>
        <v/>
      </c>
      <c r="L82" t="str">
        <f>IF($A82="","",SUMIFS(Allocation!$I$1:$I$175,Allocation!$C$1:$C$175,$A82,Allocation!$D$1:$D$175,$B82))</f>
        <v/>
      </c>
      <c r="M82" t="str">
        <f>IF($A82="","",SUMIFS(Allocation!$J$1:$J$175,Allocation!$C$1:$C$175,$A82,Allocation!$D$1:$D$175,$B82))</f>
        <v/>
      </c>
      <c r="N82" t="str">
        <f>IF($A82="","",SUMIFS(Allocation!$K$1:$K$175,Allocation!$C$1:$C$175,$A82,Allocation!$D$1:$D$175,$B82))</f>
        <v/>
      </c>
      <c r="O82" t="str">
        <f t="shared" si="11"/>
        <v/>
      </c>
      <c r="P82" t="str">
        <f t="shared" si="12"/>
        <v/>
      </c>
      <c r="Q82" t="str">
        <f>IF($A82="","",SUMIFS(Allocation!$I$1:$I$175,Allocation!$C$1:$C$175,$A82,Allocation!$E$1:$E$175,$C82))</f>
        <v/>
      </c>
      <c r="R82" t="str">
        <f>IF($A82="","",SUMIFS(Allocation!$J$1:$J$175,Allocation!$C$1:$C$175,$A82,Allocation!$E$1:$E$175,$C82))</f>
        <v/>
      </c>
      <c r="S82" t="str">
        <f>IF($A82="","",SUMIFS(Allocation!$K$1:$K$175,Allocation!$C$1:$C$175,$A82,Allocation!$E$1:$E$175,$C82))</f>
        <v/>
      </c>
      <c r="T82" t="str">
        <f>IF($A82="","",SUMIFS(Allocation!$I$1:$I$175,Allocation!$C$1:$C$175,$A82))</f>
        <v/>
      </c>
      <c r="U82" t="str">
        <f>IF($A82="","",SUMIFS(Allocation!$J$1:$J$175,Allocation!$C$1:$C$175,$A82))</f>
        <v/>
      </c>
      <c r="V82" t="str">
        <f>IF($A82="","",SUMIFS(Allocation!$K$1:$K$175,Allocation!$C$1:$C$175,$A82))</f>
        <v/>
      </c>
      <c r="W82" t="str">
        <f>IF($A82="","",SUMIFS(Compta!$F$1:$F$675,Compta!$A$1:$A$675,$B82,Compta!$B$1:$B$675,"621",Compta!$C$1:$C$675,$A82))</f>
        <v/>
      </c>
      <c r="X82" t="str">
        <f>IF($A82="","",SUMIFS(Compta!$F$1:$F$675,Compta!$A$1:$A$675,$B82,Compta!$B$1:$B$675,"6411",Compta!$C$1:$C$675,$A82))</f>
        <v/>
      </c>
      <c r="Y82" t="str">
        <f>IF($A82="","",SUMIFS(Compta!$F$1:$F$675,Compta!$A$1:$A$675,$B82,Compta!$B$1:$B$675,"604",Compta!$C$1:$C$675,$A82)+SUMIFS(Compta!$F$1:$F$675,Compta!$A$1:$A$675,$B82,Compta!$B$1:$B$675,"6063",Compta!$C$1:$C$675,$A82))</f>
        <v/>
      </c>
      <c r="Z82" t="str">
        <f>IF($A82="","",SUMIFS(Compta!$F$1:$F$675,Compta!$A$1:$A$675,$B82,Compta!$B$1:$B$675,"6231",Compta!$C$1:$C$675,$A82))</f>
        <v/>
      </c>
      <c r="AA82" t="str">
        <f>IF($A82="","",SUMIFS(Compta!$F$1:$F$675,Compta!$A$1:$A$675,$B82,Compta!$B$1:$B$675,"6413",Compta!$C$1:$C$675,$A82)+SUMIFS(Compta!$F$1:$F$675,Compta!$A$1:$A$675,$B82,Compta!$B$1:$B$675,"645",Compta!$C$1:$C$675,$A82)+SUMIFS(Compta!$F$1:$F$675,Compta!$A$1:$A$675,$B82,Compta!$B$1:$B$675,"613",Compta!$C$1:$C$675,$A82)+SUMIFS(Compta!$F$1:$F$675,Compta!$A$1:$A$675,$B82,Compta!$B$1:$B$675,"615",Compta!$C$1:$C$675,$A82)+SUMIFS(Compta!$F$1:$F$675,Compta!$A$1:$A$675,$B82,Compta!$B$1:$B$675,"616",Compta!$C$1:$C$675,$A82)+SUMIFS(Compta!$F$1:$F$675,Compta!$A$1:$A$675,$B82,Compta!$B$1:$B$675,"625",Compta!$C$1:$C$675,$A82)+SUMIFS(Compta!$F$1:$F$675,Compta!$A$1:$A$675,$B82,Compta!$B$1:$B$675,"63511",Compta!$C$1:$C$675,$A82))</f>
        <v/>
      </c>
      <c r="AB82" t="str">
        <f>IF($A82="","",SUMIFS(Compta!$F$1:$F$675,Compta!$A$1:$A$675,"GRP",Compta!$B$1:$B$675,"6414",Compta!$C$1:$C$675,$A82)+SUMIFS(Compta!$F$1:$F$675,Compta!$A$1:$A$675,"GRP",Compta!$B$1:$B$675,"6226",Compta!$C$1:$C$675,$A82)+SUMIFS(Compta!$F$1:$F$675,Compta!$A$1:$A$675,"GRP",Compta!$B$1:$B$675,"626",Compta!$C$1:$C$675,$A82)+SUMIFS(Compta!$F$1:$F$675,Compta!$A$1:$A$675,"GRP",Compta!$B$1:$B$675,"6281",Compta!$C$1:$C$675,$A82)+SUMIFS(Compta!$F$1:$F$675,Compta!$A$1:$A$675,"GRP",Compta!$B$1:$B$675,"6331",Compta!$C$1:$C$675,$A82)+SUMIFS(Compta!$F$1:$F$675,Compta!$A$1:$A$675,"GRP",Compta!$B$1:$B$675,"6333",Compta!$C$1:$C$675,$A82))</f>
        <v/>
      </c>
      <c r="AC82" t="s">
        <v>297</v>
      </c>
      <c r="AD82" t="s">
        <v>297</v>
      </c>
      <c r="AE82" t="s">
        <v>297</v>
      </c>
      <c r="AF82" t="s">
        <v>297</v>
      </c>
      <c r="AG82" t="s">
        <v>297</v>
      </c>
      <c r="AH82" t="s">
        <v>297</v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 t="str">
        <f>IF($A82="","",SUMIFS(Compta!$F$1:$F$675,Compta!$A$1:$A$675,"GRP",Compta!$B$1:$B$675,"6236",Compta!$C$1:$C$675,$A82))</f>
        <v/>
      </c>
      <c r="AP82" t="s">
        <v>297</v>
      </c>
      <c r="AQ82" t="s">
        <v>297</v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IF(Allocation!D83="","",Allocation!I83)</f>
        <v/>
      </c>
      <c r="H83" t="str">
        <f>IF(Allocation!D83="","",Allocation!J83)</f>
        <v/>
      </c>
      <c r="I83" t="str">
        <f>IF(Allocation!D83="","",Allocation!K83)</f>
        <v/>
      </c>
      <c r="J83" t="str">
        <f>IF($A83="","",SUMIFS(Socle!$K$1:$K$175,Socle!$C$1:$C$175,$B83,Socle!$D$1:$D$175,$D83,Socle!$E$1:$E$175,$E83,Socle!$F$1:$F$175,$F83,Socle!$G$1:$G$175,$A83))</f>
        <v/>
      </c>
      <c r="K83" t="str">
        <f t="shared" si="10"/>
        <v/>
      </c>
      <c r="L83" t="str">
        <f>IF($A83="","",SUMIFS(Allocation!$I$1:$I$175,Allocation!$C$1:$C$175,$A83,Allocation!$D$1:$D$175,$B83))</f>
        <v/>
      </c>
      <c r="M83" t="str">
        <f>IF($A83="","",SUMIFS(Allocation!$J$1:$J$175,Allocation!$C$1:$C$175,$A83,Allocation!$D$1:$D$175,$B83))</f>
        <v/>
      </c>
      <c r="N83" t="str">
        <f>IF($A83="","",SUMIFS(Allocation!$K$1:$K$175,Allocation!$C$1:$C$175,$A83,Allocation!$D$1:$D$175,$B83))</f>
        <v/>
      </c>
      <c r="O83" t="str">
        <f t="shared" si="11"/>
        <v/>
      </c>
      <c r="P83" t="str">
        <f t="shared" si="12"/>
        <v/>
      </c>
      <c r="Q83" t="str">
        <f>IF($A83="","",SUMIFS(Allocation!$I$1:$I$175,Allocation!$C$1:$C$175,$A83,Allocation!$E$1:$E$175,$C83))</f>
        <v/>
      </c>
      <c r="R83" t="str">
        <f>IF($A83="","",SUMIFS(Allocation!$J$1:$J$175,Allocation!$C$1:$C$175,$A83,Allocation!$E$1:$E$175,$C83))</f>
        <v/>
      </c>
      <c r="S83" t="str">
        <f>IF($A83="","",SUMIFS(Allocation!$K$1:$K$175,Allocation!$C$1:$C$175,$A83,Allocation!$E$1:$E$175,$C83))</f>
        <v/>
      </c>
      <c r="T83" t="str">
        <f>IF($A83="","",SUMIFS(Allocation!$I$1:$I$175,Allocation!$C$1:$C$175,$A83))</f>
        <v/>
      </c>
      <c r="U83" t="str">
        <f>IF($A83="","",SUMIFS(Allocation!$J$1:$J$175,Allocation!$C$1:$C$175,$A83))</f>
        <v/>
      </c>
      <c r="V83" t="str">
        <f>IF($A83="","",SUMIFS(Allocation!$K$1:$K$175,Allocation!$C$1:$C$175,$A83))</f>
        <v/>
      </c>
      <c r="W83" t="str">
        <f>IF($A83="","",SUMIFS(Compta!$F$1:$F$675,Compta!$A$1:$A$675,$B83,Compta!$B$1:$B$675,"621",Compta!$C$1:$C$675,$A83))</f>
        <v/>
      </c>
      <c r="X83" t="str">
        <f>IF($A83="","",SUMIFS(Compta!$F$1:$F$675,Compta!$A$1:$A$675,$B83,Compta!$B$1:$B$675,"6411",Compta!$C$1:$C$675,$A83))</f>
        <v/>
      </c>
      <c r="Y83" t="str">
        <f>IF($A83="","",SUMIFS(Compta!$F$1:$F$675,Compta!$A$1:$A$675,$B83,Compta!$B$1:$B$675,"604",Compta!$C$1:$C$675,$A83)+SUMIFS(Compta!$F$1:$F$675,Compta!$A$1:$A$675,$B83,Compta!$B$1:$B$675,"6063",Compta!$C$1:$C$675,$A83))</f>
        <v/>
      </c>
      <c r="Z83" t="str">
        <f>IF($A83="","",SUMIFS(Compta!$F$1:$F$675,Compta!$A$1:$A$675,$B83,Compta!$B$1:$B$675,"6231",Compta!$C$1:$C$675,$A83))</f>
        <v/>
      </c>
      <c r="AA83" t="str">
        <f>IF($A83="","",SUMIFS(Compta!$F$1:$F$675,Compta!$A$1:$A$675,$B83,Compta!$B$1:$B$675,"6413",Compta!$C$1:$C$675,$A83)+SUMIFS(Compta!$F$1:$F$675,Compta!$A$1:$A$675,$B83,Compta!$B$1:$B$675,"645",Compta!$C$1:$C$675,$A83)+SUMIFS(Compta!$F$1:$F$675,Compta!$A$1:$A$675,$B83,Compta!$B$1:$B$675,"613",Compta!$C$1:$C$675,$A83)+SUMIFS(Compta!$F$1:$F$675,Compta!$A$1:$A$675,$B83,Compta!$B$1:$B$675,"615",Compta!$C$1:$C$675,$A83)+SUMIFS(Compta!$F$1:$F$675,Compta!$A$1:$A$675,$B83,Compta!$B$1:$B$675,"616",Compta!$C$1:$C$675,$A83)+SUMIFS(Compta!$F$1:$F$675,Compta!$A$1:$A$675,$B83,Compta!$B$1:$B$675,"625",Compta!$C$1:$C$675,$A83)+SUMIFS(Compta!$F$1:$F$675,Compta!$A$1:$A$675,$B83,Compta!$B$1:$B$675,"63511",Compta!$C$1:$C$675,$A83))</f>
        <v/>
      </c>
      <c r="AB83" t="str">
        <f>IF($A83="","",SUMIFS(Compta!$F$1:$F$675,Compta!$A$1:$A$675,"GRP",Compta!$B$1:$B$675,"6414",Compta!$C$1:$C$675,$A83)+SUMIFS(Compta!$F$1:$F$675,Compta!$A$1:$A$675,"GRP",Compta!$B$1:$B$675,"6226",Compta!$C$1:$C$675,$A83)+SUMIFS(Compta!$F$1:$F$675,Compta!$A$1:$A$675,"GRP",Compta!$B$1:$B$675,"626",Compta!$C$1:$C$675,$A83)+SUMIFS(Compta!$F$1:$F$675,Compta!$A$1:$A$675,"GRP",Compta!$B$1:$B$675,"6281",Compta!$C$1:$C$675,$A83)+SUMIFS(Compta!$F$1:$F$675,Compta!$A$1:$A$675,"GRP",Compta!$B$1:$B$675,"6331",Compta!$C$1:$C$675,$A83)+SUMIFS(Compta!$F$1:$F$675,Compta!$A$1:$A$675,"GRP",Compta!$B$1:$B$675,"6333",Compta!$C$1:$C$675,$A83))</f>
        <v/>
      </c>
      <c r="AC83" t="s">
        <v>297</v>
      </c>
      <c r="AD83" t="s">
        <v>297</v>
      </c>
      <c r="AE83" t="s">
        <v>297</v>
      </c>
      <c r="AF83" t="s">
        <v>297</v>
      </c>
      <c r="AG83" t="s">
        <v>297</v>
      </c>
      <c r="AH83" t="s">
        <v>297</v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 t="str">
        <f>IF($A83="","",SUMIFS(Compta!$F$1:$F$675,Compta!$A$1:$A$675,"GRP",Compta!$B$1:$B$675,"6236",Compta!$C$1:$C$675,$A83))</f>
        <v/>
      </c>
      <c r="AP83" t="s">
        <v>297</v>
      </c>
      <c r="AQ83" t="s">
        <v>297</v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IF(Allocation!D84="","",Allocation!I84)</f>
        <v/>
      </c>
      <c r="H84" t="str">
        <f>IF(Allocation!D84="","",Allocation!J84)</f>
        <v/>
      </c>
      <c r="I84" t="str">
        <f>IF(Allocation!D84="","",Allocation!K84)</f>
        <v/>
      </c>
      <c r="J84" t="str">
        <f>IF($A84="","",SUMIFS(Socle!$K$1:$K$175,Socle!$C$1:$C$175,$B84,Socle!$D$1:$D$175,$D84,Socle!$E$1:$E$175,$E84,Socle!$F$1:$F$175,$F84,Socle!$G$1:$G$175,$A84))</f>
        <v/>
      </c>
      <c r="K84" t="str">
        <f t="shared" si="10"/>
        <v/>
      </c>
      <c r="L84" t="str">
        <f>IF($A84="","",SUMIFS(Allocation!$I$1:$I$175,Allocation!$C$1:$C$175,$A84,Allocation!$D$1:$D$175,$B84))</f>
        <v/>
      </c>
      <c r="M84" t="str">
        <f>IF($A84="","",SUMIFS(Allocation!$J$1:$J$175,Allocation!$C$1:$C$175,$A84,Allocation!$D$1:$D$175,$B84))</f>
        <v/>
      </c>
      <c r="N84" t="str">
        <f>IF($A84="","",SUMIFS(Allocation!$K$1:$K$175,Allocation!$C$1:$C$175,$A84,Allocation!$D$1:$D$175,$B84))</f>
        <v/>
      </c>
      <c r="O84" t="str">
        <f t="shared" si="11"/>
        <v/>
      </c>
      <c r="P84" t="str">
        <f t="shared" si="12"/>
        <v/>
      </c>
      <c r="Q84" t="str">
        <f>IF($A84="","",SUMIFS(Allocation!$I$1:$I$175,Allocation!$C$1:$C$175,$A84,Allocation!$E$1:$E$175,$C84))</f>
        <v/>
      </c>
      <c r="R84" t="str">
        <f>IF($A84="","",SUMIFS(Allocation!$J$1:$J$175,Allocation!$C$1:$C$175,$A84,Allocation!$E$1:$E$175,$C84))</f>
        <v/>
      </c>
      <c r="S84" t="str">
        <f>IF($A84="","",SUMIFS(Allocation!$K$1:$K$175,Allocation!$C$1:$C$175,$A84,Allocation!$E$1:$E$175,$C84))</f>
        <v/>
      </c>
      <c r="T84" t="str">
        <f>IF($A84="","",SUMIFS(Allocation!$I$1:$I$175,Allocation!$C$1:$C$175,$A84))</f>
        <v/>
      </c>
      <c r="U84" t="str">
        <f>IF($A84="","",SUMIFS(Allocation!$J$1:$J$175,Allocation!$C$1:$C$175,$A84))</f>
        <v/>
      </c>
      <c r="V84" t="str">
        <f>IF($A84="","",SUMIFS(Allocation!$K$1:$K$175,Allocation!$C$1:$C$175,$A84))</f>
        <v/>
      </c>
      <c r="W84" t="str">
        <f>IF($A84="","",SUMIFS(Compta!$F$1:$F$675,Compta!$A$1:$A$675,$B84,Compta!$B$1:$B$675,"621",Compta!$C$1:$C$675,$A84))</f>
        <v/>
      </c>
      <c r="X84" t="str">
        <f>IF($A84="","",SUMIFS(Compta!$F$1:$F$675,Compta!$A$1:$A$675,$B84,Compta!$B$1:$B$675,"6411",Compta!$C$1:$C$675,$A84))</f>
        <v/>
      </c>
      <c r="Y84" t="str">
        <f>IF($A84="","",SUMIFS(Compta!$F$1:$F$675,Compta!$A$1:$A$675,$B84,Compta!$B$1:$B$675,"604",Compta!$C$1:$C$675,$A84)+SUMIFS(Compta!$F$1:$F$675,Compta!$A$1:$A$675,$B84,Compta!$B$1:$B$675,"6063",Compta!$C$1:$C$675,$A84))</f>
        <v/>
      </c>
      <c r="Z84" t="str">
        <f>IF($A84="","",SUMIFS(Compta!$F$1:$F$675,Compta!$A$1:$A$675,$B84,Compta!$B$1:$B$675,"6231",Compta!$C$1:$C$675,$A84))</f>
        <v/>
      </c>
      <c r="AA84" t="str">
        <f>IF($A84="","",SUMIFS(Compta!$F$1:$F$675,Compta!$A$1:$A$675,$B84,Compta!$B$1:$B$675,"6413",Compta!$C$1:$C$675,$A84)+SUMIFS(Compta!$F$1:$F$675,Compta!$A$1:$A$675,$B84,Compta!$B$1:$B$675,"645",Compta!$C$1:$C$675,$A84)+SUMIFS(Compta!$F$1:$F$675,Compta!$A$1:$A$675,$B84,Compta!$B$1:$B$675,"613",Compta!$C$1:$C$675,$A84)+SUMIFS(Compta!$F$1:$F$675,Compta!$A$1:$A$675,$B84,Compta!$B$1:$B$675,"615",Compta!$C$1:$C$675,$A84)+SUMIFS(Compta!$F$1:$F$675,Compta!$A$1:$A$675,$B84,Compta!$B$1:$B$675,"616",Compta!$C$1:$C$675,$A84)+SUMIFS(Compta!$F$1:$F$675,Compta!$A$1:$A$675,$B84,Compta!$B$1:$B$675,"625",Compta!$C$1:$C$675,$A84)+SUMIFS(Compta!$F$1:$F$675,Compta!$A$1:$A$675,$B84,Compta!$B$1:$B$675,"63511",Compta!$C$1:$C$675,$A84))</f>
        <v/>
      </c>
      <c r="AB84" t="str">
        <f>IF($A84="","",SUMIFS(Compta!$F$1:$F$675,Compta!$A$1:$A$675,"GRP",Compta!$B$1:$B$675,"6414",Compta!$C$1:$C$675,$A84)+SUMIFS(Compta!$F$1:$F$675,Compta!$A$1:$A$675,"GRP",Compta!$B$1:$B$675,"6226",Compta!$C$1:$C$675,$A84)+SUMIFS(Compta!$F$1:$F$675,Compta!$A$1:$A$675,"GRP",Compta!$B$1:$B$675,"626",Compta!$C$1:$C$675,$A84)+SUMIFS(Compta!$F$1:$F$675,Compta!$A$1:$A$675,"GRP",Compta!$B$1:$B$675,"6281",Compta!$C$1:$C$675,$A84)+SUMIFS(Compta!$F$1:$F$675,Compta!$A$1:$A$675,"GRP",Compta!$B$1:$B$675,"6331",Compta!$C$1:$C$675,$A84)+SUMIFS(Compta!$F$1:$F$675,Compta!$A$1:$A$675,"GRP",Compta!$B$1:$B$675,"6333",Compta!$C$1:$C$675,$A84))</f>
        <v/>
      </c>
      <c r="AC84" t="s">
        <v>297</v>
      </c>
      <c r="AD84" t="s">
        <v>297</v>
      </c>
      <c r="AE84" t="s">
        <v>297</v>
      </c>
      <c r="AF84" t="s">
        <v>297</v>
      </c>
      <c r="AG84" t="s">
        <v>297</v>
      </c>
      <c r="AH84" t="s">
        <v>297</v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 t="str">
        <f>IF($A84="","",SUMIFS(Compta!$F$1:$F$675,Compta!$A$1:$A$675,"GRP",Compta!$B$1:$B$675,"6236",Compta!$C$1:$C$675,$A84))</f>
        <v/>
      </c>
      <c r="AP84" t="s">
        <v>297</v>
      </c>
      <c r="AQ84" t="s">
        <v>297</v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IF(Allocation!D85="","",Allocation!I85)</f>
        <v/>
      </c>
      <c r="H85" t="str">
        <f>IF(Allocation!D85="","",Allocation!J85)</f>
        <v/>
      </c>
      <c r="I85" t="str">
        <f>IF(Allocation!D85="","",Allocation!K85)</f>
        <v/>
      </c>
      <c r="J85" t="str">
        <f>IF($A85="","",SUMIFS(Socle!$K$1:$K$175,Socle!$C$1:$C$175,$B85,Socle!$D$1:$D$175,$D85,Socle!$E$1:$E$175,$E85,Socle!$F$1:$F$175,$F85,Socle!$G$1:$G$175,$A85))</f>
        <v/>
      </c>
      <c r="K85" t="str">
        <f t="shared" si="10"/>
        <v/>
      </c>
      <c r="L85" t="str">
        <f>IF($A85="","",SUMIFS(Allocation!$I$1:$I$175,Allocation!$C$1:$C$175,$A85,Allocation!$D$1:$D$175,$B85))</f>
        <v/>
      </c>
      <c r="M85" t="str">
        <f>IF($A85="","",SUMIFS(Allocation!$J$1:$J$175,Allocation!$C$1:$C$175,$A85,Allocation!$D$1:$D$175,$B85))</f>
        <v/>
      </c>
      <c r="N85" t="str">
        <f>IF($A85="","",SUMIFS(Allocation!$K$1:$K$175,Allocation!$C$1:$C$175,$A85,Allocation!$D$1:$D$175,$B85))</f>
        <v/>
      </c>
      <c r="O85" t="str">
        <f t="shared" si="11"/>
        <v/>
      </c>
      <c r="P85" t="str">
        <f t="shared" si="12"/>
        <v/>
      </c>
      <c r="Q85" t="str">
        <f>IF($A85="","",SUMIFS(Allocation!$I$1:$I$175,Allocation!$C$1:$C$175,$A85,Allocation!$E$1:$E$175,$C85))</f>
        <v/>
      </c>
      <c r="R85" t="str">
        <f>IF($A85="","",SUMIFS(Allocation!$J$1:$J$175,Allocation!$C$1:$C$175,$A85,Allocation!$E$1:$E$175,$C85))</f>
        <v/>
      </c>
      <c r="S85" t="str">
        <f>IF($A85="","",SUMIFS(Allocation!$K$1:$K$175,Allocation!$C$1:$C$175,$A85,Allocation!$E$1:$E$175,$C85))</f>
        <v/>
      </c>
      <c r="T85" t="str">
        <f>IF($A85="","",SUMIFS(Allocation!$I$1:$I$175,Allocation!$C$1:$C$175,$A85))</f>
        <v/>
      </c>
      <c r="U85" t="str">
        <f>IF($A85="","",SUMIFS(Allocation!$J$1:$J$175,Allocation!$C$1:$C$175,$A85))</f>
        <v/>
      </c>
      <c r="V85" t="str">
        <f>IF($A85="","",SUMIFS(Allocation!$K$1:$K$175,Allocation!$C$1:$C$175,$A85))</f>
        <v/>
      </c>
      <c r="W85" t="str">
        <f>IF($A85="","",SUMIFS(Compta!$F$1:$F$675,Compta!$A$1:$A$675,$B85,Compta!$B$1:$B$675,"621",Compta!$C$1:$C$675,$A85))</f>
        <v/>
      </c>
      <c r="X85" t="str">
        <f>IF($A85="","",SUMIFS(Compta!$F$1:$F$675,Compta!$A$1:$A$675,$B85,Compta!$B$1:$B$675,"6411",Compta!$C$1:$C$675,$A85))</f>
        <v/>
      </c>
      <c r="Y85" t="str">
        <f>IF($A85="","",SUMIFS(Compta!$F$1:$F$675,Compta!$A$1:$A$675,$B85,Compta!$B$1:$B$675,"604",Compta!$C$1:$C$675,$A85)+SUMIFS(Compta!$F$1:$F$675,Compta!$A$1:$A$675,$B85,Compta!$B$1:$B$675,"6063",Compta!$C$1:$C$675,$A85))</f>
        <v/>
      </c>
      <c r="Z85" t="str">
        <f>IF($A85="","",SUMIFS(Compta!$F$1:$F$675,Compta!$A$1:$A$675,$B85,Compta!$B$1:$B$675,"6231",Compta!$C$1:$C$675,$A85))</f>
        <v/>
      </c>
      <c r="AA85" t="str">
        <f>IF($A85="","",SUMIFS(Compta!$F$1:$F$675,Compta!$A$1:$A$675,$B85,Compta!$B$1:$B$675,"6413",Compta!$C$1:$C$675,$A85)+SUMIFS(Compta!$F$1:$F$675,Compta!$A$1:$A$675,$B85,Compta!$B$1:$B$675,"645",Compta!$C$1:$C$675,$A85)+SUMIFS(Compta!$F$1:$F$675,Compta!$A$1:$A$675,$B85,Compta!$B$1:$B$675,"613",Compta!$C$1:$C$675,$A85)+SUMIFS(Compta!$F$1:$F$675,Compta!$A$1:$A$675,$B85,Compta!$B$1:$B$675,"615",Compta!$C$1:$C$675,$A85)+SUMIFS(Compta!$F$1:$F$675,Compta!$A$1:$A$675,$B85,Compta!$B$1:$B$675,"616",Compta!$C$1:$C$675,$A85)+SUMIFS(Compta!$F$1:$F$675,Compta!$A$1:$A$675,$B85,Compta!$B$1:$B$675,"625",Compta!$C$1:$C$675,$A85)+SUMIFS(Compta!$F$1:$F$675,Compta!$A$1:$A$675,$B85,Compta!$B$1:$B$675,"63511",Compta!$C$1:$C$675,$A85))</f>
        <v/>
      </c>
      <c r="AB85" t="str">
        <f>IF($A85="","",SUMIFS(Compta!$F$1:$F$675,Compta!$A$1:$A$675,"GRP",Compta!$B$1:$B$675,"6414",Compta!$C$1:$C$675,$A85)+SUMIFS(Compta!$F$1:$F$675,Compta!$A$1:$A$675,"GRP",Compta!$B$1:$B$675,"6226",Compta!$C$1:$C$675,$A85)+SUMIFS(Compta!$F$1:$F$675,Compta!$A$1:$A$675,"GRP",Compta!$B$1:$B$675,"626",Compta!$C$1:$C$675,$A85)+SUMIFS(Compta!$F$1:$F$675,Compta!$A$1:$A$675,"GRP",Compta!$B$1:$B$675,"6281",Compta!$C$1:$C$675,$A85)+SUMIFS(Compta!$F$1:$F$675,Compta!$A$1:$A$675,"GRP",Compta!$B$1:$B$675,"6331",Compta!$C$1:$C$675,$A85)+SUMIFS(Compta!$F$1:$F$675,Compta!$A$1:$A$675,"GRP",Compta!$B$1:$B$675,"6333",Compta!$C$1:$C$675,$A85))</f>
        <v/>
      </c>
      <c r="AC85" t="s">
        <v>297</v>
      </c>
      <c r="AD85" t="s">
        <v>297</v>
      </c>
      <c r="AE85" t="s">
        <v>297</v>
      </c>
      <c r="AF85" t="s">
        <v>297</v>
      </c>
      <c r="AG85" t="s">
        <v>297</v>
      </c>
      <c r="AH85" t="s">
        <v>297</v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 t="str">
        <f>IF($A85="","",SUMIFS(Compta!$F$1:$F$675,Compta!$A$1:$A$675,"GRP",Compta!$B$1:$B$675,"6236",Compta!$C$1:$C$675,$A85))</f>
        <v/>
      </c>
      <c r="AP85" t="s">
        <v>297</v>
      </c>
      <c r="AQ85" t="s">
        <v>297</v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IF(Allocation!D86="","",Allocation!I86)</f>
        <v/>
      </c>
      <c r="H86" t="str">
        <f>IF(Allocation!D86="","",Allocation!J86)</f>
        <v/>
      </c>
      <c r="I86" t="str">
        <f>IF(Allocation!D86="","",Allocation!K86)</f>
        <v/>
      </c>
      <c r="J86" t="str">
        <f>IF($A86="","",SUMIFS(Socle!$K$1:$K$175,Socle!$C$1:$C$175,$B86,Socle!$D$1:$D$175,$D86,Socle!$E$1:$E$175,$E86,Socle!$F$1:$F$175,$F86,Socle!$G$1:$G$175,$A86))</f>
        <v/>
      </c>
      <c r="K86" t="str">
        <f t="shared" si="10"/>
        <v/>
      </c>
      <c r="L86" t="str">
        <f>IF($A86="","",SUMIFS(Allocation!$I$1:$I$175,Allocation!$C$1:$C$175,$A86,Allocation!$D$1:$D$175,$B86))</f>
        <v/>
      </c>
      <c r="M86" t="str">
        <f>IF($A86="","",SUMIFS(Allocation!$J$1:$J$175,Allocation!$C$1:$C$175,$A86,Allocation!$D$1:$D$175,$B86))</f>
        <v/>
      </c>
      <c r="N86" t="str">
        <f>IF($A86="","",SUMIFS(Allocation!$K$1:$K$175,Allocation!$C$1:$C$175,$A86,Allocation!$D$1:$D$175,$B86))</f>
        <v/>
      </c>
      <c r="O86" t="str">
        <f t="shared" si="11"/>
        <v/>
      </c>
      <c r="P86" t="str">
        <f t="shared" si="12"/>
        <v/>
      </c>
      <c r="Q86" t="str">
        <f>IF($A86="","",SUMIFS(Allocation!$I$1:$I$175,Allocation!$C$1:$C$175,$A86,Allocation!$E$1:$E$175,$C86))</f>
        <v/>
      </c>
      <c r="R86" t="str">
        <f>IF($A86="","",SUMIFS(Allocation!$J$1:$J$175,Allocation!$C$1:$C$175,$A86,Allocation!$E$1:$E$175,$C86))</f>
        <v/>
      </c>
      <c r="S86" t="str">
        <f>IF($A86="","",SUMIFS(Allocation!$K$1:$K$175,Allocation!$C$1:$C$175,$A86,Allocation!$E$1:$E$175,$C86))</f>
        <v/>
      </c>
      <c r="T86" t="str">
        <f>IF($A86="","",SUMIFS(Allocation!$I$1:$I$175,Allocation!$C$1:$C$175,$A86))</f>
        <v/>
      </c>
      <c r="U86" t="str">
        <f>IF($A86="","",SUMIFS(Allocation!$J$1:$J$175,Allocation!$C$1:$C$175,$A86))</f>
        <v/>
      </c>
      <c r="V86" t="str">
        <f>IF($A86="","",SUMIFS(Allocation!$K$1:$K$175,Allocation!$C$1:$C$175,$A86))</f>
        <v/>
      </c>
      <c r="W86" t="str">
        <f>IF($A86="","",SUMIFS(Compta!$F$1:$F$675,Compta!$A$1:$A$675,$B86,Compta!$B$1:$B$675,"621",Compta!$C$1:$C$675,$A86))</f>
        <v/>
      </c>
      <c r="X86" t="str">
        <f>IF($A86="","",SUMIFS(Compta!$F$1:$F$675,Compta!$A$1:$A$675,$B86,Compta!$B$1:$B$675,"6411",Compta!$C$1:$C$675,$A86))</f>
        <v/>
      </c>
      <c r="Y86" t="str">
        <f>IF($A86="","",SUMIFS(Compta!$F$1:$F$675,Compta!$A$1:$A$675,$B86,Compta!$B$1:$B$675,"604",Compta!$C$1:$C$675,$A86)+SUMIFS(Compta!$F$1:$F$675,Compta!$A$1:$A$675,$B86,Compta!$B$1:$B$675,"6063",Compta!$C$1:$C$675,$A86))</f>
        <v/>
      </c>
      <c r="Z86" t="str">
        <f>IF($A86="","",SUMIFS(Compta!$F$1:$F$675,Compta!$A$1:$A$675,$B86,Compta!$B$1:$B$675,"6231",Compta!$C$1:$C$675,$A86))</f>
        <v/>
      </c>
      <c r="AA86" t="str">
        <f>IF($A86="","",SUMIFS(Compta!$F$1:$F$675,Compta!$A$1:$A$675,$B86,Compta!$B$1:$B$675,"6413",Compta!$C$1:$C$675,$A86)+SUMIFS(Compta!$F$1:$F$675,Compta!$A$1:$A$675,$B86,Compta!$B$1:$B$675,"645",Compta!$C$1:$C$675,$A86)+SUMIFS(Compta!$F$1:$F$675,Compta!$A$1:$A$675,$B86,Compta!$B$1:$B$675,"613",Compta!$C$1:$C$675,$A86)+SUMIFS(Compta!$F$1:$F$675,Compta!$A$1:$A$675,$B86,Compta!$B$1:$B$675,"615",Compta!$C$1:$C$675,$A86)+SUMIFS(Compta!$F$1:$F$675,Compta!$A$1:$A$675,$B86,Compta!$B$1:$B$675,"616",Compta!$C$1:$C$675,$A86)+SUMIFS(Compta!$F$1:$F$675,Compta!$A$1:$A$675,$B86,Compta!$B$1:$B$675,"625",Compta!$C$1:$C$675,$A86)+SUMIFS(Compta!$F$1:$F$675,Compta!$A$1:$A$675,$B86,Compta!$B$1:$B$675,"63511",Compta!$C$1:$C$675,$A86))</f>
        <v/>
      </c>
      <c r="AB86" t="str">
        <f>IF($A86="","",SUMIFS(Compta!$F$1:$F$675,Compta!$A$1:$A$675,"GRP",Compta!$B$1:$B$675,"6414",Compta!$C$1:$C$675,$A86)+SUMIFS(Compta!$F$1:$F$675,Compta!$A$1:$A$675,"GRP",Compta!$B$1:$B$675,"6226",Compta!$C$1:$C$675,$A86)+SUMIFS(Compta!$F$1:$F$675,Compta!$A$1:$A$675,"GRP",Compta!$B$1:$B$675,"626",Compta!$C$1:$C$675,$A86)+SUMIFS(Compta!$F$1:$F$675,Compta!$A$1:$A$675,"GRP",Compta!$B$1:$B$675,"6281",Compta!$C$1:$C$675,$A86)+SUMIFS(Compta!$F$1:$F$675,Compta!$A$1:$A$675,"GRP",Compta!$B$1:$B$675,"6331",Compta!$C$1:$C$675,$A86)+SUMIFS(Compta!$F$1:$F$675,Compta!$A$1:$A$675,"GRP",Compta!$B$1:$B$675,"6333",Compta!$C$1:$C$675,$A86))</f>
        <v/>
      </c>
      <c r="AC86" t="s">
        <v>297</v>
      </c>
      <c r="AD86" t="s">
        <v>297</v>
      </c>
      <c r="AE86" t="s">
        <v>297</v>
      </c>
      <c r="AF86" t="s">
        <v>297</v>
      </c>
      <c r="AG86" t="s">
        <v>297</v>
      </c>
      <c r="AH86" t="s">
        <v>297</v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 t="str">
        <f>IF($A86="","",SUMIFS(Compta!$F$1:$F$675,Compta!$A$1:$A$675,"GRP",Compta!$B$1:$B$675,"6236",Compta!$C$1:$C$675,$A86))</f>
        <v/>
      </c>
      <c r="AP86" t="s">
        <v>297</v>
      </c>
      <c r="AQ86" t="s">
        <v>297</v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IF(Allocation!D87="","",Allocation!I87)</f>
        <v/>
      </c>
      <c r="H87" t="str">
        <f>IF(Allocation!D87="","",Allocation!J87)</f>
        <v/>
      </c>
      <c r="I87" t="str">
        <f>IF(Allocation!D87="","",Allocation!K87)</f>
        <v/>
      </c>
      <c r="J87" t="str">
        <f>IF($A87="","",SUMIFS(Socle!$K$1:$K$175,Socle!$C$1:$C$175,$B87,Socle!$D$1:$D$175,$D87,Socle!$E$1:$E$175,$E87,Socle!$F$1:$F$175,$F87,Socle!$G$1:$G$175,$A87))</f>
        <v/>
      </c>
      <c r="K87" t="str">
        <f t="shared" si="10"/>
        <v/>
      </c>
      <c r="L87" t="str">
        <f>IF($A87="","",SUMIFS(Allocation!$I$1:$I$175,Allocation!$C$1:$C$175,$A87,Allocation!$D$1:$D$175,$B87))</f>
        <v/>
      </c>
      <c r="M87" t="str">
        <f>IF($A87="","",SUMIFS(Allocation!$J$1:$J$175,Allocation!$C$1:$C$175,$A87,Allocation!$D$1:$D$175,$B87))</f>
        <v/>
      </c>
      <c r="N87" t="str">
        <f>IF($A87="","",SUMIFS(Allocation!$K$1:$K$175,Allocation!$C$1:$C$175,$A87,Allocation!$D$1:$D$175,$B87))</f>
        <v/>
      </c>
      <c r="O87" t="str">
        <f t="shared" si="11"/>
        <v/>
      </c>
      <c r="P87" t="str">
        <f t="shared" si="12"/>
        <v/>
      </c>
      <c r="Q87" t="str">
        <f>IF($A87="","",SUMIFS(Allocation!$I$1:$I$175,Allocation!$C$1:$C$175,$A87,Allocation!$E$1:$E$175,$C87))</f>
        <v/>
      </c>
      <c r="R87" t="str">
        <f>IF($A87="","",SUMIFS(Allocation!$J$1:$J$175,Allocation!$C$1:$C$175,$A87,Allocation!$E$1:$E$175,$C87))</f>
        <v/>
      </c>
      <c r="S87" t="str">
        <f>IF($A87="","",SUMIFS(Allocation!$K$1:$K$175,Allocation!$C$1:$C$175,$A87,Allocation!$E$1:$E$175,$C87))</f>
        <v/>
      </c>
      <c r="T87" t="str">
        <f>IF($A87="","",SUMIFS(Allocation!$I$1:$I$175,Allocation!$C$1:$C$175,$A87))</f>
        <v/>
      </c>
      <c r="U87" t="str">
        <f>IF($A87="","",SUMIFS(Allocation!$J$1:$J$175,Allocation!$C$1:$C$175,$A87))</f>
        <v/>
      </c>
      <c r="V87" t="str">
        <f>IF($A87="","",SUMIFS(Allocation!$K$1:$K$175,Allocation!$C$1:$C$175,$A87))</f>
        <v/>
      </c>
      <c r="W87" t="str">
        <f>IF($A87="","",SUMIFS(Compta!$F$1:$F$675,Compta!$A$1:$A$675,$B87,Compta!$B$1:$B$675,"621",Compta!$C$1:$C$675,$A87))</f>
        <v/>
      </c>
      <c r="X87" t="str">
        <f>IF($A87="","",SUMIFS(Compta!$F$1:$F$675,Compta!$A$1:$A$675,$B87,Compta!$B$1:$B$675,"6411",Compta!$C$1:$C$675,$A87))</f>
        <v/>
      </c>
      <c r="Y87" t="str">
        <f>IF($A87="","",SUMIFS(Compta!$F$1:$F$675,Compta!$A$1:$A$675,$B87,Compta!$B$1:$B$675,"604",Compta!$C$1:$C$675,$A87)+SUMIFS(Compta!$F$1:$F$675,Compta!$A$1:$A$675,$B87,Compta!$B$1:$B$675,"6063",Compta!$C$1:$C$675,$A87))</f>
        <v/>
      </c>
      <c r="Z87" t="str">
        <f>IF($A87="","",SUMIFS(Compta!$F$1:$F$675,Compta!$A$1:$A$675,$B87,Compta!$B$1:$B$675,"6231",Compta!$C$1:$C$675,$A87))</f>
        <v/>
      </c>
      <c r="AA87" t="str">
        <f>IF($A87="","",SUMIFS(Compta!$F$1:$F$675,Compta!$A$1:$A$675,$B87,Compta!$B$1:$B$675,"6413",Compta!$C$1:$C$675,$A87)+SUMIFS(Compta!$F$1:$F$675,Compta!$A$1:$A$675,$B87,Compta!$B$1:$B$675,"645",Compta!$C$1:$C$675,$A87)+SUMIFS(Compta!$F$1:$F$675,Compta!$A$1:$A$675,$B87,Compta!$B$1:$B$675,"613",Compta!$C$1:$C$675,$A87)+SUMIFS(Compta!$F$1:$F$675,Compta!$A$1:$A$675,$B87,Compta!$B$1:$B$675,"615",Compta!$C$1:$C$675,$A87)+SUMIFS(Compta!$F$1:$F$675,Compta!$A$1:$A$675,$B87,Compta!$B$1:$B$675,"616",Compta!$C$1:$C$675,$A87)+SUMIFS(Compta!$F$1:$F$675,Compta!$A$1:$A$675,$B87,Compta!$B$1:$B$675,"625",Compta!$C$1:$C$675,$A87)+SUMIFS(Compta!$F$1:$F$675,Compta!$A$1:$A$675,$B87,Compta!$B$1:$B$675,"63511",Compta!$C$1:$C$675,$A87))</f>
        <v/>
      </c>
      <c r="AB87" t="str">
        <f>IF($A87="","",SUMIFS(Compta!$F$1:$F$675,Compta!$A$1:$A$675,"GRP",Compta!$B$1:$B$675,"6414",Compta!$C$1:$C$675,$A87)+SUMIFS(Compta!$F$1:$F$675,Compta!$A$1:$A$675,"GRP",Compta!$B$1:$B$675,"6226",Compta!$C$1:$C$675,$A87)+SUMIFS(Compta!$F$1:$F$675,Compta!$A$1:$A$675,"GRP",Compta!$B$1:$B$675,"626",Compta!$C$1:$C$675,$A87)+SUMIFS(Compta!$F$1:$F$675,Compta!$A$1:$A$675,"GRP",Compta!$B$1:$B$675,"6281",Compta!$C$1:$C$675,$A87)+SUMIFS(Compta!$F$1:$F$675,Compta!$A$1:$A$675,"GRP",Compta!$B$1:$B$675,"6331",Compta!$C$1:$C$675,$A87)+SUMIFS(Compta!$F$1:$F$675,Compta!$A$1:$A$675,"GRP",Compta!$B$1:$B$675,"6333",Compta!$C$1:$C$675,$A87))</f>
        <v/>
      </c>
      <c r="AC87" t="s">
        <v>297</v>
      </c>
      <c r="AD87" t="s">
        <v>297</v>
      </c>
      <c r="AE87" t="s">
        <v>297</v>
      </c>
      <c r="AF87" t="s">
        <v>297</v>
      </c>
      <c r="AG87" t="s">
        <v>297</v>
      </c>
      <c r="AH87" t="s">
        <v>297</v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 t="str">
        <f>IF($A87="","",SUMIFS(Compta!$F$1:$F$675,Compta!$A$1:$A$675,"GRP",Compta!$B$1:$B$675,"6236",Compta!$C$1:$C$675,$A87))</f>
        <v/>
      </c>
      <c r="AP87" t="s">
        <v>297</v>
      </c>
      <c r="AQ87" t="s">
        <v>297</v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IF(Allocation!D88="","",Allocation!I88)</f>
        <v/>
      </c>
      <c r="H88" t="str">
        <f>IF(Allocation!D88="","",Allocation!J88)</f>
        <v/>
      </c>
      <c r="I88" t="str">
        <f>IF(Allocation!D88="","",Allocation!K88)</f>
        <v/>
      </c>
      <c r="J88" t="str">
        <f>IF($A88="","",SUMIFS(Socle!$K$1:$K$175,Socle!$C$1:$C$175,$B88,Socle!$D$1:$D$175,$D88,Socle!$E$1:$E$175,$E88,Socle!$F$1:$F$175,$F88,Socle!$G$1:$G$175,$A88))</f>
        <v/>
      </c>
      <c r="K88" t="str">
        <f t="shared" si="10"/>
        <v/>
      </c>
      <c r="L88" t="str">
        <f>IF($A88="","",SUMIFS(Allocation!$I$1:$I$175,Allocation!$C$1:$C$175,$A88,Allocation!$D$1:$D$175,$B88))</f>
        <v/>
      </c>
      <c r="M88" t="str">
        <f>IF($A88="","",SUMIFS(Allocation!$J$1:$J$175,Allocation!$C$1:$C$175,$A88,Allocation!$D$1:$D$175,$B88))</f>
        <v/>
      </c>
      <c r="N88" t="str">
        <f>IF($A88="","",SUMIFS(Allocation!$K$1:$K$175,Allocation!$C$1:$C$175,$A88,Allocation!$D$1:$D$175,$B88))</f>
        <v/>
      </c>
      <c r="O88" t="str">
        <f t="shared" si="11"/>
        <v/>
      </c>
      <c r="P88" t="str">
        <f t="shared" si="12"/>
        <v/>
      </c>
      <c r="Q88" t="str">
        <f>IF($A88="","",SUMIFS(Allocation!$I$1:$I$175,Allocation!$C$1:$C$175,$A88,Allocation!$E$1:$E$175,$C88))</f>
        <v/>
      </c>
      <c r="R88" t="str">
        <f>IF($A88="","",SUMIFS(Allocation!$J$1:$J$175,Allocation!$C$1:$C$175,$A88,Allocation!$E$1:$E$175,$C88))</f>
        <v/>
      </c>
      <c r="S88" t="str">
        <f>IF($A88="","",SUMIFS(Allocation!$K$1:$K$175,Allocation!$C$1:$C$175,$A88,Allocation!$E$1:$E$175,$C88))</f>
        <v/>
      </c>
      <c r="T88" t="str">
        <f>IF($A88="","",SUMIFS(Allocation!$I$1:$I$175,Allocation!$C$1:$C$175,$A88))</f>
        <v/>
      </c>
      <c r="U88" t="str">
        <f>IF($A88="","",SUMIFS(Allocation!$J$1:$J$175,Allocation!$C$1:$C$175,$A88))</f>
        <v/>
      </c>
      <c r="V88" t="str">
        <f>IF($A88="","",SUMIFS(Allocation!$K$1:$K$175,Allocation!$C$1:$C$175,$A88))</f>
        <v/>
      </c>
      <c r="W88" t="str">
        <f>IF($A88="","",SUMIFS(Compta!$F$1:$F$675,Compta!$A$1:$A$675,$B88,Compta!$B$1:$B$675,"621",Compta!$C$1:$C$675,$A88))</f>
        <v/>
      </c>
      <c r="X88" t="str">
        <f>IF($A88="","",SUMIFS(Compta!$F$1:$F$675,Compta!$A$1:$A$675,$B88,Compta!$B$1:$B$675,"6411",Compta!$C$1:$C$675,$A88))</f>
        <v/>
      </c>
      <c r="Y88" t="str">
        <f>IF($A88="","",SUMIFS(Compta!$F$1:$F$675,Compta!$A$1:$A$675,$B88,Compta!$B$1:$B$675,"604",Compta!$C$1:$C$675,$A88)+SUMIFS(Compta!$F$1:$F$675,Compta!$A$1:$A$675,$B88,Compta!$B$1:$B$675,"6063",Compta!$C$1:$C$675,$A88))</f>
        <v/>
      </c>
      <c r="Z88" t="str">
        <f>IF($A88="","",SUMIFS(Compta!$F$1:$F$675,Compta!$A$1:$A$675,$B88,Compta!$B$1:$B$675,"6231",Compta!$C$1:$C$675,$A88))</f>
        <v/>
      </c>
      <c r="AA88" t="str">
        <f>IF($A88="","",SUMIFS(Compta!$F$1:$F$675,Compta!$A$1:$A$675,$B88,Compta!$B$1:$B$675,"6413",Compta!$C$1:$C$675,$A88)+SUMIFS(Compta!$F$1:$F$675,Compta!$A$1:$A$675,$B88,Compta!$B$1:$B$675,"645",Compta!$C$1:$C$675,$A88)+SUMIFS(Compta!$F$1:$F$675,Compta!$A$1:$A$675,$B88,Compta!$B$1:$B$675,"613",Compta!$C$1:$C$675,$A88)+SUMIFS(Compta!$F$1:$F$675,Compta!$A$1:$A$675,$B88,Compta!$B$1:$B$675,"615",Compta!$C$1:$C$675,$A88)+SUMIFS(Compta!$F$1:$F$675,Compta!$A$1:$A$675,$B88,Compta!$B$1:$B$675,"616",Compta!$C$1:$C$675,$A88)+SUMIFS(Compta!$F$1:$F$675,Compta!$A$1:$A$675,$B88,Compta!$B$1:$B$675,"625",Compta!$C$1:$C$675,$A88)+SUMIFS(Compta!$F$1:$F$675,Compta!$A$1:$A$675,$B88,Compta!$B$1:$B$675,"63511",Compta!$C$1:$C$675,$A88))</f>
        <v/>
      </c>
      <c r="AB88" t="str">
        <f>IF($A88="","",SUMIFS(Compta!$F$1:$F$675,Compta!$A$1:$A$675,"GRP",Compta!$B$1:$B$675,"6414",Compta!$C$1:$C$675,$A88)+SUMIFS(Compta!$F$1:$F$675,Compta!$A$1:$A$675,"GRP",Compta!$B$1:$B$675,"6226",Compta!$C$1:$C$675,$A88)+SUMIFS(Compta!$F$1:$F$675,Compta!$A$1:$A$675,"GRP",Compta!$B$1:$B$675,"626",Compta!$C$1:$C$675,$A88)+SUMIFS(Compta!$F$1:$F$675,Compta!$A$1:$A$675,"GRP",Compta!$B$1:$B$675,"6281",Compta!$C$1:$C$675,$A88)+SUMIFS(Compta!$F$1:$F$675,Compta!$A$1:$A$675,"GRP",Compta!$B$1:$B$675,"6331",Compta!$C$1:$C$675,$A88)+SUMIFS(Compta!$F$1:$F$675,Compta!$A$1:$A$675,"GRP",Compta!$B$1:$B$675,"6333",Compta!$C$1:$C$675,$A88))</f>
        <v/>
      </c>
      <c r="AC88" t="s">
        <v>297</v>
      </c>
      <c r="AD88" t="s">
        <v>297</v>
      </c>
      <c r="AE88" t="s">
        <v>297</v>
      </c>
      <c r="AF88" t="s">
        <v>297</v>
      </c>
      <c r="AG88" t="s">
        <v>297</v>
      </c>
      <c r="AH88" t="s">
        <v>297</v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 t="str">
        <f>IF($A88="","",SUMIFS(Compta!$F$1:$F$675,Compta!$A$1:$A$675,"GRP",Compta!$B$1:$B$675,"6236",Compta!$C$1:$C$675,$A88))</f>
        <v/>
      </c>
      <c r="AP88" t="s">
        <v>297</v>
      </c>
      <c r="AQ88" t="s">
        <v>297</v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IF(Allocation!D89="","",Allocation!I89)</f>
        <v/>
      </c>
      <c r="H89" t="str">
        <f>IF(Allocation!D89="","",Allocation!J89)</f>
        <v/>
      </c>
      <c r="I89" t="str">
        <f>IF(Allocation!D89="","",Allocation!K89)</f>
        <v/>
      </c>
      <c r="J89" t="str">
        <f>IF($A89="","",SUMIFS(Socle!$K$1:$K$175,Socle!$C$1:$C$175,$B89,Socle!$D$1:$D$175,$D89,Socle!$E$1:$E$175,$E89,Socle!$F$1:$F$175,$F89,Socle!$G$1:$G$175,$A89))</f>
        <v/>
      </c>
      <c r="K89" t="str">
        <f t="shared" si="10"/>
        <v/>
      </c>
      <c r="L89" t="str">
        <f>IF($A89="","",SUMIFS(Allocation!$I$1:$I$175,Allocation!$C$1:$C$175,$A89,Allocation!$D$1:$D$175,$B89))</f>
        <v/>
      </c>
      <c r="M89" t="str">
        <f>IF($A89="","",SUMIFS(Allocation!$J$1:$J$175,Allocation!$C$1:$C$175,$A89,Allocation!$D$1:$D$175,$B89))</f>
        <v/>
      </c>
      <c r="N89" t="str">
        <f>IF($A89="","",SUMIFS(Allocation!$K$1:$K$175,Allocation!$C$1:$C$175,$A89,Allocation!$D$1:$D$175,$B89))</f>
        <v/>
      </c>
      <c r="O89" t="str">
        <f t="shared" si="11"/>
        <v/>
      </c>
      <c r="P89" t="str">
        <f t="shared" si="12"/>
        <v/>
      </c>
      <c r="Q89" t="str">
        <f>IF($A89="","",SUMIFS(Allocation!$I$1:$I$175,Allocation!$C$1:$C$175,$A89,Allocation!$E$1:$E$175,$C89))</f>
        <v/>
      </c>
      <c r="R89" t="str">
        <f>IF($A89="","",SUMIFS(Allocation!$J$1:$J$175,Allocation!$C$1:$C$175,$A89,Allocation!$E$1:$E$175,$C89))</f>
        <v/>
      </c>
      <c r="S89" t="str">
        <f>IF($A89="","",SUMIFS(Allocation!$K$1:$K$175,Allocation!$C$1:$C$175,$A89,Allocation!$E$1:$E$175,$C89))</f>
        <v/>
      </c>
      <c r="T89" t="str">
        <f>IF($A89="","",SUMIFS(Allocation!$I$1:$I$175,Allocation!$C$1:$C$175,$A89))</f>
        <v/>
      </c>
      <c r="U89" t="str">
        <f>IF($A89="","",SUMIFS(Allocation!$J$1:$J$175,Allocation!$C$1:$C$175,$A89))</f>
        <v/>
      </c>
      <c r="V89" t="str">
        <f>IF($A89="","",SUMIFS(Allocation!$K$1:$K$175,Allocation!$C$1:$C$175,$A89))</f>
        <v/>
      </c>
      <c r="W89" t="str">
        <f>IF($A89="","",SUMIFS(Compta!$F$1:$F$675,Compta!$A$1:$A$675,$B89,Compta!$B$1:$B$675,"621",Compta!$C$1:$C$675,$A89))</f>
        <v/>
      </c>
      <c r="X89" t="str">
        <f>IF($A89="","",SUMIFS(Compta!$F$1:$F$675,Compta!$A$1:$A$675,$B89,Compta!$B$1:$B$675,"6411",Compta!$C$1:$C$675,$A89))</f>
        <v/>
      </c>
      <c r="Y89" t="str">
        <f>IF($A89="","",SUMIFS(Compta!$F$1:$F$675,Compta!$A$1:$A$675,$B89,Compta!$B$1:$B$675,"604",Compta!$C$1:$C$675,$A89)+SUMIFS(Compta!$F$1:$F$675,Compta!$A$1:$A$675,$B89,Compta!$B$1:$B$675,"6063",Compta!$C$1:$C$675,$A89))</f>
        <v/>
      </c>
      <c r="Z89" t="str">
        <f>IF($A89="","",SUMIFS(Compta!$F$1:$F$675,Compta!$A$1:$A$675,$B89,Compta!$B$1:$B$675,"6231",Compta!$C$1:$C$675,$A89))</f>
        <v/>
      </c>
      <c r="AA89" t="str">
        <f>IF($A89="","",SUMIFS(Compta!$F$1:$F$675,Compta!$A$1:$A$675,$B89,Compta!$B$1:$B$675,"6413",Compta!$C$1:$C$675,$A89)+SUMIFS(Compta!$F$1:$F$675,Compta!$A$1:$A$675,$B89,Compta!$B$1:$B$675,"645",Compta!$C$1:$C$675,$A89)+SUMIFS(Compta!$F$1:$F$675,Compta!$A$1:$A$675,$B89,Compta!$B$1:$B$675,"613",Compta!$C$1:$C$675,$A89)+SUMIFS(Compta!$F$1:$F$675,Compta!$A$1:$A$675,$B89,Compta!$B$1:$B$675,"615",Compta!$C$1:$C$675,$A89)+SUMIFS(Compta!$F$1:$F$675,Compta!$A$1:$A$675,$B89,Compta!$B$1:$B$675,"616",Compta!$C$1:$C$675,$A89)+SUMIFS(Compta!$F$1:$F$675,Compta!$A$1:$A$675,$B89,Compta!$B$1:$B$675,"625",Compta!$C$1:$C$675,$A89)+SUMIFS(Compta!$F$1:$F$675,Compta!$A$1:$A$675,$B89,Compta!$B$1:$B$675,"63511",Compta!$C$1:$C$675,$A89))</f>
        <v/>
      </c>
      <c r="AB89" t="str">
        <f>IF($A89="","",SUMIFS(Compta!$F$1:$F$675,Compta!$A$1:$A$675,"GRP",Compta!$B$1:$B$675,"6414",Compta!$C$1:$C$675,$A89)+SUMIFS(Compta!$F$1:$F$675,Compta!$A$1:$A$675,"GRP",Compta!$B$1:$B$675,"6226",Compta!$C$1:$C$675,$A89)+SUMIFS(Compta!$F$1:$F$675,Compta!$A$1:$A$675,"GRP",Compta!$B$1:$B$675,"626",Compta!$C$1:$C$675,$A89)+SUMIFS(Compta!$F$1:$F$675,Compta!$A$1:$A$675,"GRP",Compta!$B$1:$B$675,"6281",Compta!$C$1:$C$675,$A89)+SUMIFS(Compta!$F$1:$F$675,Compta!$A$1:$A$675,"GRP",Compta!$B$1:$B$675,"6331",Compta!$C$1:$C$675,$A89)+SUMIFS(Compta!$F$1:$F$675,Compta!$A$1:$A$675,"GRP",Compta!$B$1:$B$675,"6333",Compta!$C$1:$C$675,$A89))</f>
        <v/>
      </c>
      <c r="AC89" t="s">
        <v>297</v>
      </c>
      <c r="AD89" t="s">
        <v>297</v>
      </c>
      <c r="AE89" t="s">
        <v>297</v>
      </c>
      <c r="AF89" t="s">
        <v>297</v>
      </c>
      <c r="AG89" t="s">
        <v>297</v>
      </c>
      <c r="AH89" t="s">
        <v>297</v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 t="str">
        <f>IF($A89="","",SUMIFS(Compta!$F$1:$F$675,Compta!$A$1:$A$675,"GRP",Compta!$B$1:$B$675,"6236",Compta!$C$1:$C$675,$A89))</f>
        <v/>
      </c>
      <c r="AP89" t="s">
        <v>297</v>
      </c>
      <c r="AQ89" t="s">
        <v>297</v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IF(Allocation!D90="","",Allocation!I90)</f>
        <v/>
      </c>
      <c r="H90" t="str">
        <f>IF(Allocation!D90="","",Allocation!J90)</f>
        <v/>
      </c>
      <c r="I90" t="str">
        <f>IF(Allocation!D90="","",Allocation!K90)</f>
        <v/>
      </c>
      <c r="J90" t="str">
        <f>IF($A90="","",SUMIFS(Socle!$K$1:$K$175,Socle!$C$1:$C$175,$B90,Socle!$D$1:$D$175,$D90,Socle!$E$1:$E$175,$E90,Socle!$F$1:$F$175,$F90,Socle!$G$1:$G$175,$A90))</f>
        <v/>
      </c>
      <c r="K90" t="str">
        <f t="shared" si="10"/>
        <v/>
      </c>
      <c r="L90" t="str">
        <f>IF($A90="","",SUMIFS(Allocation!$I$1:$I$175,Allocation!$C$1:$C$175,$A90,Allocation!$D$1:$D$175,$B90))</f>
        <v/>
      </c>
      <c r="M90" t="str">
        <f>IF($A90="","",SUMIFS(Allocation!$J$1:$J$175,Allocation!$C$1:$C$175,$A90,Allocation!$D$1:$D$175,$B90))</f>
        <v/>
      </c>
      <c r="N90" t="str">
        <f>IF($A90="","",SUMIFS(Allocation!$K$1:$K$175,Allocation!$C$1:$C$175,$A90,Allocation!$D$1:$D$175,$B90))</f>
        <v/>
      </c>
      <c r="O90" t="str">
        <f t="shared" si="11"/>
        <v/>
      </c>
      <c r="P90" t="str">
        <f t="shared" si="12"/>
        <v/>
      </c>
      <c r="Q90" t="str">
        <f>IF($A90="","",SUMIFS(Allocation!$I$1:$I$175,Allocation!$C$1:$C$175,$A90,Allocation!$E$1:$E$175,$C90))</f>
        <v/>
      </c>
      <c r="R90" t="str">
        <f>IF($A90="","",SUMIFS(Allocation!$J$1:$J$175,Allocation!$C$1:$C$175,$A90,Allocation!$E$1:$E$175,$C90))</f>
        <v/>
      </c>
      <c r="S90" t="str">
        <f>IF($A90="","",SUMIFS(Allocation!$K$1:$K$175,Allocation!$C$1:$C$175,$A90,Allocation!$E$1:$E$175,$C90))</f>
        <v/>
      </c>
      <c r="T90" t="str">
        <f>IF($A90="","",SUMIFS(Allocation!$I$1:$I$175,Allocation!$C$1:$C$175,$A90))</f>
        <v/>
      </c>
      <c r="U90" t="str">
        <f>IF($A90="","",SUMIFS(Allocation!$J$1:$J$175,Allocation!$C$1:$C$175,$A90))</f>
        <v/>
      </c>
      <c r="V90" t="str">
        <f>IF($A90="","",SUMIFS(Allocation!$K$1:$K$175,Allocation!$C$1:$C$175,$A90))</f>
        <v/>
      </c>
      <c r="W90" t="str">
        <f>IF($A90="","",SUMIFS(Compta!$F$1:$F$675,Compta!$A$1:$A$675,$B90,Compta!$B$1:$B$675,"621",Compta!$C$1:$C$675,$A90))</f>
        <v/>
      </c>
      <c r="X90" t="str">
        <f>IF($A90="","",SUMIFS(Compta!$F$1:$F$675,Compta!$A$1:$A$675,$B90,Compta!$B$1:$B$675,"6411",Compta!$C$1:$C$675,$A90))</f>
        <v/>
      </c>
      <c r="Y90" t="str">
        <f>IF($A90="","",SUMIFS(Compta!$F$1:$F$675,Compta!$A$1:$A$675,$B90,Compta!$B$1:$B$675,"604",Compta!$C$1:$C$675,$A90)+SUMIFS(Compta!$F$1:$F$675,Compta!$A$1:$A$675,$B90,Compta!$B$1:$B$675,"6063",Compta!$C$1:$C$675,$A90))</f>
        <v/>
      </c>
      <c r="Z90" t="str">
        <f>IF($A90="","",SUMIFS(Compta!$F$1:$F$675,Compta!$A$1:$A$675,$B90,Compta!$B$1:$B$675,"6231",Compta!$C$1:$C$675,$A90))</f>
        <v/>
      </c>
      <c r="AA90" t="str">
        <f>IF($A90="","",SUMIFS(Compta!$F$1:$F$675,Compta!$A$1:$A$675,$B90,Compta!$B$1:$B$675,"6413",Compta!$C$1:$C$675,$A90)+SUMIFS(Compta!$F$1:$F$675,Compta!$A$1:$A$675,$B90,Compta!$B$1:$B$675,"645",Compta!$C$1:$C$675,$A90)+SUMIFS(Compta!$F$1:$F$675,Compta!$A$1:$A$675,$B90,Compta!$B$1:$B$675,"613",Compta!$C$1:$C$675,$A90)+SUMIFS(Compta!$F$1:$F$675,Compta!$A$1:$A$675,$B90,Compta!$B$1:$B$675,"615",Compta!$C$1:$C$675,$A90)+SUMIFS(Compta!$F$1:$F$675,Compta!$A$1:$A$675,$B90,Compta!$B$1:$B$675,"616",Compta!$C$1:$C$675,$A90)+SUMIFS(Compta!$F$1:$F$675,Compta!$A$1:$A$675,$B90,Compta!$B$1:$B$675,"625",Compta!$C$1:$C$675,$A90)+SUMIFS(Compta!$F$1:$F$675,Compta!$A$1:$A$675,$B90,Compta!$B$1:$B$675,"63511",Compta!$C$1:$C$675,$A90))</f>
        <v/>
      </c>
      <c r="AB90" t="str">
        <f>IF($A90="","",SUMIFS(Compta!$F$1:$F$675,Compta!$A$1:$A$675,"GRP",Compta!$B$1:$B$675,"6414",Compta!$C$1:$C$675,$A90)+SUMIFS(Compta!$F$1:$F$675,Compta!$A$1:$A$675,"GRP",Compta!$B$1:$B$675,"6226",Compta!$C$1:$C$675,$A90)+SUMIFS(Compta!$F$1:$F$675,Compta!$A$1:$A$675,"GRP",Compta!$B$1:$B$675,"626",Compta!$C$1:$C$675,$A90)+SUMIFS(Compta!$F$1:$F$675,Compta!$A$1:$A$675,"GRP",Compta!$B$1:$B$675,"6281",Compta!$C$1:$C$675,$A90)+SUMIFS(Compta!$F$1:$F$675,Compta!$A$1:$A$675,"GRP",Compta!$B$1:$B$675,"6331",Compta!$C$1:$C$675,$A90)+SUMIFS(Compta!$F$1:$F$675,Compta!$A$1:$A$675,"GRP",Compta!$B$1:$B$675,"6333",Compta!$C$1:$C$675,$A90))</f>
        <v/>
      </c>
      <c r="AC90" t="s">
        <v>297</v>
      </c>
      <c r="AD90" t="s">
        <v>297</v>
      </c>
      <c r="AE90" t="s">
        <v>297</v>
      </c>
      <c r="AF90" t="s">
        <v>297</v>
      </c>
      <c r="AG90" t="s">
        <v>297</v>
      </c>
      <c r="AH90" t="s">
        <v>297</v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 t="str">
        <f>IF($A90="","",SUMIFS(Compta!$F$1:$F$675,Compta!$A$1:$A$675,"GRP",Compta!$B$1:$B$675,"6236",Compta!$C$1:$C$675,$A90))</f>
        <v/>
      </c>
      <c r="AP90" t="s">
        <v>297</v>
      </c>
      <c r="AQ90" t="s">
        <v>297</v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IF(Allocation!D91="","",Allocation!I91)</f>
        <v/>
      </c>
      <c r="H91" t="str">
        <f>IF(Allocation!D91="","",Allocation!J91)</f>
        <v/>
      </c>
      <c r="I91" t="str">
        <f>IF(Allocation!D91="","",Allocation!K91)</f>
        <v/>
      </c>
      <c r="J91" t="str">
        <f>IF($A91="","",SUMIFS(Socle!$K$1:$K$175,Socle!$C$1:$C$175,$B91,Socle!$D$1:$D$175,$D91,Socle!$E$1:$E$175,$E91,Socle!$F$1:$F$175,$F91,Socle!$G$1:$G$175,$A91))</f>
        <v/>
      </c>
      <c r="K91" t="str">
        <f t="shared" si="10"/>
        <v/>
      </c>
      <c r="L91" t="str">
        <f>IF($A91="","",SUMIFS(Allocation!$I$1:$I$175,Allocation!$C$1:$C$175,$A91,Allocation!$D$1:$D$175,$B91))</f>
        <v/>
      </c>
      <c r="M91" t="str">
        <f>IF($A91="","",SUMIFS(Allocation!$J$1:$J$175,Allocation!$C$1:$C$175,$A91,Allocation!$D$1:$D$175,$B91))</f>
        <v/>
      </c>
      <c r="N91" t="str">
        <f>IF($A91="","",SUMIFS(Allocation!$K$1:$K$175,Allocation!$C$1:$C$175,$A91,Allocation!$D$1:$D$175,$B91))</f>
        <v/>
      </c>
      <c r="O91" t="str">
        <f t="shared" si="11"/>
        <v/>
      </c>
      <c r="P91" t="str">
        <f t="shared" si="12"/>
        <v/>
      </c>
      <c r="Q91" t="str">
        <f>IF($A91="","",SUMIFS(Allocation!$I$1:$I$175,Allocation!$C$1:$C$175,$A91,Allocation!$E$1:$E$175,$C91))</f>
        <v/>
      </c>
      <c r="R91" t="str">
        <f>IF($A91="","",SUMIFS(Allocation!$J$1:$J$175,Allocation!$C$1:$C$175,$A91,Allocation!$E$1:$E$175,$C91))</f>
        <v/>
      </c>
      <c r="S91" t="str">
        <f>IF($A91="","",SUMIFS(Allocation!$K$1:$K$175,Allocation!$C$1:$C$175,$A91,Allocation!$E$1:$E$175,$C91))</f>
        <v/>
      </c>
      <c r="T91" t="str">
        <f>IF($A91="","",SUMIFS(Allocation!$I$1:$I$175,Allocation!$C$1:$C$175,$A91))</f>
        <v/>
      </c>
      <c r="U91" t="str">
        <f>IF($A91="","",SUMIFS(Allocation!$J$1:$J$175,Allocation!$C$1:$C$175,$A91))</f>
        <v/>
      </c>
      <c r="V91" t="str">
        <f>IF($A91="","",SUMIFS(Allocation!$K$1:$K$175,Allocation!$C$1:$C$175,$A91))</f>
        <v/>
      </c>
      <c r="W91" t="str">
        <f>IF($A91="","",SUMIFS(Compta!$F$1:$F$675,Compta!$A$1:$A$675,$B91,Compta!$B$1:$B$675,"621",Compta!$C$1:$C$675,$A91))</f>
        <v/>
      </c>
      <c r="X91" t="str">
        <f>IF($A91="","",SUMIFS(Compta!$F$1:$F$675,Compta!$A$1:$A$675,$B91,Compta!$B$1:$B$675,"6411",Compta!$C$1:$C$675,$A91))</f>
        <v/>
      </c>
      <c r="Y91" t="str">
        <f>IF($A91="","",SUMIFS(Compta!$F$1:$F$675,Compta!$A$1:$A$675,$B91,Compta!$B$1:$B$675,"604",Compta!$C$1:$C$675,$A91)+SUMIFS(Compta!$F$1:$F$675,Compta!$A$1:$A$675,$B91,Compta!$B$1:$B$675,"6063",Compta!$C$1:$C$675,$A91))</f>
        <v/>
      </c>
      <c r="Z91" t="str">
        <f>IF($A91="","",SUMIFS(Compta!$F$1:$F$675,Compta!$A$1:$A$675,$B91,Compta!$B$1:$B$675,"6231",Compta!$C$1:$C$675,$A91))</f>
        <v/>
      </c>
      <c r="AA91" t="str">
        <f>IF($A91="","",SUMIFS(Compta!$F$1:$F$675,Compta!$A$1:$A$675,$B91,Compta!$B$1:$B$675,"6413",Compta!$C$1:$C$675,$A91)+SUMIFS(Compta!$F$1:$F$675,Compta!$A$1:$A$675,$B91,Compta!$B$1:$B$675,"645",Compta!$C$1:$C$675,$A91)+SUMIFS(Compta!$F$1:$F$675,Compta!$A$1:$A$675,$B91,Compta!$B$1:$B$675,"613",Compta!$C$1:$C$675,$A91)+SUMIFS(Compta!$F$1:$F$675,Compta!$A$1:$A$675,$B91,Compta!$B$1:$B$675,"615",Compta!$C$1:$C$675,$A91)+SUMIFS(Compta!$F$1:$F$675,Compta!$A$1:$A$675,$B91,Compta!$B$1:$B$675,"616",Compta!$C$1:$C$675,$A91)+SUMIFS(Compta!$F$1:$F$675,Compta!$A$1:$A$675,$B91,Compta!$B$1:$B$675,"625",Compta!$C$1:$C$675,$A91)+SUMIFS(Compta!$F$1:$F$675,Compta!$A$1:$A$675,$B91,Compta!$B$1:$B$675,"63511",Compta!$C$1:$C$675,$A91))</f>
        <v/>
      </c>
      <c r="AB91" t="str">
        <f>IF($A91="","",SUMIFS(Compta!$F$1:$F$675,Compta!$A$1:$A$675,"GRP",Compta!$B$1:$B$675,"6414",Compta!$C$1:$C$675,$A91)+SUMIFS(Compta!$F$1:$F$675,Compta!$A$1:$A$675,"GRP",Compta!$B$1:$B$675,"6226",Compta!$C$1:$C$675,$A91)+SUMIFS(Compta!$F$1:$F$675,Compta!$A$1:$A$675,"GRP",Compta!$B$1:$B$675,"626",Compta!$C$1:$C$675,$A91)+SUMIFS(Compta!$F$1:$F$675,Compta!$A$1:$A$675,"GRP",Compta!$B$1:$B$675,"6281",Compta!$C$1:$C$675,$A91)+SUMIFS(Compta!$F$1:$F$675,Compta!$A$1:$A$675,"GRP",Compta!$B$1:$B$675,"6331",Compta!$C$1:$C$675,$A91)+SUMIFS(Compta!$F$1:$F$675,Compta!$A$1:$A$675,"GRP",Compta!$B$1:$B$675,"6333",Compta!$C$1:$C$675,$A91))</f>
        <v/>
      </c>
      <c r="AC91" t="s">
        <v>297</v>
      </c>
      <c r="AD91" t="s">
        <v>297</v>
      </c>
      <c r="AE91" t="s">
        <v>297</v>
      </c>
      <c r="AF91" t="s">
        <v>297</v>
      </c>
      <c r="AG91" t="s">
        <v>297</v>
      </c>
      <c r="AH91" t="s">
        <v>297</v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 t="str">
        <f>IF($A91="","",SUMIFS(Compta!$F$1:$F$675,Compta!$A$1:$A$675,"GRP",Compta!$B$1:$B$675,"6236",Compta!$C$1:$C$675,$A91))</f>
        <v/>
      </c>
      <c r="AP91" t="s">
        <v>297</v>
      </c>
      <c r="AQ91" t="s">
        <v>297</v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IF(Allocation!D92="","",Allocation!I92)</f>
        <v/>
      </c>
      <c r="H92" t="str">
        <f>IF(Allocation!D92="","",Allocation!J92)</f>
        <v/>
      </c>
      <c r="I92" t="str">
        <f>IF(Allocation!D92="","",Allocation!K92)</f>
        <v/>
      </c>
      <c r="J92" t="str">
        <f>IF($A92="","",SUMIFS(Socle!$K$1:$K$175,Socle!$C$1:$C$175,$B92,Socle!$D$1:$D$175,$D92,Socle!$E$1:$E$175,$E92,Socle!$F$1:$F$175,$F92,Socle!$G$1:$G$175,$A92))</f>
        <v/>
      </c>
      <c r="K92" t="str">
        <f t="shared" si="10"/>
        <v/>
      </c>
      <c r="L92" t="str">
        <f>IF($A92="","",SUMIFS(Allocation!$I$1:$I$175,Allocation!$C$1:$C$175,$A92,Allocation!$D$1:$D$175,$B92))</f>
        <v/>
      </c>
      <c r="M92" t="str">
        <f>IF($A92="","",SUMIFS(Allocation!$J$1:$J$175,Allocation!$C$1:$C$175,$A92,Allocation!$D$1:$D$175,$B92))</f>
        <v/>
      </c>
      <c r="N92" t="str">
        <f>IF($A92="","",SUMIFS(Allocation!$K$1:$K$175,Allocation!$C$1:$C$175,$A92,Allocation!$D$1:$D$175,$B92))</f>
        <v/>
      </c>
      <c r="O92" t="str">
        <f t="shared" si="11"/>
        <v/>
      </c>
      <c r="P92" t="str">
        <f t="shared" si="12"/>
        <v/>
      </c>
      <c r="Q92" t="str">
        <f>IF($A92="","",SUMIFS(Allocation!$I$1:$I$175,Allocation!$C$1:$C$175,$A92,Allocation!$E$1:$E$175,$C92))</f>
        <v/>
      </c>
      <c r="R92" t="str">
        <f>IF($A92="","",SUMIFS(Allocation!$J$1:$J$175,Allocation!$C$1:$C$175,$A92,Allocation!$E$1:$E$175,$C92))</f>
        <v/>
      </c>
      <c r="S92" t="str">
        <f>IF($A92="","",SUMIFS(Allocation!$K$1:$K$175,Allocation!$C$1:$C$175,$A92,Allocation!$E$1:$E$175,$C92))</f>
        <v/>
      </c>
      <c r="T92" t="str">
        <f>IF($A92="","",SUMIFS(Allocation!$I$1:$I$175,Allocation!$C$1:$C$175,$A92))</f>
        <v/>
      </c>
      <c r="U92" t="str">
        <f>IF($A92="","",SUMIFS(Allocation!$J$1:$J$175,Allocation!$C$1:$C$175,$A92))</f>
        <v/>
      </c>
      <c r="V92" t="str">
        <f>IF($A92="","",SUMIFS(Allocation!$K$1:$K$175,Allocation!$C$1:$C$175,$A92))</f>
        <v/>
      </c>
      <c r="W92" t="str">
        <f>IF($A92="","",SUMIFS(Compta!$F$1:$F$675,Compta!$A$1:$A$675,$B92,Compta!$B$1:$B$675,"621",Compta!$C$1:$C$675,$A92))</f>
        <v/>
      </c>
      <c r="X92" t="str">
        <f>IF($A92="","",SUMIFS(Compta!$F$1:$F$675,Compta!$A$1:$A$675,$B92,Compta!$B$1:$B$675,"6411",Compta!$C$1:$C$675,$A92))</f>
        <v/>
      </c>
      <c r="Y92" t="str">
        <f>IF($A92="","",SUMIFS(Compta!$F$1:$F$675,Compta!$A$1:$A$675,$B92,Compta!$B$1:$B$675,"604",Compta!$C$1:$C$675,$A92)+SUMIFS(Compta!$F$1:$F$675,Compta!$A$1:$A$675,$B92,Compta!$B$1:$B$675,"6063",Compta!$C$1:$C$675,$A92))</f>
        <v/>
      </c>
      <c r="Z92" t="str">
        <f>IF($A92="","",SUMIFS(Compta!$F$1:$F$675,Compta!$A$1:$A$675,$B92,Compta!$B$1:$B$675,"6231",Compta!$C$1:$C$675,$A92))</f>
        <v/>
      </c>
      <c r="AA92" t="str">
        <f>IF($A92="","",SUMIFS(Compta!$F$1:$F$675,Compta!$A$1:$A$675,$B92,Compta!$B$1:$B$675,"6413",Compta!$C$1:$C$675,$A92)+SUMIFS(Compta!$F$1:$F$675,Compta!$A$1:$A$675,$B92,Compta!$B$1:$B$675,"645",Compta!$C$1:$C$675,$A92)+SUMIFS(Compta!$F$1:$F$675,Compta!$A$1:$A$675,$B92,Compta!$B$1:$B$675,"613",Compta!$C$1:$C$675,$A92)+SUMIFS(Compta!$F$1:$F$675,Compta!$A$1:$A$675,$B92,Compta!$B$1:$B$675,"615",Compta!$C$1:$C$675,$A92)+SUMIFS(Compta!$F$1:$F$675,Compta!$A$1:$A$675,$B92,Compta!$B$1:$B$675,"616",Compta!$C$1:$C$675,$A92)+SUMIFS(Compta!$F$1:$F$675,Compta!$A$1:$A$675,$B92,Compta!$B$1:$B$675,"625",Compta!$C$1:$C$675,$A92)+SUMIFS(Compta!$F$1:$F$675,Compta!$A$1:$A$675,$B92,Compta!$B$1:$B$675,"63511",Compta!$C$1:$C$675,$A92))</f>
        <v/>
      </c>
      <c r="AB92" t="str">
        <f>IF($A92="","",SUMIFS(Compta!$F$1:$F$675,Compta!$A$1:$A$675,"GRP",Compta!$B$1:$B$675,"6414",Compta!$C$1:$C$675,$A92)+SUMIFS(Compta!$F$1:$F$675,Compta!$A$1:$A$675,"GRP",Compta!$B$1:$B$675,"6226",Compta!$C$1:$C$675,$A92)+SUMIFS(Compta!$F$1:$F$675,Compta!$A$1:$A$675,"GRP",Compta!$B$1:$B$675,"626",Compta!$C$1:$C$675,$A92)+SUMIFS(Compta!$F$1:$F$675,Compta!$A$1:$A$675,"GRP",Compta!$B$1:$B$675,"6281",Compta!$C$1:$C$675,$A92)+SUMIFS(Compta!$F$1:$F$675,Compta!$A$1:$A$675,"GRP",Compta!$B$1:$B$675,"6331",Compta!$C$1:$C$675,$A92)+SUMIFS(Compta!$F$1:$F$675,Compta!$A$1:$A$675,"GRP",Compta!$B$1:$B$675,"6333",Compta!$C$1:$C$675,$A92))</f>
        <v/>
      </c>
      <c r="AC92" t="s">
        <v>297</v>
      </c>
      <c r="AD92" t="s">
        <v>297</v>
      </c>
      <c r="AE92" t="s">
        <v>297</v>
      </c>
      <c r="AF92" t="s">
        <v>297</v>
      </c>
      <c r="AG92" t="s">
        <v>297</v>
      </c>
      <c r="AH92" t="s">
        <v>297</v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 t="str">
        <f>IF($A92="","",SUMIFS(Compta!$F$1:$F$675,Compta!$A$1:$A$675,"GRP",Compta!$B$1:$B$675,"6236",Compta!$C$1:$C$675,$A92))</f>
        <v/>
      </c>
      <c r="AP92" t="s">
        <v>297</v>
      </c>
      <c r="AQ92" t="s">
        <v>297</v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IF(Allocation!D93="","",Allocation!I93)</f>
        <v/>
      </c>
      <c r="H93" t="str">
        <f>IF(Allocation!D93="","",Allocation!J93)</f>
        <v/>
      </c>
      <c r="I93" t="str">
        <f>IF(Allocation!D93="","",Allocation!K93)</f>
        <v/>
      </c>
      <c r="J93" t="str">
        <f>IF($A93="","",SUMIFS(Socle!$K$1:$K$175,Socle!$C$1:$C$175,$B93,Socle!$D$1:$D$175,$D93,Socle!$E$1:$E$175,$E93,Socle!$F$1:$F$175,$F93,Socle!$G$1:$G$175,$A93))</f>
        <v/>
      </c>
      <c r="K93" t="str">
        <f t="shared" si="10"/>
        <v/>
      </c>
      <c r="L93" t="str">
        <f>IF($A93="","",SUMIFS(Allocation!$I$1:$I$175,Allocation!$C$1:$C$175,$A93,Allocation!$D$1:$D$175,$B93))</f>
        <v/>
      </c>
      <c r="M93" t="str">
        <f>IF($A93="","",SUMIFS(Allocation!$J$1:$J$175,Allocation!$C$1:$C$175,$A93,Allocation!$D$1:$D$175,$B93))</f>
        <v/>
      </c>
      <c r="N93" t="str">
        <f>IF($A93="","",SUMIFS(Allocation!$K$1:$K$175,Allocation!$C$1:$C$175,$A93,Allocation!$D$1:$D$175,$B93))</f>
        <v/>
      </c>
      <c r="O93" t="str">
        <f t="shared" si="11"/>
        <v/>
      </c>
      <c r="P93" t="str">
        <f t="shared" si="12"/>
        <v/>
      </c>
      <c r="Q93" t="str">
        <f>IF($A93="","",SUMIFS(Allocation!$I$1:$I$175,Allocation!$C$1:$C$175,$A93,Allocation!$E$1:$E$175,$C93))</f>
        <v/>
      </c>
      <c r="R93" t="str">
        <f>IF($A93="","",SUMIFS(Allocation!$J$1:$J$175,Allocation!$C$1:$C$175,$A93,Allocation!$E$1:$E$175,$C93))</f>
        <v/>
      </c>
      <c r="S93" t="str">
        <f>IF($A93="","",SUMIFS(Allocation!$K$1:$K$175,Allocation!$C$1:$C$175,$A93,Allocation!$E$1:$E$175,$C93))</f>
        <v/>
      </c>
      <c r="T93" t="str">
        <f>IF($A93="","",SUMIFS(Allocation!$I$1:$I$175,Allocation!$C$1:$C$175,$A93))</f>
        <v/>
      </c>
      <c r="U93" t="str">
        <f>IF($A93="","",SUMIFS(Allocation!$J$1:$J$175,Allocation!$C$1:$C$175,$A93))</f>
        <v/>
      </c>
      <c r="V93" t="str">
        <f>IF($A93="","",SUMIFS(Allocation!$K$1:$K$175,Allocation!$C$1:$C$175,$A93))</f>
        <v/>
      </c>
      <c r="W93" t="str">
        <f>IF($A93="","",SUMIFS(Compta!$F$1:$F$675,Compta!$A$1:$A$675,$B93,Compta!$B$1:$B$675,"621",Compta!$C$1:$C$675,$A93))</f>
        <v/>
      </c>
      <c r="X93" t="str">
        <f>IF($A93="","",SUMIFS(Compta!$F$1:$F$675,Compta!$A$1:$A$675,$B93,Compta!$B$1:$B$675,"6411",Compta!$C$1:$C$675,$A93))</f>
        <v/>
      </c>
      <c r="Y93" t="str">
        <f>IF($A93="","",SUMIFS(Compta!$F$1:$F$675,Compta!$A$1:$A$675,$B93,Compta!$B$1:$B$675,"604",Compta!$C$1:$C$675,$A93)+SUMIFS(Compta!$F$1:$F$675,Compta!$A$1:$A$675,$B93,Compta!$B$1:$B$675,"6063",Compta!$C$1:$C$675,$A93))</f>
        <v/>
      </c>
      <c r="Z93" t="str">
        <f>IF($A93="","",SUMIFS(Compta!$F$1:$F$675,Compta!$A$1:$A$675,$B93,Compta!$B$1:$B$675,"6231",Compta!$C$1:$C$675,$A93))</f>
        <v/>
      </c>
      <c r="AA93" t="str">
        <f>IF($A93="","",SUMIFS(Compta!$F$1:$F$675,Compta!$A$1:$A$675,$B93,Compta!$B$1:$B$675,"6413",Compta!$C$1:$C$675,$A93)+SUMIFS(Compta!$F$1:$F$675,Compta!$A$1:$A$675,$B93,Compta!$B$1:$B$675,"645",Compta!$C$1:$C$675,$A93)+SUMIFS(Compta!$F$1:$F$675,Compta!$A$1:$A$675,$B93,Compta!$B$1:$B$675,"613",Compta!$C$1:$C$675,$A93)+SUMIFS(Compta!$F$1:$F$675,Compta!$A$1:$A$675,$B93,Compta!$B$1:$B$675,"615",Compta!$C$1:$C$675,$A93)+SUMIFS(Compta!$F$1:$F$675,Compta!$A$1:$A$675,$B93,Compta!$B$1:$B$675,"616",Compta!$C$1:$C$675,$A93)+SUMIFS(Compta!$F$1:$F$675,Compta!$A$1:$A$675,$B93,Compta!$B$1:$B$675,"625",Compta!$C$1:$C$675,$A93)+SUMIFS(Compta!$F$1:$F$675,Compta!$A$1:$A$675,$B93,Compta!$B$1:$B$675,"63511",Compta!$C$1:$C$675,$A93))</f>
        <v/>
      </c>
      <c r="AB93" t="str">
        <f>IF($A93="","",SUMIFS(Compta!$F$1:$F$675,Compta!$A$1:$A$675,"GRP",Compta!$B$1:$B$675,"6414",Compta!$C$1:$C$675,$A93)+SUMIFS(Compta!$F$1:$F$675,Compta!$A$1:$A$675,"GRP",Compta!$B$1:$B$675,"6226",Compta!$C$1:$C$675,$A93)+SUMIFS(Compta!$F$1:$F$675,Compta!$A$1:$A$675,"GRP",Compta!$B$1:$B$675,"626",Compta!$C$1:$C$675,$A93)+SUMIFS(Compta!$F$1:$F$675,Compta!$A$1:$A$675,"GRP",Compta!$B$1:$B$675,"6281",Compta!$C$1:$C$675,$A93)+SUMIFS(Compta!$F$1:$F$675,Compta!$A$1:$A$675,"GRP",Compta!$B$1:$B$675,"6331",Compta!$C$1:$C$675,$A93)+SUMIFS(Compta!$F$1:$F$675,Compta!$A$1:$A$675,"GRP",Compta!$B$1:$B$675,"6333",Compta!$C$1:$C$675,$A93))</f>
        <v/>
      </c>
      <c r="AC93" t="s">
        <v>297</v>
      </c>
      <c r="AD93" t="s">
        <v>297</v>
      </c>
      <c r="AE93" t="s">
        <v>297</v>
      </c>
      <c r="AF93" t="s">
        <v>297</v>
      </c>
      <c r="AG93" t="s">
        <v>297</v>
      </c>
      <c r="AH93" t="s">
        <v>297</v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 t="str">
        <f>IF($A93="","",SUMIFS(Compta!$F$1:$F$675,Compta!$A$1:$A$675,"GRP",Compta!$B$1:$B$675,"6236",Compta!$C$1:$C$675,$A93))</f>
        <v/>
      </c>
      <c r="AP93" t="s">
        <v>297</v>
      </c>
      <c r="AQ93" t="s">
        <v>297</v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IF(Allocation!D94="","",Allocation!I94)</f>
        <v/>
      </c>
      <c r="H94" t="str">
        <f>IF(Allocation!D94="","",Allocation!J94)</f>
        <v/>
      </c>
      <c r="I94" t="str">
        <f>IF(Allocation!D94="","",Allocation!K94)</f>
        <v/>
      </c>
      <c r="J94" t="str">
        <f>IF($A94="","",SUMIFS(Socle!$K$1:$K$175,Socle!$C$1:$C$175,$B94,Socle!$D$1:$D$175,$D94,Socle!$E$1:$E$175,$E94,Socle!$F$1:$F$175,$F94,Socle!$G$1:$G$175,$A94))</f>
        <v/>
      </c>
      <c r="K94" t="str">
        <f t="shared" si="10"/>
        <v/>
      </c>
      <c r="L94" t="str">
        <f>IF($A94="","",SUMIFS(Allocation!$I$1:$I$175,Allocation!$C$1:$C$175,$A94,Allocation!$D$1:$D$175,$B94))</f>
        <v/>
      </c>
      <c r="M94" t="str">
        <f>IF($A94="","",SUMIFS(Allocation!$J$1:$J$175,Allocation!$C$1:$C$175,$A94,Allocation!$D$1:$D$175,$B94))</f>
        <v/>
      </c>
      <c r="N94" t="str">
        <f>IF($A94="","",SUMIFS(Allocation!$K$1:$K$175,Allocation!$C$1:$C$175,$A94,Allocation!$D$1:$D$175,$B94))</f>
        <v/>
      </c>
      <c r="O94" t="str">
        <f t="shared" si="11"/>
        <v/>
      </c>
      <c r="P94" t="str">
        <f t="shared" si="12"/>
        <v/>
      </c>
      <c r="Q94" t="str">
        <f>IF($A94="","",SUMIFS(Allocation!$I$1:$I$175,Allocation!$C$1:$C$175,$A94,Allocation!$E$1:$E$175,$C94))</f>
        <v/>
      </c>
      <c r="R94" t="str">
        <f>IF($A94="","",SUMIFS(Allocation!$J$1:$J$175,Allocation!$C$1:$C$175,$A94,Allocation!$E$1:$E$175,$C94))</f>
        <v/>
      </c>
      <c r="S94" t="str">
        <f>IF($A94="","",SUMIFS(Allocation!$K$1:$K$175,Allocation!$C$1:$C$175,$A94,Allocation!$E$1:$E$175,$C94))</f>
        <v/>
      </c>
      <c r="T94" t="str">
        <f>IF($A94="","",SUMIFS(Allocation!$I$1:$I$175,Allocation!$C$1:$C$175,$A94))</f>
        <v/>
      </c>
      <c r="U94" t="str">
        <f>IF($A94="","",SUMIFS(Allocation!$J$1:$J$175,Allocation!$C$1:$C$175,$A94))</f>
        <v/>
      </c>
      <c r="V94" t="str">
        <f>IF($A94="","",SUMIFS(Allocation!$K$1:$K$175,Allocation!$C$1:$C$175,$A94))</f>
        <v/>
      </c>
      <c r="W94" t="str">
        <f>IF($A94="","",SUMIFS(Compta!$F$1:$F$675,Compta!$A$1:$A$675,$B94,Compta!$B$1:$B$675,"621",Compta!$C$1:$C$675,$A94))</f>
        <v/>
      </c>
      <c r="X94" t="str">
        <f>IF($A94="","",SUMIFS(Compta!$F$1:$F$675,Compta!$A$1:$A$675,$B94,Compta!$B$1:$B$675,"6411",Compta!$C$1:$C$675,$A94))</f>
        <v/>
      </c>
      <c r="Y94" t="str">
        <f>IF($A94="","",SUMIFS(Compta!$F$1:$F$675,Compta!$A$1:$A$675,$B94,Compta!$B$1:$B$675,"604",Compta!$C$1:$C$675,$A94)+SUMIFS(Compta!$F$1:$F$675,Compta!$A$1:$A$675,$B94,Compta!$B$1:$B$675,"6063",Compta!$C$1:$C$675,$A94))</f>
        <v/>
      </c>
      <c r="Z94" t="str">
        <f>IF($A94="","",SUMIFS(Compta!$F$1:$F$675,Compta!$A$1:$A$675,$B94,Compta!$B$1:$B$675,"6231",Compta!$C$1:$C$675,$A94))</f>
        <v/>
      </c>
      <c r="AA94" t="str">
        <f>IF($A94="","",SUMIFS(Compta!$F$1:$F$675,Compta!$A$1:$A$675,$B94,Compta!$B$1:$B$675,"6413",Compta!$C$1:$C$675,$A94)+SUMIFS(Compta!$F$1:$F$675,Compta!$A$1:$A$675,$B94,Compta!$B$1:$B$675,"645",Compta!$C$1:$C$675,$A94)+SUMIFS(Compta!$F$1:$F$675,Compta!$A$1:$A$675,$B94,Compta!$B$1:$B$675,"613",Compta!$C$1:$C$675,$A94)+SUMIFS(Compta!$F$1:$F$675,Compta!$A$1:$A$675,$B94,Compta!$B$1:$B$675,"615",Compta!$C$1:$C$675,$A94)+SUMIFS(Compta!$F$1:$F$675,Compta!$A$1:$A$675,$B94,Compta!$B$1:$B$675,"616",Compta!$C$1:$C$675,$A94)+SUMIFS(Compta!$F$1:$F$675,Compta!$A$1:$A$675,$B94,Compta!$B$1:$B$675,"625",Compta!$C$1:$C$675,$A94)+SUMIFS(Compta!$F$1:$F$675,Compta!$A$1:$A$675,$B94,Compta!$B$1:$B$675,"63511",Compta!$C$1:$C$675,$A94))</f>
        <v/>
      </c>
      <c r="AB94" t="str">
        <f>IF($A94="","",SUMIFS(Compta!$F$1:$F$675,Compta!$A$1:$A$675,"GRP",Compta!$B$1:$B$675,"6414",Compta!$C$1:$C$675,$A94)+SUMIFS(Compta!$F$1:$F$675,Compta!$A$1:$A$675,"GRP",Compta!$B$1:$B$675,"6226",Compta!$C$1:$C$675,$A94)+SUMIFS(Compta!$F$1:$F$675,Compta!$A$1:$A$675,"GRP",Compta!$B$1:$B$675,"626",Compta!$C$1:$C$675,$A94)+SUMIFS(Compta!$F$1:$F$675,Compta!$A$1:$A$675,"GRP",Compta!$B$1:$B$675,"6281",Compta!$C$1:$C$675,$A94)+SUMIFS(Compta!$F$1:$F$675,Compta!$A$1:$A$675,"GRP",Compta!$B$1:$B$675,"6331",Compta!$C$1:$C$675,$A94)+SUMIFS(Compta!$F$1:$F$675,Compta!$A$1:$A$675,"GRP",Compta!$B$1:$B$675,"6333",Compta!$C$1:$C$675,$A94))</f>
        <v/>
      </c>
      <c r="AC94" t="s">
        <v>297</v>
      </c>
      <c r="AD94" t="s">
        <v>297</v>
      </c>
      <c r="AE94" t="s">
        <v>297</v>
      </c>
      <c r="AF94" t="s">
        <v>297</v>
      </c>
      <c r="AG94" t="s">
        <v>297</v>
      </c>
      <c r="AH94" t="s">
        <v>297</v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 t="str">
        <f>IF($A94="","",SUMIFS(Compta!$F$1:$F$675,Compta!$A$1:$A$675,"GRP",Compta!$B$1:$B$675,"6236",Compta!$C$1:$C$675,$A94))</f>
        <v/>
      </c>
      <c r="AP94" t="s">
        <v>297</v>
      </c>
      <c r="AQ94" t="s">
        <v>297</v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IF(Allocation!D95="","",Allocation!I95)</f>
        <v/>
      </c>
      <c r="H95" t="str">
        <f>IF(Allocation!D95="","",Allocation!J95)</f>
        <v/>
      </c>
      <c r="I95" t="str">
        <f>IF(Allocation!D95="","",Allocation!K95)</f>
        <v/>
      </c>
      <c r="J95" t="str">
        <f>IF($A95="","",SUMIFS(Socle!$K$1:$K$175,Socle!$C$1:$C$175,$B95,Socle!$D$1:$D$175,$D95,Socle!$E$1:$E$175,$E95,Socle!$F$1:$F$175,$F95,Socle!$G$1:$G$175,$A95))</f>
        <v/>
      </c>
      <c r="K95" t="str">
        <f t="shared" si="10"/>
        <v/>
      </c>
      <c r="L95" t="str">
        <f>IF($A95="","",SUMIFS(Allocation!$I$1:$I$175,Allocation!$C$1:$C$175,$A95,Allocation!$D$1:$D$175,$B95))</f>
        <v/>
      </c>
      <c r="M95" t="str">
        <f>IF($A95="","",SUMIFS(Allocation!$J$1:$J$175,Allocation!$C$1:$C$175,$A95,Allocation!$D$1:$D$175,$B95))</f>
        <v/>
      </c>
      <c r="N95" t="str">
        <f>IF($A95="","",SUMIFS(Allocation!$K$1:$K$175,Allocation!$C$1:$C$175,$A95,Allocation!$D$1:$D$175,$B95))</f>
        <v/>
      </c>
      <c r="O95" t="str">
        <f t="shared" si="11"/>
        <v/>
      </c>
      <c r="P95" t="str">
        <f t="shared" si="12"/>
        <v/>
      </c>
      <c r="Q95" t="str">
        <f>IF($A95="","",SUMIFS(Allocation!$I$1:$I$175,Allocation!$C$1:$C$175,$A95,Allocation!$E$1:$E$175,$C95))</f>
        <v/>
      </c>
      <c r="R95" t="str">
        <f>IF($A95="","",SUMIFS(Allocation!$J$1:$J$175,Allocation!$C$1:$C$175,$A95,Allocation!$E$1:$E$175,$C95))</f>
        <v/>
      </c>
      <c r="S95" t="str">
        <f>IF($A95="","",SUMIFS(Allocation!$K$1:$K$175,Allocation!$C$1:$C$175,$A95,Allocation!$E$1:$E$175,$C95))</f>
        <v/>
      </c>
      <c r="T95" t="str">
        <f>IF($A95="","",SUMIFS(Allocation!$I$1:$I$175,Allocation!$C$1:$C$175,$A95))</f>
        <v/>
      </c>
      <c r="U95" t="str">
        <f>IF($A95="","",SUMIFS(Allocation!$J$1:$J$175,Allocation!$C$1:$C$175,$A95))</f>
        <v/>
      </c>
      <c r="V95" t="str">
        <f>IF($A95="","",SUMIFS(Allocation!$K$1:$K$175,Allocation!$C$1:$C$175,$A95))</f>
        <v/>
      </c>
      <c r="W95" t="str">
        <f>IF($A95="","",SUMIFS(Compta!$F$1:$F$675,Compta!$A$1:$A$675,$B95,Compta!$B$1:$B$675,"621",Compta!$C$1:$C$675,$A95))</f>
        <v/>
      </c>
      <c r="X95" t="str">
        <f>IF($A95="","",SUMIFS(Compta!$F$1:$F$675,Compta!$A$1:$A$675,$B95,Compta!$B$1:$B$675,"6411",Compta!$C$1:$C$675,$A95))</f>
        <v/>
      </c>
      <c r="Y95" t="str">
        <f>IF($A95="","",SUMIFS(Compta!$F$1:$F$675,Compta!$A$1:$A$675,$B95,Compta!$B$1:$B$675,"604",Compta!$C$1:$C$675,$A95)+SUMIFS(Compta!$F$1:$F$675,Compta!$A$1:$A$675,$B95,Compta!$B$1:$B$675,"6063",Compta!$C$1:$C$675,$A95))</f>
        <v/>
      </c>
      <c r="Z95" t="str">
        <f>IF($A95="","",SUMIFS(Compta!$F$1:$F$675,Compta!$A$1:$A$675,$B95,Compta!$B$1:$B$675,"6231",Compta!$C$1:$C$675,$A95))</f>
        <v/>
      </c>
      <c r="AA95" t="str">
        <f>IF($A95="","",SUMIFS(Compta!$F$1:$F$675,Compta!$A$1:$A$675,$B95,Compta!$B$1:$B$675,"6413",Compta!$C$1:$C$675,$A95)+SUMIFS(Compta!$F$1:$F$675,Compta!$A$1:$A$675,$B95,Compta!$B$1:$B$675,"645",Compta!$C$1:$C$675,$A95)+SUMIFS(Compta!$F$1:$F$675,Compta!$A$1:$A$675,$B95,Compta!$B$1:$B$675,"613",Compta!$C$1:$C$675,$A95)+SUMIFS(Compta!$F$1:$F$675,Compta!$A$1:$A$675,$B95,Compta!$B$1:$B$675,"615",Compta!$C$1:$C$675,$A95)+SUMIFS(Compta!$F$1:$F$675,Compta!$A$1:$A$675,$B95,Compta!$B$1:$B$675,"616",Compta!$C$1:$C$675,$A95)+SUMIFS(Compta!$F$1:$F$675,Compta!$A$1:$A$675,$B95,Compta!$B$1:$B$675,"625",Compta!$C$1:$C$675,$A95)+SUMIFS(Compta!$F$1:$F$675,Compta!$A$1:$A$675,$B95,Compta!$B$1:$B$675,"63511",Compta!$C$1:$C$675,$A95))</f>
        <v/>
      </c>
      <c r="AB95" t="str">
        <f>IF($A95="","",SUMIFS(Compta!$F$1:$F$675,Compta!$A$1:$A$675,"GRP",Compta!$B$1:$B$675,"6414",Compta!$C$1:$C$675,$A95)+SUMIFS(Compta!$F$1:$F$675,Compta!$A$1:$A$675,"GRP",Compta!$B$1:$B$675,"6226",Compta!$C$1:$C$675,$A95)+SUMIFS(Compta!$F$1:$F$675,Compta!$A$1:$A$675,"GRP",Compta!$B$1:$B$675,"626",Compta!$C$1:$C$675,$A95)+SUMIFS(Compta!$F$1:$F$675,Compta!$A$1:$A$675,"GRP",Compta!$B$1:$B$675,"6281",Compta!$C$1:$C$675,$A95)+SUMIFS(Compta!$F$1:$F$675,Compta!$A$1:$A$675,"GRP",Compta!$B$1:$B$675,"6331",Compta!$C$1:$C$675,$A95)+SUMIFS(Compta!$F$1:$F$675,Compta!$A$1:$A$675,"GRP",Compta!$B$1:$B$675,"6333",Compta!$C$1:$C$675,$A95))</f>
        <v/>
      </c>
      <c r="AC95" t="s">
        <v>297</v>
      </c>
      <c r="AD95" t="s">
        <v>297</v>
      </c>
      <c r="AE95" t="s">
        <v>297</v>
      </c>
      <c r="AF95" t="s">
        <v>297</v>
      </c>
      <c r="AG95" t="s">
        <v>297</v>
      </c>
      <c r="AH95" t="s">
        <v>297</v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 t="str">
        <f>IF($A95="","",SUMIFS(Compta!$F$1:$F$675,Compta!$A$1:$A$675,"GRP",Compta!$B$1:$B$675,"6236",Compta!$C$1:$C$675,$A95))</f>
        <v/>
      </c>
      <c r="AP95" t="s">
        <v>297</v>
      </c>
      <c r="AQ95" t="s">
        <v>297</v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IF(Allocation!D96="","",Allocation!I96)</f>
        <v/>
      </c>
      <c r="H96" t="str">
        <f>IF(Allocation!D96="","",Allocation!J96)</f>
        <v/>
      </c>
      <c r="I96" t="str">
        <f>IF(Allocation!D96="","",Allocation!K96)</f>
        <v/>
      </c>
      <c r="J96" t="str">
        <f>IF($A96="","",SUMIFS(Socle!$K$1:$K$175,Socle!$C$1:$C$175,$B96,Socle!$D$1:$D$175,$D96,Socle!$E$1:$E$175,$E96,Socle!$F$1:$F$175,$F96,Socle!$G$1:$G$175,$A96))</f>
        <v/>
      </c>
      <c r="K96" t="str">
        <f t="shared" si="10"/>
        <v/>
      </c>
      <c r="L96" t="str">
        <f>IF($A96="","",SUMIFS(Allocation!$I$1:$I$175,Allocation!$C$1:$C$175,$A96,Allocation!$D$1:$D$175,$B96))</f>
        <v/>
      </c>
      <c r="M96" t="str">
        <f>IF($A96="","",SUMIFS(Allocation!$J$1:$J$175,Allocation!$C$1:$C$175,$A96,Allocation!$D$1:$D$175,$B96))</f>
        <v/>
      </c>
      <c r="N96" t="str">
        <f>IF($A96="","",SUMIFS(Allocation!$K$1:$K$175,Allocation!$C$1:$C$175,$A96,Allocation!$D$1:$D$175,$B96))</f>
        <v/>
      </c>
      <c r="O96" t="str">
        <f t="shared" si="11"/>
        <v/>
      </c>
      <c r="P96" t="str">
        <f t="shared" si="12"/>
        <v/>
      </c>
      <c r="Q96" t="str">
        <f>IF($A96="","",SUMIFS(Allocation!$I$1:$I$175,Allocation!$C$1:$C$175,$A96,Allocation!$E$1:$E$175,$C96))</f>
        <v/>
      </c>
      <c r="R96" t="str">
        <f>IF($A96="","",SUMIFS(Allocation!$J$1:$J$175,Allocation!$C$1:$C$175,$A96,Allocation!$E$1:$E$175,$C96))</f>
        <v/>
      </c>
      <c r="S96" t="str">
        <f>IF($A96="","",SUMIFS(Allocation!$K$1:$K$175,Allocation!$C$1:$C$175,$A96,Allocation!$E$1:$E$175,$C96))</f>
        <v/>
      </c>
      <c r="T96" t="str">
        <f>IF($A96="","",SUMIFS(Allocation!$I$1:$I$175,Allocation!$C$1:$C$175,$A96))</f>
        <v/>
      </c>
      <c r="U96" t="str">
        <f>IF($A96="","",SUMIFS(Allocation!$J$1:$J$175,Allocation!$C$1:$C$175,$A96))</f>
        <v/>
      </c>
      <c r="V96" t="str">
        <f>IF($A96="","",SUMIFS(Allocation!$K$1:$K$175,Allocation!$C$1:$C$175,$A96))</f>
        <v/>
      </c>
      <c r="W96" t="str">
        <f>IF($A96="","",SUMIFS(Compta!$F$1:$F$675,Compta!$A$1:$A$675,$B96,Compta!$B$1:$B$675,"621",Compta!$C$1:$C$675,$A96))</f>
        <v/>
      </c>
      <c r="X96" t="str">
        <f>IF($A96="","",SUMIFS(Compta!$F$1:$F$675,Compta!$A$1:$A$675,$B96,Compta!$B$1:$B$675,"6411",Compta!$C$1:$C$675,$A96))</f>
        <v/>
      </c>
      <c r="Y96" t="str">
        <f>IF($A96="","",SUMIFS(Compta!$F$1:$F$675,Compta!$A$1:$A$675,$B96,Compta!$B$1:$B$675,"604",Compta!$C$1:$C$675,$A96)+SUMIFS(Compta!$F$1:$F$675,Compta!$A$1:$A$675,$B96,Compta!$B$1:$B$675,"6063",Compta!$C$1:$C$675,$A96))</f>
        <v/>
      </c>
      <c r="Z96" t="str">
        <f>IF($A96="","",SUMIFS(Compta!$F$1:$F$675,Compta!$A$1:$A$675,$B96,Compta!$B$1:$B$675,"6231",Compta!$C$1:$C$675,$A96))</f>
        <v/>
      </c>
      <c r="AA96" t="str">
        <f>IF($A96="","",SUMIFS(Compta!$F$1:$F$675,Compta!$A$1:$A$675,$B96,Compta!$B$1:$B$675,"6413",Compta!$C$1:$C$675,$A96)+SUMIFS(Compta!$F$1:$F$675,Compta!$A$1:$A$675,$B96,Compta!$B$1:$B$675,"645",Compta!$C$1:$C$675,$A96)+SUMIFS(Compta!$F$1:$F$675,Compta!$A$1:$A$675,$B96,Compta!$B$1:$B$675,"613",Compta!$C$1:$C$675,$A96)+SUMIFS(Compta!$F$1:$F$675,Compta!$A$1:$A$675,$B96,Compta!$B$1:$B$675,"615",Compta!$C$1:$C$675,$A96)+SUMIFS(Compta!$F$1:$F$675,Compta!$A$1:$A$675,$B96,Compta!$B$1:$B$675,"616",Compta!$C$1:$C$675,$A96)+SUMIFS(Compta!$F$1:$F$675,Compta!$A$1:$A$675,$B96,Compta!$B$1:$B$675,"625",Compta!$C$1:$C$675,$A96)+SUMIFS(Compta!$F$1:$F$675,Compta!$A$1:$A$675,$B96,Compta!$B$1:$B$675,"63511",Compta!$C$1:$C$675,$A96))</f>
        <v/>
      </c>
      <c r="AB96" t="str">
        <f>IF($A96="","",SUMIFS(Compta!$F$1:$F$675,Compta!$A$1:$A$675,"GRP",Compta!$B$1:$B$675,"6414",Compta!$C$1:$C$675,$A96)+SUMIFS(Compta!$F$1:$F$675,Compta!$A$1:$A$675,"GRP",Compta!$B$1:$B$675,"6226",Compta!$C$1:$C$675,$A96)+SUMIFS(Compta!$F$1:$F$675,Compta!$A$1:$A$675,"GRP",Compta!$B$1:$B$675,"626",Compta!$C$1:$C$675,$A96)+SUMIFS(Compta!$F$1:$F$675,Compta!$A$1:$A$675,"GRP",Compta!$B$1:$B$675,"6281",Compta!$C$1:$C$675,$A96)+SUMIFS(Compta!$F$1:$F$675,Compta!$A$1:$A$675,"GRP",Compta!$B$1:$B$675,"6331",Compta!$C$1:$C$675,$A96)+SUMIFS(Compta!$F$1:$F$675,Compta!$A$1:$A$675,"GRP",Compta!$B$1:$B$675,"6333",Compta!$C$1:$C$675,$A96))</f>
        <v/>
      </c>
      <c r="AC96" t="s">
        <v>297</v>
      </c>
      <c r="AD96" t="s">
        <v>297</v>
      </c>
      <c r="AE96" t="s">
        <v>297</v>
      </c>
      <c r="AF96" t="s">
        <v>297</v>
      </c>
      <c r="AG96" t="s">
        <v>297</v>
      </c>
      <c r="AH96" t="s">
        <v>297</v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 t="str">
        <f>IF($A96="","",SUMIFS(Compta!$F$1:$F$675,Compta!$A$1:$A$675,"GRP",Compta!$B$1:$B$675,"6236",Compta!$C$1:$C$675,$A96))</f>
        <v/>
      </c>
      <c r="AP96" t="s">
        <v>297</v>
      </c>
      <c r="AQ96" t="s">
        <v>297</v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IF(Allocation!D97="","",Allocation!I97)</f>
        <v/>
      </c>
      <c r="H97" t="str">
        <f>IF(Allocation!D97="","",Allocation!J97)</f>
        <v/>
      </c>
      <c r="I97" t="str">
        <f>IF(Allocation!D97="","",Allocation!K97)</f>
        <v/>
      </c>
      <c r="J97" t="str">
        <f>IF($A97="","",SUMIFS(Socle!$K$1:$K$175,Socle!$C$1:$C$175,$B97,Socle!$D$1:$D$175,$D97,Socle!$E$1:$E$175,$E97,Socle!$F$1:$F$175,$F97,Socle!$G$1:$G$175,$A97))</f>
        <v/>
      </c>
      <c r="K97" t="str">
        <f t="shared" si="10"/>
        <v/>
      </c>
      <c r="L97" t="str">
        <f>IF($A97="","",SUMIFS(Allocation!$I$1:$I$175,Allocation!$C$1:$C$175,$A97,Allocation!$D$1:$D$175,$B97))</f>
        <v/>
      </c>
      <c r="M97" t="str">
        <f>IF($A97="","",SUMIFS(Allocation!$J$1:$J$175,Allocation!$C$1:$C$175,$A97,Allocation!$D$1:$D$175,$B97))</f>
        <v/>
      </c>
      <c r="N97" t="str">
        <f>IF($A97="","",SUMIFS(Allocation!$K$1:$K$175,Allocation!$C$1:$C$175,$A97,Allocation!$D$1:$D$175,$B97))</f>
        <v/>
      </c>
      <c r="O97" t="str">
        <f t="shared" si="11"/>
        <v/>
      </c>
      <c r="P97" t="str">
        <f t="shared" si="12"/>
        <v/>
      </c>
      <c r="Q97" t="str">
        <f>IF($A97="","",SUMIFS(Allocation!$I$1:$I$175,Allocation!$C$1:$C$175,$A97,Allocation!$E$1:$E$175,$C97))</f>
        <v/>
      </c>
      <c r="R97" t="str">
        <f>IF($A97="","",SUMIFS(Allocation!$J$1:$J$175,Allocation!$C$1:$C$175,$A97,Allocation!$E$1:$E$175,$C97))</f>
        <v/>
      </c>
      <c r="S97" t="str">
        <f>IF($A97="","",SUMIFS(Allocation!$K$1:$K$175,Allocation!$C$1:$C$175,$A97,Allocation!$E$1:$E$175,$C97))</f>
        <v/>
      </c>
      <c r="T97" t="str">
        <f>IF($A97="","",SUMIFS(Allocation!$I$1:$I$175,Allocation!$C$1:$C$175,$A97))</f>
        <v/>
      </c>
      <c r="U97" t="str">
        <f>IF($A97="","",SUMIFS(Allocation!$J$1:$J$175,Allocation!$C$1:$C$175,$A97))</f>
        <v/>
      </c>
      <c r="V97" t="str">
        <f>IF($A97="","",SUMIFS(Allocation!$K$1:$K$175,Allocation!$C$1:$C$175,$A97))</f>
        <v/>
      </c>
      <c r="W97" t="str">
        <f>IF($A97="","",SUMIFS(Compta!$F$1:$F$675,Compta!$A$1:$A$675,$B97,Compta!$B$1:$B$675,"621",Compta!$C$1:$C$675,$A97))</f>
        <v/>
      </c>
      <c r="X97" t="str">
        <f>IF($A97="","",SUMIFS(Compta!$F$1:$F$675,Compta!$A$1:$A$675,$B97,Compta!$B$1:$B$675,"6411",Compta!$C$1:$C$675,$A97))</f>
        <v/>
      </c>
      <c r="Y97" t="str">
        <f>IF($A97="","",SUMIFS(Compta!$F$1:$F$675,Compta!$A$1:$A$675,$B97,Compta!$B$1:$B$675,"604",Compta!$C$1:$C$675,$A97)+SUMIFS(Compta!$F$1:$F$675,Compta!$A$1:$A$675,$B97,Compta!$B$1:$B$675,"6063",Compta!$C$1:$C$675,$A97))</f>
        <v/>
      </c>
      <c r="Z97" t="str">
        <f>IF($A97="","",SUMIFS(Compta!$F$1:$F$675,Compta!$A$1:$A$675,$B97,Compta!$B$1:$B$675,"6231",Compta!$C$1:$C$675,$A97))</f>
        <v/>
      </c>
      <c r="AA97" t="str">
        <f>IF($A97="","",SUMIFS(Compta!$F$1:$F$675,Compta!$A$1:$A$675,$B97,Compta!$B$1:$B$675,"6413",Compta!$C$1:$C$675,$A97)+SUMIFS(Compta!$F$1:$F$675,Compta!$A$1:$A$675,$B97,Compta!$B$1:$B$675,"645",Compta!$C$1:$C$675,$A97)+SUMIFS(Compta!$F$1:$F$675,Compta!$A$1:$A$675,$B97,Compta!$B$1:$B$675,"613",Compta!$C$1:$C$675,$A97)+SUMIFS(Compta!$F$1:$F$675,Compta!$A$1:$A$675,$B97,Compta!$B$1:$B$675,"615",Compta!$C$1:$C$675,$A97)+SUMIFS(Compta!$F$1:$F$675,Compta!$A$1:$A$675,$B97,Compta!$B$1:$B$675,"616",Compta!$C$1:$C$675,$A97)+SUMIFS(Compta!$F$1:$F$675,Compta!$A$1:$A$675,$B97,Compta!$B$1:$B$675,"625",Compta!$C$1:$C$675,$A97)+SUMIFS(Compta!$F$1:$F$675,Compta!$A$1:$A$675,$B97,Compta!$B$1:$B$675,"63511",Compta!$C$1:$C$675,$A97))</f>
        <v/>
      </c>
      <c r="AB97" t="str">
        <f>IF($A97="","",SUMIFS(Compta!$F$1:$F$675,Compta!$A$1:$A$675,"GRP",Compta!$B$1:$B$675,"6414",Compta!$C$1:$C$675,$A97)+SUMIFS(Compta!$F$1:$F$675,Compta!$A$1:$A$675,"GRP",Compta!$B$1:$B$675,"6226",Compta!$C$1:$C$675,$A97)+SUMIFS(Compta!$F$1:$F$675,Compta!$A$1:$A$675,"GRP",Compta!$B$1:$B$675,"626",Compta!$C$1:$C$675,$A97)+SUMIFS(Compta!$F$1:$F$675,Compta!$A$1:$A$675,"GRP",Compta!$B$1:$B$675,"6281",Compta!$C$1:$C$675,$A97)+SUMIFS(Compta!$F$1:$F$675,Compta!$A$1:$A$675,"GRP",Compta!$B$1:$B$675,"6331",Compta!$C$1:$C$675,$A97)+SUMIFS(Compta!$F$1:$F$675,Compta!$A$1:$A$675,"GRP",Compta!$B$1:$B$675,"6333",Compta!$C$1:$C$675,$A97))</f>
        <v/>
      </c>
      <c r="AC97" t="s">
        <v>297</v>
      </c>
      <c r="AD97" t="s">
        <v>297</v>
      </c>
      <c r="AE97" t="s">
        <v>297</v>
      </c>
      <c r="AF97" t="s">
        <v>297</v>
      </c>
      <c r="AG97" t="s">
        <v>297</v>
      </c>
      <c r="AH97" t="s">
        <v>297</v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 t="str">
        <f>IF($A97="","",SUMIFS(Compta!$F$1:$F$675,Compta!$A$1:$A$675,"GRP",Compta!$B$1:$B$675,"6236",Compta!$C$1:$C$675,$A97))</f>
        <v/>
      </c>
      <c r="AP97" t="s">
        <v>297</v>
      </c>
      <c r="AQ97" t="s">
        <v>297</v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IF(Allocation!D98="","",Allocation!I98)</f>
        <v/>
      </c>
      <c r="H98" t="str">
        <f>IF(Allocation!D98="","",Allocation!J98)</f>
        <v/>
      </c>
      <c r="I98" t="str">
        <f>IF(Allocation!D98="","",Allocation!K98)</f>
        <v/>
      </c>
      <c r="J98" t="str">
        <f>IF($A98="","",SUMIFS(Socle!$K$1:$K$175,Socle!$C$1:$C$175,$B98,Socle!$D$1:$D$175,$D98,Socle!$E$1:$E$175,$E98,Socle!$F$1:$F$175,$F98,Socle!$G$1:$G$175,$A98))</f>
        <v/>
      </c>
      <c r="K98" t="str">
        <f t="shared" si="10"/>
        <v/>
      </c>
      <c r="L98" t="str">
        <f>IF($A98="","",SUMIFS(Allocation!$I$1:$I$175,Allocation!$C$1:$C$175,$A98,Allocation!$D$1:$D$175,$B98))</f>
        <v/>
      </c>
      <c r="M98" t="str">
        <f>IF($A98="","",SUMIFS(Allocation!$J$1:$J$175,Allocation!$C$1:$C$175,$A98,Allocation!$D$1:$D$175,$B98))</f>
        <v/>
      </c>
      <c r="N98" t="str">
        <f>IF($A98="","",SUMIFS(Allocation!$K$1:$K$175,Allocation!$C$1:$C$175,$A98,Allocation!$D$1:$D$175,$B98))</f>
        <v/>
      </c>
      <c r="O98" t="str">
        <f t="shared" si="11"/>
        <v/>
      </c>
      <c r="P98" t="str">
        <f t="shared" si="12"/>
        <v/>
      </c>
      <c r="Q98" t="str">
        <f>IF($A98="","",SUMIFS(Allocation!$I$1:$I$175,Allocation!$C$1:$C$175,$A98,Allocation!$E$1:$E$175,$C98))</f>
        <v/>
      </c>
      <c r="R98" t="str">
        <f>IF($A98="","",SUMIFS(Allocation!$J$1:$J$175,Allocation!$C$1:$C$175,$A98,Allocation!$E$1:$E$175,$C98))</f>
        <v/>
      </c>
      <c r="S98" t="str">
        <f>IF($A98="","",SUMIFS(Allocation!$K$1:$K$175,Allocation!$C$1:$C$175,$A98,Allocation!$E$1:$E$175,$C98))</f>
        <v/>
      </c>
      <c r="T98" t="str">
        <f>IF($A98="","",SUMIFS(Allocation!$I$1:$I$175,Allocation!$C$1:$C$175,$A98))</f>
        <v/>
      </c>
      <c r="U98" t="str">
        <f>IF($A98="","",SUMIFS(Allocation!$J$1:$J$175,Allocation!$C$1:$C$175,$A98))</f>
        <v/>
      </c>
      <c r="V98" t="str">
        <f>IF($A98="","",SUMIFS(Allocation!$K$1:$K$175,Allocation!$C$1:$C$175,$A98))</f>
        <v/>
      </c>
      <c r="W98" t="str">
        <f>IF($A98="","",SUMIFS(Compta!$F$1:$F$675,Compta!$A$1:$A$675,$B98,Compta!$B$1:$B$675,"621",Compta!$C$1:$C$675,$A98))</f>
        <v/>
      </c>
      <c r="X98" t="str">
        <f>IF($A98="","",SUMIFS(Compta!$F$1:$F$675,Compta!$A$1:$A$675,$B98,Compta!$B$1:$B$675,"6411",Compta!$C$1:$C$675,$A98))</f>
        <v/>
      </c>
      <c r="Y98" t="str">
        <f>IF($A98="","",SUMIFS(Compta!$F$1:$F$675,Compta!$A$1:$A$675,$B98,Compta!$B$1:$B$675,"604",Compta!$C$1:$C$675,$A98)+SUMIFS(Compta!$F$1:$F$675,Compta!$A$1:$A$675,$B98,Compta!$B$1:$B$675,"6063",Compta!$C$1:$C$675,$A98))</f>
        <v/>
      </c>
      <c r="Z98" t="str">
        <f>IF($A98="","",SUMIFS(Compta!$F$1:$F$675,Compta!$A$1:$A$675,$B98,Compta!$B$1:$B$675,"6231",Compta!$C$1:$C$675,$A98))</f>
        <v/>
      </c>
      <c r="AA98" t="str">
        <f>IF($A98="","",SUMIFS(Compta!$F$1:$F$675,Compta!$A$1:$A$675,$B98,Compta!$B$1:$B$675,"6413",Compta!$C$1:$C$675,$A98)+SUMIFS(Compta!$F$1:$F$675,Compta!$A$1:$A$675,$B98,Compta!$B$1:$B$675,"645",Compta!$C$1:$C$675,$A98)+SUMIFS(Compta!$F$1:$F$675,Compta!$A$1:$A$675,$B98,Compta!$B$1:$B$675,"613",Compta!$C$1:$C$675,$A98)+SUMIFS(Compta!$F$1:$F$675,Compta!$A$1:$A$675,$B98,Compta!$B$1:$B$675,"615",Compta!$C$1:$C$675,$A98)+SUMIFS(Compta!$F$1:$F$675,Compta!$A$1:$A$675,$B98,Compta!$B$1:$B$675,"616",Compta!$C$1:$C$675,$A98)+SUMIFS(Compta!$F$1:$F$675,Compta!$A$1:$A$675,$B98,Compta!$B$1:$B$675,"625",Compta!$C$1:$C$675,$A98)+SUMIFS(Compta!$F$1:$F$675,Compta!$A$1:$A$675,$B98,Compta!$B$1:$B$675,"63511",Compta!$C$1:$C$675,$A98))</f>
        <v/>
      </c>
      <c r="AB98" t="str">
        <f>IF($A98="","",SUMIFS(Compta!$F$1:$F$675,Compta!$A$1:$A$675,"GRP",Compta!$B$1:$B$675,"6414",Compta!$C$1:$C$675,$A98)+SUMIFS(Compta!$F$1:$F$675,Compta!$A$1:$A$675,"GRP",Compta!$B$1:$B$675,"6226",Compta!$C$1:$C$675,$A98)+SUMIFS(Compta!$F$1:$F$675,Compta!$A$1:$A$675,"GRP",Compta!$B$1:$B$675,"626",Compta!$C$1:$C$675,$A98)+SUMIFS(Compta!$F$1:$F$675,Compta!$A$1:$A$675,"GRP",Compta!$B$1:$B$675,"6281",Compta!$C$1:$C$675,$A98)+SUMIFS(Compta!$F$1:$F$675,Compta!$A$1:$A$675,"GRP",Compta!$B$1:$B$675,"6331",Compta!$C$1:$C$675,$A98)+SUMIFS(Compta!$F$1:$F$675,Compta!$A$1:$A$675,"GRP",Compta!$B$1:$B$675,"6333",Compta!$C$1:$C$675,$A98))</f>
        <v/>
      </c>
      <c r="AC98" t="s">
        <v>297</v>
      </c>
      <c r="AD98" t="s">
        <v>297</v>
      </c>
      <c r="AE98" t="s">
        <v>297</v>
      </c>
      <c r="AF98" t="s">
        <v>297</v>
      </c>
      <c r="AG98" t="s">
        <v>297</v>
      </c>
      <c r="AH98" t="s">
        <v>297</v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 t="str">
        <f>IF($A98="","",SUMIFS(Compta!$F$1:$F$675,Compta!$A$1:$A$675,"GRP",Compta!$B$1:$B$675,"6236",Compta!$C$1:$C$675,$A98))</f>
        <v/>
      </c>
      <c r="AP98" t="s">
        <v>297</v>
      </c>
      <c r="AQ98" t="s">
        <v>297</v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IF(Allocation!D99="","",Allocation!I99)</f>
        <v/>
      </c>
      <c r="H99" t="str">
        <f>IF(Allocation!D99="","",Allocation!J99)</f>
        <v/>
      </c>
      <c r="I99" t="str">
        <f>IF(Allocation!D99="","",Allocation!K99)</f>
        <v/>
      </c>
      <c r="J99" t="str">
        <f>IF($A99="","",SUMIFS(Socle!$K$1:$K$175,Socle!$C$1:$C$175,$B99,Socle!$D$1:$D$175,$D99,Socle!$E$1:$E$175,$E99,Socle!$F$1:$F$175,$F99,Socle!$G$1:$G$175,$A99))</f>
        <v/>
      </c>
      <c r="K99" t="str">
        <f t="shared" si="10"/>
        <v/>
      </c>
      <c r="L99" t="str">
        <f>IF($A99="","",SUMIFS(Allocation!$I$1:$I$175,Allocation!$C$1:$C$175,$A99,Allocation!$D$1:$D$175,$B99))</f>
        <v/>
      </c>
      <c r="M99" t="str">
        <f>IF($A99="","",SUMIFS(Allocation!$J$1:$J$175,Allocation!$C$1:$C$175,$A99,Allocation!$D$1:$D$175,$B99))</f>
        <v/>
      </c>
      <c r="N99" t="str">
        <f>IF($A99="","",SUMIFS(Allocation!$K$1:$K$175,Allocation!$C$1:$C$175,$A99,Allocation!$D$1:$D$175,$B99))</f>
        <v/>
      </c>
      <c r="O99" t="str">
        <f t="shared" si="11"/>
        <v/>
      </c>
      <c r="P99" t="str">
        <f t="shared" si="12"/>
        <v/>
      </c>
      <c r="Q99" t="str">
        <f>IF($A99="","",SUMIFS(Allocation!$I$1:$I$175,Allocation!$C$1:$C$175,$A99,Allocation!$E$1:$E$175,$C99))</f>
        <v/>
      </c>
      <c r="R99" t="str">
        <f>IF($A99="","",SUMIFS(Allocation!$J$1:$J$175,Allocation!$C$1:$C$175,$A99,Allocation!$E$1:$E$175,$C99))</f>
        <v/>
      </c>
      <c r="S99" t="str">
        <f>IF($A99="","",SUMIFS(Allocation!$K$1:$K$175,Allocation!$C$1:$C$175,$A99,Allocation!$E$1:$E$175,$C99))</f>
        <v/>
      </c>
      <c r="T99" t="str">
        <f>IF($A99="","",SUMIFS(Allocation!$I$1:$I$175,Allocation!$C$1:$C$175,$A99))</f>
        <v/>
      </c>
      <c r="U99" t="str">
        <f>IF($A99="","",SUMIFS(Allocation!$J$1:$J$175,Allocation!$C$1:$C$175,$A99))</f>
        <v/>
      </c>
      <c r="V99" t="str">
        <f>IF($A99="","",SUMIFS(Allocation!$K$1:$K$175,Allocation!$C$1:$C$175,$A99))</f>
        <v/>
      </c>
      <c r="W99" t="str">
        <f>IF($A99="","",SUMIFS(Compta!$F$1:$F$675,Compta!$A$1:$A$675,$B99,Compta!$B$1:$B$675,"621",Compta!$C$1:$C$675,$A99))</f>
        <v/>
      </c>
      <c r="X99" t="str">
        <f>IF($A99="","",SUMIFS(Compta!$F$1:$F$675,Compta!$A$1:$A$675,$B99,Compta!$B$1:$B$675,"6411",Compta!$C$1:$C$675,$A99))</f>
        <v/>
      </c>
      <c r="Y99" t="str">
        <f>IF($A99="","",SUMIFS(Compta!$F$1:$F$675,Compta!$A$1:$A$675,$B99,Compta!$B$1:$B$675,"604",Compta!$C$1:$C$675,$A99)+SUMIFS(Compta!$F$1:$F$675,Compta!$A$1:$A$675,$B99,Compta!$B$1:$B$675,"6063",Compta!$C$1:$C$675,$A99))</f>
        <v/>
      </c>
      <c r="Z99" t="str">
        <f>IF($A99="","",SUMIFS(Compta!$F$1:$F$675,Compta!$A$1:$A$675,$B99,Compta!$B$1:$B$675,"6231",Compta!$C$1:$C$675,$A99))</f>
        <v/>
      </c>
      <c r="AA99" t="str">
        <f>IF($A99="","",SUMIFS(Compta!$F$1:$F$675,Compta!$A$1:$A$675,$B99,Compta!$B$1:$B$675,"6413",Compta!$C$1:$C$675,$A99)+SUMIFS(Compta!$F$1:$F$675,Compta!$A$1:$A$675,$B99,Compta!$B$1:$B$675,"645",Compta!$C$1:$C$675,$A99)+SUMIFS(Compta!$F$1:$F$675,Compta!$A$1:$A$675,$B99,Compta!$B$1:$B$675,"613",Compta!$C$1:$C$675,$A99)+SUMIFS(Compta!$F$1:$F$675,Compta!$A$1:$A$675,$B99,Compta!$B$1:$B$675,"615",Compta!$C$1:$C$675,$A99)+SUMIFS(Compta!$F$1:$F$675,Compta!$A$1:$A$675,$B99,Compta!$B$1:$B$675,"616",Compta!$C$1:$C$675,$A99)+SUMIFS(Compta!$F$1:$F$675,Compta!$A$1:$A$675,$B99,Compta!$B$1:$B$675,"625",Compta!$C$1:$C$675,$A99)+SUMIFS(Compta!$F$1:$F$675,Compta!$A$1:$A$675,$B99,Compta!$B$1:$B$675,"63511",Compta!$C$1:$C$675,$A99))</f>
        <v/>
      </c>
      <c r="AB99" t="str">
        <f>IF($A99="","",SUMIFS(Compta!$F$1:$F$675,Compta!$A$1:$A$675,"GRP",Compta!$B$1:$B$675,"6414",Compta!$C$1:$C$675,$A99)+SUMIFS(Compta!$F$1:$F$675,Compta!$A$1:$A$675,"GRP",Compta!$B$1:$B$675,"6226",Compta!$C$1:$C$675,$A99)+SUMIFS(Compta!$F$1:$F$675,Compta!$A$1:$A$675,"GRP",Compta!$B$1:$B$675,"626",Compta!$C$1:$C$675,$A99)+SUMIFS(Compta!$F$1:$F$675,Compta!$A$1:$A$675,"GRP",Compta!$B$1:$B$675,"6281",Compta!$C$1:$C$675,$A99)+SUMIFS(Compta!$F$1:$F$675,Compta!$A$1:$A$675,"GRP",Compta!$B$1:$B$675,"6331",Compta!$C$1:$C$675,$A99)+SUMIFS(Compta!$F$1:$F$675,Compta!$A$1:$A$675,"GRP",Compta!$B$1:$B$675,"6333",Compta!$C$1:$C$675,$A99))</f>
        <v/>
      </c>
      <c r="AC99" t="s">
        <v>297</v>
      </c>
      <c r="AD99" t="s">
        <v>297</v>
      </c>
      <c r="AE99" t="s">
        <v>297</v>
      </c>
      <c r="AF99" t="s">
        <v>297</v>
      </c>
      <c r="AG99" t="s">
        <v>297</v>
      </c>
      <c r="AH99" t="s">
        <v>297</v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 t="str">
        <f>IF($A99="","",SUMIFS(Compta!$F$1:$F$675,Compta!$A$1:$A$675,"GRP",Compta!$B$1:$B$675,"6236",Compta!$C$1:$C$675,$A99))</f>
        <v/>
      </c>
      <c r="AP99" t="s">
        <v>297</v>
      </c>
      <c r="AQ99" t="s">
        <v>297</v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IF(Allocation!D100="","",Allocation!I100)</f>
        <v/>
      </c>
      <c r="H100" t="str">
        <f>IF(Allocation!D100="","",Allocation!J100)</f>
        <v/>
      </c>
      <c r="I100" t="str">
        <f>IF(Allocation!D100="","",Allocation!K100)</f>
        <v/>
      </c>
      <c r="J100" t="str">
        <f>IF($A100="","",SUMIFS(Socle!$K$1:$K$175,Socle!$C$1:$C$175,$B100,Socle!$D$1:$D$175,$D100,Socle!$E$1:$E$175,$E100,Socle!$F$1:$F$175,$F100,Socle!$G$1:$G$175,$A100))</f>
        <v/>
      </c>
      <c r="K100" t="str">
        <f t="shared" si="10"/>
        <v/>
      </c>
      <c r="L100" t="str">
        <f>IF($A100="","",SUMIFS(Allocation!$I$1:$I$175,Allocation!$C$1:$C$175,$A100,Allocation!$D$1:$D$175,$B100))</f>
        <v/>
      </c>
      <c r="M100" t="str">
        <f>IF($A100="","",SUMIFS(Allocation!$J$1:$J$175,Allocation!$C$1:$C$175,$A100,Allocation!$D$1:$D$175,$B100))</f>
        <v/>
      </c>
      <c r="N100" t="str">
        <f>IF($A100="","",SUMIFS(Allocation!$K$1:$K$175,Allocation!$C$1:$C$175,$A100,Allocation!$D$1:$D$175,$B100))</f>
        <v/>
      </c>
      <c r="O100" t="str">
        <f t="shared" si="11"/>
        <v/>
      </c>
      <c r="P100" t="str">
        <f t="shared" si="12"/>
        <v/>
      </c>
      <c r="Q100" t="str">
        <f>IF($A100="","",SUMIFS(Allocation!$I$1:$I$175,Allocation!$C$1:$C$175,$A100,Allocation!$E$1:$E$175,$C100))</f>
        <v/>
      </c>
      <c r="R100" t="str">
        <f>IF($A100="","",SUMIFS(Allocation!$J$1:$J$175,Allocation!$C$1:$C$175,$A100,Allocation!$E$1:$E$175,$C100))</f>
        <v/>
      </c>
      <c r="S100" t="str">
        <f>IF($A100="","",SUMIFS(Allocation!$K$1:$K$175,Allocation!$C$1:$C$175,$A100,Allocation!$E$1:$E$175,$C100))</f>
        <v/>
      </c>
      <c r="T100" t="str">
        <f>IF($A100="","",SUMIFS(Allocation!$I$1:$I$175,Allocation!$C$1:$C$175,$A100))</f>
        <v/>
      </c>
      <c r="U100" t="str">
        <f>IF($A100="","",SUMIFS(Allocation!$J$1:$J$175,Allocation!$C$1:$C$175,$A100))</f>
        <v/>
      </c>
      <c r="V100" t="str">
        <f>IF($A100="","",SUMIFS(Allocation!$K$1:$K$175,Allocation!$C$1:$C$175,$A100))</f>
        <v/>
      </c>
      <c r="W100" t="str">
        <f>IF($A100="","",SUMIFS(Compta!$F$1:$F$675,Compta!$A$1:$A$675,$B100,Compta!$B$1:$B$675,"621",Compta!$C$1:$C$675,$A100))</f>
        <v/>
      </c>
      <c r="X100" t="str">
        <f>IF($A100="","",SUMIFS(Compta!$F$1:$F$675,Compta!$A$1:$A$675,$B100,Compta!$B$1:$B$675,"6411",Compta!$C$1:$C$675,$A100))</f>
        <v/>
      </c>
      <c r="Y100" t="str">
        <f>IF($A100="","",SUMIFS(Compta!$F$1:$F$675,Compta!$A$1:$A$675,$B100,Compta!$B$1:$B$675,"604",Compta!$C$1:$C$675,$A100)+SUMIFS(Compta!$F$1:$F$675,Compta!$A$1:$A$675,$B100,Compta!$B$1:$B$675,"6063",Compta!$C$1:$C$675,$A100))</f>
        <v/>
      </c>
      <c r="Z100" t="str">
        <f>IF($A100="","",SUMIFS(Compta!$F$1:$F$675,Compta!$A$1:$A$675,$B100,Compta!$B$1:$B$675,"6231",Compta!$C$1:$C$675,$A100))</f>
        <v/>
      </c>
      <c r="AA100" t="str">
        <f>IF($A100="","",SUMIFS(Compta!$F$1:$F$675,Compta!$A$1:$A$675,$B100,Compta!$B$1:$B$675,"6413",Compta!$C$1:$C$675,$A100)+SUMIFS(Compta!$F$1:$F$675,Compta!$A$1:$A$675,$B100,Compta!$B$1:$B$675,"645",Compta!$C$1:$C$675,$A100)+SUMIFS(Compta!$F$1:$F$675,Compta!$A$1:$A$675,$B100,Compta!$B$1:$B$675,"613",Compta!$C$1:$C$675,$A100)+SUMIFS(Compta!$F$1:$F$675,Compta!$A$1:$A$675,$B100,Compta!$B$1:$B$675,"615",Compta!$C$1:$C$675,$A100)+SUMIFS(Compta!$F$1:$F$675,Compta!$A$1:$A$675,$B100,Compta!$B$1:$B$675,"616",Compta!$C$1:$C$675,$A100)+SUMIFS(Compta!$F$1:$F$675,Compta!$A$1:$A$675,$B100,Compta!$B$1:$B$675,"625",Compta!$C$1:$C$675,$A100)+SUMIFS(Compta!$F$1:$F$675,Compta!$A$1:$A$675,$B100,Compta!$B$1:$B$675,"63511",Compta!$C$1:$C$675,$A100))</f>
        <v/>
      </c>
      <c r="AB100" t="str">
        <f>IF($A100="","",SUMIFS(Compta!$F$1:$F$675,Compta!$A$1:$A$675,"GRP",Compta!$B$1:$B$675,"6414",Compta!$C$1:$C$675,$A100)+SUMIFS(Compta!$F$1:$F$675,Compta!$A$1:$A$675,"GRP",Compta!$B$1:$B$675,"6226",Compta!$C$1:$C$675,$A100)+SUMIFS(Compta!$F$1:$F$675,Compta!$A$1:$A$675,"GRP",Compta!$B$1:$B$675,"626",Compta!$C$1:$C$675,$A100)+SUMIFS(Compta!$F$1:$F$675,Compta!$A$1:$A$675,"GRP",Compta!$B$1:$B$675,"6281",Compta!$C$1:$C$675,$A100)+SUMIFS(Compta!$F$1:$F$675,Compta!$A$1:$A$675,"GRP",Compta!$B$1:$B$675,"6331",Compta!$C$1:$C$675,$A100)+SUMIFS(Compta!$F$1:$F$675,Compta!$A$1:$A$675,"GRP",Compta!$B$1:$B$675,"6333",Compta!$C$1:$C$675,$A100))</f>
        <v/>
      </c>
      <c r="AC100" t="s">
        <v>297</v>
      </c>
      <c r="AD100" t="s">
        <v>297</v>
      </c>
      <c r="AE100" t="s">
        <v>297</v>
      </c>
      <c r="AF100" t="s">
        <v>297</v>
      </c>
      <c r="AG100" t="s">
        <v>297</v>
      </c>
      <c r="AH100" t="s">
        <v>297</v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 t="str">
        <f>IF($A100="","",SUMIFS(Compta!$F$1:$F$675,Compta!$A$1:$A$675,"GRP",Compta!$B$1:$B$675,"6236",Compta!$C$1:$C$675,$A100))</f>
        <v/>
      </c>
      <c r="AP100" t="s">
        <v>297</v>
      </c>
      <c r="AQ100" t="s">
        <v>297</v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IF(Allocation!D101="","",Allocation!I101)</f>
        <v/>
      </c>
      <c r="H101" t="str">
        <f>IF(Allocation!D101="","",Allocation!J101)</f>
        <v/>
      </c>
      <c r="I101" t="str">
        <f>IF(Allocation!D101="","",Allocation!K101)</f>
        <v/>
      </c>
      <c r="J101" t="str">
        <f>IF($A101="","",SUMIFS(Socle!$K$1:$K$175,Socle!$C$1:$C$175,$B101,Socle!$D$1:$D$175,$D101,Socle!$E$1:$E$175,$E101,Socle!$F$1:$F$175,$F101,Socle!$G$1:$G$175,$A101))</f>
        <v/>
      </c>
      <c r="K101" t="str">
        <f t="shared" si="10"/>
        <v/>
      </c>
      <c r="L101" t="str">
        <f>IF($A101="","",SUMIFS(Allocation!$I$1:$I$175,Allocation!$C$1:$C$175,$A101,Allocation!$D$1:$D$175,$B101))</f>
        <v/>
      </c>
      <c r="M101" t="str">
        <f>IF($A101="","",SUMIFS(Allocation!$J$1:$J$175,Allocation!$C$1:$C$175,$A101,Allocation!$D$1:$D$175,$B101))</f>
        <v/>
      </c>
      <c r="N101" t="str">
        <f>IF($A101="","",SUMIFS(Allocation!$K$1:$K$175,Allocation!$C$1:$C$175,$A101,Allocation!$D$1:$D$175,$B101))</f>
        <v/>
      </c>
      <c r="O101" t="str">
        <f t="shared" si="11"/>
        <v/>
      </c>
      <c r="P101" t="str">
        <f t="shared" si="12"/>
        <v/>
      </c>
      <c r="Q101" t="str">
        <f>IF($A101="","",SUMIFS(Allocation!$I$1:$I$175,Allocation!$C$1:$C$175,$A101,Allocation!$E$1:$E$175,$C101))</f>
        <v/>
      </c>
      <c r="R101" t="str">
        <f>IF($A101="","",SUMIFS(Allocation!$J$1:$J$175,Allocation!$C$1:$C$175,$A101,Allocation!$E$1:$E$175,$C101))</f>
        <v/>
      </c>
      <c r="S101" t="str">
        <f>IF($A101="","",SUMIFS(Allocation!$K$1:$K$175,Allocation!$C$1:$C$175,$A101,Allocation!$E$1:$E$175,$C101))</f>
        <v/>
      </c>
      <c r="T101" t="str">
        <f>IF($A101="","",SUMIFS(Allocation!$I$1:$I$175,Allocation!$C$1:$C$175,$A101))</f>
        <v/>
      </c>
      <c r="U101" t="str">
        <f>IF($A101="","",SUMIFS(Allocation!$J$1:$J$175,Allocation!$C$1:$C$175,$A101))</f>
        <v/>
      </c>
      <c r="V101" t="str">
        <f>IF($A101="","",SUMIFS(Allocation!$K$1:$K$175,Allocation!$C$1:$C$175,$A101))</f>
        <v/>
      </c>
      <c r="W101" t="str">
        <f>IF($A101="","",SUMIFS(Compta!$F$1:$F$675,Compta!$A$1:$A$675,$B101,Compta!$B$1:$B$675,"621",Compta!$C$1:$C$675,$A101))</f>
        <v/>
      </c>
      <c r="X101" t="str">
        <f>IF($A101="","",SUMIFS(Compta!$F$1:$F$675,Compta!$A$1:$A$675,$B101,Compta!$B$1:$B$675,"6411",Compta!$C$1:$C$675,$A101))</f>
        <v/>
      </c>
      <c r="Y101" t="str">
        <f>IF($A101="","",SUMIFS(Compta!$F$1:$F$675,Compta!$A$1:$A$675,$B101,Compta!$B$1:$B$675,"604",Compta!$C$1:$C$675,$A101)+SUMIFS(Compta!$F$1:$F$675,Compta!$A$1:$A$675,$B101,Compta!$B$1:$B$675,"6063",Compta!$C$1:$C$675,$A101))</f>
        <v/>
      </c>
      <c r="Z101" t="str">
        <f>IF($A101="","",SUMIFS(Compta!$F$1:$F$675,Compta!$A$1:$A$675,$B101,Compta!$B$1:$B$675,"6231",Compta!$C$1:$C$675,$A101))</f>
        <v/>
      </c>
      <c r="AA101" t="str">
        <f>IF($A101="","",SUMIFS(Compta!$F$1:$F$675,Compta!$A$1:$A$675,$B101,Compta!$B$1:$B$675,"6413",Compta!$C$1:$C$675,$A101)+SUMIFS(Compta!$F$1:$F$675,Compta!$A$1:$A$675,$B101,Compta!$B$1:$B$675,"645",Compta!$C$1:$C$675,$A101)+SUMIFS(Compta!$F$1:$F$675,Compta!$A$1:$A$675,$B101,Compta!$B$1:$B$675,"613",Compta!$C$1:$C$675,$A101)+SUMIFS(Compta!$F$1:$F$675,Compta!$A$1:$A$675,$B101,Compta!$B$1:$B$675,"615",Compta!$C$1:$C$675,$A101)+SUMIFS(Compta!$F$1:$F$675,Compta!$A$1:$A$675,$B101,Compta!$B$1:$B$675,"616",Compta!$C$1:$C$675,$A101)+SUMIFS(Compta!$F$1:$F$675,Compta!$A$1:$A$675,$B101,Compta!$B$1:$B$675,"625",Compta!$C$1:$C$675,$A101)+SUMIFS(Compta!$F$1:$F$675,Compta!$A$1:$A$675,$B101,Compta!$B$1:$B$675,"63511",Compta!$C$1:$C$675,$A101))</f>
        <v/>
      </c>
      <c r="AB101" t="str">
        <f>IF($A101="","",SUMIFS(Compta!$F$1:$F$675,Compta!$A$1:$A$675,"GRP",Compta!$B$1:$B$675,"6414",Compta!$C$1:$C$675,$A101)+SUMIFS(Compta!$F$1:$F$675,Compta!$A$1:$A$675,"GRP",Compta!$B$1:$B$675,"6226",Compta!$C$1:$C$675,$A101)+SUMIFS(Compta!$F$1:$F$675,Compta!$A$1:$A$675,"GRP",Compta!$B$1:$B$675,"626",Compta!$C$1:$C$675,$A101)+SUMIFS(Compta!$F$1:$F$675,Compta!$A$1:$A$675,"GRP",Compta!$B$1:$B$675,"6281",Compta!$C$1:$C$675,$A101)+SUMIFS(Compta!$F$1:$F$675,Compta!$A$1:$A$675,"GRP",Compta!$B$1:$B$675,"6331",Compta!$C$1:$C$675,$A101)+SUMIFS(Compta!$F$1:$F$675,Compta!$A$1:$A$675,"GRP",Compta!$B$1:$B$675,"6333",Compta!$C$1:$C$675,$A101))</f>
        <v/>
      </c>
      <c r="AC101" t="s">
        <v>297</v>
      </c>
      <c r="AD101" t="s">
        <v>297</v>
      </c>
      <c r="AE101" t="s">
        <v>297</v>
      </c>
      <c r="AF101" t="s">
        <v>297</v>
      </c>
      <c r="AG101" t="s">
        <v>297</v>
      </c>
      <c r="AH101" t="s">
        <v>297</v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 t="str">
        <f>IF($A101="","",SUMIFS(Compta!$F$1:$F$675,Compta!$A$1:$A$675,"GRP",Compta!$B$1:$B$675,"6236",Compta!$C$1:$C$675,$A101))</f>
        <v/>
      </c>
      <c r="AP101" t="s">
        <v>297</v>
      </c>
      <c r="AQ101" t="s">
        <v>297</v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IF(Allocation!D102="","",Allocation!I102)</f>
        <v/>
      </c>
      <c r="H102" t="str">
        <f>IF(Allocation!D102="","",Allocation!J102)</f>
        <v/>
      </c>
      <c r="I102" t="str">
        <f>IF(Allocation!D102="","",Allocation!K102)</f>
        <v/>
      </c>
      <c r="J102" t="str">
        <f>IF($A102="","",SUMIFS(Socle!$K$1:$K$175,Socle!$C$1:$C$175,$B102,Socle!$D$1:$D$175,$D102,Socle!$E$1:$E$175,$E102,Socle!$F$1:$F$175,$F102,Socle!$G$1:$G$175,$A102))</f>
        <v/>
      </c>
      <c r="K102" t="str">
        <f t="shared" si="10"/>
        <v/>
      </c>
      <c r="L102" t="str">
        <f>IF($A102="","",SUMIFS(Allocation!$I$1:$I$175,Allocation!$C$1:$C$175,$A102,Allocation!$D$1:$D$175,$B102))</f>
        <v/>
      </c>
      <c r="M102" t="str">
        <f>IF($A102="","",SUMIFS(Allocation!$J$1:$J$175,Allocation!$C$1:$C$175,$A102,Allocation!$D$1:$D$175,$B102))</f>
        <v/>
      </c>
      <c r="N102" t="str">
        <f>IF($A102="","",SUMIFS(Allocation!$K$1:$K$175,Allocation!$C$1:$C$175,$A102,Allocation!$D$1:$D$175,$B102))</f>
        <v/>
      </c>
      <c r="O102" t="str">
        <f t="shared" si="11"/>
        <v/>
      </c>
      <c r="P102" t="str">
        <f t="shared" si="12"/>
        <v/>
      </c>
      <c r="Q102" t="str">
        <f>IF($A102="","",SUMIFS(Allocation!$I$1:$I$175,Allocation!$C$1:$C$175,$A102,Allocation!$E$1:$E$175,$C102))</f>
        <v/>
      </c>
      <c r="R102" t="str">
        <f>IF($A102="","",SUMIFS(Allocation!$J$1:$J$175,Allocation!$C$1:$C$175,$A102,Allocation!$E$1:$E$175,$C102))</f>
        <v/>
      </c>
      <c r="S102" t="str">
        <f>IF($A102="","",SUMIFS(Allocation!$K$1:$K$175,Allocation!$C$1:$C$175,$A102,Allocation!$E$1:$E$175,$C102))</f>
        <v/>
      </c>
      <c r="T102" t="str">
        <f>IF($A102="","",SUMIFS(Allocation!$I$1:$I$175,Allocation!$C$1:$C$175,$A102))</f>
        <v/>
      </c>
      <c r="U102" t="str">
        <f>IF($A102="","",SUMIFS(Allocation!$J$1:$J$175,Allocation!$C$1:$C$175,$A102))</f>
        <v/>
      </c>
      <c r="V102" t="str">
        <f>IF($A102="","",SUMIFS(Allocation!$K$1:$K$175,Allocation!$C$1:$C$175,$A102))</f>
        <v/>
      </c>
      <c r="W102" t="str">
        <f>IF($A102="","",SUMIFS(Compta!$F$1:$F$675,Compta!$A$1:$A$675,$B102,Compta!$B$1:$B$675,"621",Compta!$C$1:$C$675,$A102))</f>
        <v/>
      </c>
      <c r="X102" t="str">
        <f>IF($A102="","",SUMIFS(Compta!$F$1:$F$675,Compta!$A$1:$A$675,$B102,Compta!$B$1:$B$675,"6411",Compta!$C$1:$C$675,$A102))</f>
        <v/>
      </c>
      <c r="Y102" t="str">
        <f>IF($A102="","",SUMIFS(Compta!$F$1:$F$675,Compta!$A$1:$A$675,$B102,Compta!$B$1:$B$675,"604",Compta!$C$1:$C$675,$A102)+SUMIFS(Compta!$F$1:$F$675,Compta!$A$1:$A$675,$B102,Compta!$B$1:$B$675,"6063",Compta!$C$1:$C$675,$A102))</f>
        <v/>
      </c>
      <c r="Z102" t="str">
        <f>IF($A102="","",SUMIFS(Compta!$F$1:$F$675,Compta!$A$1:$A$675,$B102,Compta!$B$1:$B$675,"6231",Compta!$C$1:$C$675,$A102))</f>
        <v/>
      </c>
      <c r="AA102" t="str">
        <f>IF($A102="","",SUMIFS(Compta!$F$1:$F$675,Compta!$A$1:$A$675,$B102,Compta!$B$1:$B$675,"6413",Compta!$C$1:$C$675,$A102)+SUMIFS(Compta!$F$1:$F$675,Compta!$A$1:$A$675,$B102,Compta!$B$1:$B$675,"645",Compta!$C$1:$C$675,$A102)+SUMIFS(Compta!$F$1:$F$675,Compta!$A$1:$A$675,$B102,Compta!$B$1:$B$675,"613",Compta!$C$1:$C$675,$A102)+SUMIFS(Compta!$F$1:$F$675,Compta!$A$1:$A$675,$B102,Compta!$B$1:$B$675,"615",Compta!$C$1:$C$675,$A102)+SUMIFS(Compta!$F$1:$F$675,Compta!$A$1:$A$675,$B102,Compta!$B$1:$B$675,"616",Compta!$C$1:$C$675,$A102)+SUMIFS(Compta!$F$1:$F$675,Compta!$A$1:$A$675,$B102,Compta!$B$1:$B$675,"625",Compta!$C$1:$C$675,$A102)+SUMIFS(Compta!$F$1:$F$675,Compta!$A$1:$A$675,$B102,Compta!$B$1:$B$675,"63511",Compta!$C$1:$C$675,$A102))</f>
        <v/>
      </c>
      <c r="AB102" t="str">
        <f>IF($A102="","",SUMIFS(Compta!$F$1:$F$675,Compta!$A$1:$A$675,"GRP",Compta!$B$1:$B$675,"6414",Compta!$C$1:$C$675,$A102)+SUMIFS(Compta!$F$1:$F$675,Compta!$A$1:$A$675,"GRP",Compta!$B$1:$B$675,"6226",Compta!$C$1:$C$675,$A102)+SUMIFS(Compta!$F$1:$F$675,Compta!$A$1:$A$675,"GRP",Compta!$B$1:$B$675,"626",Compta!$C$1:$C$675,$A102)+SUMIFS(Compta!$F$1:$F$675,Compta!$A$1:$A$675,"GRP",Compta!$B$1:$B$675,"6281",Compta!$C$1:$C$675,$A102)+SUMIFS(Compta!$F$1:$F$675,Compta!$A$1:$A$675,"GRP",Compta!$B$1:$B$675,"6331",Compta!$C$1:$C$675,$A102)+SUMIFS(Compta!$F$1:$F$675,Compta!$A$1:$A$675,"GRP",Compta!$B$1:$B$675,"6333",Compta!$C$1:$C$675,$A102))</f>
        <v/>
      </c>
      <c r="AC102" t="s">
        <v>297</v>
      </c>
      <c r="AD102" t="s">
        <v>297</v>
      </c>
      <c r="AE102" t="s">
        <v>297</v>
      </c>
      <c r="AF102" t="s">
        <v>297</v>
      </c>
      <c r="AG102" t="s">
        <v>297</v>
      </c>
      <c r="AH102" t="s">
        <v>297</v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 t="str">
        <f>IF($A102="","",SUMIFS(Compta!$F$1:$F$675,Compta!$A$1:$A$675,"GRP",Compta!$B$1:$B$675,"6236",Compta!$C$1:$C$675,$A102))</f>
        <v/>
      </c>
      <c r="AP102" t="s">
        <v>297</v>
      </c>
      <c r="AQ102" t="s">
        <v>297</v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IF(Allocation!D103="","",Allocation!I103)</f>
        <v/>
      </c>
      <c r="H103" t="str">
        <f>IF(Allocation!D103="","",Allocation!J103)</f>
        <v/>
      </c>
      <c r="I103" t="str">
        <f>IF(Allocation!D103="","",Allocation!K103)</f>
        <v/>
      </c>
      <c r="J103" t="str">
        <f>IF($A103="","",SUMIFS(Socle!$K$1:$K$175,Socle!$C$1:$C$175,$B103,Socle!$D$1:$D$175,$D103,Socle!$E$1:$E$175,$E103,Socle!$F$1:$F$175,$F103,Socle!$G$1:$G$175,$A103))</f>
        <v/>
      </c>
      <c r="K103" t="str">
        <f t="shared" si="10"/>
        <v/>
      </c>
      <c r="L103" t="str">
        <f>IF($A103="","",SUMIFS(Allocation!$I$1:$I$175,Allocation!$C$1:$C$175,$A103,Allocation!$D$1:$D$175,$B103))</f>
        <v/>
      </c>
      <c r="M103" t="str">
        <f>IF($A103="","",SUMIFS(Allocation!$J$1:$J$175,Allocation!$C$1:$C$175,$A103,Allocation!$D$1:$D$175,$B103))</f>
        <v/>
      </c>
      <c r="N103" t="str">
        <f>IF($A103="","",SUMIFS(Allocation!$K$1:$K$175,Allocation!$C$1:$C$175,$A103,Allocation!$D$1:$D$175,$B103))</f>
        <v/>
      </c>
      <c r="O103" t="str">
        <f t="shared" si="11"/>
        <v/>
      </c>
      <c r="P103" t="str">
        <f t="shared" si="12"/>
        <v/>
      </c>
      <c r="Q103" t="str">
        <f>IF($A103="","",SUMIFS(Allocation!$I$1:$I$175,Allocation!$C$1:$C$175,$A103,Allocation!$E$1:$E$175,$C103))</f>
        <v/>
      </c>
      <c r="R103" t="str">
        <f>IF($A103="","",SUMIFS(Allocation!$J$1:$J$175,Allocation!$C$1:$C$175,$A103,Allocation!$E$1:$E$175,$C103))</f>
        <v/>
      </c>
      <c r="S103" t="str">
        <f>IF($A103="","",SUMIFS(Allocation!$K$1:$K$175,Allocation!$C$1:$C$175,$A103,Allocation!$E$1:$E$175,$C103))</f>
        <v/>
      </c>
      <c r="T103" t="str">
        <f>IF($A103="","",SUMIFS(Allocation!$I$1:$I$175,Allocation!$C$1:$C$175,$A103))</f>
        <v/>
      </c>
      <c r="U103" t="str">
        <f>IF($A103="","",SUMIFS(Allocation!$J$1:$J$175,Allocation!$C$1:$C$175,$A103))</f>
        <v/>
      </c>
      <c r="V103" t="str">
        <f>IF($A103="","",SUMIFS(Allocation!$K$1:$K$175,Allocation!$C$1:$C$175,$A103))</f>
        <v/>
      </c>
      <c r="W103" t="str">
        <f>IF($A103="","",SUMIFS(Compta!$F$1:$F$675,Compta!$A$1:$A$675,$B103,Compta!$B$1:$B$675,"621",Compta!$C$1:$C$675,$A103))</f>
        <v/>
      </c>
      <c r="X103" t="str">
        <f>IF($A103="","",SUMIFS(Compta!$F$1:$F$675,Compta!$A$1:$A$675,$B103,Compta!$B$1:$B$675,"6411",Compta!$C$1:$C$675,$A103))</f>
        <v/>
      </c>
      <c r="Y103" t="str">
        <f>IF($A103="","",SUMIFS(Compta!$F$1:$F$675,Compta!$A$1:$A$675,$B103,Compta!$B$1:$B$675,"604",Compta!$C$1:$C$675,$A103)+SUMIFS(Compta!$F$1:$F$675,Compta!$A$1:$A$675,$B103,Compta!$B$1:$B$675,"6063",Compta!$C$1:$C$675,$A103))</f>
        <v/>
      </c>
      <c r="Z103" t="str">
        <f>IF($A103="","",SUMIFS(Compta!$F$1:$F$675,Compta!$A$1:$A$675,$B103,Compta!$B$1:$B$675,"6231",Compta!$C$1:$C$675,$A103))</f>
        <v/>
      </c>
      <c r="AA103" t="str">
        <f>IF($A103="","",SUMIFS(Compta!$F$1:$F$675,Compta!$A$1:$A$675,$B103,Compta!$B$1:$B$675,"6413",Compta!$C$1:$C$675,$A103)+SUMIFS(Compta!$F$1:$F$675,Compta!$A$1:$A$675,$B103,Compta!$B$1:$B$675,"645",Compta!$C$1:$C$675,$A103)+SUMIFS(Compta!$F$1:$F$675,Compta!$A$1:$A$675,$B103,Compta!$B$1:$B$675,"613",Compta!$C$1:$C$675,$A103)+SUMIFS(Compta!$F$1:$F$675,Compta!$A$1:$A$675,$B103,Compta!$B$1:$B$675,"615",Compta!$C$1:$C$675,$A103)+SUMIFS(Compta!$F$1:$F$675,Compta!$A$1:$A$675,$B103,Compta!$B$1:$B$675,"616",Compta!$C$1:$C$675,$A103)+SUMIFS(Compta!$F$1:$F$675,Compta!$A$1:$A$675,$B103,Compta!$B$1:$B$675,"625",Compta!$C$1:$C$675,$A103)+SUMIFS(Compta!$F$1:$F$675,Compta!$A$1:$A$675,$B103,Compta!$B$1:$B$675,"63511",Compta!$C$1:$C$675,$A103))</f>
        <v/>
      </c>
      <c r="AB103" t="str">
        <f>IF($A103="","",SUMIFS(Compta!$F$1:$F$675,Compta!$A$1:$A$675,"GRP",Compta!$B$1:$B$675,"6414",Compta!$C$1:$C$675,$A103)+SUMIFS(Compta!$F$1:$F$675,Compta!$A$1:$A$675,"GRP",Compta!$B$1:$B$675,"6226",Compta!$C$1:$C$675,$A103)+SUMIFS(Compta!$F$1:$F$675,Compta!$A$1:$A$675,"GRP",Compta!$B$1:$B$675,"626",Compta!$C$1:$C$675,$A103)+SUMIFS(Compta!$F$1:$F$675,Compta!$A$1:$A$675,"GRP",Compta!$B$1:$B$675,"6281",Compta!$C$1:$C$675,$A103)+SUMIFS(Compta!$F$1:$F$675,Compta!$A$1:$A$675,"GRP",Compta!$B$1:$B$675,"6331",Compta!$C$1:$C$675,$A103)+SUMIFS(Compta!$F$1:$F$675,Compta!$A$1:$A$675,"GRP",Compta!$B$1:$B$675,"6333",Compta!$C$1:$C$675,$A103))</f>
        <v/>
      </c>
      <c r="AC103" t="s">
        <v>297</v>
      </c>
      <c r="AD103" t="s">
        <v>297</v>
      </c>
      <c r="AE103" t="s">
        <v>297</v>
      </c>
      <c r="AF103" t="s">
        <v>297</v>
      </c>
      <c r="AG103" t="s">
        <v>297</v>
      </c>
      <c r="AH103" t="s">
        <v>297</v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 t="str">
        <f>IF($A103="","",SUMIFS(Compta!$F$1:$F$675,Compta!$A$1:$A$675,"GRP",Compta!$B$1:$B$675,"6236",Compta!$C$1:$C$675,$A103))</f>
        <v/>
      </c>
      <c r="AP103" t="s">
        <v>297</v>
      </c>
      <c r="AQ103" t="s">
        <v>297</v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IF(Allocation!D104="","",Allocation!I104)</f>
        <v/>
      </c>
      <c r="H104" t="str">
        <f>IF(Allocation!D104="","",Allocation!J104)</f>
        <v/>
      </c>
      <c r="I104" t="str">
        <f>IF(Allocation!D104="","",Allocation!K104)</f>
        <v/>
      </c>
      <c r="J104" t="str">
        <f>IF($A104="","",SUMIFS(Socle!$K$1:$K$175,Socle!$C$1:$C$175,$B104,Socle!$D$1:$D$175,$D104,Socle!$E$1:$E$175,$E104,Socle!$F$1:$F$175,$F104,Socle!$G$1:$G$175,$A104))</f>
        <v/>
      </c>
      <c r="K104" t="str">
        <f t="shared" si="10"/>
        <v/>
      </c>
      <c r="L104" t="str">
        <f>IF($A104="","",SUMIFS(Allocation!$I$1:$I$175,Allocation!$C$1:$C$175,$A104,Allocation!$D$1:$D$175,$B104))</f>
        <v/>
      </c>
      <c r="M104" t="str">
        <f>IF($A104="","",SUMIFS(Allocation!$J$1:$J$175,Allocation!$C$1:$C$175,$A104,Allocation!$D$1:$D$175,$B104))</f>
        <v/>
      </c>
      <c r="N104" t="str">
        <f>IF($A104="","",SUMIFS(Allocation!$K$1:$K$175,Allocation!$C$1:$C$175,$A104,Allocation!$D$1:$D$175,$B104))</f>
        <v/>
      </c>
      <c r="O104" t="str">
        <f t="shared" si="11"/>
        <v/>
      </c>
      <c r="P104" t="str">
        <f t="shared" si="12"/>
        <v/>
      </c>
      <c r="Q104" t="str">
        <f>IF($A104="","",SUMIFS(Allocation!$I$1:$I$175,Allocation!$C$1:$C$175,$A104,Allocation!$E$1:$E$175,$C104))</f>
        <v/>
      </c>
      <c r="R104" t="str">
        <f>IF($A104="","",SUMIFS(Allocation!$J$1:$J$175,Allocation!$C$1:$C$175,$A104,Allocation!$E$1:$E$175,$C104))</f>
        <v/>
      </c>
      <c r="S104" t="str">
        <f>IF($A104="","",SUMIFS(Allocation!$K$1:$K$175,Allocation!$C$1:$C$175,$A104,Allocation!$E$1:$E$175,$C104))</f>
        <v/>
      </c>
      <c r="T104" t="str">
        <f>IF($A104="","",SUMIFS(Allocation!$I$1:$I$175,Allocation!$C$1:$C$175,$A104))</f>
        <v/>
      </c>
      <c r="U104" t="str">
        <f>IF($A104="","",SUMIFS(Allocation!$J$1:$J$175,Allocation!$C$1:$C$175,$A104))</f>
        <v/>
      </c>
      <c r="V104" t="str">
        <f>IF($A104="","",SUMIFS(Allocation!$K$1:$K$175,Allocation!$C$1:$C$175,$A104))</f>
        <v/>
      </c>
      <c r="W104" t="str">
        <f>IF($A104="","",SUMIFS(Compta!$F$1:$F$675,Compta!$A$1:$A$675,$B104,Compta!$B$1:$B$675,"621",Compta!$C$1:$C$675,$A104))</f>
        <v/>
      </c>
      <c r="X104" t="str">
        <f>IF($A104="","",SUMIFS(Compta!$F$1:$F$675,Compta!$A$1:$A$675,$B104,Compta!$B$1:$B$675,"6411",Compta!$C$1:$C$675,$A104))</f>
        <v/>
      </c>
      <c r="Y104" t="str">
        <f>IF($A104="","",SUMIFS(Compta!$F$1:$F$675,Compta!$A$1:$A$675,$B104,Compta!$B$1:$B$675,"604",Compta!$C$1:$C$675,$A104)+SUMIFS(Compta!$F$1:$F$675,Compta!$A$1:$A$675,$B104,Compta!$B$1:$B$675,"6063",Compta!$C$1:$C$675,$A104))</f>
        <v/>
      </c>
      <c r="Z104" t="str">
        <f>IF($A104="","",SUMIFS(Compta!$F$1:$F$675,Compta!$A$1:$A$675,$B104,Compta!$B$1:$B$675,"6231",Compta!$C$1:$C$675,$A104))</f>
        <v/>
      </c>
      <c r="AA104" t="str">
        <f>IF($A104="","",SUMIFS(Compta!$F$1:$F$675,Compta!$A$1:$A$675,$B104,Compta!$B$1:$B$675,"6413",Compta!$C$1:$C$675,$A104)+SUMIFS(Compta!$F$1:$F$675,Compta!$A$1:$A$675,$B104,Compta!$B$1:$B$675,"645",Compta!$C$1:$C$675,$A104)+SUMIFS(Compta!$F$1:$F$675,Compta!$A$1:$A$675,$B104,Compta!$B$1:$B$675,"613",Compta!$C$1:$C$675,$A104)+SUMIFS(Compta!$F$1:$F$675,Compta!$A$1:$A$675,$B104,Compta!$B$1:$B$675,"615",Compta!$C$1:$C$675,$A104)+SUMIFS(Compta!$F$1:$F$675,Compta!$A$1:$A$675,$B104,Compta!$B$1:$B$675,"616",Compta!$C$1:$C$675,$A104)+SUMIFS(Compta!$F$1:$F$675,Compta!$A$1:$A$675,$B104,Compta!$B$1:$B$675,"625",Compta!$C$1:$C$675,$A104)+SUMIFS(Compta!$F$1:$F$675,Compta!$A$1:$A$675,$B104,Compta!$B$1:$B$675,"63511",Compta!$C$1:$C$675,$A104))</f>
        <v/>
      </c>
      <c r="AB104" t="str">
        <f>IF($A104="","",SUMIFS(Compta!$F$1:$F$675,Compta!$A$1:$A$675,"GRP",Compta!$B$1:$B$675,"6414",Compta!$C$1:$C$675,$A104)+SUMIFS(Compta!$F$1:$F$675,Compta!$A$1:$A$675,"GRP",Compta!$B$1:$B$675,"6226",Compta!$C$1:$C$675,$A104)+SUMIFS(Compta!$F$1:$F$675,Compta!$A$1:$A$675,"GRP",Compta!$B$1:$B$675,"626",Compta!$C$1:$C$675,$A104)+SUMIFS(Compta!$F$1:$F$675,Compta!$A$1:$A$675,"GRP",Compta!$B$1:$B$675,"6281",Compta!$C$1:$C$675,$A104)+SUMIFS(Compta!$F$1:$F$675,Compta!$A$1:$A$675,"GRP",Compta!$B$1:$B$675,"6331",Compta!$C$1:$C$675,$A104)+SUMIFS(Compta!$F$1:$F$675,Compta!$A$1:$A$675,"GRP",Compta!$B$1:$B$675,"6333",Compta!$C$1:$C$675,$A104))</f>
        <v/>
      </c>
      <c r="AC104" t="s">
        <v>297</v>
      </c>
      <c r="AD104" t="s">
        <v>297</v>
      </c>
      <c r="AE104" t="s">
        <v>297</v>
      </c>
      <c r="AF104" t="s">
        <v>297</v>
      </c>
      <c r="AG104" t="s">
        <v>297</v>
      </c>
      <c r="AH104" t="s">
        <v>297</v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 t="str">
        <f>IF($A104="","",SUMIFS(Compta!$F$1:$F$675,Compta!$A$1:$A$675,"GRP",Compta!$B$1:$B$675,"6236",Compta!$C$1:$C$675,$A104))</f>
        <v/>
      </c>
      <c r="AP104" t="s">
        <v>297</v>
      </c>
      <c r="AQ104" t="s">
        <v>297</v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IF(Allocation!D105="","",Allocation!I105)</f>
        <v/>
      </c>
      <c r="H105" t="str">
        <f>IF(Allocation!D105="","",Allocation!J105)</f>
        <v/>
      </c>
      <c r="I105" t="str">
        <f>IF(Allocation!D105="","",Allocation!K105)</f>
        <v/>
      </c>
      <c r="J105" t="str">
        <f>IF($A105="","",SUMIFS(Socle!$K$1:$K$175,Socle!$C$1:$C$175,$B105,Socle!$D$1:$D$175,$D105,Socle!$E$1:$E$175,$E105,Socle!$F$1:$F$175,$F105,Socle!$G$1:$G$175,$A105))</f>
        <v/>
      </c>
      <c r="K105" t="str">
        <f t="shared" si="10"/>
        <v/>
      </c>
      <c r="L105" t="str">
        <f>IF($A105="","",SUMIFS(Allocation!$I$1:$I$175,Allocation!$C$1:$C$175,$A105,Allocation!$D$1:$D$175,$B105))</f>
        <v/>
      </c>
      <c r="M105" t="str">
        <f>IF($A105="","",SUMIFS(Allocation!$J$1:$J$175,Allocation!$C$1:$C$175,$A105,Allocation!$D$1:$D$175,$B105))</f>
        <v/>
      </c>
      <c r="N105" t="str">
        <f>IF($A105="","",SUMIFS(Allocation!$K$1:$K$175,Allocation!$C$1:$C$175,$A105,Allocation!$D$1:$D$175,$B105))</f>
        <v/>
      </c>
      <c r="O105" t="str">
        <f t="shared" si="11"/>
        <v/>
      </c>
      <c r="P105" t="str">
        <f t="shared" si="12"/>
        <v/>
      </c>
      <c r="Q105" t="str">
        <f>IF($A105="","",SUMIFS(Allocation!$I$1:$I$175,Allocation!$C$1:$C$175,$A105,Allocation!$E$1:$E$175,$C105))</f>
        <v/>
      </c>
      <c r="R105" t="str">
        <f>IF($A105="","",SUMIFS(Allocation!$J$1:$J$175,Allocation!$C$1:$C$175,$A105,Allocation!$E$1:$E$175,$C105))</f>
        <v/>
      </c>
      <c r="S105" t="str">
        <f>IF($A105="","",SUMIFS(Allocation!$K$1:$K$175,Allocation!$C$1:$C$175,$A105,Allocation!$E$1:$E$175,$C105))</f>
        <v/>
      </c>
      <c r="T105" t="str">
        <f>IF($A105="","",SUMIFS(Allocation!$I$1:$I$175,Allocation!$C$1:$C$175,$A105))</f>
        <v/>
      </c>
      <c r="U105" t="str">
        <f>IF($A105="","",SUMIFS(Allocation!$J$1:$J$175,Allocation!$C$1:$C$175,$A105))</f>
        <v/>
      </c>
      <c r="V105" t="str">
        <f>IF($A105="","",SUMIFS(Allocation!$K$1:$K$175,Allocation!$C$1:$C$175,$A105))</f>
        <v/>
      </c>
      <c r="W105" t="str">
        <f>IF($A105="","",SUMIFS(Compta!$F$1:$F$675,Compta!$A$1:$A$675,$B105,Compta!$B$1:$B$675,"621",Compta!$C$1:$C$675,$A105))</f>
        <v/>
      </c>
      <c r="X105" t="str">
        <f>IF($A105="","",SUMIFS(Compta!$F$1:$F$675,Compta!$A$1:$A$675,$B105,Compta!$B$1:$B$675,"6411",Compta!$C$1:$C$675,$A105))</f>
        <v/>
      </c>
      <c r="Y105" t="str">
        <f>IF($A105="","",SUMIFS(Compta!$F$1:$F$675,Compta!$A$1:$A$675,$B105,Compta!$B$1:$B$675,"604",Compta!$C$1:$C$675,$A105)+SUMIFS(Compta!$F$1:$F$675,Compta!$A$1:$A$675,$B105,Compta!$B$1:$B$675,"6063",Compta!$C$1:$C$675,$A105))</f>
        <v/>
      </c>
      <c r="Z105" t="str">
        <f>IF($A105="","",SUMIFS(Compta!$F$1:$F$675,Compta!$A$1:$A$675,$B105,Compta!$B$1:$B$675,"6231",Compta!$C$1:$C$675,$A105))</f>
        <v/>
      </c>
      <c r="AA105" t="str">
        <f>IF($A105="","",SUMIFS(Compta!$F$1:$F$675,Compta!$A$1:$A$675,$B105,Compta!$B$1:$B$675,"6413",Compta!$C$1:$C$675,$A105)+SUMIFS(Compta!$F$1:$F$675,Compta!$A$1:$A$675,$B105,Compta!$B$1:$B$675,"645",Compta!$C$1:$C$675,$A105)+SUMIFS(Compta!$F$1:$F$675,Compta!$A$1:$A$675,$B105,Compta!$B$1:$B$675,"613",Compta!$C$1:$C$675,$A105)+SUMIFS(Compta!$F$1:$F$675,Compta!$A$1:$A$675,$B105,Compta!$B$1:$B$675,"615",Compta!$C$1:$C$675,$A105)+SUMIFS(Compta!$F$1:$F$675,Compta!$A$1:$A$675,$B105,Compta!$B$1:$B$675,"616",Compta!$C$1:$C$675,$A105)+SUMIFS(Compta!$F$1:$F$675,Compta!$A$1:$A$675,$B105,Compta!$B$1:$B$675,"625",Compta!$C$1:$C$675,$A105)+SUMIFS(Compta!$F$1:$F$675,Compta!$A$1:$A$675,$B105,Compta!$B$1:$B$675,"63511",Compta!$C$1:$C$675,$A105))</f>
        <v/>
      </c>
      <c r="AB105" t="str">
        <f>IF($A105="","",SUMIFS(Compta!$F$1:$F$675,Compta!$A$1:$A$675,"GRP",Compta!$B$1:$B$675,"6414",Compta!$C$1:$C$675,$A105)+SUMIFS(Compta!$F$1:$F$675,Compta!$A$1:$A$675,"GRP",Compta!$B$1:$B$675,"6226",Compta!$C$1:$C$675,$A105)+SUMIFS(Compta!$F$1:$F$675,Compta!$A$1:$A$675,"GRP",Compta!$B$1:$B$675,"626",Compta!$C$1:$C$675,$A105)+SUMIFS(Compta!$F$1:$F$675,Compta!$A$1:$A$675,"GRP",Compta!$B$1:$B$675,"6281",Compta!$C$1:$C$675,$A105)+SUMIFS(Compta!$F$1:$F$675,Compta!$A$1:$A$675,"GRP",Compta!$B$1:$B$675,"6331",Compta!$C$1:$C$675,$A105)+SUMIFS(Compta!$F$1:$F$675,Compta!$A$1:$A$675,"GRP",Compta!$B$1:$B$675,"6333",Compta!$C$1:$C$675,$A105))</f>
        <v/>
      </c>
      <c r="AC105" t="s">
        <v>297</v>
      </c>
      <c r="AD105" t="s">
        <v>297</v>
      </c>
      <c r="AE105" t="s">
        <v>297</v>
      </c>
      <c r="AF105" t="s">
        <v>297</v>
      </c>
      <c r="AG105" t="s">
        <v>297</v>
      </c>
      <c r="AH105" t="s">
        <v>297</v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 t="str">
        <f>IF($A105="","",SUMIFS(Compta!$F$1:$F$675,Compta!$A$1:$A$675,"GRP",Compta!$B$1:$B$675,"6236",Compta!$C$1:$C$675,$A105))</f>
        <v/>
      </c>
      <c r="AP105" t="s">
        <v>297</v>
      </c>
      <c r="AQ105" t="s">
        <v>297</v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IF(Allocation!D106="","",Allocation!I106)</f>
        <v/>
      </c>
      <c r="H106" t="str">
        <f>IF(Allocation!D106="","",Allocation!J106)</f>
        <v/>
      </c>
      <c r="I106" t="str">
        <f>IF(Allocation!D106="","",Allocation!K106)</f>
        <v/>
      </c>
      <c r="J106" t="str">
        <f>IF($A106="","",SUMIFS(Socle!$K$1:$K$175,Socle!$C$1:$C$175,$B106,Socle!$D$1:$D$175,$D106,Socle!$E$1:$E$175,$E106,Socle!$F$1:$F$175,$F106,Socle!$G$1:$G$175,$A106))</f>
        <v/>
      </c>
      <c r="K106" t="str">
        <f t="shared" si="10"/>
        <v/>
      </c>
      <c r="L106" t="str">
        <f>IF($A106="","",SUMIFS(Allocation!$I$1:$I$175,Allocation!$C$1:$C$175,$A106,Allocation!$D$1:$D$175,$B106))</f>
        <v/>
      </c>
      <c r="M106" t="str">
        <f>IF($A106="","",SUMIFS(Allocation!$J$1:$J$175,Allocation!$C$1:$C$175,$A106,Allocation!$D$1:$D$175,$B106))</f>
        <v/>
      </c>
      <c r="N106" t="str">
        <f>IF($A106="","",SUMIFS(Allocation!$K$1:$K$175,Allocation!$C$1:$C$175,$A106,Allocation!$D$1:$D$175,$B106))</f>
        <v/>
      </c>
      <c r="O106" t="str">
        <f t="shared" si="11"/>
        <v/>
      </c>
      <c r="P106" t="str">
        <f t="shared" si="12"/>
        <v/>
      </c>
      <c r="Q106" t="str">
        <f>IF($A106="","",SUMIFS(Allocation!$I$1:$I$175,Allocation!$C$1:$C$175,$A106,Allocation!$E$1:$E$175,$C106))</f>
        <v/>
      </c>
      <c r="R106" t="str">
        <f>IF($A106="","",SUMIFS(Allocation!$J$1:$J$175,Allocation!$C$1:$C$175,$A106,Allocation!$E$1:$E$175,$C106))</f>
        <v/>
      </c>
      <c r="S106" t="str">
        <f>IF($A106="","",SUMIFS(Allocation!$K$1:$K$175,Allocation!$C$1:$C$175,$A106,Allocation!$E$1:$E$175,$C106))</f>
        <v/>
      </c>
      <c r="T106" t="str">
        <f>IF($A106="","",SUMIFS(Allocation!$I$1:$I$175,Allocation!$C$1:$C$175,$A106))</f>
        <v/>
      </c>
      <c r="U106" t="str">
        <f>IF($A106="","",SUMIFS(Allocation!$J$1:$J$175,Allocation!$C$1:$C$175,$A106))</f>
        <v/>
      </c>
      <c r="V106" t="str">
        <f>IF($A106="","",SUMIFS(Allocation!$K$1:$K$175,Allocation!$C$1:$C$175,$A106))</f>
        <v/>
      </c>
      <c r="W106" t="str">
        <f>IF($A106="","",SUMIFS(Compta!$F$1:$F$675,Compta!$A$1:$A$675,$B106,Compta!$B$1:$B$675,"621",Compta!$C$1:$C$675,$A106))</f>
        <v/>
      </c>
      <c r="X106" t="str">
        <f>IF($A106="","",SUMIFS(Compta!$F$1:$F$675,Compta!$A$1:$A$675,$B106,Compta!$B$1:$B$675,"6411",Compta!$C$1:$C$675,$A106))</f>
        <v/>
      </c>
      <c r="Y106" t="str">
        <f>IF($A106="","",SUMIFS(Compta!$F$1:$F$675,Compta!$A$1:$A$675,$B106,Compta!$B$1:$B$675,"604",Compta!$C$1:$C$675,$A106)+SUMIFS(Compta!$F$1:$F$675,Compta!$A$1:$A$675,$B106,Compta!$B$1:$B$675,"6063",Compta!$C$1:$C$675,$A106))</f>
        <v/>
      </c>
      <c r="Z106" t="str">
        <f>IF($A106="","",SUMIFS(Compta!$F$1:$F$675,Compta!$A$1:$A$675,$B106,Compta!$B$1:$B$675,"6231",Compta!$C$1:$C$675,$A106))</f>
        <v/>
      </c>
      <c r="AA106" t="str">
        <f>IF($A106="","",SUMIFS(Compta!$F$1:$F$675,Compta!$A$1:$A$675,$B106,Compta!$B$1:$B$675,"6413",Compta!$C$1:$C$675,$A106)+SUMIFS(Compta!$F$1:$F$675,Compta!$A$1:$A$675,$B106,Compta!$B$1:$B$675,"645",Compta!$C$1:$C$675,$A106)+SUMIFS(Compta!$F$1:$F$675,Compta!$A$1:$A$675,$B106,Compta!$B$1:$B$675,"613",Compta!$C$1:$C$675,$A106)+SUMIFS(Compta!$F$1:$F$675,Compta!$A$1:$A$675,$B106,Compta!$B$1:$B$675,"615",Compta!$C$1:$C$675,$A106)+SUMIFS(Compta!$F$1:$F$675,Compta!$A$1:$A$675,$B106,Compta!$B$1:$B$675,"616",Compta!$C$1:$C$675,$A106)+SUMIFS(Compta!$F$1:$F$675,Compta!$A$1:$A$675,$B106,Compta!$B$1:$B$675,"625",Compta!$C$1:$C$675,$A106)+SUMIFS(Compta!$F$1:$F$675,Compta!$A$1:$A$675,$B106,Compta!$B$1:$B$675,"63511",Compta!$C$1:$C$675,$A106))</f>
        <v/>
      </c>
      <c r="AB106" t="str">
        <f>IF($A106="","",SUMIFS(Compta!$F$1:$F$675,Compta!$A$1:$A$675,"GRP",Compta!$B$1:$B$675,"6414",Compta!$C$1:$C$675,$A106)+SUMIFS(Compta!$F$1:$F$675,Compta!$A$1:$A$675,"GRP",Compta!$B$1:$B$675,"6226",Compta!$C$1:$C$675,$A106)+SUMIFS(Compta!$F$1:$F$675,Compta!$A$1:$A$675,"GRP",Compta!$B$1:$B$675,"626",Compta!$C$1:$C$675,$A106)+SUMIFS(Compta!$F$1:$F$675,Compta!$A$1:$A$675,"GRP",Compta!$B$1:$B$675,"6281",Compta!$C$1:$C$675,$A106)+SUMIFS(Compta!$F$1:$F$675,Compta!$A$1:$A$675,"GRP",Compta!$B$1:$B$675,"6331",Compta!$C$1:$C$675,$A106)+SUMIFS(Compta!$F$1:$F$675,Compta!$A$1:$A$675,"GRP",Compta!$B$1:$B$675,"6333",Compta!$C$1:$C$675,$A106))</f>
        <v/>
      </c>
      <c r="AC106" t="s">
        <v>297</v>
      </c>
      <c r="AD106" t="s">
        <v>297</v>
      </c>
      <c r="AE106" t="s">
        <v>297</v>
      </c>
      <c r="AF106" t="s">
        <v>297</v>
      </c>
      <c r="AG106" t="s">
        <v>297</v>
      </c>
      <c r="AH106" t="s">
        <v>297</v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 t="str">
        <f>IF($A106="","",SUMIFS(Compta!$F$1:$F$675,Compta!$A$1:$A$675,"GRP",Compta!$B$1:$B$675,"6236",Compta!$C$1:$C$675,$A106))</f>
        <v/>
      </c>
      <c r="AP106" t="s">
        <v>297</v>
      </c>
      <c r="AQ106" t="s">
        <v>297</v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IF(Allocation!D107="","",Allocation!I107)</f>
        <v/>
      </c>
      <c r="H107" t="str">
        <f>IF(Allocation!D107="","",Allocation!J107)</f>
        <v/>
      </c>
      <c r="I107" t="str">
        <f>IF(Allocation!D107="","",Allocation!K107)</f>
        <v/>
      </c>
      <c r="J107" t="str">
        <f>IF($A107="","",SUMIFS(Socle!$K$1:$K$175,Socle!$C$1:$C$175,$B107,Socle!$D$1:$D$175,$D107,Socle!$E$1:$E$175,$E107,Socle!$F$1:$F$175,$F107,Socle!$G$1:$G$175,$A107))</f>
        <v/>
      </c>
      <c r="K107" t="str">
        <f t="shared" si="10"/>
        <v/>
      </c>
      <c r="L107" t="str">
        <f>IF($A107="","",SUMIFS(Allocation!$I$1:$I$175,Allocation!$C$1:$C$175,$A107,Allocation!$D$1:$D$175,$B107))</f>
        <v/>
      </c>
      <c r="M107" t="str">
        <f>IF($A107="","",SUMIFS(Allocation!$J$1:$J$175,Allocation!$C$1:$C$175,$A107,Allocation!$D$1:$D$175,$B107))</f>
        <v/>
      </c>
      <c r="N107" t="str">
        <f>IF($A107="","",SUMIFS(Allocation!$K$1:$K$175,Allocation!$C$1:$C$175,$A107,Allocation!$D$1:$D$175,$B107))</f>
        <v/>
      </c>
      <c r="O107" t="str">
        <f t="shared" si="11"/>
        <v/>
      </c>
      <c r="P107" t="str">
        <f t="shared" si="12"/>
        <v/>
      </c>
      <c r="Q107" t="str">
        <f>IF($A107="","",SUMIFS(Allocation!$I$1:$I$175,Allocation!$C$1:$C$175,$A107,Allocation!$E$1:$E$175,$C107))</f>
        <v/>
      </c>
      <c r="R107" t="str">
        <f>IF($A107="","",SUMIFS(Allocation!$J$1:$J$175,Allocation!$C$1:$C$175,$A107,Allocation!$E$1:$E$175,$C107))</f>
        <v/>
      </c>
      <c r="S107" t="str">
        <f>IF($A107="","",SUMIFS(Allocation!$K$1:$K$175,Allocation!$C$1:$C$175,$A107,Allocation!$E$1:$E$175,$C107))</f>
        <v/>
      </c>
      <c r="T107" t="str">
        <f>IF($A107="","",SUMIFS(Allocation!$I$1:$I$175,Allocation!$C$1:$C$175,$A107))</f>
        <v/>
      </c>
      <c r="U107" t="str">
        <f>IF($A107="","",SUMIFS(Allocation!$J$1:$J$175,Allocation!$C$1:$C$175,$A107))</f>
        <v/>
      </c>
      <c r="V107" t="str">
        <f>IF($A107="","",SUMIFS(Allocation!$K$1:$K$175,Allocation!$C$1:$C$175,$A107))</f>
        <v/>
      </c>
      <c r="W107" t="str">
        <f>IF($A107="","",SUMIFS(Compta!$F$1:$F$675,Compta!$A$1:$A$675,$B107,Compta!$B$1:$B$675,"621",Compta!$C$1:$C$675,$A107))</f>
        <v/>
      </c>
      <c r="X107" t="str">
        <f>IF($A107="","",SUMIFS(Compta!$F$1:$F$675,Compta!$A$1:$A$675,$B107,Compta!$B$1:$B$675,"6411",Compta!$C$1:$C$675,$A107))</f>
        <v/>
      </c>
      <c r="Y107" t="str">
        <f>IF($A107="","",SUMIFS(Compta!$F$1:$F$675,Compta!$A$1:$A$675,$B107,Compta!$B$1:$B$675,"604",Compta!$C$1:$C$675,$A107)+SUMIFS(Compta!$F$1:$F$675,Compta!$A$1:$A$675,$B107,Compta!$B$1:$B$675,"6063",Compta!$C$1:$C$675,$A107))</f>
        <v/>
      </c>
      <c r="Z107" t="str">
        <f>IF($A107="","",SUMIFS(Compta!$F$1:$F$675,Compta!$A$1:$A$675,$B107,Compta!$B$1:$B$675,"6231",Compta!$C$1:$C$675,$A107))</f>
        <v/>
      </c>
      <c r="AA107" t="str">
        <f>IF($A107="","",SUMIFS(Compta!$F$1:$F$675,Compta!$A$1:$A$675,$B107,Compta!$B$1:$B$675,"6413",Compta!$C$1:$C$675,$A107)+SUMIFS(Compta!$F$1:$F$675,Compta!$A$1:$A$675,$B107,Compta!$B$1:$B$675,"645",Compta!$C$1:$C$675,$A107)+SUMIFS(Compta!$F$1:$F$675,Compta!$A$1:$A$675,$B107,Compta!$B$1:$B$675,"613",Compta!$C$1:$C$675,$A107)+SUMIFS(Compta!$F$1:$F$675,Compta!$A$1:$A$675,$B107,Compta!$B$1:$B$675,"615",Compta!$C$1:$C$675,$A107)+SUMIFS(Compta!$F$1:$F$675,Compta!$A$1:$A$675,$B107,Compta!$B$1:$B$675,"616",Compta!$C$1:$C$675,$A107)+SUMIFS(Compta!$F$1:$F$675,Compta!$A$1:$A$675,$B107,Compta!$B$1:$B$675,"625",Compta!$C$1:$C$675,$A107)+SUMIFS(Compta!$F$1:$F$675,Compta!$A$1:$A$675,$B107,Compta!$B$1:$B$675,"63511",Compta!$C$1:$C$675,$A107))</f>
        <v/>
      </c>
      <c r="AB107" t="str">
        <f>IF($A107="","",SUMIFS(Compta!$F$1:$F$675,Compta!$A$1:$A$675,"GRP",Compta!$B$1:$B$675,"6414",Compta!$C$1:$C$675,$A107)+SUMIFS(Compta!$F$1:$F$675,Compta!$A$1:$A$675,"GRP",Compta!$B$1:$B$675,"6226",Compta!$C$1:$C$675,$A107)+SUMIFS(Compta!$F$1:$F$675,Compta!$A$1:$A$675,"GRP",Compta!$B$1:$B$675,"626",Compta!$C$1:$C$675,$A107)+SUMIFS(Compta!$F$1:$F$675,Compta!$A$1:$A$675,"GRP",Compta!$B$1:$B$675,"6281",Compta!$C$1:$C$675,$A107)+SUMIFS(Compta!$F$1:$F$675,Compta!$A$1:$A$675,"GRP",Compta!$B$1:$B$675,"6331",Compta!$C$1:$C$675,$A107)+SUMIFS(Compta!$F$1:$F$675,Compta!$A$1:$A$675,"GRP",Compta!$B$1:$B$675,"6333",Compta!$C$1:$C$675,$A107))</f>
        <v/>
      </c>
      <c r="AC107" t="s">
        <v>297</v>
      </c>
      <c r="AD107" t="s">
        <v>297</v>
      </c>
      <c r="AE107" t="s">
        <v>297</v>
      </c>
      <c r="AF107" t="s">
        <v>297</v>
      </c>
      <c r="AG107" t="s">
        <v>297</v>
      </c>
      <c r="AH107" t="s">
        <v>297</v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 t="str">
        <f>IF($A107="","",SUMIFS(Compta!$F$1:$F$675,Compta!$A$1:$A$675,"GRP",Compta!$B$1:$B$675,"6236",Compta!$C$1:$C$675,$A107))</f>
        <v/>
      </c>
      <c r="AP107" t="s">
        <v>297</v>
      </c>
      <c r="AQ107" t="s">
        <v>297</v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IF(Allocation!D108="","",Allocation!I108)</f>
        <v/>
      </c>
      <c r="H108" t="str">
        <f>IF(Allocation!D108="","",Allocation!J108)</f>
        <v/>
      </c>
      <c r="I108" t="str">
        <f>IF(Allocation!D108="","",Allocation!K108)</f>
        <v/>
      </c>
      <c r="J108" t="str">
        <f>IF($A108="","",SUMIFS(Socle!$K$1:$K$175,Socle!$C$1:$C$175,$B108,Socle!$D$1:$D$175,$D108,Socle!$E$1:$E$175,$E108,Socle!$F$1:$F$175,$F108,Socle!$G$1:$G$175,$A108))</f>
        <v/>
      </c>
      <c r="K108" t="str">
        <f t="shared" si="10"/>
        <v/>
      </c>
      <c r="L108" t="str">
        <f>IF($A108="","",SUMIFS(Allocation!$I$1:$I$175,Allocation!$C$1:$C$175,$A108,Allocation!$D$1:$D$175,$B108))</f>
        <v/>
      </c>
      <c r="M108" t="str">
        <f>IF($A108="","",SUMIFS(Allocation!$J$1:$J$175,Allocation!$C$1:$C$175,$A108,Allocation!$D$1:$D$175,$B108))</f>
        <v/>
      </c>
      <c r="N108" t="str">
        <f>IF($A108="","",SUMIFS(Allocation!$K$1:$K$175,Allocation!$C$1:$C$175,$A108,Allocation!$D$1:$D$175,$B108))</f>
        <v/>
      </c>
      <c r="O108" t="str">
        <f t="shared" si="11"/>
        <v/>
      </c>
      <c r="P108" t="str">
        <f t="shared" si="12"/>
        <v/>
      </c>
      <c r="Q108" t="str">
        <f>IF($A108="","",SUMIFS(Allocation!$I$1:$I$175,Allocation!$C$1:$C$175,$A108,Allocation!$E$1:$E$175,$C108))</f>
        <v/>
      </c>
      <c r="R108" t="str">
        <f>IF($A108="","",SUMIFS(Allocation!$J$1:$J$175,Allocation!$C$1:$C$175,$A108,Allocation!$E$1:$E$175,$C108))</f>
        <v/>
      </c>
      <c r="S108" t="str">
        <f>IF($A108="","",SUMIFS(Allocation!$K$1:$K$175,Allocation!$C$1:$C$175,$A108,Allocation!$E$1:$E$175,$C108))</f>
        <v/>
      </c>
      <c r="T108" t="str">
        <f>IF($A108="","",SUMIFS(Allocation!$I$1:$I$175,Allocation!$C$1:$C$175,$A108))</f>
        <v/>
      </c>
      <c r="U108" t="str">
        <f>IF($A108="","",SUMIFS(Allocation!$J$1:$J$175,Allocation!$C$1:$C$175,$A108))</f>
        <v/>
      </c>
      <c r="V108" t="str">
        <f>IF($A108="","",SUMIFS(Allocation!$K$1:$K$175,Allocation!$C$1:$C$175,$A108))</f>
        <v/>
      </c>
      <c r="W108" t="str">
        <f>IF($A108="","",SUMIFS(Compta!$F$1:$F$675,Compta!$A$1:$A$675,$B108,Compta!$B$1:$B$675,"621",Compta!$C$1:$C$675,$A108))</f>
        <v/>
      </c>
      <c r="X108" t="str">
        <f>IF($A108="","",SUMIFS(Compta!$F$1:$F$675,Compta!$A$1:$A$675,$B108,Compta!$B$1:$B$675,"6411",Compta!$C$1:$C$675,$A108))</f>
        <v/>
      </c>
      <c r="Y108" t="str">
        <f>IF($A108="","",SUMIFS(Compta!$F$1:$F$675,Compta!$A$1:$A$675,$B108,Compta!$B$1:$B$675,"604",Compta!$C$1:$C$675,$A108)+SUMIFS(Compta!$F$1:$F$675,Compta!$A$1:$A$675,$B108,Compta!$B$1:$B$675,"6063",Compta!$C$1:$C$675,$A108))</f>
        <v/>
      </c>
      <c r="Z108" t="str">
        <f>IF($A108="","",SUMIFS(Compta!$F$1:$F$675,Compta!$A$1:$A$675,$B108,Compta!$B$1:$B$675,"6231",Compta!$C$1:$C$675,$A108))</f>
        <v/>
      </c>
      <c r="AA108" t="str">
        <f>IF($A108="","",SUMIFS(Compta!$F$1:$F$675,Compta!$A$1:$A$675,$B108,Compta!$B$1:$B$675,"6413",Compta!$C$1:$C$675,$A108)+SUMIFS(Compta!$F$1:$F$675,Compta!$A$1:$A$675,$B108,Compta!$B$1:$B$675,"645",Compta!$C$1:$C$675,$A108)+SUMIFS(Compta!$F$1:$F$675,Compta!$A$1:$A$675,$B108,Compta!$B$1:$B$675,"613",Compta!$C$1:$C$675,$A108)+SUMIFS(Compta!$F$1:$F$675,Compta!$A$1:$A$675,$B108,Compta!$B$1:$B$675,"615",Compta!$C$1:$C$675,$A108)+SUMIFS(Compta!$F$1:$F$675,Compta!$A$1:$A$675,$B108,Compta!$B$1:$B$675,"616",Compta!$C$1:$C$675,$A108)+SUMIFS(Compta!$F$1:$F$675,Compta!$A$1:$A$675,$B108,Compta!$B$1:$B$675,"625",Compta!$C$1:$C$675,$A108)+SUMIFS(Compta!$F$1:$F$675,Compta!$A$1:$A$675,$B108,Compta!$B$1:$B$675,"63511",Compta!$C$1:$C$675,$A108))</f>
        <v/>
      </c>
      <c r="AB108" t="str">
        <f>IF($A108="","",SUMIFS(Compta!$F$1:$F$675,Compta!$A$1:$A$675,"GRP",Compta!$B$1:$B$675,"6414",Compta!$C$1:$C$675,$A108)+SUMIFS(Compta!$F$1:$F$675,Compta!$A$1:$A$675,"GRP",Compta!$B$1:$B$675,"6226",Compta!$C$1:$C$675,$A108)+SUMIFS(Compta!$F$1:$F$675,Compta!$A$1:$A$675,"GRP",Compta!$B$1:$B$675,"626",Compta!$C$1:$C$675,$A108)+SUMIFS(Compta!$F$1:$F$675,Compta!$A$1:$A$675,"GRP",Compta!$B$1:$B$675,"6281",Compta!$C$1:$C$675,$A108)+SUMIFS(Compta!$F$1:$F$675,Compta!$A$1:$A$675,"GRP",Compta!$B$1:$B$675,"6331",Compta!$C$1:$C$675,$A108)+SUMIFS(Compta!$F$1:$F$675,Compta!$A$1:$A$675,"GRP",Compta!$B$1:$B$675,"6333",Compta!$C$1:$C$675,$A108))</f>
        <v/>
      </c>
      <c r="AC108" t="s">
        <v>297</v>
      </c>
      <c r="AD108" t="s">
        <v>297</v>
      </c>
      <c r="AE108" t="s">
        <v>297</v>
      </c>
      <c r="AF108" t="s">
        <v>297</v>
      </c>
      <c r="AG108" t="s">
        <v>297</v>
      </c>
      <c r="AH108" t="s">
        <v>297</v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 t="str">
        <f>IF($A108="","",SUMIFS(Compta!$F$1:$F$675,Compta!$A$1:$A$675,"GRP",Compta!$B$1:$B$675,"6236",Compta!$C$1:$C$675,$A108))</f>
        <v/>
      </c>
      <c r="AP108" t="s">
        <v>297</v>
      </c>
      <c r="AQ108" t="s">
        <v>297</v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IF(Allocation!D109="","",Allocation!I109)</f>
        <v/>
      </c>
      <c r="H109" t="str">
        <f>IF(Allocation!D109="","",Allocation!J109)</f>
        <v/>
      </c>
      <c r="I109" t="str">
        <f>IF(Allocation!D109="","",Allocation!K109)</f>
        <v/>
      </c>
      <c r="J109" t="str">
        <f>IF($A109="","",SUMIFS(Socle!$K$1:$K$175,Socle!$C$1:$C$175,$B109,Socle!$D$1:$D$175,$D109,Socle!$E$1:$E$175,$E109,Socle!$F$1:$F$175,$F109,Socle!$G$1:$G$175,$A109))</f>
        <v/>
      </c>
      <c r="K109" t="str">
        <f t="shared" si="10"/>
        <v/>
      </c>
      <c r="L109" t="str">
        <f>IF($A109="","",SUMIFS(Allocation!$I$1:$I$175,Allocation!$C$1:$C$175,$A109,Allocation!$D$1:$D$175,$B109))</f>
        <v/>
      </c>
      <c r="M109" t="str">
        <f>IF($A109="","",SUMIFS(Allocation!$J$1:$J$175,Allocation!$C$1:$C$175,$A109,Allocation!$D$1:$D$175,$B109))</f>
        <v/>
      </c>
      <c r="N109" t="str">
        <f>IF($A109="","",SUMIFS(Allocation!$K$1:$K$175,Allocation!$C$1:$C$175,$A109,Allocation!$D$1:$D$175,$B109))</f>
        <v/>
      </c>
      <c r="O109" t="str">
        <f t="shared" si="11"/>
        <v/>
      </c>
      <c r="P109" t="str">
        <f t="shared" si="12"/>
        <v/>
      </c>
      <c r="Q109" t="str">
        <f>IF($A109="","",SUMIFS(Allocation!$I$1:$I$175,Allocation!$C$1:$C$175,$A109,Allocation!$E$1:$E$175,$C109))</f>
        <v/>
      </c>
      <c r="R109" t="str">
        <f>IF($A109="","",SUMIFS(Allocation!$J$1:$J$175,Allocation!$C$1:$C$175,$A109,Allocation!$E$1:$E$175,$C109))</f>
        <v/>
      </c>
      <c r="S109" t="str">
        <f>IF($A109="","",SUMIFS(Allocation!$K$1:$K$175,Allocation!$C$1:$C$175,$A109,Allocation!$E$1:$E$175,$C109))</f>
        <v/>
      </c>
      <c r="T109" t="str">
        <f>IF($A109="","",SUMIFS(Allocation!$I$1:$I$175,Allocation!$C$1:$C$175,$A109))</f>
        <v/>
      </c>
      <c r="U109" t="str">
        <f>IF($A109="","",SUMIFS(Allocation!$J$1:$J$175,Allocation!$C$1:$C$175,$A109))</f>
        <v/>
      </c>
      <c r="V109" t="str">
        <f>IF($A109="","",SUMIFS(Allocation!$K$1:$K$175,Allocation!$C$1:$C$175,$A109))</f>
        <v/>
      </c>
      <c r="W109" t="str">
        <f>IF($A109="","",SUMIFS(Compta!$F$1:$F$675,Compta!$A$1:$A$675,$B109,Compta!$B$1:$B$675,"621",Compta!$C$1:$C$675,$A109))</f>
        <v/>
      </c>
      <c r="X109" t="str">
        <f>IF($A109="","",SUMIFS(Compta!$F$1:$F$675,Compta!$A$1:$A$675,$B109,Compta!$B$1:$B$675,"6411",Compta!$C$1:$C$675,$A109))</f>
        <v/>
      </c>
      <c r="Y109" t="str">
        <f>IF($A109="","",SUMIFS(Compta!$F$1:$F$675,Compta!$A$1:$A$675,$B109,Compta!$B$1:$B$675,"604",Compta!$C$1:$C$675,$A109)+SUMIFS(Compta!$F$1:$F$675,Compta!$A$1:$A$675,$B109,Compta!$B$1:$B$675,"6063",Compta!$C$1:$C$675,$A109))</f>
        <v/>
      </c>
      <c r="Z109" t="str">
        <f>IF($A109="","",SUMIFS(Compta!$F$1:$F$675,Compta!$A$1:$A$675,$B109,Compta!$B$1:$B$675,"6231",Compta!$C$1:$C$675,$A109))</f>
        <v/>
      </c>
      <c r="AA109" t="str">
        <f>IF($A109="","",SUMIFS(Compta!$F$1:$F$675,Compta!$A$1:$A$675,$B109,Compta!$B$1:$B$675,"6413",Compta!$C$1:$C$675,$A109)+SUMIFS(Compta!$F$1:$F$675,Compta!$A$1:$A$675,$B109,Compta!$B$1:$B$675,"645",Compta!$C$1:$C$675,$A109)+SUMIFS(Compta!$F$1:$F$675,Compta!$A$1:$A$675,$B109,Compta!$B$1:$B$675,"613",Compta!$C$1:$C$675,$A109)+SUMIFS(Compta!$F$1:$F$675,Compta!$A$1:$A$675,$B109,Compta!$B$1:$B$675,"615",Compta!$C$1:$C$675,$A109)+SUMIFS(Compta!$F$1:$F$675,Compta!$A$1:$A$675,$B109,Compta!$B$1:$B$675,"616",Compta!$C$1:$C$675,$A109)+SUMIFS(Compta!$F$1:$F$675,Compta!$A$1:$A$675,$B109,Compta!$B$1:$B$675,"625",Compta!$C$1:$C$675,$A109)+SUMIFS(Compta!$F$1:$F$675,Compta!$A$1:$A$675,$B109,Compta!$B$1:$B$675,"63511",Compta!$C$1:$C$675,$A109))</f>
        <v/>
      </c>
      <c r="AB109" t="str">
        <f>IF($A109="","",SUMIFS(Compta!$F$1:$F$675,Compta!$A$1:$A$675,"GRP",Compta!$B$1:$B$675,"6414",Compta!$C$1:$C$675,$A109)+SUMIFS(Compta!$F$1:$F$675,Compta!$A$1:$A$675,"GRP",Compta!$B$1:$B$675,"6226",Compta!$C$1:$C$675,$A109)+SUMIFS(Compta!$F$1:$F$675,Compta!$A$1:$A$675,"GRP",Compta!$B$1:$B$675,"626",Compta!$C$1:$C$675,$A109)+SUMIFS(Compta!$F$1:$F$675,Compta!$A$1:$A$675,"GRP",Compta!$B$1:$B$675,"6281",Compta!$C$1:$C$675,$A109)+SUMIFS(Compta!$F$1:$F$675,Compta!$A$1:$A$675,"GRP",Compta!$B$1:$B$675,"6331",Compta!$C$1:$C$675,$A109)+SUMIFS(Compta!$F$1:$F$675,Compta!$A$1:$A$675,"GRP",Compta!$B$1:$B$675,"6333",Compta!$C$1:$C$675,$A109))</f>
        <v/>
      </c>
      <c r="AC109" t="s">
        <v>297</v>
      </c>
      <c r="AD109" t="s">
        <v>297</v>
      </c>
      <c r="AE109" t="s">
        <v>297</v>
      </c>
      <c r="AF109" t="s">
        <v>297</v>
      </c>
      <c r="AG109" t="s">
        <v>297</v>
      </c>
      <c r="AH109" t="s">
        <v>297</v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 t="str">
        <f>IF($A109="","",SUMIFS(Compta!$F$1:$F$675,Compta!$A$1:$A$675,"GRP",Compta!$B$1:$B$675,"6236",Compta!$C$1:$C$675,$A109))</f>
        <v/>
      </c>
      <c r="AP109" t="s">
        <v>297</v>
      </c>
      <c r="AQ109" t="s">
        <v>297</v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IF(Allocation!D110="","",Allocation!I110)</f>
        <v/>
      </c>
      <c r="H110" t="str">
        <f>IF(Allocation!D110="","",Allocation!J110)</f>
        <v/>
      </c>
      <c r="I110" t="str">
        <f>IF(Allocation!D110="","",Allocation!K110)</f>
        <v/>
      </c>
      <c r="J110" t="str">
        <f>IF($A110="","",SUMIFS(Socle!$K$1:$K$175,Socle!$C$1:$C$175,$B110,Socle!$D$1:$D$175,$D110,Socle!$E$1:$E$175,$E110,Socle!$F$1:$F$175,$F110,Socle!$G$1:$G$175,$A110))</f>
        <v/>
      </c>
      <c r="K110" t="str">
        <f t="shared" si="10"/>
        <v/>
      </c>
      <c r="L110" t="str">
        <f>IF($A110="","",SUMIFS(Allocation!$I$1:$I$175,Allocation!$C$1:$C$175,$A110,Allocation!$D$1:$D$175,$B110))</f>
        <v/>
      </c>
      <c r="M110" t="str">
        <f>IF($A110="","",SUMIFS(Allocation!$J$1:$J$175,Allocation!$C$1:$C$175,$A110,Allocation!$D$1:$D$175,$B110))</f>
        <v/>
      </c>
      <c r="N110" t="str">
        <f>IF($A110="","",SUMIFS(Allocation!$K$1:$K$175,Allocation!$C$1:$C$175,$A110,Allocation!$D$1:$D$175,$B110))</f>
        <v/>
      </c>
      <c r="O110" t="str">
        <f t="shared" si="11"/>
        <v/>
      </c>
      <c r="P110" t="str">
        <f t="shared" si="12"/>
        <v/>
      </c>
      <c r="Q110" t="str">
        <f>IF($A110="","",SUMIFS(Allocation!$I$1:$I$175,Allocation!$C$1:$C$175,$A110,Allocation!$E$1:$E$175,$C110))</f>
        <v/>
      </c>
      <c r="R110" t="str">
        <f>IF($A110="","",SUMIFS(Allocation!$J$1:$J$175,Allocation!$C$1:$C$175,$A110,Allocation!$E$1:$E$175,$C110))</f>
        <v/>
      </c>
      <c r="S110" t="str">
        <f>IF($A110="","",SUMIFS(Allocation!$K$1:$K$175,Allocation!$C$1:$C$175,$A110,Allocation!$E$1:$E$175,$C110))</f>
        <v/>
      </c>
      <c r="T110" t="str">
        <f>IF($A110="","",SUMIFS(Allocation!$I$1:$I$175,Allocation!$C$1:$C$175,$A110))</f>
        <v/>
      </c>
      <c r="U110" t="str">
        <f>IF($A110="","",SUMIFS(Allocation!$J$1:$J$175,Allocation!$C$1:$C$175,$A110))</f>
        <v/>
      </c>
      <c r="V110" t="str">
        <f>IF($A110="","",SUMIFS(Allocation!$K$1:$K$175,Allocation!$C$1:$C$175,$A110))</f>
        <v/>
      </c>
      <c r="W110" t="str">
        <f>IF($A110="","",SUMIFS(Compta!$F$1:$F$675,Compta!$A$1:$A$675,$B110,Compta!$B$1:$B$675,"621",Compta!$C$1:$C$675,$A110))</f>
        <v/>
      </c>
      <c r="X110" t="str">
        <f>IF($A110="","",SUMIFS(Compta!$F$1:$F$675,Compta!$A$1:$A$675,$B110,Compta!$B$1:$B$675,"6411",Compta!$C$1:$C$675,$A110))</f>
        <v/>
      </c>
      <c r="Y110" t="str">
        <f>IF($A110="","",SUMIFS(Compta!$F$1:$F$675,Compta!$A$1:$A$675,$B110,Compta!$B$1:$B$675,"604",Compta!$C$1:$C$675,$A110)+SUMIFS(Compta!$F$1:$F$675,Compta!$A$1:$A$675,$B110,Compta!$B$1:$B$675,"6063",Compta!$C$1:$C$675,$A110))</f>
        <v/>
      </c>
      <c r="Z110" t="str">
        <f>IF($A110="","",SUMIFS(Compta!$F$1:$F$675,Compta!$A$1:$A$675,$B110,Compta!$B$1:$B$675,"6231",Compta!$C$1:$C$675,$A110))</f>
        <v/>
      </c>
      <c r="AA110" t="str">
        <f>IF($A110="","",SUMIFS(Compta!$F$1:$F$675,Compta!$A$1:$A$675,$B110,Compta!$B$1:$B$675,"6413",Compta!$C$1:$C$675,$A110)+SUMIFS(Compta!$F$1:$F$675,Compta!$A$1:$A$675,$B110,Compta!$B$1:$B$675,"645",Compta!$C$1:$C$675,$A110)+SUMIFS(Compta!$F$1:$F$675,Compta!$A$1:$A$675,$B110,Compta!$B$1:$B$675,"613",Compta!$C$1:$C$675,$A110)+SUMIFS(Compta!$F$1:$F$675,Compta!$A$1:$A$675,$B110,Compta!$B$1:$B$675,"615",Compta!$C$1:$C$675,$A110)+SUMIFS(Compta!$F$1:$F$675,Compta!$A$1:$A$675,$B110,Compta!$B$1:$B$675,"616",Compta!$C$1:$C$675,$A110)+SUMIFS(Compta!$F$1:$F$675,Compta!$A$1:$A$675,$B110,Compta!$B$1:$B$675,"625",Compta!$C$1:$C$675,$A110)+SUMIFS(Compta!$F$1:$F$675,Compta!$A$1:$A$675,$B110,Compta!$B$1:$B$675,"63511",Compta!$C$1:$C$675,$A110))</f>
        <v/>
      </c>
      <c r="AB110" t="str">
        <f>IF($A110="","",SUMIFS(Compta!$F$1:$F$675,Compta!$A$1:$A$675,"GRP",Compta!$B$1:$B$675,"6414",Compta!$C$1:$C$675,$A110)+SUMIFS(Compta!$F$1:$F$675,Compta!$A$1:$A$675,"GRP",Compta!$B$1:$B$675,"6226",Compta!$C$1:$C$675,$A110)+SUMIFS(Compta!$F$1:$F$675,Compta!$A$1:$A$675,"GRP",Compta!$B$1:$B$675,"626",Compta!$C$1:$C$675,$A110)+SUMIFS(Compta!$F$1:$F$675,Compta!$A$1:$A$675,"GRP",Compta!$B$1:$B$675,"6281",Compta!$C$1:$C$675,$A110)+SUMIFS(Compta!$F$1:$F$675,Compta!$A$1:$A$675,"GRP",Compta!$B$1:$B$675,"6331",Compta!$C$1:$C$675,$A110)+SUMIFS(Compta!$F$1:$F$675,Compta!$A$1:$A$675,"GRP",Compta!$B$1:$B$675,"6333",Compta!$C$1:$C$675,$A110))</f>
        <v/>
      </c>
      <c r="AC110" t="s">
        <v>297</v>
      </c>
      <c r="AD110" t="s">
        <v>297</v>
      </c>
      <c r="AE110" t="s">
        <v>297</v>
      </c>
      <c r="AF110" t="s">
        <v>297</v>
      </c>
      <c r="AG110" t="s">
        <v>297</v>
      </c>
      <c r="AH110" t="s">
        <v>297</v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 t="str">
        <f>IF($A110="","",SUMIFS(Compta!$F$1:$F$675,Compta!$A$1:$A$675,"GRP",Compta!$B$1:$B$675,"6236",Compta!$C$1:$C$675,$A110))</f>
        <v/>
      </c>
      <c r="AP110" t="s">
        <v>297</v>
      </c>
      <c r="AQ110" t="s">
        <v>297</v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IF(Allocation!D111="","",Allocation!I111)</f>
        <v/>
      </c>
      <c r="H111" t="str">
        <f>IF(Allocation!D111="","",Allocation!J111)</f>
        <v/>
      </c>
      <c r="I111" t="str">
        <f>IF(Allocation!D111="","",Allocation!K111)</f>
        <v/>
      </c>
      <c r="J111" t="str">
        <f>IF($A111="","",SUMIFS(Socle!$K$1:$K$175,Socle!$C$1:$C$175,$B111,Socle!$D$1:$D$175,$D111,Socle!$E$1:$E$175,$E111,Socle!$F$1:$F$175,$F111,Socle!$G$1:$G$175,$A111))</f>
        <v/>
      </c>
      <c r="K111" t="str">
        <f t="shared" si="10"/>
        <v/>
      </c>
      <c r="L111" t="str">
        <f>IF($A111="","",SUMIFS(Allocation!$I$1:$I$175,Allocation!$C$1:$C$175,$A111,Allocation!$D$1:$D$175,$B111))</f>
        <v/>
      </c>
      <c r="M111" t="str">
        <f>IF($A111="","",SUMIFS(Allocation!$J$1:$J$175,Allocation!$C$1:$C$175,$A111,Allocation!$D$1:$D$175,$B111))</f>
        <v/>
      </c>
      <c r="N111" t="str">
        <f>IF($A111="","",SUMIFS(Allocation!$K$1:$K$175,Allocation!$C$1:$C$175,$A111,Allocation!$D$1:$D$175,$B111))</f>
        <v/>
      </c>
      <c r="O111" t="str">
        <f t="shared" si="11"/>
        <v/>
      </c>
      <c r="P111" t="str">
        <f t="shared" si="12"/>
        <v/>
      </c>
      <c r="Q111" t="str">
        <f>IF($A111="","",SUMIFS(Allocation!$I$1:$I$175,Allocation!$C$1:$C$175,$A111,Allocation!$E$1:$E$175,$C111))</f>
        <v/>
      </c>
      <c r="R111" t="str">
        <f>IF($A111="","",SUMIFS(Allocation!$J$1:$J$175,Allocation!$C$1:$C$175,$A111,Allocation!$E$1:$E$175,$C111))</f>
        <v/>
      </c>
      <c r="S111" t="str">
        <f>IF($A111="","",SUMIFS(Allocation!$K$1:$K$175,Allocation!$C$1:$C$175,$A111,Allocation!$E$1:$E$175,$C111))</f>
        <v/>
      </c>
      <c r="T111" t="str">
        <f>IF($A111="","",SUMIFS(Allocation!$I$1:$I$175,Allocation!$C$1:$C$175,$A111))</f>
        <v/>
      </c>
      <c r="U111" t="str">
        <f>IF($A111="","",SUMIFS(Allocation!$J$1:$J$175,Allocation!$C$1:$C$175,$A111))</f>
        <v/>
      </c>
      <c r="V111" t="str">
        <f>IF($A111="","",SUMIFS(Allocation!$K$1:$K$175,Allocation!$C$1:$C$175,$A111))</f>
        <v/>
      </c>
      <c r="W111" t="str">
        <f>IF($A111="","",SUMIFS(Compta!$F$1:$F$675,Compta!$A$1:$A$675,$B111,Compta!$B$1:$B$675,"621",Compta!$C$1:$C$675,$A111))</f>
        <v/>
      </c>
      <c r="X111" t="str">
        <f>IF($A111="","",SUMIFS(Compta!$F$1:$F$675,Compta!$A$1:$A$675,$B111,Compta!$B$1:$B$675,"6411",Compta!$C$1:$C$675,$A111))</f>
        <v/>
      </c>
      <c r="Y111" t="str">
        <f>IF($A111="","",SUMIFS(Compta!$F$1:$F$675,Compta!$A$1:$A$675,$B111,Compta!$B$1:$B$675,"604",Compta!$C$1:$C$675,$A111)+SUMIFS(Compta!$F$1:$F$675,Compta!$A$1:$A$675,$B111,Compta!$B$1:$B$675,"6063",Compta!$C$1:$C$675,$A111))</f>
        <v/>
      </c>
      <c r="Z111" t="str">
        <f>IF($A111="","",SUMIFS(Compta!$F$1:$F$675,Compta!$A$1:$A$675,$B111,Compta!$B$1:$B$675,"6231",Compta!$C$1:$C$675,$A111))</f>
        <v/>
      </c>
      <c r="AA111" t="str">
        <f>IF($A111="","",SUMIFS(Compta!$F$1:$F$675,Compta!$A$1:$A$675,$B111,Compta!$B$1:$B$675,"6413",Compta!$C$1:$C$675,$A111)+SUMIFS(Compta!$F$1:$F$675,Compta!$A$1:$A$675,$B111,Compta!$B$1:$B$675,"645",Compta!$C$1:$C$675,$A111)+SUMIFS(Compta!$F$1:$F$675,Compta!$A$1:$A$675,$B111,Compta!$B$1:$B$675,"613",Compta!$C$1:$C$675,$A111)+SUMIFS(Compta!$F$1:$F$675,Compta!$A$1:$A$675,$B111,Compta!$B$1:$B$675,"615",Compta!$C$1:$C$675,$A111)+SUMIFS(Compta!$F$1:$F$675,Compta!$A$1:$A$675,$B111,Compta!$B$1:$B$675,"616",Compta!$C$1:$C$675,$A111)+SUMIFS(Compta!$F$1:$F$675,Compta!$A$1:$A$675,$B111,Compta!$B$1:$B$675,"625",Compta!$C$1:$C$675,$A111)+SUMIFS(Compta!$F$1:$F$675,Compta!$A$1:$A$675,$B111,Compta!$B$1:$B$675,"63511",Compta!$C$1:$C$675,$A111))</f>
        <v/>
      </c>
      <c r="AB111" t="str">
        <f>IF($A111="","",SUMIFS(Compta!$F$1:$F$675,Compta!$A$1:$A$675,"GRP",Compta!$B$1:$B$675,"6414",Compta!$C$1:$C$675,$A111)+SUMIFS(Compta!$F$1:$F$675,Compta!$A$1:$A$675,"GRP",Compta!$B$1:$B$675,"6226",Compta!$C$1:$C$675,$A111)+SUMIFS(Compta!$F$1:$F$675,Compta!$A$1:$A$675,"GRP",Compta!$B$1:$B$675,"626",Compta!$C$1:$C$675,$A111)+SUMIFS(Compta!$F$1:$F$675,Compta!$A$1:$A$675,"GRP",Compta!$B$1:$B$675,"6281",Compta!$C$1:$C$675,$A111)+SUMIFS(Compta!$F$1:$F$675,Compta!$A$1:$A$675,"GRP",Compta!$B$1:$B$675,"6331",Compta!$C$1:$C$675,$A111)+SUMIFS(Compta!$F$1:$F$675,Compta!$A$1:$A$675,"GRP",Compta!$B$1:$B$675,"6333",Compta!$C$1:$C$675,$A111))</f>
        <v/>
      </c>
      <c r="AC111" t="s">
        <v>297</v>
      </c>
      <c r="AD111" t="s">
        <v>297</v>
      </c>
      <c r="AE111" t="s">
        <v>297</v>
      </c>
      <c r="AF111" t="s">
        <v>297</v>
      </c>
      <c r="AG111" t="s">
        <v>297</v>
      </c>
      <c r="AH111" t="s">
        <v>297</v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 t="str">
        <f>IF($A111="","",SUMIFS(Compta!$F$1:$F$675,Compta!$A$1:$A$675,"GRP",Compta!$B$1:$B$675,"6236",Compta!$C$1:$C$675,$A111))</f>
        <v/>
      </c>
      <c r="AP111" t="s">
        <v>297</v>
      </c>
      <c r="AQ111" t="s">
        <v>297</v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IF(Allocation!D112="","",Allocation!I112)</f>
        <v/>
      </c>
      <c r="H112" t="str">
        <f>IF(Allocation!D112="","",Allocation!J112)</f>
        <v/>
      </c>
      <c r="I112" t="str">
        <f>IF(Allocation!D112="","",Allocation!K112)</f>
        <v/>
      </c>
      <c r="J112" t="str">
        <f>IF($A112="","",SUMIFS(Socle!$K$1:$K$175,Socle!$C$1:$C$175,$B112,Socle!$D$1:$D$175,$D112,Socle!$E$1:$E$175,$E112,Socle!$F$1:$F$175,$F112,Socle!$G$1:$G$175,$A112))</f>
        <v/>
      </c>
      <c r="K112" t="str">
        <f t="shared" si="10"/>
        <v/>
      </c>
      <c r="L112" t="str">
        <f>IF($A112="","",SUMIFS(Allocation!$I$1:$I$175,Allocation!$C$1:$C$175,$A112,Allocation!$D$1:$D$175,$B112))</f>
        <v/>
      </c>
      <c r="M112" t="str">
        <f>IF($A112="","",SUMIFS(Allocation!$J$1:$J$175,Allocation!$C$1:$C$175,$A112,Allocation!$D$1:$D$175,$B112))</f>
        <v/>
      </c>
      <c r="N112" t="str">
        <f>IF($A112="","",SUMIFS(Allocation!$K$1:$K$175,Allocation!$C$1:$C$175,$A112,Allocation!$D$1:$D$175,$B112))</f>
        <v/>
      </c>
      <c r="O112" t="str">
        <f t="shared" si="11"/>
        <v/>
      </c>
      <c r="P112" t="str">
        <f t="shared" si="12"/>
        <v/>
      </c>
      <c r="Q112" t="str">
        <f>IF($A112="","",SUMIFS(Allocation!$I$1:$I$175,Allocation!$C$1:$C$175,$A112,Allocation!$E$1:$E$175,$C112))</f>
        <v/>
      </c>
      <c r="R112" t="str">
        <f>IF($A112="","",SUMIFS(Allocation!$J$1:$J$175,Allocation!$C$1:$C$175,$A112,Allocation!$E$1:$E$175,$C112))</f>
        <v/>
      </c>
      <c r="S112" t="str">
        <f>IF($A112="","",SUMIFS(Allocation!$K$1:$K$175,Allocation!$C$1:$C$175,$A112,Allocation!$E$1:$E$175,$C112))</f>
        <v/>
      </c>
      <c r="T112" t="str">
        <f>IF($A112="","",SUMIFS(Allocation!$I$1:$I$175,Allocation!$C$1:$C$175,$A112))</f>
        <v/>
      </c>
      <c r="U112" t="str">
        <f>IF($A112="","",SUMIFS(Allocation!$J$1:$J$175,Allocation!$C$1:$C$175,$A112))</f>
        <v/>
      </c>
      <c r="V112" t="str">
        <f>IF($A112="","",SUMIFS(Allocation!$K$1:$K$175,Allocation!$C$1:$C$175,$A112))</f>
        <v/>
      </c>
      <c r="W112" t="str">
        <f>IF($A112="","",SUMIFS(Compta!$F$1:$F$675,Compta!$A$1:$A$675,$B112,Compta!$B$1:$B$675,"621",Compta!$C$1:$C$675,$A112))</f>
        <v/>
      </c>
      <c r="X112" t="str">
        <f>IF($A112="","",SUMIFS(Compta!$F$1:$F$675,Compta!$A$1:$A$675,$B112,Compta!$B$1:$B$675,"6411",Compta!$C$1:$C$675,$A112))</f>
        <v/>
      </c>
      <c r="Y112" t="str">
        <f>IF($A112="","",SUMIFS(Compta!$F$1:$F$675,Compta!$A$1:$A$675,$B112,Compta!$B$1:$B$675,"604",Compta!$C$1:$C$675,$A112)+SUMIFS(Compta!$F$1:$F$675,Compta!$A$1:$A$675,$B112,Compta!$B$1:$B$675,"6063",Compta!$C$1:$C$675,$A112))</f>
        <v/>
      </c>
      <c r="Z112" t="str">
        <f>IF($A112="","",SUMIFS(Compta!$F$1:$F$675,Compta!$A$1:$A$675,$B112,Compta!$B$1:$B$675,"6231",Compta!$C$1:$C$675,$A112))</f>
        <v/>
      </c>
      <c r="AA112" t="str">
        <f>IF($A112="","",SUMIFS(Compta!$F$1:$F$675,Compta!$A$1:$A$675,$B112,Compta!$B$1:$B$675,"6413",Compta!$C$1:$C$675,$A112)+SUMIFS(Compta!$F$1:$F$675,Compta!$A$1:$A$675,$B112,Compta!$B$1:$B$675,"645",Compta!$C$1:$C$675,$A112)+SUMIFS(Compta!$F$1:$F$675,Compta!$A$1:$A$675,$B112,Compta!$B$1:$B$675,"613",Compta!$C$1:$C$675,$A112)+SUMIFS(Compta!$F$1:$F$675,Compta!$A$1:$A$675,$B112,Compta!$B$1:$B$675,"615",Compta!$C$1:$C$675,$A112)+SUMIFS(Compta!$F$1:$F$675,Compta!$A$1:$A$675,$B112,Compta!$B$1:$B$675,"616",Compta!$C$1:$C$675,$A112)+SUMIFS(Compta!$F$1:$F$675,Compta!$A$1:$A$675,$B112,Compta!$B$1:$B$675,"625",Compta!$C$1:$C$675,$A112)+SUMIFS(Compta!$F$1:$F$675,Compta!$A$1:$A$675,$B112,Compta!$B$1:$B$675,"63511",Compta!$C$1:$C$675,$A112))</f>
        <v/>
      </c>
      <c r="AB112" t="str">
        <f>IF($A112="","",SUMIFS(Compta!$F$1:$F$675,Compta!$A$1:$A$675,"GRP",Compta!$B$1:$B$675,"6414",Compta!$C$1:$C$675,$A112)+SUMIFS(Compta!$F$1:$F$675,Compta!$A$1:$A$675,"GRP",Compta!$B$1:$B$675,"6226",Compta!$C$1:$C$675,$A112)+SUMIFS(Compta!$F$1:$F$675,Compta!$A$1:$A$675,"GRP",Compta!$B$1:$B$675,"626",Compta!$C$1:$C$675,$A112)+SUMIFS(Compta!$F$1:$F$675,Compta!$A$1:$A$675,"GRP",Compta!$B$1:$B$675,"6281",Compta!$C$1:$C$675,$A112)+SUMIFS(Compta!$F$1:$F$675,Compta!$A$1:$A$675,"GRP",Compta!$B$1:$B$675,"6331",Compta!$C$1:$C$675,$A112)+SUMIFS(Compta!$F$1:$F$675,Compta!$A$1:$A$675,"GRP",Compta!$B$1:$B$675,"6333",Compta!$C$1:$C$675,$A112))</f>
        <v/>
      </c>
      <c r="AC112" t="s">
        <v>297</v>
      </c>
      <c r="AD112" t="s">
        <v>297</v>
      </c>
      <c r="AE112" t="s">
        <v>297</v>
      </c>
      <c r="AF112" t="s">
        <v>297</v>
      </c>
      <c r="AG112" t="s">
        <v>297</v>
      </c>
      <c r="AH112" t="s">
        <v>297</v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 t="str">
        <f>IF($A112="","",SUMIFS(Compta!$F$1:$F$675,Compta!$A$1:$A$675,"GRP",Compta!$B$1:$B$675,"6236",Compta!$C$1:$C$675,$A112))</f>
        <v/>
      </c>
      <c r="AP112" t="s">
        <v>297</v>
      </c>
      <c r="AQ112" t="s">
        <v>297</v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IF(Allocation!D113="","",Allocation!I113)</f>
        <v/>
      </c>
      <c r="H113" t="str">
        <f>IF(Allocation!D113="","",Allocation!J113)</f>
        <v/>
      </c>
      <c r="I113" t="str">
        <f>IF(Allocation!D113="","",Allocation!K113)</f>
        <v/>
      </c>
      <c r="J113" t="str">
        <f>IF($A113="","",SUMIFS(Socle!$K$1:$K$175,Socle!$C$1:$C$175,$B113,Socle!$D$1:$D$175,$D113,Socle!$E$1:$E$175,$E113,Socle!$F$1:$F$175,$F113,Socle!$G$1:$G$175,$A113))</f>
        <v/>
      </c>
      <c r="K113" t="str">
        <f t="shared" si="10"/>
        <v/>
      </c>
      <c r="L113" t="str">
        <f>IF($A113="","",SUMIFS(Allocation!$I$1:$I$175,Allocation!$C$1:$C$175,$A113,Allocation!$D$1:$D$175,$B113))</f>
        <v/>
      </c>
      <c r="M113" t="str">
        <f>IF($A113="","",SUMIFS(Allocation!$J$1:$J$175,Allocation!$C$1:$C$175,$A113,Allocation!$D$1:$D$175,$B113))</f>
        <v/>
      </c>
      <c r="N113" t="str">
        <f>IF($A113="","",SUMIFS(Allocation!$K$1:$K$175,Allocation!$C$1:$C$175,$A113,Allocation!$D$1:$D$175,$B113))</f>
        <v/>
      </c>
      <c r="O113" t="str">
        <f t="shared" si="11"/>
        <v/>
      </c>
      <c r="P113" t="str">
        <f t="shared" si="12"/>
        <v/>
      </c>
      <c r="Q113" t="str">
        <f>IF($A113="","",SUMIFS(Allocation!$I$1:$I$175,Allocation!$C$1:$C$175,$A113,Allocation!$E$1:$E$175,$C113))</f>
        <v/>
      </c>
      <c r="R113" t="str">
        <f>IF($A113="","",SUMIFS(Allocation!$J$1:$J$175,Allocation!$C$1:$C$175,$A113,Allocation!$E$1:$E$175,$C113))</f>
        <v/>
      </c>
      <c r="S113" t="str">
        <f>IF($A113="","",SUMIFS(Allocation!$K$1:$K$175,Allocation!$C$1:$C$175,$A113,Allocation!$E$1:$E$175,$C113))</f>
        <v/>
      </c>
      <c r="T113" t="str">
        <f>IF($A113="","",SUMIFS(Allocation!$I$1:$I$175,Allocation!$C$1:$C$175,$A113))</f>
        <v/>
      </c>
      <c r="U113" t="str">
        <f>IF($A113="","",SUMIFS(Allocation!$J$1:$J$175,Allocation!$C$1:$C$175,$A113))</f>
        <v/>
      </c>
      <c r="V113" t="str">
        <f>IF($A113="","",SUMIFS(Allocation!$K$1:$K$175,Allocation!$C$1:$C$175,$A113))</f>
        <v/>
      </c>
      <c r="W113" t="str">
        <f>IF($A113="","",SUMIFS(Compta!$F$1:$F$675,Compta!$A$1:$A$675,$B113,Compta!$B$1:$B$675,"621",Compta!$C$1:$C$675,$A113))</f>
        <v/>
      </c>
      <c r="X113" t="str">
        <f>IF($A113="","",SUMIFS(Compta!$F$1:$F$675,Compta!$A$1:$A$675,$B113,Compta!$B$1:$B$675,"6411",Compta!$C$1:$C$675,$A113))</f>
        <v/>
      </c>
      <c r="Y113" t="str">
        <f>IF($A113="","",SUMIFS(Compta!$F$1:$F$675,Compta!$A$1:$A$675,$B113,Compta!$B$1:$B$675,"604",Compta!$C$1:$C$675,$A113)+SUMIFS(Compta!$F$1:$F$675,Compta!$A$1:$A$675,$B113,Compta!$B$1:$B$675,"6063",Compta!$C$1:$C$675,$A113))</f>
        <v/>
      </c>
      <c r="Z113" t="str">
        <f>IF($A113="","",SUMIFS(Compta!$F$1:$F$675,Compta!$A$1:$A$675,$B113,Compta!$B$1:$B$675,"6231",Compta!$C$1:$C$675,$A113))</f>
        <v/>
      </c>
      <c r="AA113" t="str">
        <f>IF($A113="","",SUMIFS(Compta!$F$1:$F$675,Compta!$A$1:$A$675,$B113,Compta!$B$1:$B$675,"6413",Compta!$C$1:$C$675,$A113)+SUMIFS(Compta!$F$1:$F$675,Compta!$A$1:$A$675,$B113,Compta!$B$1:$B$675,"645",Compta!$C$1:$C$675,$A113)+SUMIFS(Compta!$F$1:$F$675,Compta!$A$1:$A$675,$B113,Compta!$B$1:$B$675,"613",Compta!$C$1:$C$675,$A113)+SUMIFS(Compta!$F$1:$F$675,Compta!$A$1:$A$675,$B113,Compta!$B$1:$B$675,"615",Compta!$C$1:$C$675,$A113)+SUMIFS(Compta!$F$1:$F$675,Compta!$A$1:$A$675,$B113,Compta!$B$1:$B$675,"616",Compta!$C$1:$C$675,$A113)+SUMIFS(Compta!$F$1:$F$675,Compta!$A$1:$A$675,$B113,Compta!$B$1:$B$675,"625",Compta!$C$1:$C$675,$A113)+SUMIFS(Compta!$F$1:$F$675,Compta!$A$1:$A$675,$B113,Compta!$B$1:$B$675,"63511",Compta!$C$1:$C$675,$A113))</f>
        <v/>
      </c>
      <c r="AB113" t="str">
        <f>IF($A113="","",SUMIFS(Compta!$F$1:$F$675,Compta!$A$1:$A$675,"GRP",Compta!$B$1:$B$675,"6414",Compta!$C$1:$C$675,$A113)+SUMIFS(Compta!$F$1:$F$675,Compta!$A$1:$A$675,"GRP",Compta!$B$1:$B$675,"6226",Compta!$C$1:$C$675,$A113)+SUMIFS(Compta!$F$1:$F$675,Compta!$A$1:$A$675,"GRP",Compta!$B$1:$B$675,"626",Compta!$C$1:$C$675,$A113)+SUMIFS(Compta!$F$1:$F$675,Compta!$A$1:$A$675,"GRP",Compta!$B$1:$B$675,"6281",Compta!$C$1:$C$675,$A113)+SUMIFS(Compta!$F$1:$F$675,Compta!$A$1:$A$675,"GRP",Compta!$B$1:$B$675,"6331",Compta!$C$1:$C$675,$A113)+SUMIFS(Compta!$F$1:$F$675,Compta!$A$1:$A$675,"GRP",Compta!$B$1:$B$675,"6333",Compta!$C$1:$C$675,$A113))</f>
        <v/>
      </c>
      <c r="AC113" t="s">
        <v>297</v>
      </c>
      <c r="AD113" t="s">
        <v>297</v>
      </c>
      <c r="AE113" t="s">
        <v>297</v>
      </c>
      <c r="AF113" t="s">
        <v>297</v>
      </c>
      <c r="AG113" t="s">
        <v>297</v>
      </c>
      <c r="AH113" t="s">
        <v>297</v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 t="str">
        <f>IF($A113="","",SUMIFS(Compta!$F$1:$F$675,Compta!$A$1:$A$675,"GRP",Compta!$B$1:$B$675,"6236",Compta!$C$1:$C$675,$A113))</f>
        <v/>
      </c>
      <c r="AP113" t="s">
        <v>297</v>
      </c>
      <c r="AQ113" t="s">
        <v>297</v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IF(Allocation!D114="","",Allocation!I114)</f>
        <v/>
      </c>
      <c r="H114" t="str">
        <f>IF(Allocation!D114="","",Allocation!J114)</f>
        <v/>
      </c>
      <c r="I114" t="str">
        <f>IF(Allocation!D114="","",Allocation!K114)</f>
        <v/>
      </c>
      <c r="J114" t="str">
        <f>IF($A114="","",SUMIFS(Socle!$K$1:$K$175,Socle!$C$1:$C$175,$B114,Socle!$D$1:$D$175,$D114,Socle!$E$1:$E$175,$E114,Socle!$F$1:$F$175,$F114,Socle!$G$1:$G$175,$A114))</f>
        <v/>
      </c>
      <c r="K114" t="str">
        <f t="shared" si="10"/>
        <v/>
      </c>
      <c r="L114" t="str">
        <f>IF($A114="","",SUMIFS(Allocation!$I$1:$I$175,Allocation!$C$1:$C$175,$A114,Allocation!$D$1:$D$175,$B114))</f>
        <v/>
      </c>
      <c r="M114" t="str">
        <f>IF($A114="","",SUMIFS(Allocation!$J$1:$J$175,Allocation!$C$1:$C$175,$A114,Allocation!$D$1:$D$175,$B114))</f>
        <v/>
      </c>
      <c r="N114" t="str">
        <f>IF($A114="","",SUMIFS(Allocation!$K$1:$K$175,Allocation!$C$1:$C$175,$A114,Allocation!$D$1:$D$175,$B114))</f>
        <v/>
      </c>
      <c r="O114" t="str">
        <f t="shared" si="11"/>
        <v/>
      </c>
      <c r="P114" t="str">
        <f t="shared" si="12"/>
        <v/>
      </c>
      <c r="Q114" t="str">
        <f>IF($A114="","",SUMIFS(Allocation!$I$1:$I$175,Allocation!$C$1:$C$175,$A114,Allocation!$E$1:$E$175,$C114))</f>
        <v/>
      </c>
      <c r="R114" t="str">
        <f>IF($A114="","",SUMIFS(Allocation!$J$1:$J$175,Allocation!$C$1:$C$175,$A114,Allocation!$E$1:$E$175,$C114))</f>
        <v/>
      </c>
      <c r="S114" t="str">
        <f>IF($A114="","",SUMIFS(Allocation!$K$1:$K$175,Allocation!$C$1:$C$175,$A114,Allocation!$E$1:$E$175,$C114))</f>
        <v/>
      </c>
      <c r="T114" t="str">
        <f>IF($A114="","",SUMIFS(Allocation!$I$1:$I$175,Allocation!$C$1:$C$175,$A114))</f>
        <v/>
      </c>
      <c r="U114" t="str">
        <f>IF($A114="","",SUMIFS(Allocation!$J$1:$J$175,Allocation!$C$1:$C$175,$A114))</f>
        <v/>
      </c>
      <c r="V114" t="str">
        <f>IF($A114="","",SUMIFS(Allocation!$K$1:$K$175,Allocation!$C$1:$C$175,$A114))</f>
        <v/>
      </c>
      <c r="W114" t="str">
        <f>IF($A114="","",SUMIFS(Compta!$F$1:$F$675,Compta!$A$1:$A$675,$B114,Compta!$B$1:$B$675,"621",Compta!$C$1:$C$675,$A114))</f>
        <v/>
      </c>
      <c r="X114" t="str">
        <f>IF($A114="","",SUMIFS(Compta!$F$1:$F$675,Compta!$A$1:$A$675,$B114,Compta!$B$1:$B$675,"6411",Compta!$C$1:$C$675,$A114))</f>
        <v/>
      </c>
      <c r="Y114" t="str">
        <f>IF($A114="","",SUMIFS(Compta!$F$1:$F$675,Compta!$A$1:$A$675,$B114,Compta!$B$1:$B$675,"604",Compta!$C$1:$C$675,$A114)+SUMIFS(Compta!$F$1:$F$675,Compta!$A$1:$A$675,$B114,Compta!$B$1:$B$675,"6063",Compta!$C$1:$C$675,$A114))</f>
        <v/>
      </c>
      <c r="Z114" t="str">
        <f>IF($A114="","",SUMIFS(Compta!$F$1:$F$675,Compta!$A$1:$A$675,$B114,Compta!$B$1:$B$675,"6231",Compta!$C$1:$C$675,$A114))</f>
        <v/>
      </c>
      <c r="AA114" t="str">
        <f>IF($A114="","",SUMIFS(Compta!$F$1:$F$675,Compta!$A$1:$A$675,$B114,Compta!$B$1:$B$675,"6413",Compta!$C$1:$C$675,$A114)+SUMIFS(Compta!$F$1:$F$675,Compta!$A$1:$A$675,$B114,Compta!$B$1:$B$675,"645",Compta!$C$1:$C$675,$A114)+SUMIFS(Compta!$F$1:$F$675,Compta!$A$1:$A$675,$B114,Compta!$B$1:$B$675,"613",Compta!$C$1:$C$675,$A114)+SUMIFS(Compta!$F$1:$F$675,Compta!$A$1:$A$675,$B114,Compta!$B$1:$B$675,"615",Compta!$C$1:$C$675,$A114)+SUMIFS(Compta!$F$1:$F$675,Compta!$A$1:$A$675,$B114,Compta!$B$1:$B$675,"616",Compta!$C$1:$C$675,$A114)+SUMIFS(Compta!$F$1:$F$675,Compta!$A$1:$A$675,$B114,Compta!$B$1:$B$675,"625",Compta!$C$1:$C$675,$A114)+SUMIFS(Compta!$F$1:$F$675,Compta!$A$1:$A$675,$B114,Compta!$B$1:$B$675,"63511",Compta!$C$1:$C$675,$A114))</f>
        <v/>
      </c>
      <c r="AB114" t="str">
        <f>IF($A114="","",SUMIFS(Compta!$F$1:$F$675,Compta!$A$1:$A$675,"GRP",Compta!$B$1:$B$675,"6414",Compta!$C$1:$C$675,$A114)+SUMIFS(Compta!$F$1:$F$675,Compta!$A$1:$A$675,"GRP",Compta!$B$1:$B$675,"6226",Compta!$C$1:$C$675,$A114)+SUMIFS(Compta!$F$1:$F$675,Compta!$A$1:$A$675,"GRP",Compta!$B$1:$B$675,"626",Compta!$C$1:$C$675,$A114)+SUMIFS(Compta!$F$1:$F$675,Compta!$A$1:$A$675,"GRP",Compta!$B$1:$B$675,"6281",Compta!$C$1:$C$675,$A114)+SUMIFS(Compta!$F$1:$F$675,Compta!$A$1:$A$675,"GRP",Compta!$B$1:$B$675,"6331",Compta!$C$1:$C$675,$A114)+SUMIFS(Compta!$F$1:$F$675,Compta!$A$1:$A$675,"GRP",Compta!$B$1:$B$675,"6333",Compta!$C$1:$C$675,$A114))</f>
        <v/>
      </c>
      <c r="AC114" t="s">
        <v>297</v>
      </c>
      <c r="AD114" t="s">
        <v>297</v>
      </c>
      <c r="AE114" t="s">
        <v>297</v>
      </c>
      <c r="AF114" t="s">
        <v>297</v>
      </c>
      <c r="AG114" t="s">
        <v>297</v>
      </c>
      <c r="AH114" t="s">
        <v>297</v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 t="str">
        <f>IF($A114="","",SUMIFS(Compta!$F$1:$F$675,Compta!$A$1:$A$675,"GRP",Compta!$B$1:$B$675,"6236",Compta!$C$1:$C$675,$A114))</f>
        <v/>
      </c>
      <c r="AP114" t="s">
        <v>297</v>
      </c>
      <c r="AQ114" t="s">
        <v>297</v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IF(Allocation!D115="","",Allocation!I115)</f>
        <v/>
      </c>
      <c r="H115" t="str">
        <f>IF(Allocation!D115="","",Allocation!J115)</f>
        <v/>
      </c>
      <c r="I115" t="str">
        <f>IF(Allocation!D115="","",Allocation!K115)</f>
        <v/>
      </c>
      <c r="J115" t="str">
        <f>IF($A115="","",SUMIFS(Socle!$K$1:$K$175,Socle!$C$1:$C$175,$B115,Socle!$D$1:$D$175,$D115,Socle!$E$1:$E$175,$E115,Socle!$F$1:$F$175,$F115,Socle!$G$1:$G$175,$A115))</f>
        <v/>
      </c>
      <c r="K115" t="str">
        <f t="shared" si="10"/>
        <v/>
      </c>
      <c r="L115" t="str">
        <f>IF($A115="","",SUMIFS(Allocation!$I$1:$I$175,Allocation!$C$1:$C$175,$A115,Allocation!$D$1:$D$175,$B115))</f>
        <v/>
      </c>
      <c r="M115" t="str">
        <f>IF($A115="","",SUMIFS(Allocation!$J$1:$J$175,Allocation!$C$1:$C$175,$A115,Allocation!$D$1:$D$175,$B115))</f>
        <v/>
      </c>
      <c r="N115" t="str">
        <f>IF($A115="","",SUMIFS(Allocation!$K$1:$K$175,Allocation!$C$1:$C$175,$A115,Allocation!$D$1:$D$175,$B115))</f>
        <v/>
      </c>
      <c r="O115" t="str">
        <f t="shared" si="11"/>
        <v/>
      </c>
      <c r="P115" t="str">
        <f t="shared" si="12"/>
        <v/>
      </c>
      <c r="Q115" t="str">
        <f>IF($A115="","",SUMIFS(Allocation!$I$1:$I$175,Allocation!$C$1:$C$175,$A115,Allocation!$E$1:$E$175,$C115))</f>
        <v/>
      </c>
      <c r="R115" t="str">
        <f>IF($A115="","",SUMIFS(Allocation!$J$1:$J$175,Allocation!$C$1:$C$175,$A115,Allocation!$E$1:$E$175,$C115))</f>
        <v/>
      </c>
      <c r="S115" t="str">
        <f>IF($A115="","",SUMIFS(Allocation!$K$1:$K$175,Allocation!$C$1:$C$175,$A115,Allocation!$E$1:$E$175,$C115))</f>
        <v/>
      </c>
      <c r="T115" t="str">
        <f>IF($A115="","",SUMIFS(Allocation!$I$1:$I$175,Allocation!$C$1:$C$175,$A115))</f>
        <v/>
      </c>
      <c r="U115" t="str">
        <f>IF($A115="","",SUMIFS(Allocation!$J$1:$J$175,Allocation!$C$1:$C$175,$A115))</f>
        <v/>
      </c>
      <c r="V115" t="str">
        <f>IF($A115="","",SUMIFS(Allocation!$K$1:$K$175,Allocation!$C$1:$C$175,$A115))</f>
        <v/>
      </c>
      <c r="W115" t="str">
        <f>IF($A115="","",SUMIFS(Compta!$F$1:$F$675,Compta!$A$1:$A$675,$B115,Compta!$B$1:$B$675,"621",Compta!$C$1:$C$675,$A115))</f>
        <v/>
      </c>
      <c r="X115" t="str">
        <f>IF($A115="","",SUMIFS(Compta!$F$1:$F$675,Compta!$A$1:$A$675,$B115,Compta!$B$1:$B$675,"6411",Compta!$C$1:$C$675,$A115))</f>
        <v/>
      </c>
      <c r="Y115" t="str">
        <f>IF($A115="","",SUMIFS(Compta!$F$1:$F$675,Compta!$A$1:$A$675,$B115,Compta!$B$1:$B$675,"604",Compta!$C$1:$C$675,$A115)+SUMIFS(Compta!$F$1:$F$675,Compta!$A$1:$A$675,$B115,Compta!$B$1:$B$675,"6063",Compta!$C$1:$C$675,$A115))</f>
        <v/>
      </c>
      <c r="Z115" t="str">
        <f>IF($A115="","",SUMIFS(Compta!$F$1:$F$675,Compta!$A$1:$A$675,$B115,Compta!$B$1:$B$675,"6231",Compta!$C$1:$C$675,$A115))</f>
        <v/>
      </c>
      <c r="AA115" t="str">
        <f>IF($A115="","",SUMIFS(Compta!$F$1:$F$675,Compta!$A$1:$A$675,$B115,Compta!$B$1:$B$675,"6413",Compta!$C$1:$C$675,$A115)+SUMIFS(Compta!$F$1:$F$675,Compta!$A$1:$A$675,$B115,Compta!$B$1:$B$675,"645",Compta!$C$1:$C$675,$A115)+SUMIFS(Compta!$F$1:$F$675,Compta!$A$1:$A$675,$B115,Compta!$B$1:$B$675,"613",Compta!$C$1:$C$675,$A115)+SUMIFS(Compta!$F$1:$F$675,Compta!$A$1:$A$675,$B115,Compta!$B$1:$B$675,"615",Compta!$C$1:$C$675,$A115)+SUMIFS(Compta!$F$1:$F$675,Compta!$A$1:$A$675,$B115,Compta!$B$1:$B$675,"616",Compta!$C$1:$C$675,$A115)+SUMIFS(Compta!$F$1:$F$675,Compta!$A$1:$A$675,$B115,Compta!$B$1:$B$675,"625",Compta!$C$1:$C$675,$A115)+SUMIFS(Compta!$F$1:$F$675,Compta!$A$1:$A$675,$B115,Compta!$B$1:$B$675,"63511",Compta!$C$1:$C$675,$A115))</f>
        <v/>
      </c>
      <c r="AB115" t="str">
        <f>IF($A115="","",SUMIFS(Compta!$F$1:$F$675,Compta!$A$1:$A$675,"GRP",Compta!$B$1:$B$675,"6414",Compta!$C$1:$C$675,$A115)+SUMIFS(Compta!$F$1:$F$675,Compta!$A$1:$A$675,"GRP",Compta!$B$1:$B$675,"6226",Compta!$C$1:$C$675,$A115)+SUMIFS(Compta!$F$1:$F$675,Compta!$A$1:$A$675,"GRP",Compta!$B$1:$B$675,"626",Compta!$C$1:$C$675,$A115)+SUMIFS(Compta!$F$1:$F$675,Compta!$A$1:$A$675,"GRP",Compta!$B$1:$B$675,"6281",Compta!$C$1:$C$675,$A115)+SUMIFS(Compta!$F$1:$F$675,Compta!$A$1:$A$675,"GRP",Compta!$B$1:$B$675,"6331",Compta!$C$1:$C$675,$A115)+SUMIFS(Compta!$F$1:$F$675,Compta!$A$1:$A$675,"GRP",Compta!$B$1:$B$675,"6333",Compta!$C$1:$C$675,$A115))</f>
        <v/>
      </c>
      <c r="AC115" t="s">
        <v>297</v>
      </c>
      <c r="AD115" t="s">
        <v>297</v>
      </c>
      <c r="AE115" t="s">
        <v>297</v>
      </c>
      <c r="AF115" t="s">
        <v>297</v>
      </c>
      <c r="AG115" t="s">
        <v>297</v>
      </c>
      <c r="AH115" t="s">
        <v>297</v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 t="str">
        <f>IF($A115="","",SUMIFS(Compta!$F$1:$F$675,Compta!$A$1:$A$675,"GRP",Compta!$B$1:$B$675,"6236",Compta!$C$1:$C$675,$A115))</f>
        <v/>
      </c>
      <c r="AP115" t="s">
        <v>297</v>
      </c>
      <c r="AQ115" t="s">
        <v>297</v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IF(Allocation!D116="","",Allocation!I116)</f>
        <v/>
      </c>
      <c r="H116" t="str">
        <f>IF(Allocation!D116="","",Allocation!J116)</f>
        <v/>
      </c>
      <c r="I116" t="str">
        <f>IF(Allocation!D116="","",Allocation!K116)</f>
        <v/>
      </c>
      <c r="J116" t="str">
        <f>IF($A116="","",SUMIFS(Socle!$K$1:$K$175,Socle!$C$1:$C$175,$B116,Socle!$D$1:$D$175,$D116,Socle!$E$1:$E$175,$E116,Socle!$F$1:$F$175,$F116,Socle!$G$1:$G$175,$A116))</f>
        <v/>
      </c>
      <c r="K116" t="str">
        <f t="shared" si="10"/>
        <v/>
      </c>
      <c r="L116" t="str">
        <f>IF($A116="","",SUMIFS(Allocation!$I$1:$I$175,Allocation!$C$1:$C$175,$A116,Allocation!$D$1:$D$175,$B116))</f>
        <v/>
      </c>
      <c r="M116" t="str">
        <f>IF($A116="","",SUMIFS(Allocation!$J$1:$J$175,Allocation!$C$1:$C$175,$A116,Allocation!$D$1:$D$175,$B116))</f>
        <v/>
      </c>
      <c r="N116" t="str">
        <f>IF($A116="","",SUMIFS(Allocation!$K$1:$K$175,Allocation!$C$1:$C$175,$A116,Allocation!$D$1:$D$175,$B116))</f>
        <v/>
      </c>
      <c r="O116" t="str">
        <f t="shared" si="11"/>
        <v/>
      </c>
      <c r="P116" t="str">
        <f t="shared" si="12"/>
        <v/>
      </c>
      <c r="Q116" t="str">
        <f>IF($A116="","",SUMIFS(Allocation!$I$1:$I$175,Allocation!$C$1:$C$175,$A116,Allocation!$E$1:$E$175,$C116))</f>
        <v/>
      </c>
      <c r="R116" t="str">
        <f>IF($A116="","",SUMIFS(Allocation!$J$1:$J$175,Allocation!$C$1:$C$175,$A116,Allocation!$E$1:$E$175,$C116))</f>
        <v/>
      </c>
      <c r="S116" t="str">
        <f>IF($A116="","",SUMIFS(Allocation!$K$1:$K$175,Allocation!$C$1:$C$175,$A116,Allocation!$E$1:$E$175,$C116))</f>
        <v/>
      </c>
      <c r="T116" t="str">
        <f>IF($A116="","",SUMIFS(Allocation!$I$1:$I$175,Allocation!$C$1:$C$175,$A116))</f>
        <v/>
      </c>
      <c r="U116" t="str">
        <f>IF($A116="","",SUMIFS(Allocation!$J$1:$J$175,Allocation!$C$1:$C$175,$A116))</f>
        <v/>
      </c>
      <c r="V116" t="str">
        <f>IF($A116="","",SUMIFS(Allocation!$K$1:$K$175,Allocation!$C$1:$C$175,$A116))</f>
        <v/>
      </c>
      <c r="W116" t="str">
        <f>IF($A116="","",SUMIFS(Compta!$F$1:$F$675,Compta!$A$1:$A$675,$B116,Compta!$B$1:$B$675,"621",Compta!$C$1:$C$675,$A116))</f>
        <v/>
      </c>
      <c r="X116" t="str">
        <f>IF($A116="","",SUMIFS(Compta!$F$1:$F$675,Compta!$A$1:$A$675,$B116,Compta!$B$1:$B$675,"6411",Compta!$C$1:$C$675,$A116))</f>
        <v/>
      </c>
      <c r="Y116" t="str">
        <f>IF($A116="","",SUMIFS(Compta!$F$1:$F$675,Compta!$A$1:$A$675,$B116,Compta!$B$1:$B$675,"604",Compta!$C$1:$C$675,$A116)+SUMIFS(Compta!$F$1:$F$675,Compta!$A$1:$A$675,$B116,Compta!$B$1:$B$675,"6063",Compta!$C$1:$C$675,$A116))</f>
        <v/>
      </c>
      <c r="Z116" t="str">
        <f>IF($A116="","",SUMIFS(Compta!$F$1:$F$675,Compta!$A$1:$A$675,$B116,Compta!$B$1:$B$675,"6231",Compta!$C$1:$C$675,$A116))</f>
        <v/>
      </c>
      <c r="AA116" t="str">
        <f>IF($A116="","",SUMIFS(Compta!$F$1:$F$675,Compta!$A$1:$A$675,$B116,Compta!$B$1:$B$675,"6413",Compta!$C$1:$C$675,$A116)+SUMIFS(Compta!$F$1:$F$675,Compta!$A$1:$A$675,$B116,Compta!$B$1:$B$675,"645",Compta!$C$1:$C$675,$A116)+SUMIFS(Compta!$F$1:$F$675,Compta!$A$1:$A$675,$B116,Compta!$B$1:$B$675,"613",Compta!$C$1:$C$675,$A116)+SUMIFS(Compta!$F$1:$F$675,Compta!$A$1:$A$675,$B116,Compta!$B$1:$B$675,"615",Compta!$C$1:$C$675,$A116)+SUMIFS(Compta!$F$1:$F$675,Compta!$A$1:$A$675,$B116,Compta!$B$1:$B$675,"616",Compta!$C$1:$C$675,$A116)+SUMIFS(Compta!$F$1:$F$675,Compta!$A$1:$A$675,$B116,Compta!$B$1:$B$675,"625",Compta!$C$1:$C$675,$A116)+SUMIFS(Compta!$F$1:$F$675,Compta!$A$1:$A$675,$B116,Compta!$B$1:$B$675,"63511",Compta!$C$1:$C$675,$A116))</f>
        <v/>
      </c>
      <c r="AB116" t="str">
        <f>IF($A116="","",SUMIFS(Compta!$F$1:$F$675,Compta!$A$1:$A$675,"GRP",Compta!$B$1:$B$675,"6414",Compta!$C$1:$C$675,$A116)+SUMIFS(Compta!$F$1:$F$675,Compta!$A$1:$A$675,"GRP",Compta!$B$1:$B$675,"6226",Compta!$C$1:$C$675,$A116)+SUMIFS(Compta!$F$1:$F$675,Compta!$A$1:$A$675,"GRP",Compta!$B$1:$B$675,"626",Compta!$C$1:$C$675,$A116)+SUMIFS(Compta!$F$1:$F$675,Compta!$A$1:$A$675,"GRP",Compta!$B$1:$B$675,"6281",Compta!$C$1:$C$675,$A116)+SUMIFS(Compta!$F$1:$F$675,Compta!$A$1:$A$675,"GRP",Compta!$B$1:$B$675,"6331",Compta!$C$1:$C$675,$A116)+SUMIFS(Compta!$F$1:$F$675,Compta!$A$1:$A$675,"GRP",Compta!$B$1:$B$675,"6333",Compta!$C$1:$C$675,$A116))</f>
        <v/>
      </c>
      <c r="AC116" t="s">
        <v>297</v>
      </c>
      <c r="AD116" t="s">
        <v>297</v>
      </c>
      <c r="AE116" t="s">
        <v>297</v>
      </c>
      <c r="AF116" t="s">
        <v>297</v>
      </c>
      <c r="AG116" t="s">
        <v>297</v>
      </c>
      <c r="AH116" t="s">
        <v>297</v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 t="str">
        <f>IF($A116="","",SUMIFS(Compta!$F$1:$F$675,Compta!$A$1:$A$675,"GRP",Compta!$B$1:$B$675,"6236",Compta!$C$1:$C$675,$A116))</f>
        <v/>
      </c>
      <c r="AP116" t="s">
        <v>297</v>
      </c>
      <c r="AQ116" t="s">
        <v>297</v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IF(Allocation!D117="","",Allocation!I117)</f>
        <v/>
      </c>
      <c r="H117" t="str">
        <f>IF(Allocation!D117="","",Allocation!J117)</f>
        <v/>
      </c>
      <c r="I117" t="str">
        <f>IF(Allocation!D117="","",Allocation!K117)</f>
        <v/>
      </c>
      <c r="J117" t="str">
        <f>IF($A117="","",SUMIFS(Socle!$K$1:$K$175,Socle!$C$1:$C$175,$B117,Socle!$D$1:$D$175,$D117,Socle!$E$1:$E$175,$E117,Socle!$F$1:$F$175,$F117,Socle!$G$1:$G$175,$A117))</f>
        <v/>
      </c>
      <c r="K117" t="str">
        <f t="shared" si="10"/>
        <v/>
      </c>
      <c r="L117" t="str">
        <f>IF($A117="","",SUMIFS(Allocation!$I$1:$I$175,Allocation!$C$1:$C$175,$A117,Allocation!$D$1:$D$175,$B117))</f>
        <v/>
      </c>
      <c r="M117" t="str">
        <f>IF($A117="","",SUMIFS(Allocation!$J$1:$J$175,Allocation!$C$1:$C$175,$A117,Allocation!$D$1:$D$175,$B117))</f>
        <v/>
      </c>
      <c r="N117" t="str">
        <f>IF($A117="","",SUMIFS(Allocation!$K$1:$K$175,Allocation!$C$1:$C$175,$A117,Allocation!$D$1:$D$175,$B117))</f>
        <v/>
      </c>
      <c r="O117" t="str">
        <f t="shared" si="11"/>
        <v/>
      </c>
      <c r="P117" t="str">
        <f t="shared" si="12"/>
        <v/>
      </c>
      <c r="Q117" t="str">
        <f>IF($A117="","",SUMIFS(Allocation!$I$1:$I$175,Allocation!$C$1:$C$175,$A117,Allocation!$E$1:$E$175,$C117))</f>
        <v/>
      </c>
      <c r="R117" t="str">
        <f>IF($A117="","",SUMIFS(Allocation!$J$1:$J$175,Allocation!$C$1:$C$175,$A117,Allocation!$E$1:$E$175,$C117))</f>
        <v/>
      </c>
      <c r="S117" t="str">
        <f>IF($A117="","",SUMIFS(Allocation!$K$1:$K$175,Allocation!$C$1:$C$175,$A117,Allocation!$E$1:$E$175,$C117))</f>
        <v/>
      </c>
      <c r="T117" t="str">
        <f>IF($A117="","",SUMIFS(Allocation!$I$1:$I$175,Allocation!$C$1:$C$175,$A117))</f>
        <v/>
      </c>
      <c r="U117" t="str">
        <f>IF($A117="","",SUMIFS(Allocation!$J$1:$J$175,Allocation!$C$1:$C$175,$A117))</f>
        <v/>
      </c>
      <c r="V117" t="str">
        <f>IF($A117="","",SUMIFS(Allocation!$K$1:$K$175,Allocation!$C$1:$C$175,$A117))</f>
        <v/>
      </c>
      <c r="W117" t="str">
        <f>IF($A117="","",SUMIFS(Compta!$F$1:$F$675,Compta!$A$1:$A$675,$B117,Compta!$B$1:$B$675,"621",Compta!$C$1:$C$675,$A117))</f>
        <v/>
      </c>
      <c r="X117" t="str">
        <f>IF($A117="","",SUMIFS(Compta!$F$1:$F$675,Compta!$A$1:$A$675,$B117,Compta!$B$1:$B$675,"6411",Compta!$C$1:$C$675,$A117))</f>
        <v/>
      </c>
      <c r="Y117" t="str">
        <f>IF($A117="","",SUMIFS(Compta!$F$1:$F$675,Compta!$A$1:$A$675,$B117,Compta!$B$1:$B$675,"604",Compta!$C$1:$C$675,$A117)+SUMIFS(Compta!$F$1:$F$675,Compta!$A$1:$A$675,$B117,Compta!$B$1:$B$675,"6063",Compta!$C$1:$C$675,$A117))</f>
        <v/>
      </c>
      <c r="Z117" t="str">
        <f>IF($A117="","",SUMIFS(Compta!$F$1:$F$675,Compta!$A$1:$A$675,$B117,Compta!$B$1:$B$675,"6231",Compta!$C$1:$C$675,$A117))</f>
        <v/>
      </c>
      <c r="AA117" t="str">
        <f>IF($A117="","",SUMIFS(Compta!$F$1:$F$675,Compta!$A$1:$A$675,$B117,Compta!$B$1:$B$675,"6413",Compta!$C$1:$C$675,$A117)+SUMIFS(Compta!$F$1:$F$675,Compta!$A$1:$A$675,$B117,Compta!$B$1:$B$675,"645",Compta!$C$1:$C$675,$A117)+SUMIFS(Compta!$F$1:$F$675,Compta!$A$1:$A$675,$B117,Compta!$B$1:$B$675,"613",Compta!$C$1:$C$675,$A117)+SUMIFS(Compta!$F$1:$F$675,Compta!$A$1:$A$675,$B117,Compta!$B$1:$B$675,"615",Compta!$C$1:$C$675,$A117)+SUMIFS(Compta!$F$1:$F$675,Compta!$A$1:$A$675,$B117,Compta!$B$1:$B$675,"616",Compta!$C$1:$C$675,$A117)+SUMIFS(Compta!$F$1:$F$675,Compta!$A$1:$A$675,$B117,Compta!$B$1:$B$675,"625",Compta!$C$1:$C$675,$A117)+SUMIFS(Compta!$F$1:$F$675,Compta!$A$1:$A$675,$B117,Compta!$B$1:$B$675,"63511",Compta!$C$1:$C$675,$A117))</f>
        <v/>
      </c>
      <c r="AB117" t="str">
        <f>IF($A117="","",SUMIFS(Compta!$F$1:$F$675,Compta!$A$1:$A$675,"GRP",Compta!$B$1:$B$675,"6414",Compta!$C$1:$C$675,$A117)+SUMIFS(Compta!$F$1:$F$675,Compta!$A$1:$A$675,"GRP",Compta!$B$1:$B$675,"6226",Compta!$C$1:$C$675,$A117)+SUMIFS(Compta!$F$1:$F$675,Compta!$A$1:$A$675,"GRP",Compta!$B$1:$B$675,"626",Compta!$C$1:$C$675,$A117)+SUMIFS(Compta!$F$1:$F$675,Compta!$A$1:$A$675,"GRP",Compta!$B$1:$B$675,"6281",Compta!$C$1:$C$675,$A117)+SUMIFS(Compta!$F$1:$F$675,Compta!$A$1:$A$675,"GRP",Compta!$B$1:$B$675,"6331",Compta!$C$1:$C$675,$A117)+SUMIFS(Compta!$F$1:$F$675,Compta!$A$1:$A$675,"GRP",Compta!$B$1:$B$675,"6333",Compta!$C$1:$C$675,$A117))</f>
        <v/>
      </c>
      <c r="AC117" t="s">
        <v>297</v>
      </c>
      <c r="AD117" t="s">
        <v>297</v>
      </c>
      <c r="AE117" t="s">
        <v>297</v>
      </c>
      <c r="AF117" t="s">
        <v>297</v>
      </c>
      <c r="AG117" t="s">
        <v>297</v>
      </c>
      <c r="AH117" t="s">
        <v>297</v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 t="str">
        <f>IF($A117="","",SUMIFS(Compta!$F$1:$F$675,Compta!$A$1:$A$675,"GRP",Compta!$B$1:$B$675,"6236",Compta!$C$1:$C$675,$A117))</f>
        <v/>
      </c>
      <c r="AP117" t="s">
        <v>297</v>
      </c>
      <c r="AQ117" t="s">
        <v>297</v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IF(Allocation!D118="","",Allocation!I118)</f>
        <v/>
      </c>
      <c r="H118" t="str">
        <f>IF(Allocation!D118="","",Allocation!J118)</f>
        <v/>
      </c>
      <c r="I118" t="str">
        <f>IF(Allocation!D118="","",Allocation!K118)</f>
        <v/>
      </c>
      <c r="J118" t="str">
        <f>IF($A118="","",SUMIFS(Socle!$K$1:$K$175,Socle!$C$1:$C$175,$B118,Socle!$D$1:$D$175,$D118,Socle!$E$1:$E$175,$E118,Socle!$F$1:$F$175,$F118,Socle!$G$1:$G$175,$A118))</f>
        <v/>
      </c>
      <c r="K118" t="str">
        <f t="shared" si="10"/>
        <v/>
      </c>
      <c r="L118" t="str">
        <f>IF($A118="","",SUMIFS(Allocation!$I$1:$I$175,Allocation!$C$1:$C$175,$A118,Allocation!$D$1:$D$175,$B118))</f>
        <v/>
      </c>
      <c r="M118" t="str">
        <f>IF($A118="","",SUMIFS(Allocation!$J$1:$J$175,Allocation!$C$1:$C$175,$A118,Allocation!$D$1:$D$175,$B118))</f>
        <v/>
      </c>
      <c r="N118" t="str">
        <f>IF($A118="","",SUMIFS(Allocation!$K$1:$K$175,Allocation!$C$1:$C$175,$A118,Allocation!$D$1:$D$175,$B118))</f>
        <v/>
      </c>
      <c r="O118" t="str">
        <f t="shared" si="11"/>
        <v/>
      </c>
      <c r="P118" t="str">
        <f t="shared" si="12"/>
        <v/>
      </c>
      <c r="Q118" t="str">
        <f>IF($A118="","",SUMIFS(Allocation!$I$1:$I$175,Allocation!$C$1:$C$175,$A118,Allocation!$E$1:$E$175,$C118))</f>
        <v/>
      </c>
      <c r="R118" t="str">
        <f>IF($A118="","",SUMIFS(Allocation!$J$1:$J$175,Allocation!$C$1:$C$175,$A118,Allocation!$E$1:$E$175,$C118))</f>
        <v/>
      </c>
      <c r="S118" t="str">
        <f>IF($A118="","",SUMIFS(Allocation!$K$1:$K$175,Allocation!$C$1:$C$175,$A118,Allocation!$E$1:$E$175,$C118))</f>
        <v/>
      </c>
      <c r="T118" t="str">
        <f>IF($A118="","",SUMIFS(Allocation!$I$1:$I$175,Allocation!$C$1:$C$175,$A118))</f>
        <v/>
      </c>
      <c r="U118" t="str">
        <f>IF($A118="","",SUMIFS(Allocation!$J$1:$J$175,Allocation!$C$1:$C$175,$A118))</f>
        <v/>
      </c>
      <c r="V118" t="str">
        <f>IF($A118="","",SUMIFS(Allocation!$K$1:$K$175,Allocation!$C$1:$C$175,$A118))</f>
        <v/>
      </c>
      <c r="W118" t="str">
        <f>IF($A118="","",SUMIFS(Compta!$F$1:$F$675,Compta!$A$1:$A$675,$B118,Compta!$B$1:$B$675,"621",Compta!$C$1:$C$675,$A118))</f>
        <v/>
      </c>
      <c r="X118" t="str">
        <f>IF($A118="","",SUMIFS(Compta!$F$1:$F$675,Compta!$A$1:$A$675,$B118,Compta!$B$1:$B$675,"6411",Compta!$C$1:$C$675,$A118))</f>
        <v/>
      </c>
      <c r="Y118" t="str">
        <f>IF($A118="","",SUMIFS(Compta!$F$1:$F$675,Compta!$A$1:$A$675,$B118,Compta!$B$1:$B$675,"604",Compta!$C$1:$C$675,$A118)+SUMIFS(Compta!$F$1:$F$675,Compta!$A$1:$A$675,$B118,Compta!$B$1:$B$675,"6063",Compta!$C$1:$C$675,$A118))</f>
        <v/>
      </c>
      <c r="Z118" t="str">
        <f>IF($A118="","",SUMIFS(Compta!$F$1:$F$675,Compta!$A$1:$A$675,$B118,Compta!$B$1:$B$675,"6231",Compta!$C$1:$C$675,$A118))</f>
        <v/>
      </c>
      <c r="AA118" t="str">
        <f>IF($A118="","",SUMIFS(Compta!$F$1:$F$675,Compta!$A$1:$A$675,$B118,Compta!$B$1:$B$675,"6413",Compta!$C$1:$C$675,$A118)+SUMIFS(Compta!$F$1:$F$675,Compta!$A$1:$A$675,$B118,Compta!$B$1:$B$675,"645",Compta!$C$1:$C$675,$A118)+SUMIFS(Compta!$F$1:$F$675,Compta!$A$1:$A$675,$B118,Compta!$B$1:$B$675,"613",Compta!$C$1:$C$675,$A118)+SUMIFS(Compta!$F$1:$F$675,Compta!$A$1:$A$675,$B118,Compta!$B$1:$B$675,"615",Compta!$C$1:$C$675,$A118)+SUMIFS(Compta!$F$1:$F$675,Compta!$A$1:$A$675,$B118,Compta!$B$1:$B$675,"616",Compta!$C$1:$C$675,$A118)+SUMIFS(Compta!$F$1:$F$675,Compta!$A$1:$A$675,$B118,Compta!$B$1:$B$675,"625",Compta!$C$1:$C$675,$A118)+SUMIFS(Compta!$F$1:$F$675,Compta!$A$1:$A$675,$B118,Compta!$B$1:$B$675,"63511",Compta!$C$1:$C$675,$A118))</f>
        <v/>
      </c>
      <c r="AB118" t="str">
        <f>IF($A118="","",SUMIFS(Compta!$F$1:$F$675,Compta!$A$1:$A$675,"GRP",Compta!$B$1:$B$675,"6414",Compta!$C$1:$C$675,$A118)+SUMIFS(Compta!$F$1:$F$675,Compta!$A$1:$A$675,"GRP",Compta!$B$1:$B$675,"6226",Compta!$C$1:$C$675,$A118)+SUMIFS(Compta!$F$1:$F$675,Compta!$A$1:$A$675,"GRP",Compta!$B$1:$B$675,"626",Compta!$C$1:$C$675,$A118)+SUMIFS(Compta!$F$1:$F$675,Compta!$A$1:$A$675,"GRP",Compta!$B$1:$B$675,"6281",Compta!$C$1:$C$675,$A118)+SUMIFS(Compta!$F$1:$F$675,Compta!$A$1:$A$675,"GRP",Compta!$B$1:$B$675,"6331",Compta!$C$1:$C$675,$A118)+SUMIFS(Compta!$F$1:$F$675,Compta!$A$1:$A$675,"GRP",Compta!$B$1:$B$675,"6333",Compta!$C$1:$C$675,$A118))</f>
        <v/>
      </c>
      <c r="AC118" t="s">
        <v>297</v>
      </c>
      <c r="AD118" t="s">
        <v>297</v>
      </c>
      <c r="AE118" t="s">
        <v>297</v>
      </c>
      <c r="AF118" t="s">
        <v>297</v>
      </c>
      <c r="AG118" t="s">
        <v>297</v>
      </c>
      <c r="AH118" t="s">
        <v>297</v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 t="str">
        <f>IF($A118="","",SUMIFS(Compta!$F$1:$F$675,Compta!$A$1:$A$675,"GRP",Compta!$B$1:$B$675,"6236",Compta!$C$1:$C$675,$A118))</f>
        <v/>
      </c>
      <c r="AP118" t="s">
        <v>297</v>
      </c>
      <c r="AQ118" t="s">
        <v>297</v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IF(Allocation!D119="","",Allocation!I119)</f>
        <v/>
      </c>
      <c r="H119" t="str">
        <f>IF(Allocation!D119="","",Allocation!J119)</f>
        <v/>
      </c>
      <c r="I119" t="str">
        <f>IF(Allocation!D119="","",Allocation!K119)</f>
        <v/>
      </c>
      <c r="J119" t="str">
        <f>IF($A119="","",SUMIFS(Socle!$K$1:$K$175,Socle!$C$1:$C$175,$B119,Socle!$D$1:$D$175,$D119,Socle!$E$1:$E$175,$E119,Socle!$F$1:$F$175,$F119,Socle!$G$1:$G$175,$A119))</f>
        <v/>
      </c>
      <c r="K119" t="str">
        <f t="shared" si="10"/>
        <v/>
      </c>
      <c r="L119" t="str">
        <f>IF($A119="","",SUMIFS(Allocation!$I$1:$I$175,Allocation!$C$1:$C$175,$A119,Allocation!$D$1:$D$175,$B119))</f>
        <v/>
      </c>
      <c r="M119" t="str">
        <f>IF($A119="","",SUMIFS(Allocation!$J$1:$J$175,Allocation!$C$1:$C$175,$A119,Allocation!$D$1:$D$175,$B119))</f>
        <v/>
      </c>
      <c r="N119" t="str">
        <f>IF($A119="","",SUMIFS(Allocation!$K$1:$K$175,Allocation!$C$1:$C$175,$A119,Allocation!$D$1:$D$175,$B119))</f>
        <v/>
      </c>
      <c r="O119" t="str">
        <f t="shared" si="11"/>
        <v/>
      </c>
      <c r="P119" t="str">
        <f t="shared" si="12"/>
        <v/>
      </c>
      <c r="Q119" t="str">
        <f>IF($A119="","",SUMIFS(Allocation!$I$1:$I$175,Allocation!$C$1:$C$175,$A119,Allocation!$E$1:$E$175,$C119))</f>
        <v/>
      </c>
      <c r="R119" t="str">
        <f>IF($A119="","",SUMIFS(Allocation!$J$1:$J$175,Allocation!$C$1:$C$175,$A119,Allocation!$E$1:$E$175,$C119))</f>
        <v/>
      </c>
      <c r="S119" t="str">
        <f>IF($A119="","",SUMIFS(Allocation!$K$1:$K$175,Allocation!$C$1:$C$175,$A119,Allocation!$E$1:$E$175,$C119))</f>
        <v/>
      </c>
      <c r="T119" t="str">
        <f>IF($A119="","",SUMIFS(Allocation!$I$1:$I$175,Allocation!$C$1:$C$175,$A119))</f>
        <v/>
      </c>
      <c r="U119" t="str">
        <f>IF($A119="","",SUMIFS(Allocation!$J$1:$J$175,Allocation!$C$1:$C$175,$A119))</f>
        <v/>
      </c>
      <c r="V119" t="str">
        <f>IF($A119="","",SUMIFS(Allocation!$K$1:$K$175,Allocation!$C$1:$C$175,$A119))</f>
        <v/>
      </c>
      <c r="W119" t="str">
        <f>IF($A119="","",SUMIFS(Compta!$F$1:$F$675,Compta!$A$1:$A$675,$B119,Compta!$B$1:$B$675,"621",Compta!$C$1:$C$675,$A119))</f>
        <v/>
      </c>
      <c r="X119" t="str">
        <f>IF($A119="","",SUMIFS(Compta!$F$1:$F$675,Compta!$A$1:$A$675,$B119,Compta!$B$1:$B$675,"6411",Compta!$C$1:$C$675,$A119))</f>
        <v/>
      </c>
      <c r="Y119" t="str">
        <f>IF($A119="","",SUMIFS(Compta!$F$1:$F$675,Compta!$A$1:$A$675,$B119,Compta!$B$1:$B$675,"604",Compta!$C$1:$C$675,$A119)+SUMIFS(Compta!$F$1:$F$675,Compta!$A$1:$A$675,$B119,Compta!$B$1:$B$675,"6063",Compta!$C$1:$C$675,$A119))</f>
        <v/>
      </c>
      <c r="Z119" t="str">
        <f>IF($A119="","",SUMIFS(Compta!$F$1:$F$675,Compta!$A$1:$A$675,$B119,Compta!$B$1:$B$675,"6231",Compta!$C$1:$C$675,$A119))</f>
        <v/>
      </c>
      <c r="AA119" t="str">
        <f>IF($A119="","",SUMIFS(Compta!$F$1:$F$675,Compta!$A$1:$A$675,$B119,Compta!$B$1:$B$675,"6413",Compta!$C$1:$C$675,$A119)+SUMIFS(Compta!$F$1:$F$675,Compta!$A$1:$A$675,$B119,Compta!$B$1:$B$675,"645",Compta!$C$1:$C$675,$A119)+SUMIFS(Compta!$F$1:$F$675,Compta!$A$1:$A$675,$B119,Compta!$B$1:$B$675,"613",Compta!$C$1:$C$675,$A119)+SUMIFS(Compta!$F$1:$F$675,Compta!$A$1:$A$675,$B119,Compta!$B$1:$B$675,"615",Compta!$C$1:$C$675,$A119)+SUMIFS(Compta!$F$1:$F$675,Compta!$A$1:$A$675,$B119,Compta!$B$1:$B$675,"616",Compta!$C$1:$C$675,$A119)+SUMIFS(Compta!$F$1:$F$675,Compta!$A$1:$A$675,$B119,Compta!$B$1:$B$675,"625",Compta!$C$1:$C$675,$A119)+SUMIFS(Compta!$F$1:$F$675,Compta!$A$1:$A$675,$B119,Compta!$B$1:$B$675,"63511",Compta!$C$1:$C$675,$A119))</f>
        <v/>
      </c>
      <c r="AB119" t="str">
        <f>IF($A119="","",SUMIFS(Compta!$F$1:$F$675,Compta!$A$1:$A$675,"GRP",Compta!$B$1:$B$675,"6414",Compta!$C$1:$C$675,$A119)+SUMIFS(Compta!$F$1:$F$675,Compta!$A$1:$A$675,"GRP",Compta!$B$1:$B$675,"6226",Compta!$C$1:$C$675,$A119)+SUMIFS(Compta!$F$1:$F$675,Compta!$A$1:$A$675,"GRP",Compta!$B$1:$B$675,"626",Compta!$C$1:$C$675,$A119)+SUMIFS(Compta!$F$1:$F$675,Compta!$A$1:$A$675,"GRP",Compta!$B$1:$B$675,"6281",Compta!$C$1:$C$675,$A119)+SUMIFS(Compta!$F$1:$F$675,Compta!$A$1:$A$675,"GRP",Compta!$B$1:$B$675,"6331",Compta!$C$1:$C$675,$A119)+SUMIFS(Compta!$F$1:$F$675,Compta!$A$1:$A$675,"GRP",Compta!$B$1:$B$675,"6333",Compta!$C$1:$C$675,$A119))</f>
        <v/>
      </c>
      <c r="AC119" t="s">
        <v>297</v>
      </c>
      <c r="AD119" t="s">
        <v>297</v>
      </c>
      <c r="AE119" t="s">
        <v>297</v>
      </c>
      <c r="AF119" t="s">
        <v>297</v>
      </c>
      <c r="AG119" t="s">
        <v>297</v>
      </c>
      <c r="AH119" t="s">
        <v>297</v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 t="str">
        <f>IF($A119="","",SUMIFS(Compta!$F$1:$F$675,Compta!$A$1:$A$675,"GRP",Compta!$B$1:$B$675,"6236",Compta!$C$1:$C$675,$A119))</f>
        <v/>
      </c>
      <c r="AP119" t="s">
        <v>297</v>
      </c>
      <c r="AQ119" t="s">
        <v>297</v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IF(Allocation!D120="","",Allocation!I120)</f>
        <v/>
      </c>
      <c r="H120" t="str">
        <f>IF(Allocation!D120="","",Allocation!J120)</f>
        <v/>
      </c>
      <c r="I120" t="str">
        <f>IF(Allocation!D120="","",Allocation!K120)</f>
        <v/>
      </c>
      <c r="J120" t="str">
        <f>IF($A120="","",SUMIFS(Socle!$K$1:$K$175,Socle!$C$1:$C$175,$B120,Socle!$D$1:$D$175,$D120,Socle!$E$1:$E$175,$E120,Socle!$F$1:$F$175,$F120,Socle!$G$1:$G$175,$A120))</f>
        <v/>
      </c>
      <c r="K120" t="str">
        <f t="shared" si="10"/>
        <v/>
      </c>
      <c r="L120" t="str">
        <f>IF($A120="","",SUMIFS(Allocation!$I$1:$I$175,Allocation!$C$1:$C$175,$A120,Allocation!$D$1:$D$175,$B120))</f>
        <v/>
      </c>
      <c r="M120" t="str">
        <f>IF($A120="","",SUMIFS(Allocation!$J$1:$J$175,Allocation!$C$1:$C$175,$A120,Allocation!$D$1:$D$175,$B120))</f>
        <v/>
      </c>
      <c r="N120" t="str">
        <f>IF($A120="","",SUMIFS(Allocation!$K$1:$K$175,Allocation!$C$1:$C$175,$A120,Allocation!$D$1:$D$175,$B120))</f>
        <v/>
      </c>
      <c r="O120" t="str">
        <f t="shared" si="11"/>
        <v/>
      </c>
      <c r="P120" t="str">
        <f t="shared" si="12"/>
        <v/>
      </c>
      <c r="Q120" t="str">
        <f>IF($A120="","",SUMIFS(Allocation!$I$1:$I$175,Allocation!$C$1:$C$175,$A120,Allocation!$E$1:$E$175,$C120))</f>
        <v/>
      </c>
      <c r="R120" t="str">
        <f>IF($A120="","",SUMIFS(Allocation!$J$1:$J$175,Allocation!$C$1:$C$175,$A120,Allocation!$E$1:$E$175,$C120))</f>
        <v/>
      </c>
      <c r="S120" t="str">
        <f>IF($A120="","",SUMIFS(Allocation!$K$1:$K$175,Allocation!$C$1:$C$175,$A120,Allocation!$E$1:$E$175,$C120))</f>
        <v/>
      </c>
      <c r="T120" t="str">
        <f>IF($A120="","",SUMIFS(Allocation!$I$1:$I$175,Allocation!$C$1:$C$175,$A120))</f>
        <v/>
      </c>
      <c r="U120" t="str">
        <f>IF($A120="","",SUMIFS(Allocation!$J$1:$J$175,Allocation!$C$1:$C$175,$A120))</f>
        <v/>
      </c>
      <c r="V120" t="str">
        <f>IF($A120="","",SUMIFS(Allocation!$K$1:$K$175,Allocation!$C$1:$C$175,$A120))</f>
        <v/>
      </c>
      <c r="W120" t="str">
        <f>IF($A120="","",SUMIFS(Compta!$F$1:$F$675,Compta!$A$1:$A$675,$B120,Compta!$B$1:$B$675,"621",Compta!$C$1:$C$675,$A120))</f>
        <v/>
      </c>
      <c r="X120" t="str">
        <f>IF($A120="","",SUMIFS(Compta!$F$1:$F$675,Compta!$A$1:$A$675,$B120,Compta!$B$1:$B$675,"6411",Compta!$C$1:$C$675,$A120))</f>
        <v/>
      </c>
      <c r="Y120" t="str">
        <f>IF($A120="","",SUMIFS(Compta!$F$1:$F$675,Compta!$A$1:$A$675,$B120,Compta!$B$1:$B$675,"604",Compta!$C$1:$C$675,$A120)+SUMIFS(Compta!$F$1:$F$675,Compta!$A$1:$A$675,$B120,Compta!$B$1:$B$675,"6063",Compta!$C$1:$C$675,$A120))</f>
        <v/>
      </c>
      <c r="Z120" t="str">
        <f>IF($A120="","",SUMIFS(Compta!$F$1:$F$675,Compta!$A$1:$A$675,$B120,Compta!$B$1:$B$675,"6231",Compta!$C$1:$C$675,$A120))</f>
        <v/>
      </c>
      <c r="AA120" t="str">
        <f>IF($A120="","",SUMIFS(Compta!$F$1:$F$675,Compta!$A$1:$A$675,$B120,Compta!$B$1:$B$675,"6413",Compta!$C$1:$C$675,$A120)+SUMIFS(Compta!$F$1:$F$675,Compta!$A$1:$A$675,$B120,Compta!$B$1:$B$675,"645",Compta!$C$1:$C$675,$A120)+SUMIFS(Compta!$F$1:$F$675,Compta!$A$1:$A$675,$B120,Compta!$B$1:$B$675,"613",Compta!$C$1:$C$675,$A120)+SUMIFS(Compta!$F$1:$F$675,Compta!$A$1:$A$675,$B120,Compta!$B$1:$B$675,"615",Compta!$C$1:$C$675,$A120)+SUMIFS(Compta!$F$1:$F$675,Compta!$A$1:$A$675,$B120,Compta!$B$1:$B$675,"616",Compta!$C$1:$C$675,$A120)+SUMIFS(Compta!$F$1:$F$675,Compta!$A$1:$A$675,$B120,Compta!$B$1:$B$675,"625",Compta!$C$1:$C$675,$A120)+SUMIFS(Compta!$F$1:$F$675,Compta!$A$1:$A$675,$B120,Compta!$B$1:$B$675,"63511",Compta!$C$1:$C$675,$A120))</f>
        <v/>
      </c>
      <c r="AB120" t="str">
        <f>IF($A120="","",SUMIFS(Compta!$F$1:$F$675,Compta!$A$1:$A$675,"GRP",Compta!$B$1:$B$675,"6414",Compta!$C$1:$C$675,$A120)+SUMIFS(Compta!$F$1:$F$675,Compta!$A$1:$A$675,"GRP",Compta!$B$1:$B$675,"6226",Compta!$C$1:$C$675,$A120)+SUMIFS(Compta!$F$1:$F$675,Compta!$A$1:$A$675,"GRP",Compta!$B$1:$B$675,"626",Compta!$C$1:$C$675,$A120)+SUMIFS(Compta!$F$1:$F$675,Compta!$A$1:$A$675,"GRP",Compta!$B$1:$B$675,"6281",Compta!$C$1:$C$675,$A120)+SUMIFS(Compta!$F$1:$F$675,Compta!$A$1:$A$675,"GRP",Compta!$B$1:$B$675,"6331",Compta!$C$1:$C$675,$A120)+SUMIFS(Compta!$F$1:$F$675,Compta!$A$1:$A$675,"GRP",Compta!$B$1:$B$675,"6333",Compta!$C$1:$C$675,$A120))</f>
        <v/>
      </c>
      <c r="AC120" t="s">
        <v>297</v>
      </c>
      <c r="AD120" t="s">
        <v>297</v>
      </c>
      <c r="AE120" t="s">
        <v>297</v>
      </c>
      <c r="AF120" t="s">
        <v>297</v>
      </c>
      <c r="AG120" t="s">
        <v>297</v>
      </c>
      <c r="AH120" t="s">
        <v>297</v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 t="str">
        <f>IF($A120="","",SUMIFS(Compta!$F$1:$F$675,Compta!$A$1:$A$675,"GRP",Compta!$B$1:$B$675,"6236",Compta!$C$1:$C$675,$A120))</f>
        <v/>
      </c>
      <c r="AP120" t="s">
        <v>297</v>
      </c>
      <c r="AQ120" t="s">
        <v>297</v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IF(Allocation!D121="","",Allocation!I121)</f>
        <v/>
      </c>
      <c r="H121" t="str">
        <f>IF(Allocation!D121="","",Allocation!J121)</f>
        <v/>
      </c>
      <c r="I121" t="str">
        <f>IF(Allocation!D121="","",Allocation!K121)</f>
        <v/>
      </c>
      <c r="J121" t="str">
        <f>IF($A121="","",SUMIFS(Socle!$K$1:$K$175,Socle!$C$1:$C$175,$B121,Socle!$D$1:$D$175,$D121,Socle!$E$1:$E$175,$E121,Socle!$F$1:$F$175,$F121,Socle!$G$1:$G$175,$A121))</f>
        <v/>
      </c>
      <c r="K121" t="str">
        <f t="shared" si="10"/>
        <v/>
      </c>
      <c r="L121" t="str">
        <f>IF($A121="","",SUMIFS(Allocation!$I$1:$I$175,Allocation!$C$1:$C$175,$A121,Allocation!$D$1:$D$175,$B121))</f>
        <v/>
      </c>
      <c r="M121" t="str">
        <f>IF($A121="","",SUMIFS(Allocation!$J$1:$J$175,Allocation!$C$1:$C$175,$A121,Allocation!$D$1:$D$175,$B121))</f>
        <v/>
      </c>
      <c r="N121" t="str">
        <f>IF($A121="","",SUMIFS(Allocation!$K$1:$K$175,Allocation!$C$1:$C$175,$A121,Allocation!$D$1:$D$175,$B121))</f>
        <v/>
      </c>
      <c r="O121" t="str">
        <f t="shared" si="11"/>
        <v/>
      </c>
      <c r="P121" t="str">
        <f t="shared" si="12"/>
        <v/>
      </c>
      <c r="Q121" t="str">
        <f>IF($A121="","",SUMIFS(Allocation!$I$1:$I$175,Allocation!$C$1:$C$175,$A121,Allocation!$E$1:$E$175,$C121))</f>
        <v/>
      </c>
      <c r="R121" t="str">
        <f>IF($A121="","",SUMIFS(Allocation!$J$1:$J$175,Allocation!$C$1:$C$175,$A121,Allocation!$E$1:$E$175,$C121))</f>
        <v/>
      </c>
      <c r="S121" t="str">
        <f>IF($A121="","",SUMIFS(Allocation!$K$1:$K$175,Allocation!$C$1:$C$175,$A121,Allocation!$E$1:$E$175,$C121))</f>
        <v/>
      </c>
      <c r="T121" t="str">
        <f>IF($A121="","",SUMIFS(Allocation!$I$1:$I$175,Allocation!$C$1:$C$175,$A121))</f>
        <v/>
      </c>
      <c r="U121" t="str">
        <f>IF($A121="","",SUMIFS(Allocation!$J$1:$J$175,Allocation!$C$1:$C$175,$A121))</f>
        <v/>
      </c>
      <c r="V121" t="str">
        <f>IF($A121="","",SUMIFS(Allocation!$K$1:$K$175,Allocation!$C$1:$C$175,$A121))</f>
        <v/>
      </c>
      <c r="W121" t="str">
        <f>IF($A121="","",SUMIFS(Compta!$F$1:$F$675,Compta!$A$1:$A$675,$B121,Compta!$B$1:$B$675,"621",Compta!$C$1:$C$675,$A121))</f>
        <v/>
      </c>
      <c r="X121" t="str">
        <f>IF($A121="","",SUMIFS(Compta!$F$1:$F$675,Compta!$A$1:$A$675,$B121,Compta!$B$1:$B$675,"6411",Compta!$C$1:$C$675,$A121))</f>
        <v/>
      </c>
      <c r="Y121" t="str">
        <f>IF($A121="","",SUMIFS(Compta!$F$1:$F$675,Compta!$A$1:$A$675,$B121,Compta!$B$1:$B$675,"604",Compta!$C$1:$C$675,$A121)+SUMIFS(Compta!$F$1:$F$675,Compta!$A$1:$A$675,$B121,Compta!$B$1:$B$675,"6063",Compta!$C$1:$C$675,$A121))</f>
        <v/>
      </c>
      <c r="Z121" t="str">
        <f>IF($A121="","",SUMIFS(Compta!$F$1:$F$675,Compta!$A$1:$A$675,$B121,Compta!$B$1:$B$675,"6231",Compta!$C$1:$C$675,$A121))</f>
        <v/>
      </c>
      <c r="AA121" t="str">
        <f>IF($A121="","",SUMIFS(Compta!$F$1:$F$675,Compta!$A$1:$A$675,$B121,Compta!$B$1:$B$675,"6413",Compta!$C$1:$C$675,$A121)+SUMIFS(Compta!$F$1:$F$675,Compta!$A$1:$A$675,$B121,Compta!$B$1:$B$675,"645",Compta!$C$1:$C$675,$A121)+SUMIFS(Compta!$F$1:$F$675,Compta!$A$1:$A$675,$B121,Compta!$B$1:$B$675,"613",Compta!$C$1:$C$675,$A121)+SUMIFS(Compta!$F$1:$F$675,Compta!$A$1:$A$675,$B121,Compta!$B$1:$B$675,"615",Compta!$C$1:$C$675,$A121)+SUMIFS(Compta!$F$1:$F$675,Compta!$A$1:$A$675,$B121,Compta!$B$1:$B$675,"616",Compta!$C$1:$C$675,$A121)+SUMIFS(Compta!$F$1:$F$675,Compta!$A$1:$A$675,$B121,Compta!$B$1:$B$675,"625",Compta!$C$1:$C$675,$A121)+SUMIFS(Compta!$F$1:$F$675,Compta!$A$1:$A$675,$B121,Compta!$B$1:$B$675,"63511",Compta!$C$1:$C$675,$A121))</f>
        <v/>
      </c>
      <c r="AB121" t="str">
        <f>IF($A121="","",SUMIFS(Compta!$F$1:$F$675,Compta!$A$1:$A$675,"GRP",Compta!$B$1:$B$675,"6414",Compta!$C$1:$C$675,$A121)+SUMIFS(Compta!$F$1:$F$675,Compta!$A$1:$A$675,"GRP",Compta!$B$1:$B$675,"6226",Compta!$C$1:$C$675,$A121)+SUMIFS(Compta!$F$1:$F$675,Compta!$A$1:$A$675,"GRP",Compta!$B$1:$B$675,"626",Compta!$C$1:$C$675,$A121)+SUMIFS(Compta!$F$1:$F$675,Compta!$A$1:$A$675,"GRP",Compta!$B$1:$B$675,"6281",Compta!$C$1:$C$675,$A121)+SUMIFS(Compta!$F$1:$F$675,Compta!$A$1:$A$675,"GRP",Compta!$B$1:$B$675,"6331",Compta!$C$1:$C$675,$A121)+SUMIFS(Compta!$F$1:$F$675,Compta!$A$1:$A$675,"GRP",Compta!$B$1:$B$675,"6333",Compta!$C$1:$C$675,$A121))</f>
        <v/>
      </c>
      <c r="AC121" t="s">
        <v>297</v>
      </c>
      <c r="AD121" t="s">
        <v>297</v>
      </c>
      <c r="AE121" t="s">
        <v>297</v>
      </c>
      <c r="AF121" t="s">
        <v>297</v>
      </c>
      <c r="AG121" t="s">
        <v>297</v>
      </c>
      <c r="AH121" t="s">
        <v>297</v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 t="str">
        <f>IF($A121="","",SUMIFS(Compta!$F$1:$F$675,Compta!$A$1:$A$675,"GRP",Compta!$B$1:$B$675,"6236",Compta!$C$1:$C$675,$A121))</f>
        <v/>
      </c>
      <c r="AP121" t="s">
        <v>297</v>
      </c>
      <c r="AQ121" t="s">
        <v>297</v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IF(Allocation!D122="","",Allocation!I122)</f>
        <v/>
      </c>
      <c r="H122" t="str">
        <f>IF(Allocation!D122="","",Allocation!J122)</f>
        <v/>
      </c>
      <c r="I122" t="str">
        <f>IF(Allocation!D122="","",Allocation!K122)</f>
        <v/>
      </c>
      <c r="J122" t="str">
        <f>IF($A122="","",SUMIFS(Socle!$K$1:$K$175,Socle!$C$1:$C$175,$B122,Socle!$D$1:$D$175,$D122,Socle!$E$1:$E$175,$E122,Socle!$F$1:$F$175,$F122,Socle!$G$1:$G$175,$A122))</f>
        <v/>
      </c>
      <c r="K122" t="str">
        <f t="shared" si="10"/>
        <v/>
      </c>
      <c r="L122" t="str">
        <f>IF($A122="","",SUMIFS(Allocation!$I$1:$I$175,Allocation!$C$1:$C$175,$A122,Allocation!$D$1:$D$175,$B122))</f>
        <v/>
      </c>
      <c r="M122" t="str">
        <f>IF($A122="","",SUMIFS(Allocation!$J$1:$J$175,Allocation!$C$1:$C$175,$A122,Allocation!$D$1:$D$175,$B122))</f>
        <v/>
      </c>
      <c r="N122" t="str">
        <f>IF($A122="","",SUMIFS(Allocation!$K$1:$K$175,Allocation!$C$1:$C$175,$A122,Allocation!$D$1:$D$175,$B122))</f>
        <v/>
      </c>
      <c r="O122" t="str">
        <f t="shared" si="11"/>
        <v/>
      </c>
      <c r="P122" t="str">
        <f t="shared" si="12"/>
        <v/>
      </c>
      <c r="Q122" t="str">
        <f>IF($A122="","",SUMIFS(Allocation!$I$1:$I$175,Allocation!$C$1:$C$175,$A122,Allocation!$E$1:$E$175,$C122))</f>
        <v/>
      </c>
      <c r="R122" t="str">
        <f>IF($A122="","",SUMIFS(Allocation!$J$1:$J$175,Allocation!$C$1:$C$175,$A122,Allocation!$E$1:$E$175,$C122))</f>
        <v/>
      </c>
      <c r="S122" t="str">
        <f>IF($A122="","",SUMIFS(Allocation!$K$1:$K$175,Allocation!$C$1:$C$175,$A122,Allocation!$E$1:$E$175,$C122))</f>
        <v/>
      </c>
      <c r="T122" t="str">
        <f>IF($A122="","",SUMIFS(Allocation!$I$1:$I$175,Allocation!$C$1:$C$175,$A122))</f>
        <v/>
      </c>
      <c r="U122" t="str">
        <f>IF($A122="","",SUMIFS(Allocation!$J$1:$J$175,Allocation!$C$1:$C$175,$A122))</f>
        <v/>
      </c>
      <c r="V122" t="str">
        <f>IF($A122="","",SUMIFS(Allocation!$K$1:$K$175,Allocation!$C$1:$C$175,$A122))</f>
        <v/>
      </c>
      <c r="W122" t="str">
        <f>IF($A122="","",SUMIFS(Compta!$F$1:$F$675,Compta!$A$1:$A$675,$B122,Compta!$B$1:$B$675,"621",Compta!$C$1:$C$675,$A122))</f>
        <v/>
      </c>
      <c r="X122" t="str">
        <f>IF($A122="","",SUMIFS(Compta!$F$1:$F$675,Compta!$A$1:$A$675,$B122,Compta!$B$1:$B$675,"6411",Compta!$C$1:$C$675,$A122))</f>
        <v/>
      </c>
      <c r="Y122" t="str">
        <f>IF($A122="","",SUMIFS(Compta!$F$1:$F$675,Compta!$A$1:$A$675,$B122,Compta!$B$1:$B$675,"604",Compta!$C$1:$C$675,$A122)+SUMIFS(Compta!$F$1:$F$675,Compta!$A$1:$A$675,$B122,Compta!$B$1:$B$675,"6063",Compta!$C$1:$C$675,$A122))</f>
        <v/>
      </c>
      <c r="Z122" t="str">
        <f>IF($A122="","",SUMIFS(Compta!$F$1:$F$675,Compta!$A$1:$A$675,$B122,Compta!$B$1:$B$675,"6231",Compta!$C$1:$C$675,$A122))</f>
        <v/>
      </c>
      <c r="AA122" t="str">
        <f>IF($A122="","",SUMIFS(Compta!$F$1:$F$675,Compta!$A$1:$A$675,$B122,Compta!$B$1:$B$675,"6413",Compta!$C$1:$C$675,$A122)+SUMIFS(Compta!$F$1:$F$675,Compta!$A$1:$A$675,$B122,Compta!$B$1:$B$675,"645",Compta!$C$1:$C$675,$A122)+SUMIFS(Compta!$F$1:$F$675,Compta!$A$1:$A$675,$B122,Compta!$B$1:$B$675,"613",Compta!$C$1:$C$675,$A122)+SUMIFS(Compta!$F$1:$F$675,Compta!$A$1:$A$675,$B122,Compta!$B$1:$B$675,"615",Compta!$C$1:$C$675,$A122)+SUMIFS(Compta!$F$1:$F$675,Compta!$A$1:$A$675,$B122,Compta!$B$1:$B$675,"616",Compta!$C$1:$C$675,$A122)+SUMIFS(Compta!$F$1:$F$675,Compta!$A$1:$A$675,$B122,Compta!$B$1:$B$675,"625",Compta!$C$1:$C$675,$A122)+SUMIFS(Compta!$F$1:$F$675,Compta!$A$1:$A$675,$B122,Compta!$B$1:$B$675,"63511",Compta!$C$1:$C$675,$A122))</f>
        <v/>
      </c>
      <c r="AB122" t="str">
        <f>IF($A122="","",SUMIFS(Compta!$F$1:$F$675,Compta!$A$1:$A$675,"GRP",Compta!$B$1:$B$675,"6414",Compta!$C$1:$C$675,$A122)+SUMIFS(Compta!$F$1:$F$675,Compta!$A$1:$A$675,"GRP",Compta!$B$1:$B$675,"6226",Compta!$C$1:$C$675,$A122)+SUMIFS(Compta!$F$1:$F$675,Compta!$A$1:$A$675,"GRP",Compta!$B$1:$B$675,"626",Compta!$C$1:$C$675,$A122)+SUMIFS(Compta!$F$1:$F$675,Compta!$A$1:$A$675,"GRP",Compta!$B$1:$B$675,"6281",Compta!$C$1:$C$675,$A122)+SUMIFS(Compta!$F$1:$F$675,Compta!$A$1:$A$675,"GRP",Compta!$B$1:$B$675,"6331",Compta!$C$1:$C$675,$A122)+SUMIFS(Compta!$F$1:$F$675,Compta!$A$1:$A$675,"GRP",Compta!$B$1:$B$675,"6333",Compta!$C$1:$C$675,$A122))</f>
        <v/>
      </c>
      <c r="AC122" t="s">
        <v>297</v>
      </c>
      <c r="AD122" t="s">
        <v>297</v>
      </c>
      <c r="AE122" t="s">
        <v>297</v>
      </c>
      <c r="AF122" t="s">
        <v>297</v>
      </c>
      <c r="AG122" t="s">
        <v>297</v>
      </c>
      <c r="AH122" t="s">
        <v>297</v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 t="str">
        <f>IF($A122="","",SUMIFS(Compta!$F$1:$F$675,Compta!$A$1:$A$675,"GRP",Compta!$B$1:$B$675,"6236",Compta!$C$1:$C$675,$A122))</f>
        <v/>
      </c>
      <c r="AP122" t="s">
        <v>297</v>
      </c>
      <c r="AQ122" t="s">
        <v>297</v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IF(Allocation!D123="","",Allocation!I123)</f>
        <v/>
      </c>
      <c r="H123" t="str">
        <f>IF(Allocation!D123="","",Allocation!J123)</f>
        <v/>
      </c>
      <c r="I123" t="str">
        <f>IF(Allocation!D123="","",Allocation!K123)</f>
        <v/>
      </c>
      <c r="J123" t="str">
        <f>IF($A123="","",SUMIFS(Socle!$K$1:$K$175,Socle!$C$1:$C$175,$B123,Socle!$D$1:$D$175,$D123,Socle!$E$1:$E$175,$E123,Socle!$F$1:$F$175,$F123,Socle!$G$1:$G$175,$A123))</f>
        <v/>
      </c>
      <c r="K123" t="str">
        <f t="shared" si="10"/>
        <v/>
      </c>
      <c r="L123" t="str">
        <f>IF($A123="","",SUMIFS(Allocation!$I$1:$I$175,Allocation!$C$1:$C$175,$A123,Allocation!$D$1:$D$175,$B123))</f>
        <v/>
      </c>
      <c r="M123" t="str">
        <f>IF($A123="","",SUMIFS(Allocation!$J$1:$J$175,Allocation!$C$1:$C$175,$A123,Allocation!$D$1:$D$175,$B123))</f>
        <v/>
      </c>
      <c r="N123" t="str">
        <f>IF($A123="","",SUMIFS(Allocation!$K$1:$K$175,Allocation!$C$1:$C$175,$A123,Allocation!$D$1:$D$175,$B123))</f>
        <v/>
      </c>
      <c r="O123" t="str">
        <f t="shared" si="11"/>
        <v/>
      </c>
      <c r="P123" t="str">
        <f t="shared" si="12"/>
        <v/>
      </c>
      <c r="Q123" t="str">
        <f>IF($A123="","",SUMIFS(Allocation!$I$1:$I$175,Allocation!$C$1:$C$175,$A123,Allocation!$E$1:$E$175,$C123))</f>
        <v/>
      </c>
      <c r="R123" t="str">
        <f>IF($A123="","",SUMIFS(Allocation!$J$1:$J$175,Allocation!$C$1:$C$175,$A123,Allocation!$E$1:$E$175,$C123))</f>
        <v/>
      </c>
      <c r="S123" t="str">
        <f>IF($A123="","",SUMIFS(Allocation!$K$1:$K$175,Allocation!$C$1:$C$175,$A123,Allocation!$E$1:$E$175,$C123))</f>
        <v/>
      </c>
      <c r="T123" t="str">
        <f>IF($A123="","",SUMIFS(Allocation!$I$1:$I$175,Allocation!$C$1:$C$175,$A123))</f>
        <v/>
      </c>
      <c r="U123" t="str">
        <f>IF($A123="","",SUMIFS(Allocation!$J$1:$J$175,Allocation!$C$1:$C$175,$A123))</f>
        <v/>
      </c>
      <c r="V123" t="str">
        <f>IF($A123="","",SUMIFS(Allocation!$K$1:$K$175,Allocation!$C$1:$C$175,$A123))</f>
        <v/>
      </c>
      <c r="W123" t="str">
        <f>IF($A123="","",SUMIFS(Compta!$F$1:$F$675,Compta!$A$1:$A$675,$B123,Compta!$B$1:$B$675,"621",Compta!$C$1:$C$675,$A123))</f>
        <v/>
      </c>
      <c r="X123" t="str">
        <f>IF($A123="","",SUMIFS(Compta!$F$1:$F$675,Compta!$A$1:$A$675,$B123,Compta!$B$1:$B$675,"6411",Compta!$C$1:$C$675,$A123))</f>
        <v/>
      </c>
      <c r="Y123" t="str">
        <f>IF($A123="","",SUMIFS(Compta!$F$1:$F$675,Compta!$A$1:$A$675,$B123,Compta!$B$1:$B$675,"604",Compta!$C$1:$C$675,$A123)+SUMIFS(Compta!$F$1:$F$675,Compta!$A$1:$A$675,$B123,Compta!$B$1:$B$675,"6063",Compta!$C$1:$C$675,$A123))</f>
        <v/>
      </c>
      <c r="Z123" t="str">
        <f>IF($A123="","",SUMIFS(Compta!$F$1:$F$675,Compta!$A$1:$A$675,$B123,Compta!$B$1:$B$675,"6231",Compta!$C$1:$C$675,$A123))</f>
        <v/>
      </c>
      <c r="AA123" t="str">
        <f>IF($A123="","",SUMIFS(Compta!$F$1:$F$675,Compta!$A$1:$A$675,$B123,Compta!$B$1:$B$675,"6413",Compta!$C$1:$C$675,$A123)+SUMIFS(Compta!$F$1:$F$675,Compta!$A$1:$A$675,$B123,Compta!$B$1:$B$675,"645",Compta!$C$1:$C$675,$A123)+SUMIFS(Compta!$F$1:$F$675,Compta!$A$1:$A$675,$B123,Compta!$B$1:$B$675,"613",Compta!$C$1:$C$675,$A123)+SUMIFS(Compta!$F$1:$F$675,Compta!$A$1:$A$675,$B123,Compta!$B$1:$B$675,"615",Compta!$C$1:$C$675,$A123)+SUMIFS(Compta!$F$1:$F$675,Compta!$A$1:$A$675,$B123,Compta!$B$1:$B$675,"616",Compta!$C$1:$C$675,$A123)+SUMIFS(Compta!$F$1:$F$675,Compta!$A$1:$A$675,$B123,Compta!$B$1:$B$675,"625",Compta!$C$1:$C$675,$A123)+SUMIFS(Compta!$F$1:$F$675,Compta!$A$1:$A$675,$B123,Compta!$B$1:$B$675,"63511",Compta!$C$1:$C$675,$A123))</f>
        <v/>
      </c>
      <c r="AB123" t="str">
        <f>IF($A123="","",SUMIFS(Compta!$F$1:$F$675,Compta!$A$1:$A$675,"GRP",Compta!$B$1:$B$675,"6414",Compta!$C$1:$C$675,$A123)+SUMIFS(Compta!$F$1:$F$675,Compta!$A$1:$A$675,"GRP",Compta!$B$1:$B$675,"6226",Compta!$C$1:$C$675,$A123)+SUMIFS(Compta!$F$1:$F$675,Compta!$A$1:$A$675,"GRP",Compta!$B$1:$B$675,"626",Compta!$C$1:$C$675,$A123)+SUMIFS(Compta!$F$1:$F$675,Compta!$A$1:$A$675,"GRP",Compta!$B$1:$B$675,"6281",Compta!$C$1:$C$675,$A123)+SUMIFS(Compta!$F$1:$F$675,Compta!$A$1:$A$675,"GRP",Compta!$B$1:$B$675,"6331",Compta!$C$1:$C$675,$A123)+SUMIFS(Compta!$F$1:$F$675,Compta!$A$1:$A$675,"GRP",Compta!$B$1:$B$675,"6333",Compta!$C$1:$C$675,$A123))</f>
        <v/>
      </c>
      <c r="AC123" t="s">
        <v>297</v>
      </c>
      <c r="AD123" t="s">
        <v>297</v>
      </c>
      <c r="AE123" t="s">
        <v>297</v>
      </c>
      <c r="AF123" t="s">
        <v>297</v>
      </c>
      <c r="AG123" t="s">
        <v>297</v>
      </c>
      <c r="AH123" t="s">
        <v>297</v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 t="str">
        <f>IF($A123="","",SUMIFS(Compta!$F$1:$F$675,Compta!$A$1:$A$675,"GRP",Compta!$B$1:$B$675,"6236",Compta!$C$1:$C$675,$A123))</f>
        <v/>
      </c>
      <c r="AP123" t="s">
        <v>297</v>
      </c>
      <c r="AQ123" t="s">
        <v>297</v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IF(Allocation!D124="","",Allocation!I124)</f>
        <v/>
      </c>
      <c r="H124" t="str">
        <f>IF(Allocation!D124="","",Allocation!J124)</f>
        <v/>
      </c>
      <c r="I124" t="str">
        <f>IF(Allocation!D124="","",Allocation!K124)</f>
        <v/>
      </c>
      <c r="J124" t="str">
        <f>IF($A124="","",SUMIFS(Socle!$K$1:$K$175,Socle!$C$1:$C$175,$B124,Socle!$D$1:$D$175,$D124,Socle!$E$1:$E$175,$E124,Socle!$F$1:$F$175,$F124,Socle!$G$1:$G$175,$A124))</f>
        <v/>
      </c>
      <c r="K124" t="str">
        <f t="shared" si="10"/>
        <v/>
      </c>
      <c r="L124" t="str">
        <f>IF($A124="","",SUMIFS(Allocation!$I$1:$I$175,Allocation!$C$1:$C$175,$A124,Allocation!$D$1:$D$175,$B124))</f>
        <v/>
      </c>
      <c r="M124" t="str">
        <f>IF($A124="","",SUMIFS(Allocation!$J$1:$J$175,Allocation!$C$1:$C$175,$A124,Allocation!$D$1:$D$175,$B124))</f>
        <v/>
      </c>
      <c r="N124" t="str">
        <f>IF($A124="","",SUMIFS(Allocation!$K$1:$K$175,Allocation!$C$1:$C$175,$A124,Allocation!$D$1:$D$175,$B124))</f>
        <v/>
      </c>
      <c r="O124" t="str">
        <f t="shared" si="11"/>
        <v/>
      </c>
      <c r="P124" t="str">
        <f t="shared" si="12"/>
        <v/>
      </c>
      <c r="Q124" t="str">
        <f>IF($A124="","",SUMIFS(Allocation!$I$1:$I$175,Allocation!$C$1:$C$175,$A124,Allocation!$E$1:$E$175,$C124))</f>
        <v/>
      </c>
      <c r="R124" t="str">
        <f>IF($A124="","",SUMIFS(Allocation!$J$1:$J$175,Allocation!$C$1:$C$175,$A124,Allocation!$E$1:$E$175,$C124))</f>
        <v/>
      </c>
      <c r="S124" t="str">
        <f>IF($A124="","",SUMIFS(Allocation!$K$1:$K$175,Allocation!$C$1:$C$175,$A124,Allocation!$E$1:$E$175,$C124))</f>
        <v/>
      </c>
      <c r="T124" t="str">
        <f>IF($A124="","",SUMIFS(Allocation!$I$1:$I$175,Allocation!$C$1:$C$175,$A124))</f>
        <v/>
      </c>
      <c r="U124" t="str">
        <f>IF($A124="","",SUMIFS(Allocation!$J$1:$J$175,Allocation!$C$1:$C$175,$A124))</f>
        <v/>
      </c>
      <c r="V124" t="str">
        <f>IF($A124="","",SUMIFS(Allocation!$K$1:$K$175,Allocation!$C$1:$C$175,$A124))</f>
        <v/>
      </c>
      <c r="W124" t="str">
        <f>IF($A124="","",SUMIFS(Compta!$F$1:$F$675,Compta!$A$1:$A$675,$B124,Compta!$B$1:$B$675,"621",Compta!$C$1:$C$675,$A124))</f>
        <v/>
      </c>
      <c r="X124" t="str">
        <f>IF($A124="","",SUMIFS(Compta!$F$1:$F$675,Compta!$A$1:$A$675,$B124,Compta!$B$1:$B$675,"6411",Compta!$C$1:$C$675,$A124))</f>
        <v/>
      </c>
      <c r="Y124" t="str">
        <f>IF($A124="","",SUMIFS(Compta!$F$1:$F$675,Compta!$A$1:$A$675,$B124,Compta!$B$1:$B$675,"604",Compta!$C$1:$C$675,$A124)+SUMIFS(Compta!$F$1:$F$675,Compta!$A$1:$A$675,$B124,Compta!$B$1:$B$675,"6063",Compta!$C$1:$C$675,$A124))</f>
        <v/>
      </c>
      <c r="Z124" t="str">
        <f>IF($A124="","",SUMIFS(Compta!$F$1:$F$675,Compta!$A$1:$A$675,$B124,Compta!$B$1:$B$675,"6231",Compta!$C$1:$C$675,$A124))</f>
        <v/>
      </c>
      <c r="AA124" t="str">
        <f>IF($A124="","",SUMIFS(Compta!$F$1:$F$675,Compta!$A$1:$A$675,$B124,Compta!$B$1:$B$675,"6413",Compta!$C$1:$C$675,$A124)+SUMIFS(Compta!$F$1:$F$675,Compta!$A$1:$A$675,$B124,Compta!$B$1:$B$675,"645",Compta!$C$1:$C$675,$A124)+SUMIFS(Compta!$F$1:$F$675,Compta!$A$1:$A$675,$B124,Compta!$B$1:$B$675,"613",Compta!$C$1:$C$675,$A124)+SUMIFS(Compta!$F$1:$F$675,Compta!$A$1:$A$675,$B124,Compta!$B$1:$B$675,"615",Compta!$C$1:$C$675,$A124)+SUMIFS(Compta!$F$1:$F$675,Compta!$A$1:$A$675,$B124,Compta!$B$1:$B$675,"616",Compta!$C$1:$C$675,$A124)+SUMIFS(Compta!$F$1:$F$675,Compta!$A$1:$A$675,$B124,Compta!$B$1:$B$675,"625",Compta!$C$1:$C$675,$A124)+SUMIFS(Compta!$F$1:$F$675,Compta!$A$1:$A$675,$B124,Compta!$B$1:$B$675,"63511",Compta!$C$1:$C$675,$A124))</f>
        <v/>
      </c>
      <c r="AB124" t="str">
        <f>IF($A124="","",SUMIFS(Compta!$F$1:$F$675,Compta!$A$1:$A$675,"GRP",Compta!$B$1:$B$675,"6414",Compta!$C$1:$C$675,$A124)+SUMIFS(Compta!$F$1:$F$675,Compta!$A$1:$A$675,"GRP",Compta!$B$1:$B$675,"6226",Compta!$C$1:$C$675,$A124)+SUMIFS(Compta!$F$1:$F$675,Compta!$A$1:$A$675,"GRP",Compta!$B$1:$B$675,"626",Compta!$C$1:$C$675,$A124)+SUMIFS(Compta!$F$1:$F$675,Compta!$A$1:$A$675,"GRP",Compta!$B$1:$B$675,"6281",Compta!$C$1:$C$675,$A124)+SUMIFS(Compta!$F$1:$F$675,Compta!$A$1:$A$675,"GRP",Compta!$B$1:$B$675,"6331",Compta!$C$1:$C$675,$A124)+SUMIFS(Compta!$F$1:$F$675,Compta!$A$1:$A$675,"GRP",Compta!$B$1:$B$675,"6333",Compta!$C$1:$C$675,$A124))</f>
        <v/>
      </c>
      <c r="AC124" t="s">
        <v>297</v>
      </c>
      <c r="AD124" t="s">
        <v>297</v>
      </c>
      <c r="AE124" t="s">
        <v>297</v>
      </c>
      <c r="AF124" t="s">
        <v>297</v>
      </c>
      <c r="AG124" t="s">
        <v>297</v>
      </c>
      <c r="AH124" t="s">
        <v>297</v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 t="str">
        <f>IF($A124="","",SUMIFS(Compta!$F$1:$F$675,Compta!$A$1:$A$675,"GRP",Compta!$B$1:$B$675,"6236",Compta!$C$1:$C$675,$A124))</f>
        <v/>
      </c>
      <c r="AP124" t="s">
        <v>297</v>
      </c>
      <c r="AQ124" t="s">
        <v>297</v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IF(Allocation!D125="","",Allocation!I125)</f>
        <v/>
      </c>
      <c r="H125" t="str">
        <f>IF(Allocation!D125="","",Allocation!J125)</f>
        <v/>
      </c>
      <c r="I125" t="str">
        <f>IF(Allocation!D125="","",Allocation!K125)</f>
        <v/>
      </c>
      <c r="J125" t="str">
        <f>IF($A125="","",SUMIFS(Socle!$K$1:$K$175,Socle!$C$1:$C$175,$B125,Socle!$D$1:$D$175,$D125,Socle!$E$1:$E$175,$E125,Socle!$F$1:$F$175,$F125,Socle!$G$1:$G$175,$A125))</f>
        <v/>
      </c>
      <c r="K125" t="str">
        <f t="shared" si="10"/>
        <v/>
      </c>
      <c r="L125" t="str">
        <f>IF($A125="","",SUMIFS(Allocation!$I$1:$I$175,Allocation!$C$1:$C$175,$A125,Allocation!$D$1:$D$175,$B125))</f>
        <v/>
      </c>
      <c r="M125" t="str">
        <f>IF($A125="","",SUMIFS(Allocation!$J$1:$J$175,Allocation!$C$1:$C$175,$A125,Allocation!$D$1:$D$175,$B125))</f>
        <v/>
      </c>
      <c r="N125" t="str">
        <f>IF($A125="","",SUMIFS(Allocation!$K$1:$K$175,Allocation!$C$1:$C$175,$A125,Allocation!$D$1:$D$175,$B125))</f>
        <v/>
      </c>
      <c r="O125" t="str">
        <f t="shared" si="11"/>
        <v/>
      </c>
      <c r="P125" t="str">
        <f t="shared" si="12"/>
        <v/>
      </c>
      <c r="Q125" t="str">
        <f>IF($A125="","",SUMIFS(Allocation!$I$1:$I$175,Allocation!$C$1:$C$175,$A125,Allocation!$E$1:$E$175,$C125))</f>
        <v/>
      </c>
      <c r="R125" t="str">
        <f>IF($A125="","",SUMIFS(Allocation!$J$1:$J$175,Allocation!$C$1:$C$175,$A125,Allocation!$E$1:$E$175,$C125))</f>
        <v/>
      </c>
      <c r="S125" t="str">
        <f>IF($A125="","",SUMIFS(Allocation!$K$1:$K$175,Allocation!$C$1:$C$175,$A125,Allocation!$E$1:$E$175,$C125))</f>
        <v/>
      </c>
      <c r="T125" t="str">
        <f>IF($A125="","",SUMIFS(Allocation!$I$1:$I$175,Allocation!$C$1:$C$175,$A125))</f>
        <v/>
      </c>
      <c r="U125" t="str">
        <f>IF($A125="","",SUMIFS(Allocation!$J$1:$J$175,Allocation!$C$1:$C$175,$A125))</f>
        <v/>
      </c>
      <c r="V125" t="str">
        <f>IF($A125="","",SUMIFS(Allocation!$K$1:$K$175,Allocation!$C$1:$C$175,$A125))</f>
        <v/>
      </c>
      <c r="W125" t="str">
        <f>IF($A125="","",SUMIFS(Compta!$F$1:$F$675,Compta!$A$1:$A$675,$B125,Compta!$B$1:$B$675,"621",Compta!$C$1:$C$675,$A125))</f>
        <v/>
      </c>
      <c r="X125" t="str">
        <f>IF($A125="","",SUMIFS(Compta!$F$1:$F$675,Compta!$A$1:$A$675,$B125,Compta!$B$1:$B$675,"6411",Compta!$C$1:$C$675,$A125))</f>
        <v/>
      </c>
      <c r="Y125" t="str">
        <f>IF($A125="","",SUMIFS(Compta!$F$1:$F$675,Compta!$A$1:$A$675,$B125,Compta!$B$1:$B$675,"604",Compta!$C$1:$C$675,$A125)+SUMIFS(Compta!$F$1:$F$675,Compta!$A$1:$A$675,$B125,Compta!$B$1:$B$675,"6063",Compta!$C$1:$C$675,$A125))</f>
        <v/>
      </c>
      <c r="Z125" t="str">
        <f>IF($A125="","",SUMIFS(Compta!$F$1:$F$675,Compta!$A$1:$A$675,$B125,Compta!$B$1:$B$675,"6231",Compta!$C$1:$C$675,$A125))</f>
        <v/>
      </c>
      <c r="AA125" t="str">
        <f>IF($A125="","",SUMIFS(Compta!$F$1:$F$675,Compta!$A$1:$A$675,$B125,Compta!$B$1:$B$675,"6413",Compta!$C$1:$C$675,$A125)+SUMIFS(Compta!$F$1:$F$675,Compta!$A$1:$A$675,$B125,Compta!$B$1:$B$675,"645",Compta!$C$1:$C$675,$A125)+SUMIFS(Compta!$F$1:$F$675,Compta!$A$1:$A$675,$B125,Compta!$B$1:$B$675,"613",Compta!$C$1:$C$675,$A125)+SUMIFS(Compta!$F$1:$F$675,Compta!$A$1:$A$675,$B125,Compta!$B$1:$B$675,"615",Compta!$C$1:$C$675,$A125)+SUMIFS(Compta!$F$1:$F$675,Compta!$A$1:$A$675,$B125,Compta!$B$1:$B$675,"616",Compta!$C$1:$C$675,$A125)+SUMIFS(Compta!$F$1:$F$675,Compta!$A$1:$A$675,$B125,Compta!$B$1:$B$675,"625",Compta!$C$1:$C$675,$A125)+SUMIFS(Compta!$F$1:$F$675,Compta!$A$1:$A$675,$B125,Compta!$B$1:$B$675,"63511",Compta!$C$1:$C$675,$A125))</f>
        <v/>
      </c>
      <c r="AB125" t="str">
        <f>IF($A125="","",SUMIFS(Compta!$F$1:$F$675,Compta!$A$1:$A$675,"GRP",Compta!$B$1:$B$675,"6414",Compta!$C$1:$C$675,$A125)+SUMIFS(Compta!$F$1:$F$675,Compta!$A$1:$A$675,"GRP",Compta!$B$1:$B$675,"6226",Compta!$C$1:$C$675,$A125)+SUMIFS(Compta!$F$1:$F$675,Compta!$A$1:$A$675,"GRP",Compta!$B$1:$B$675,"626",Compta!$C$1:$C$675,$A125)+SUMIFS(Compta!$F$1:$F$675,Compta!$A$1:$A$675,"GRP",Compta!$B$1:$B$675,"6281",Compta!$C$1:$C$675,$A125)+SUMIFS(Compta!$F$1:$F$675,Compta!$A$1:$A$675,"GRP",Compta!$B$1:$B$675,"6331",Compta!$C$1:$C$675,$A125)+SUMIFS(Compta!$F$1:$F$675,Compta!$A$1:$A$675,"GRP",Compta!$B$1:$B$675,"6333",Compta!$C$1:$C$675,$A125))</f>
        <v/>
      </c>
      <c r="AC125" t="s">
        <v>297</v>
      </c>
      <c r="AD125" t="s">
        <v>297</v>
      </c>
      <c r="AE125" t="s">
        <v>297</v>
      </c>
      <c r="AF125" t="s">
        <v>297</v>
      </c>
      <c r="AG125" t="s">
        <v>297</v>
      </c>
      <c r="AH125" t="s">
        <v>297</v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 t="str">
        <f>IF($A125="","",SUMIFS(Compta!$F$1:$F$675,Compta!$A$1:$A$675,"GRP",Compta!$B$1:$B$675,"6236",Compta!$C$1:$C$675,$A125))</f>
        <v/>
      </c>
      <c r="AP125" t="s">
        <v>297</v>
      </c>
      <c r="AQ125" t="s">
        <v>297</v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IF(Allocation!D126="","",Allocation!I126)</f>
        <v/>
      </c>
      <c r="H126" t="str">
        <f>IF(Allocation!D126="","",Allocation!J126)</f>
        <v/>
      </c>
      <c r="I126" t="str">
        <f>IF(Allocation!D126="","",Allocation!K126)</f>
        <v/>
      </c>
      <c r="J126" t="str">
        <f>IF($A126="","",SUMIFS(Socle!$K$1:$K$175,Socle!$C$1:$C$175,$B126,Socle!$D$1:$D$175,$D126,Socle!$E$1:$E$175,$E126,Socle!$F$1:$F$175,$F126,Socle!$G$1:$G$175,$A126))</f>
        <v/>
      </c>
      <c r="K126" t="str">
        <f t="shared" si="10"/>
        <v/>
      </c>
      <c r="L126" t="str">
        <f>IF($A126="","",SUMIFS(Allocation!$I$1:$I$175,Allocation!$C$1:$C$175,$A126,Allocation!$D$1:$D$175,$B126))</f>
        <v/>
      </c>
      <c r="M126" t="str">
        <f>IF($A126="","",SUMIFS(Allocation!$J$1:$J$175,Allocation!$C$1:$C$175,$A126,Allocation!$D$1:$D$175,$B126))</f>
        <v/>
      </c>
      <c r="N126" t="str">
        <f>IF($A126="","",SUMIFS(Allocation!$K$1:$K$175,Allocation!$C$1:$C$175,$A126,Allocation!$D$1:$D$175,$B126))</f>
        <v/>
      </c>
      <c r="O126" t="str">
        <f t="shared" si="11"/>
        <v/>
      </c>
      <c r="P126" t="str">
        <f t="shared" si="12"/>
        <v/>
      </c>
      <c r="Q126" t="str">
        <f>IF($A126="","",SUMIFS(Allocation!$I$1:$I$175,Allocation!$C$1:$C$175,$A126,Allocation!$E$1:$E$175,$C126))</f>
        <v/>
      </c>
      <c r="R126" t="str">
        <f>IF($A126="","",SUMIFS(Allocation!$J$1:$J$175,Allocation!$C$1:$C$175,$A126,Allocation!$E$1:$E$175,$C126))</f>
        <v/>
      </c>
      <c r="S126" t="str">
        <f>IF($A126="","",SUMIFS(Allocation!$K$1:$K$175,Allocation!$C$1:$C$175,$A126,Allocation!$E$1:$E$175,$C126))</f>
        <v/>
      </c>
      <c r="T126" t="str">
        <f>IF($A126="","",SUMIFS(Allocation!$I$1:$I$175,Allocation!$C$1:$C$175,$A126))</f>
        <v/>
      </c>
      <c r="U126" t="str">
        <f>IF($A126="","",SUMIFS(Allocation!$J$1:$J$175,Allocation!$C$1:$C$175,$A126))</f>
        <v/>
      </c>
      <c r="V126" t="str">
        <f>IF($A126="","",SUMIFS(Allocation!$K$1:$K$175,Allocation!$C$1:$C$175,$A126))</f>
        <v/>
      </c>
      <c r="W126" t="str">
        <f>IF($A126="","",SUMIFS(Compta!$F$1:$F$675,Compta!$A$1:$A$675,$B126,Compta!$B$1:$B$675,"621",Compta!$C$1:$C$675,$A126))</f>
        <v/>
      </c>
      <c r="X126" t="str">
        <f>IF($A126="","",SUMIFS(Compta!$F$1:$F$675,Compta!$A$1:$A$675,$B126,Compta!$B$1:$B$675,"6411",Compta!$C$1:$C$675,$A126))</f>
        <v/>
      </c>
      <c r="Y126" t="str">
        <f>IF($A126="","",SUMIFS(Compta!$F$1:$F$675,Compta!$A$1:$A$675,$B126,Compta!$B$1:$B$675,"604",Compta!$C$1:$C$675,$A126)+SUMIFS(Compta!$F$1:$F$675,Compta!$A$1:$A$675,$B126,Compta!$B$1:$B$675,"6063",Compta!$C$1:$C$675,$A126))</f>
        <v/>
      </c>
      <c r="Z126" t="str">
        <f>IF($A126="","",SUMIFS(Compta!$F$1:$F$675,Compta!$A$1:$A$675,$B126,Compta!$B$1:$B$675,"6231",Compta!$C$1:$C$675,$A126))</f>
        <v/>
      </c>
      <c r="AA126" t="str">
        <f>IF($A126="","",SUMIFS(Compta!$F$1:$F$675,Compta!$A$1:$A$675,$B126,Compta!$B$1:$B$675,"6413",Compta!$C$1:$C$675,$A126)+SUMIFS(Compta!$F$1:$F$675,Compta!$A$1:$A$675,$B126,Compta!$B$1:$B$675,"645",Compta!$C$1:$C$675,$A126)+SUMIFS(Compta!$F$1:$F$675,Compta!$A$1:$A$675,$B126,Compta!$B$1:$B$675,"613",Compta!$C$1:$C$675,$A126)+SUMIFS(Compta!$F$1:$F$675,Compta!$A$1:$A$675,$B126,Compta!$B$1:$B$675,"615",Compta!$C$1:$C$675,$A126)+SUMIFS(Compta!$F$1:$F$675,Compta!$A$1:$A$675,$B126,Compta!$B$1:$B$675,"616",Compta!$C$1:$C$675,$A126)+SUMIFS(Compta!$F$1:$F$675,Compta!$A$1:$A$675,$B126,Compta!$B$1:$B$675,"625",Compta!$C$1:$C$675,$A126)+SUMIFS(Compta!$F$1:$F$675,Compta!$A$1:$A$675,$B126,Compta!$B$1:$B$675,"63511",Compta!$C$1:$C$675,$A126))</f>
        <v/>
      </c>
      <c r="AB126" t="str">
        <f>IF($A126="","",SUMIFS(Compta!$F$1:$F$675,Compta!$A$1:$A$675,"GRP",Compta!$B$1:$B$675,"6414",Compta!$C$1:$C$675,$A126)+SUMIFS(Compta!$F$1:$F$675,Compta!$A$1:$A$675,"GRP",Compta!$B$1:$B$675,"6226",Compta!$C$1:$C$675,$A126)+SUMIFS(Compta!$F$1:$F$675,Compta!$A$1:$A$675,"GRP",Compta!$B$1:$B$675,"626",Compta!$C$1:$C$675,$A126)+SUMIFS(Compta!$F$1:$F$675,Compta!$A$1:$A$675,"GRP",Compta!$B$1:$B$675,"6281",Compta!$C$1:$C$675,$A126)+SUMIFS(Compta!$F$1:$F$675,Compta!$A$1:$A$675,"GRP",Compta!$B$1:$B$675,"6331",Compta!$C$1:$C$675,$A126)+SUMIFS(Compta!$F$1:$F$675,Compta!$A$1:$A$675,"GRP",Compta!$B$1:$B$675,"6333",Compta!$C$1:$C$675,$A126))</f>
        <v/>
      </c>
      <c r="AC126" t="s">
        <v>297</v>
      </c>
      <c r="AD126" t="s">
        <v>297</v>
      </c>
      <c r="AE126" t="s">
        <v>297</v>
      </c>
      <c r="AF126" t="s">
        <v>297</v>
      </c>
      <c r="AG126" t="s">
        <v>297</v>
      </c>
      <c r="AH126" t="s">
        <v>297</v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 t="str">
        <f>IF($A126="","",SUMIFS(Compta!$F$1:$F$675,Compta!$A$1:$A$675,"GRP",Compta!$B$1:$B$675,"6236",Compta!$C$1:$C$675,$A126))</f>
        <v/>
      </c>
      <c r="AP126" t="s">
        <v>297</v>
      </c>
      <c r="AQ126" t="s">
        <v>297</v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IF(Allocation!D127="","",Allocation!I127)</f>
        <v/>
      </c>
      <c r="H127" t="str">
        <f>IF(Allocation!D127="","",Allocation!J127)</f>
        <v/>
      </c>
      <c r="I127" t="str">
        <f>IF(Allocation!D127="","",Allocation!K127)</f>
        <v/>
      </c>
      <c r="J127" t="str">
        <f>IF($A127="","",SUMIFS(Socle!$K$1:$K$175,Socle!$C$1:$C$175,$B127,Socle!$D$1:$D$175,$D127,Socle!$E$1:$E$175,$E127,Socle!$F$1:$F$175,$F127,Socle!$G$1:$G$175,$A127))</f>
        <v/>
      </c>
      <c r="K127" t="str">
        <f t="shared" si="10"/>
        <v/>
      </c>
      <c r="L127" t="str">
        <f>IF($A127="","",SUMIFS(Allocation!$I$1:$I$175,Allocation!$C$1:$C$175,$A127,Allocation!$D$1:$D$175,$B127))</f>
        <v/>
      </c>
      <c r="M127" t="str">
        <f>IF($A127="","",SUMIFS(Allocation!$J$1:$J$175,Allocation!$C$1:$C$175,$A127,Allocation!$D$1:$D$175,$B127))</f>
        <v/>
      </c>
      <c r="N127" t="str">
        <f>IF($A127="","",SUMIFS(Allocation!$K$1:$K$175,Allocation!$C$1:$C$175,$A127,Allocation!$D$1:$D$175,$B127))</f>
        <v/>
      </c>
      <c r="O127" t="str">
        <f t="shared" si="11"/>
        <v/>
      </c>
      <c r="P127" t="str">
        <f t="shared" si="12"/>
        <v/>
      </c>
      <c r="Q127" t="str">
        <f>IF($A127="","",SUMIFS(Allocation!$I$1:$I$175,Allocation!$C$1:$C$175,$A127,Allocation!$E$1:$E$175,$C127))</f>
        <v/>
      </c>
      <c r="R127" t="str">
        <f>IF($A127="","",SUMIFS(Allocation!$J$1:$J$175,Allocation!$C$1:$C$175,$A127,Allocation!$E$1:$E$175,$C127))</f>
        <v/>
      </c>
      <c r="S127" t="str">
        <f>IF($A127="","",SUMIFS(Allocation!$K$1:$K$175,Allocation!$C$1:$C$175,$A127,Allocation!$E$1:$E$175,$C127))</f>
        <v/>
      </c>
      <c r="T127" t="str">
        <f>IF($A127="","",SUMIFS(Allocation!$I$1:$I$175,Allocation!$C$1:$C$175,$A127))</f>
        <v/>
      </c>
      <c r="U127" t="str">
        <f>IF($A127="","",SUMIFS(Allocation!$J$1:$J$175,Allocation!$C$1:$C$175,$A127))</f>
        <v/>
      </c>
      <c r="V127" t="str">
        <f>IF($A127="","",SUMIFS(Allocation!$K$1:$K$175,Allocation!$C$1:$C$175,$A127))</f>
        <v/>
      </c>
      <c r="W127" t="str">
        <f>IF($A127="","",SUMIFS(Compta!$F$1:$F$675,Compta!$A$1:$A$675,$B127,Compta!$B$1:$B$675,"621",Compta!$C$1:$C$675,$A127))</f>
        <v/>
      </c>
      <c r="X127" t="str">
        <f>IF($A127="","",SUMIFS(Compta!$F$1:$F$675,Compta!$A$1:$A$675,$B127,Compta!$B$1:$B$675,"6411",Compta!$C$1:$C$675,$A127))</f>
        <v/>
      </c>
      <c r="Y127" t="str">
        <f>IF($A127="","",SUMIFS(Compta!$F$1:$F$675,Compta!$A$1:$A$675,$B127,Compta!$B$1:$B$675,"604",Compta!$C$1:$C$675,$A127)+SUMIFS(Compta!$F$1:$F$675,Compta!$A$1:$A$675,$B127,Compta!$B$1:$B$675,"6063",Compta!$C$1:$C$675,$A127))</f>
        <v/>
      </c>
      <c r="Z127" t="str">
        <f>IF($A127="","",SUMIFS(Compta!$F$1:$F$675,Compta!$A$1:$A$675,$B127,Compta!$B$1:$B$675,"6231",Compta!$C$1:$C$675,$A127))</f>
        <v/>
      </c>
      <c r="AA127" t="str">
        <f>IF($A127="","",SUMIFS(Compta!$F$1:$F$675,Compta!$A$1:$A$675,$B127,Compta!$B$1:$B$675,"6413",Compta!$C$1:$C$675,$A127)+SUMIFS(Compta!$F$1:$F$675,Compta!$A$1:$A$675,$B127,Compta!$B$1:$B$675,"645",Compta!$C$1:$C$675,$A127)+SUMIFS(Compta!$F$1:$F$675,Compta!$A$1:$A$675,$B127,Compta!$B$1:$B$675,"613",Compta!$C$1:$C$675,$A127)+SUMIFS(Compta!$F$1:$F$675,Compta!$A$1:$A$675,$B127,Compta!$B$1:$B$675,"615",Compta!$C$1:$C$675,$A127)+SUMIFS(Compta!$F$1:$F$675,Compta!$A$1:$A$675,$B127,Compta!$B$1:$B$675,"616",Compta!$C$1:$C$675,$A127)+SUMIFS(Compta!$F$1:$F$675,Compta!$A$1:$A$675,$B127,Compta!$B$1:$B$675,"625",Compta!$C$1:$C$675,$A127)+SUMIFS(Compta!$F$1:$F$675,Compta!$A$1:$A$675,$B127,Compta!$B$1:$B$675,"63511",Compta!$C$1:$C$675,$A127))</f>
        <v/>
      </c>
      <c r="AB127" t="str">
        <f>IF($A127="","",SUMIFS(Compta!$F$1:$F$675,Compta!$A$1:$A$675,"GRP",Compta!$B$1:$B$675,"6414",Compta!$C$1:$C$675,$A127)+SUMIFS(Compta!$F$1:$F$675,Compta!$A$1:$A$675,"GRP",Compta!$B$1:$B$675,"6226",Compta!$C$1:$C$675,$A127)+SUMIFS(Compta!$F$1:$F$675,Compta!$A$1:$A$675,"GRP",Compta!$B$1:$B$675,"626",Compta!$C$1:$C$675,$A127)+SUMIFS(Compta!$F$1:$F$675,Compta!$A$1:$A$675,"GRP",Compta!$B$1:$B$675,"6281",Compta!$C$1:$C$675,$A127)+SUMIFS(Compta!$F$1:$F$675,Compta!$A$1:$A$675,"GRP",Compta!$B$1:$B$675,"6331",Compta!$C$1:$C$675,$A127)+SUMIFS(Compta!$F$1:$F$675,Compta!$A$1:$A$675,"GRP",Compta!$B$1:$B$675,"6333",Compta!$C$1:$C$675,$A127))</f>
        <v/>
      </c>
      <c r="AC127" t="s">
        <v>297</v>
      </c>
      <c r="AD127" t="s">
        <v>297</v>
      </c>
      <c r="AE127" t="s">
        <v>297</v>
      </c>
      <c r="AF127" t="s">
        <v>297</v>
      </c>
      <c r="AG127" t="s">
        <v>297</v>
      </c>
      <c r="AH127" t="s">
        <v>297</v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 t="str">
        <f>IF($A127="","",SUMIFS(Compta!$F$1:$F$675,Compta!$A$1:$A$675,"GRP",Compta!$B$1:$B$675,"6236",Compta!$C$1:$C$675,$A127))</f>
        <v/>
      </c>
      <c r="AP127" t="s">
        <v>297</v>
      </c>
      <c r="AQ127" t="s">
        <v>297</v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IF(Allocation!D128="","",Allocation!I128)</f>
        <v/>
      </c>
      <c r="H128" t="str">
        <f>IF(Allocation!D128="","",Allocation!J128)</f>
        <v/>
      </c>
      <c r="I128" t="str">
        <f>IF(Allocation!D128="","",Allocation!K128)</f>
        <v/>
      </c>
      <c r="J128" t="str">
        <f>IF($A128="","",SUMIFS(Socle!$K$1:$K$175,Socle!$C$1:$C$175,$B128,Socle!$D$1:$D$175,$D128,Socle!$E$1:$E$175,$E128,Socle!$F$1:$F$175,$F128,Socle!$G$1:$G$175,$A128))</f>
        <v/>
      </c>
      <c r="K128" t="str">
        <f t="shared" si="10"/>
        <v/>
      </c>
      <c r="L128" t="str">
        <f>IF($A128="","",SUMIFS(Allocation!$I$1:$I$175,Allocation!$C$1:$C$175,$A128,Allocation!$D$1:$D$175,$B128))</f>
        <v/>
      </c>
      <c r="M128" t="str">
        <f>IF($A128="","",SUMIFS(Allocation!$J$1:$J$175,Allocation!$C$1:$C$175,$A128,Allocation!$D$1:$D$175,$B128))</f>
        <v/>
      </c>
      <c r="N128" t="str">
        <f>IF($A128="","",SUMIFS(Allocation!$K$1:$K$175,Allocation!$C$1:$C$175,$A128,Allocation!$D$1:$D$175,$B128))</f>
        <v/>
      </c>
      <c r="O128" t="str">
        <f t="shared" si="11"/>
        <v/>
      </c>
      <c r="P128" t="str">
        <f t="shared" si="12"/>
        <v/>
      </c>
      <c r="Q128" t="str">
        <f>IF($A128="","",SUMIFS(Allocation!$I$1:$I$175,Allocation!$C$1:$C$175,$A128,Allocation!$E$1:$E$175,$C128))</f>
        <v/>
      </c>
      <c r="R128" t="str">
        <f>IF($A128="","",SUMIFS(Allocation!$J$1:$J$175,Allocation!$C$1:$C$175,$A128,Allocation!$E$1:$E$175,$C128))</f>
        <v/>
      </c>
      <c r="S128" t="str">
        <f>IF($A128="","",SUMIFS(Allocation!$K$1:$K$175,Allocation!$C$1:$C$175,$A128,Allocation!$E$1:$E$175,$C128))</f>
        <v/>
      </c>
      <c r="T128" t="str">
        <f>IF($A128="","",SUMIFS(Allocation!$I$1:$I$175,Allocation!$C$1:$C$175,$A128))</f>
        <v/>
      </c>
      <c r="U128" t="str">
        <f>IF($A128="","",SUMIFS(Allocation!$J$1:$J$175,Allocation!$C$1:$C$175,$A128))</f>
        <v/>
      </c>
      <c r="V128" t="str">
        <f>IF($A128="","",SUMIFS(Allocation!$K$1:$K$175,Allocation!$C$1:$C$175,$A128))</f>
        <v/>
      </c>
      <c r="W128" t="str">
        <f>IF($A128="","",SUMIFS(Compta!$F$1:$F$675,Compta!$A$1:$A$675,$B128,Compta!$B$1:$B$675,"621",Compta!$C$1:$C$675,$A128))</f>
        <v/>
      </c>
      <c r="X128" t="str">
        <f>IF($A128="","",SUMIFS(Compta!$F$1:$F$675,Compta!$A$1:$A$675,$B128,Compta!$B$1:$B$675,"6411",Compta!$C$1:$C$675,$A128))</f>
        <v/>
      </c>
      <c r="Y128" t="str">
        <f>IF($A128="","",SUMIFS(Compta!$F$1:$F$675,Compta!$A$1:$A$675,$B128,Compta!$B$1:$B$675,"604",Compta!$C$1:$C$675,$A128)+SUMIFS(Compta!$F$1:$F$675,Compta!$A$1:$A$675,$B128,Compta!$B$1:$B$675,"6063",Compta!$C$1:$C$675,$A128))</f>
        <v/>
      </c>
      <c r="Z128" t="str">
        <f>IF($A128="","",SUMIFS(Compta!$F$1:$F$675,Compta!$A$1:$A$675,$B128,Compta!$B$1:$B$675,"6231",Compta!$C$1:$C$675,$A128))</f>
        <v/>
      </c>
      <c r="AA128" t="str">
        <f>IF($A128="","",SUMIFS(Compta!$F$1:$F$675,Compta!$A$1:$A$675,$B128,Compta!$B$1:$B$675,"6413",Compta!$C$1:$C$675,$A128)+SUMIFS(Compta!$F$1:$F$675,Compta!$A$1:$A$675,$B128,Compta!$B$1:$B$675,"645",Compta!$C$1:$C$675,$A128)+SUMIFS(Compta!$F$1:$F$675,Compta!$A$1:$A$675,$B128,Compta!$B$1:$B$675,"613",Compta!$C$1:$C$675,$A128)+SUMIFS(Compta!$F$1:$F$675,Compta!$A$1:$A$675,$B128,Compta!$B$1:$B$675,"615",Compta!$C$1:$C$675,$A128)+SUMIFS(Compta!$F$1:$F$675,Compta!$A$1:$A$675,$B128,Compta!$B$1:$B$675,"616",Compta!$C$1:$C$675,$A128)+SUMIFS(Compta!$F$1:$F$675,Compta!$A$1:$A$675,$B128,Compta!$B$1:$B$675,"625",Compta!$C$1:$C$675,$A128)+SUMIFS(Compta!$F$1:$F$675,Compta!$A$1:$A$675,$B128,Compta!$B$1:$B$675,"63511",Compta!$C$1:$C$675,$A128))</f>
        <v/>
      </c>
      <c r="AB128" t="str">
        <f>IF($A128="","",SUMIFS(Compta!$F$1:$F$675,Compta!$A$1:$A$675,"GRP",Compta!$B$1:$B$675,"6414",Compta!$C$1:$C$675,$A128)+SUMIFS(Compta!$F$1:$F$675,Compta!$A$1:$A$675,"GRP",Compta!$B$1:$B$675,"6226",Compta!$C$1:$C$675,$A128)+SUMIFS(Compta!$F$1:$F$675,Compta!$A$1:$A$675,"GRP",Compta!$B$1:$B$675,"626",Compta!$C$1:$C$675,$A128)+SUMIFS(Compta!$F$1:$F$675,Compta!$A$1:$A$675,"GRP",Compta!$B$1:$B$675,"6281",Compta!$C$1:$C$675,$A128)+SUMIFS(Compta!$F$1:$F$675,Compta!$A$1:$A$675,"GRP",Compta!$B$1:$B$675,"6331",Compta!$C$1:$C$675,$A128)+SUMIFS(Compta!$F$1:$F$675,Compta!$A$1:$A$675,"GRP",Compta!$B$1:$B$675,"6333",Compta!$C$1:$C$675,$A128))</f>
        <v/>
      </c>
      <c r="AC128" t="s">
        <v>297</v>
      </c>
      <c r="AD128" t="s">
        <v>297</v>
      </c>
      <c r="AE128" t="s">
        <v>297</v>
      </c>
      <c r="AF128" t="s">
        <v>297</v>
      </c>
      <c r="AG128" t="s">
        <v>297</v>
      </c>
      <c r="AH128" t="s">
        <v>297</v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 t="str">
        <f>IF($A128="","",SUMIFS(Compta!$F$1:$F$675,Compta!$A$1:$A$675,"GRP",Compta!$B$1:$B$675,"6236",Compta!$C$1:$C$675,$A128))</f>
        <v/>
      </c>
      <c r="AP128" t="s">
        <v>297</v>
      </c>
      <c r="AQ128" t="s">
        <v>297</v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IF(Allocation!D129="","",Allocation!I129)</f>
        <v/>
      </c>
      <c r="H129" t="str">
        <f>IF(Allocation!D129="","",Allocation!J129)</f>
        <v/>
      </c>
      <c r="I129" t="str">
        <f>IF(Allocation!D129="","",Allocation!K129)</f>
        <v/>
      </c>
      <c r="J129" t="str">
        <f>IF($A129="","",SUMIFS(Socle!$K$1:$K$175,Socle!$C$1:$C$175,$B129,Socle!$D$1:$D$175,$D129,Socle!$E$1:$E$175,$E129,Socle!$F$1:$F$175,$F129,Socle!$G$1:$G$175,$A129))</f>
        <v/>
      </c>
      <c r="K129" t="str">
        <f t="shared" si="10"/>
        <v/>
      </c>
      <c r="L129" t="str">
        <f>IF($A129="","",SUMIFS(Allocation!$I$1:$I$175,Allocation!$C$1:$C$175,$A129,Allocation!$D$1:$D$175,$B129))</f>
        <v/>
      </c>
      <c r="M129" t="str">
        <f>IF($A129="","",SUMIFS(Allocation!$J$1:$J$175,Allocation!$C$1:$C$175,$A129,Allocation!$D$1:$D$175,$B129))</f>
        <v/>
      </c>
      <c r="N129" t="str">
        <f>IF($A129="","",SUMIFS(Allocation!$K$1:$K$175,Allocation!$C$1:$C$175,$A129,Allocation!$D$1:$D$175,$B129))</f>
        <v/>
      </c>
      <c r="O129" t="str">
        <f t="shared" si="11"/>
        <v/>
      </c>
      <c r="P129" t="str">
        <f t="shared" si="12"/>
        <v/>
      </c>
      <c r="Q129" t="str">
        <f>IF($A129="","",SUMIFS(Allocation!$I$1:$I$175,Allocation!$C$1:$C$175,$A129,Allocation!$E$1:$E$175,$C129))</f>
        <v/>
      </c>
      <c r="R129" t="str">
        <f>IF($A129="","",SUMIFS(Allocation!$J$1:$J$175,Allocation!$C$1:$C$175,$A129,Allocation!$E$1:$E$175,$C129))</f>
        <v/>
      </c>
      <c r="S129" t="str">
        <f>IF($A129="","",SUMIFS(Allocation!$K$1:$K$175,Allocation!$C$1:$C$175,$A129,Allocation!$E$1:$E$175,$C129))</f>
        <v/>
      </c>
      <c r="T129" t="str">
        <f>IF($A129="","",SUMIFS(Allocation!$I$1:$I$175,Allocation!$C$1:$C$175,$A129))</f>
        <v/>
      </c>
      <c r="U129" t="str">
        <f>IF($A129="","",SUMIFS(Allocation!$J$1:$J$175,Allocation!$C$1:$C$175,$A129))</f>
        <v/>
      </c>
      <c r="V129" t="str">
        <f>IF($A129="","",SUMIFS(Allocation!$K$1:$K$175,Allocation!$C$1:$C$175,$A129))</f>
        <v/>
      </c>
      <c r="W129" t="str">
        <f>IF($A129="","",SUMIFS(Compta!$F$1:$F$675,Compta!$A$1:$A$675,$B129,Compta!$B$1:$B$675,"621",Compta!$C$1:$C$675,$A129))</f>
        <v/>
      </c>
      <c r="X129" t="str">
        <f>IF($A129="","",SUMIFS(Compta!$F$1:$F$675,Compta!$A$1:$A$675,$B129,Compta!$B$1:$B$675,"6411",Compta!$C$1:$C$675,$A129))</f>
        <v/>
      </c>
      <c r="Y129" t="str">
        <f>IF($A129="","",SUMIFS(Compta!$F$1:$F$675,Compta!$A$1:$A$675,$B129,Compta!$B$1:$B$675,"604",Compta!$C$1:$C$675,$A129)+SUMIFS(Compta!$F$1:$F$675,Compta!$A$1:$A$675,$B129,Compta!$B$1:$B$675,"6063",Compta!$C$1:$C$675,$A129))</f>
        <v/>
      </c>
      <c r="Z129" t="str">
        <f>IF($A129="","",SUMIFS(Compta!$F$1:$F$675,Compta!$A$1:$A$675,$B129,Compta!$B$1:$B$675,"6231",Compta!$C$1:$C$675,$A129))</f>
        <v/>
      </c>
      <c r="AA129" t="str">
        <f>IF($A129="","",SUMIFS(Compta!$F$1:$F$675,Compta!$A$1:$A$675,$B129,Compta!$B$1:$B$675,"6413",Compta!$C$1:$C$675,$A129)+SUMIFS(Compta!$F$1:$F$675,Compta!$A$1:$A$675,$B129,Compta!$B$1:$B$675,"645",Compta!$C$1:$C$675,$A129)+SUMIFS(Compta!$F$1:$F$675,Compta!$A$1:$A$675,$B129,Compta!$B$1:$B$675,"613",Compta!$C$1:$C$675,$A129)+SUMIFS(Compta!$F$1:$F$675,Compta!$A$1:$A$675,$B129,Compta!$B$1:$B$675,"615",Compta!$C$1:$C$675,$A129)+SUMIFS(Compta!$F$1:$F$675,Compta!$A$1:$A$675,$B129,Compta!$B$1:$B$675,"616",Compta!$C$1:$C$675,$A129)+SUMIFS(Compta!$F$1:$F$675,Compta!$A$1:$A$675,$B129,Compta!$B$1:$B$675,"625",Compta!$C$1:$C$675,$A129)+SUMIFS(Compta!$F$1:$F$675,Compta!$A$1:$A$675,$B129,Compta!$B$1:$B$675,"63511",Compta!$C$1:$C$675,$A129))</f>
        <v/>
      </c>
      <c r="AB129" t="str">
        <f>IF($A129="","",SUMIFS(Compta!$F$1:$F$675,Compta!$A$1:$A$675,"GRP",Compta!$B$1:$B$675,"6414",Compta!$C$1:$C$675,$A129)+SUMIFS(Compta!$F$1:$F$675,Compta!$A$1:$A$675,"GRP",Compta!$B$1:$B$675,"6226",Compta!$C$1:$C$675,$A129)+SUMIFS(Compta!$F$1:$F$675,Compta!$A$1:$A$675,"GRP",Compta!$B$1:$B$675,"626",Compta!$C$1:$C$675,$A129)+SUMIFS(Compta!$F$1:$F$675,Compta!$A$1:$A$675,"GRP",Compta!$B$1:$B$675,"6281",Compta!$C$1:$C$675,$A129)+SUMIFS(Compta!$F$1:$F$675,Compta!$A$1:$A$675,"GRP",Compta!$B$1:$B$675,"6331",Compta!$C$1:$C$675,$A129)+SUMIFS(Compta!$F$1:$F$675,Compta!$A$1:$A$675,"GRP",Compta!$B$1:$B$675,"6333",Compta!$C$1:$C$675,$A129))</f>
        <v/>
      </c>
      <c r="AC129" t="s">
        <v>297</v>
      </c>
      <c r="AD129" t="s">
        <v>297</v>
      </c>
      <c r="AE129" t="s">
        <v>297</v>
      </c>
      <c r="AF129" t="s">
        <v>297</v>
      </c>
      <c r="AG129" t="s">
        <v>297</v>
      </c>
      <c r="AH129" t="s">
        <v>297</v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 t="str">
        <f>IF($A129="","",SUMIFS(Compta!$F$1:$F$675,Compta!$A$1:$A$675,"GRP",Compta!$B$1:$B$675,"6236",Compta!$C$1:$C$675,$A129))</f>
        <v/>
      </c>
      <c r="AP129" t="s">
        <v>297</v>
      </c>
      <c r="AQ129" t="s">
        <v>297</v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IF(Allocation!D130="","",Allocation!I130)</f>
        <v/>
      </c>
      <c r="H130" t="str">
        <f>IF(Allocation!D130="","",Allocation!J130)</f>
        <v/>
      </c>
      <c r="I130" t="str">
        <f>IF(Allocation!D130="","",Allocation!K130)</f>
        <v/>
      </c>
      <c r="J130" t="str">
        <f>IF($A130="","",SUMIFS(Socle!$K$1:$K$175,Socle!$C$1:$C$175,$B130,Socle!$D$1:$D$175,$D130,Socle!$E$1:$E$175,$E130,Socle!$F$1:$F$175,$F130,Socle!$G$1:$G$175,$A130))</f>
        <v/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IF($A130="","",SUMIFS(Allocation!$I$1:$I$175,Allocation!$C$1:$C$175,$A130,Allocation!$D$1:$D$175,$B130))</f>
        <v/>
      </c>
      <c r="M130" t="str">
        <f>IF($A130="","",SUMIFS(Allocation!$J$1:$J$175,Allocation!$C$1:$C$175,$A130,Allocation!$D$1:$D$175,$B130))</f>
        <v/>
      </c>
      <c r="N130" t="str">
        <f>IF($A130="","",SUMIFS(Allocation!$K$1:$K$175,Allocation!$C$1:$C$175,$A130,Allocation!$D$1:$D$175,$B130))</f>
        <v/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 t="str">
        <f>IF($A130="","",SUMIFS(Allocation!$I$1:$I$175,Allocation!$C$1:$C$175,$A130,Allocation!$E$1:$E$175,$C130))</f>
        <v/>
      </c>
      <c r="R130" t="str">
        <f>IF($A130="","",SUMIFS(Allocation!$J$1:$J$175,Allocation!$C$1:$C$175,$A130,Allocation!$E$1:$E$175,$C130))</f>
        <v/>
      </c>
      <c r="S130" t="str">
        <f>IF($A130="","",SUMIFS(Allocation!$K$1:$K$175,Allocation!$C$1:$C$175,$A130,Allocation!$E$1:$E$175,$C130))</f>
        <v/>
      </c>
      <c r="T130" t="str">
        <f>IF($A130="","",SUMIFS(Allocation!$I$1:$I$175,Allocation!$C$1:$C$175,$A130))</f>
        <v/>
      </c>
      <c r="U130" t="str">
        <f>IF($A130="","",SUMIFS(Allocation!$J$1:$J$175,Allocation!$C$1:$C$175,$A130))</f>
        <v/>
      </c>
      <c r="V130" t="str">
        <f>IF($A130="","",SUMIFS(Allocation!$K$1:$K$175,Allocation!$C$1:$C$175,$A130))</f>
        <v/>
      </c>
      <c r="W130" t="str">
        <f>IF($A130="","",SUMIFS(Compta!$F$1:$F$675,Compta!$A$1:$A$675,$B130,Compta!$B$1:$B$675,"621",Compta!$C$1:$C$675,$A130))</f>
        <v/>
      </c>
      <c r="X130" t="str">
        <f>IF($A130="","",SUMIFS(Compta!$F$1:$F$675,Compta!$A$1:$A$675,$B130,Compta!$B$1:$B$675,"6411",Compta!$C$1:$C$675,$A130))</f>
        <v/>
      </c>
      <c r="Y130" t="str">
        <f>IF($A130="","",SUMIFS(Compta!$F$1:$F$675,Compta!$A$1:$A$675,$B130,Compta!$B$1:$B$675,"604",Compta!$C$1:$C$675,$A130)+SUMIFS(Compta!$F$1:$F$675,Compta!$A$1:$A$675,$B130,Compta!$B$1:$B$675,"6063",Compta!$C$1:$C$675,$A130))</f>
        <v/>
      </c>
      <c r="Z130" t="str">
        <f>IF($A130="","",SUMIFS(Compta!$F$1:$F$675,Compta!$A$1:$A$675,$B130,Compta!$B$1:$B$675,"6231",Compta!$C$1:$C$675,$A130))</f>
        <v/>
      </c>
      <c r="AA130" t="str">
        <f>IF($A130="","",SUMIFS(Compta!$F$1:$F$675,Compta!$A$1:$A$675,$B130,Compta!$B$1:$B$675,"6413",Compta!$C$1:$C$675,$A130)+SUMIFS(Compta!$F$1:$F$675,Compta!$A$1:$A$675,$B130,Compta!$B$1:$B$675,"645",Compta!$C$1:$C$675,$A130)+SUMIFS(Compta!$F$1:$F$675,Compta!$A$1:$A$675,$B130,Compta!$B$1:$B$675,"613",Compta!$C$1:$C$675,$A130)+SUMIFS(Compta!$F$1:$F$675,Compta!$A$1:$A$675,$B130,Compta!$B$1:$B$675,"615",Compta!$C$1:$C$675,$A130)+SUMIFS(Compta!$F$1:$F$675,Compta!$A$1:$A$675,$B130,Compta!$B$1:$B$675,"616",Compta!$C$1:$C$675,$A130)+SUMIFS(Compta!$F$1:$F$675,Compta!$A$1:$A$675,$B130,Compta!$B$1:$B$675,"625",Compta!$C$1:$C$675,$A130)+SUMIFS(Compta!$F$1:$F$675,Compta!$A$1:$A$675,$B130,Compta!$B$1:$B$675,"63511",Compta!$C$1:$C$675,$A130))</f>
        <v/>
      </c>
      <c r="AB130" t="str">
        <f>IF($A130="","",SUMIFS(Compta!$F$1:$F$675,Compta!$A$1:$A$675,"GRP",Compta!$B$1:$B$675,"6414",Compta!$C$1:$C$675,$A130)+SUMIFS(Compta!$F$1:$F$675,Compta!$A$1:$A$675,"GRP",Compta!$B$1:$B$675,"6226",Compta!$C$1:$C$675,$A130)+SUMIFS(Compta!$F$1:$F$675,Compta!$A$1:$A$675,"GRP",Compta!$B$1:$B$675,"626",Compta!$C$1:$C$675,$A130)+SUMIFS(Compta!$F$1:$F$675,Compta!$A$1:$A$675,"GRP",Compta!$B$1:$B$675,"6281",Compta!$C$1:$C$675,$A130)+SUMIFS(Compta!$F$1:$F$675,Compta!$A$1:$A$675,"GRP",Compta!$B$1:$B$675,"6331",Compta!$C$1:$C$675,$A130)+SUMIFS(Compta!$F$1:$F$675,Compta!$A$1:$A$675,"GRP",Compta!$B$1:$B$675,"6333",Compta!$C$1:$C$675,$A130))</f>
        <v/>
      </c>
      <c r="AC130" t="s">
        <v>297</v>
      </c>
      <c r="AD130" t="s">
        <v>297</v>
      </c>
      <c r="AE130" t="s">
        <v>297</v>
      </c>
      <c r="AF130" t="s">
        <v>297</v>
      </c>
      <c r="AG130" t="s">
        <v>297</v>
      </c>
      <c r="AH130" t="s">
        <v>297</v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 t="str">
        <f>IF($A130="","",SUMIFS(Compta!$F$1:$F$675,Compta!$A$1:$A$675,"GRP",Compta!$B$1:$B$675,"6236",Compta!$C$1:$C$675,$A130))</f>
        <v/>
      </c>
      <c r="AP130" t="s">
        <v>297</v>
      </c>
      <c r="AQ130" t="s">
        <v>297</v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IF(Allocation!D131="","",Allocation!I131)</f>
        <v/>
      </c>
      <c r="H131" t="str">
        <f>IF(Allocation!D131="","",Allocation!J131)</f>
        <v/>
      </c>
      <c r="I131" t="str">
        <f>IF(Allocation!D131="","",Allocation!K131)</f>
        <v/>
      </c>
      <c r="J131" t="str">
        <f>IF($A131="","",SUMIFS(Socle!$K$1:$K$175,Socle!$C$1:$C$175,$B131,Socle!$D$1:$D$175,$D131,Socle!$E$1:$E$175,$E131,Socle!$F$1:$F$175,$F131,Socle!$G$1:$G$175,$A131))</f>
        <v/>
      </c>
      <c r="K131" t="str">
        <f t="shared" si="20"/>
        <v/>
      </c>
      <c r="L131" t="str">
        <f>IF($A131="","",SUMIFS(Allocation!$I$1:$I$175,Allocation!$C$1:$C$175,$A131,Allocation!$D$1:$D$175,$B131))</f>
        <v/>
      </c>
      <c r="M131" t="str">
        <f>IF($A131="","",SUMIFS(Allocation!$J$1:$J$175,Allocation!$C$1:$C$175,$A131,Allocation!$D$1:$D$175,$B131))</f>
        <v/>
      </c>
      <c r="N131" t="str">
        <f>IF($A131="","",SUMIFS(Allocation!$K$1:$K$175,Allocation!$C$1:$C$175,$A131,Allocation!$D$1:$D$175,$B131))</f>
        <v/>
      </c>
      <c r="O131" t="str">
        <f t="shared" si="21"/>
        <v/>
      </c>
      <c r="P131" t="str">
        <f t="shared" si="22"/>
        <v/>
      </c>
      <c r="Q131" t="str">
        <f>IF($A131="","",SUMIFS(Allocation!$I$1:$I$175,Allocation!$C$1:$C$175,$A131,Allocation!$E$1:$E$175,$C131))</f>
        <v/>
      </c>
      <c r="R131" t="str">
        <f>IF($A131="","",SUMIFS(Allocation!$J$1:$J$175,Allocation!$C$1:$C$175,$A131,Allocation!$E$1:$E$175,$C131))</f>
        <v/>
      </c>
      <c r="S131" t="str">
        <f>IF($A131="","",SUMIFS(Allocation!$K$1:$K$175,Allocation!$C$1:$C$175,$A131,Allocation!$E$1:$E$175,$C131))</f>
        <v/>
      </c>
      <c r="T131" t="str">
        <f>IF($A131="","",SUMIFS(Allocation!$I$1:$I$175,Allocation!$C$1:$C$175,$A131))</f>
        <v/>
      </c>
      <c r="U131" t="str">
        <f>IF($A131="","",SUMIFS(Allocation!$J$1:$J$175,Allocation!$C$1:$C$175,$A131))</f>
        <v/>
      </c>
      <c r="V131" t="str">
        <f>IF($A131="","",SUMIFS(Allocation!$K$1:$K$175,Allocation!$C$1:$C$175,$A131))</f>
        <v/>
      </c>
      <c r="W131" t="str">
        <f>IF($A131="","",SUMIFS(Compta!$F$1:$F$675,Compta!$A$1:$A$675,$B131,Compta!$B$1:$B$675,"621",Compta!$C$1:$C$675,$A131))</f>
        <v/>
      </c>
      <c r="X131" t="str">
        <f>IF($A131="","",SUMIFS(Compta!$F$1:$F$675,Compta!$A$1:$A$675,$B131,Compta!$B$1:$B$675,"6411",Compta!$C$1:$C$675,$A131))</f>
        <v/>
      </c>
      <c r="Y131" t="str">
        <f>IF($A131="","",SUMIFS(Compta!$F$1:$F$675,Compta!$A$1:$A$675,$B131,Compta!$B$1:$B$675,"604",Compta!$C$1:$C$675,$A131)+SUMIFS(Compta!$F$1:$F$675,Compta!$A$1:$A$675,$B131,Compta!$B$1:$B$675,"6063",Compta!$C$1:$C$675,$A131))</f>
        <v/>
      </c>
      <c r="Z131" t="str">
        <f>IF($A131="","",SUMIFS(Compta!$F$1:$F$675,Compta!$A$1:$A$675,$B131,Compta!$B$1:$B$675,"6231",Compta!$C$1:$C$675,$A131))</f>
        <v/>
      </c>
      <c r="AA131" t="str">
        <f>IF($A131="","",SUMIFS(Compta!$F$1:$F$675,Compta!$A$1:$A$675,$B131,Compta!$B$1:$B$675,"6413",Compta!$C$1:$C$675,$A131)+SUMIFS(Compta!$F$1:$F$675,Compta!$A$1:$A$675,$B131,Compta!$B$1:$B$675,"645",Compta!$C$1:$C$675,$A131)+SUMIFS(Compta!$F$1:$F$675,Compta!$A$1:$A$675,$B131,Compta!$B$1:$B$675,"613",Compta!$C$1:$C$675,$A131)+SUMIFS(Compta!$F$1:$F$675,Compta!$A$1:$A$675,$B131,Compta!$B$1:$B$675,"615",Compta!$C$1:$C$675,$A131)+SUMIFS(Compta!$F$1:$F$675,Compta!$A$1:$A$675,$B131,Compta!$B$1:$B$675,"616",Compta!$C$1:$C$675,$A131)+SUMIFS(Compta!$F$1:$F$675,Compta!$A$1:$A$675,$B131,Compta!$B$1:$B$675,"625",Compta!$C$1:$C$675,$A131)+SUMIFS(Compta!$F$1:$F$675,Compta!$A$1:$A$675,$B131,Compta!$B$1:$B$675,"63511",Compta!$C$1:$C$675,$A131))</f>
        <v/>
      </c>
      <c r="AB131" t="str">
        <f>IF($A131="","",SUMIFS(Compta!$F$1:$F$675,Compta!$A$1:$A$675,"GRP",Compta!$B$1:$B$675,"6414",Compta!$C$1:$C$675,$A131)+SUMIFS(Compta!$F$1:$F$675,Compta!$A$1:$A$675,"GRP",Compta!$B$1:$B$675,"6226",Compta!$C$1:$C$675,$A131)+SUMIFS(Compta!$F$1:$F$675,Compta!$A$1:$A$675,"GRP",Compta!$B$1:$B$675,"626",Compta!$C$1:$C$675,$A131)+SUMIFS(Compta!$F$1:$F$675,Compta!$A$1:$A$675,"GRP",Compta!$B$1:$B$675,"6281",Compta!$C$1:$C$675,$A131)+SUMIFS(Compta!$F$1:$F$675,Compta!$A$1:$A$675,"GRP",Compta!$B$1:$B$675,"6331",Compta!$C$1:$C$675,$A131)+SUMIFS(Compta!$F$1:$F$675,Compta!$A$1:$A$675,"GRP",Compta!$B$1:$B$675,"6333",Compta!$C$1:$C$675,$A131))</f>
        <v/>
      </c>
      <c r="AC131" t="s">
        <v>297</v>
      </c>
      <c r="AD131" t="s">
        <v>297</v>
      </c>
      <c r="AE131" t="s">
        <v>297</v>
      </c>
      <c r="AF131" t="s">
        <v>297</v>
      </c>
      <c r="AG131" t="s">
        <v>297</v>
      </c>
      <c r="AH131" t="s">
        <v>297</v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 t="str">
        <f>IF($A131="","",SUMIFS(Compta!$F$1:$F$675,Compta!$A$1:$A$675,"GRP",Compta!$B$1:$B$675,"6236",Compta!$C$1:$C$675,$A131))</f>
        <v/>
      </c>
      <c r="AP131" t="s">
        <v>297</v>
      </c>
      <c r="AQ131" t="s">
        <v>297</v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IF(Allocation!D132="","",Allocation!I132)</f>
        <v/>
      </c>
      <c r="H132" t="str">
        <f>IF(Allocation!D132="","",Allocation!J132)</f>
        <v/>
      </c>
      <c r="I132" t="str">
        <f>IF(Allocation!D132="","",Allocation!K132)</f>
        <v/>
      </c>
      <c r="J132" t="str">
        <f>IF($A132="","",SUMIFS(Socle!$K$1:$K$175,Socle!$C$1:$C$175,$B132,Socle!$D$1:$D$175,$D132,Socle!$E$1:$E$175,$E132,Socle!$F$1:$F$175,$F132,Socle!$G$1:$G$175,$A132))</f>
        <v/>
      </c>
      <c r="K132" t="str">
        <f t="shared" si="20"/>
        <v/>
      </c>
      <c r="L132" t="str">
        <f>IF($A132="","",SUMIFS(Allocation!$I$1:$I$175,Allocation!$C$1:$C$175,$A132,Allocation!$D$1:$D$175,$B132))</f>
        <v/>
      </c>
      <c r="M132" t="str">
        <f>IF($A132="","",SUMIFS(Allocation!$J$1:$J$175,Allocation!$C$1:$C$175,$A132,Allocation!$D$1:$D$175,$B132))</f>
        <v/>
      </c>
      <c r="N132" t="str">
        <f>IF($A132="","",SUMIFS(Allocation!$K$1:$K$175,Allocation!$C$1:$C$175,$A132,Allocation!$D$1:$D$175,$B132))</f>
        <v/>
      </c>
      <c r="O132" t="str">
        <f t="shared" si="21"/>
        <v/>
      </c>
      <c r="P132" t="str">
        <f t="shared" si="22"/>
        <v/>
      </c>
      <c r="Q132" t="str">
        <f>IF($A132="","",SUMIFS(Allocation!$I$1:$I$175,Allocation!$C$1:$C$175,$A132,Allocation!$E$1:$E$175,$C132))</f>
        <v/>
      </c>
      <c r="R132" t="str">
        <f>IF($A132="","",SUMIFS(Allocation!$J$1:$J$175,Allocation!$C$1:$C$175,$A132,Allocation!$E$1:$E$175,$C132))</f>
        <v/>
      </c>
      <c r="S132" t="str">
        <f>IF($A132="","",SUMIFS(Allocation!$K$1:$K$175,Allocation!$C$1:$C$175,$A132,Allocation!$E$1:$E$175,$C132))</f>
        <v/>
      </c>
      <c r="T132" t="str">
        <f>IF($A132="","",SUMIFS(Allocation!$I$1:$I$175,Allocation!$C$1:$C$175,$A132))</f>
        <v/>
      </c>
      <c r="U132" t="str">
        <f>IF($A132="","",SUMIFS(Allocation!$J$1:$J$175,Allocation!$C$1:$C$175,$A132))</f>
        <v/>
      </c>
      <c r="V132" t="str">
        <f>IF($A132="","",SUMIFS(Allocation!$K$1:$K$175,Allocation!$C$1:$C$175,$A132))</f>
        <v/>
      </c>
      <c r="W132" t="str">
        <f>IF($A132="","",SUMIFS(Compta!$F$1:$F$675,Compta!$A$1:$A$675,$B132,Compta!$B$1:$B$675,"621",Compta!$C$1:$C$675,$A132))</f>
        <v/>
      </c>
      <c r="X132" t="str">
        <f>IF($A132="","",SUMIFS(Compta!$F$1:$F$675,Compta!$A$1:$A$675,$B132,Compta!$B$1:$B$675,"6411",Compta!$C$1:$C$675,$A132))</f>
        <v/>
      </c>
      <c r="Y132" t="str">
        <f>IF($A132="","",SUMIFS(Compta!$F$1:$F$675,Compta!$A$1:$A$675,$B132,Compta!$B$1:$B$675,"604",Compta!$C$1:$C$675,$A132)+SUMIFS(Compta!$F$1:$F$675,Compta!$A$1:$A$675,$B132,Compta!$B$1:$B$675,"6063",Compta!$C$1:$C$675,$A132))</f>
        <v/>
      </c>
      <c r="Z132" t="str">
        <f>IF($A132="","",SUMIFS(Compta!$F$1:$F$675,Compta!$A$1:$A$675,$B132,Compta!$B$1:$B$675,"6231",Compta!$C$1:$C$675,$A132))</f>
        <v/>
      </c>
      <c r="AA132" t="str">
        <f>IF($A132="","",SUMIFS(Compta!$F$1:$F$675,Compta!$A$1:$A$675,$B132,Compta!$B$1:$B$675,"6413",Compta!$C$1:$C$675,$A132)+SUMIFS(Compta!$F$1:$F$675,Compta!$A$1:$A$675,$B132,Compta!$B$1:$B$675,"645",Compta!$C$1:$C$675,$A132)+SUMIFS(Compta!$F$1:$F$675,Compta!$A$1:$A$675,$B132,Compta!$B$1:$B$675,"613",Compta!$C$1:$C$675,$A132)+SUMIFS(Compta!$F$1:$F$675,Compta!$A$1:$A$675,$B132,Compta!$B$1:$B$675,"615",Compta!$C$1:$C$675,$A132)+SUMIFS(Compta!$F$1:$F$675,Compta!$A$1:$A$675,$B132,Compta!$B$1:$B$675,"616",Compta!$C$1:$C$675,$A132)+SUMIFS(Compta!$F$1:$F$675,Compta!$A$1:$A$675,$B132,Compta!$B$1:$B$675,"625",Compta!$C$1:$C$675,$A132)+SUMIFS(Compta!$F$1:$F$675,Compta!$A$1:$A$675,$B132,Compta!$B$1:$B$675,"63511",Compta!$C$1:$C$675,$A132))</f>
        <v/>
      </c>
      <c r="AB132" t="str">
        <f>IF($A132="","",SUMIFS(Compta!$F$1:$F$675,Compta!$A$1:$A$675,"GRP",Compta!$B$1:$B$675,"6414",Compta!$C$1:$C$675,$A132)+SUMIFS(Compta!$F$1:$F$675,Compta!$A$1:$A$675,"GRP",Compta!$B$1:$B$675,"6226",Compta!$C$1:$C$675,$A132)+SUMIFS(Compta!$F$1:$F$675,Compta!$A$1:$A$675,"GRP",Compta!$B$1:$B$675,"626",Compta!$C$1:$C$675,$A132)+SUMIFS(Compta!$F$1:$F$675,Compta!$A$1:$A$675,"GRP",Compta!$B$1:$B$675,"6281",Compta!$C$1:$C$675,$A132)+SUMIFS(Compta!$F$1:$F$675,Compta!$A$1:$A$675,"GRP",Compta!$B$1:$B$675,"6331",Compta!$C$1:$C$675,$A132)+SUMIFS(Compta!$F$1:$F$675,Compta!$A$1:$A$675,"GRP",Compta!$B$1:$B$675,"6333",Compta!$C$1:$C$675,$A132))</f>
        <v/>
      </c>
      <c r="AC132" t="s">
        <v>297</v>
      </c>
      <c r="AD132" t="s">
        <v>297</v>
      </c>
      <c r="AE132" t="s">
        <v>297</v>
      </c>
      <c r="AF132" t="s">
        <v>297</v>
      </c>
      <c r="AG132" t="s">
        <v>297</v>
      </c>
      <c r="AH132" t="s">
        <v>297</v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 t="str">
        <f>IF($A132="","",SUMIFS(Compta!$F$1:$F$675,Compta!$A$1:$A$675,"GRP",Compta!$B$1:$B$675,"6236",Compta!$C$1:$C$675,$A132))</f>
        <v/>
      </c>
      <c r="AP132" t="s">
        <v>297</v>
      </c>
      <c r="AQ132" t="s">
        <v>297</v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IF(Allocation!D133="","",Allocation!I133)</f>
        <v/>
      </c>
      <c r="H133" t="str">
        <f>IF(Allocation!D133="","",Allocation!J133)</f>
        <v/>
      </c>
      <c r="I133" t="str">
        <f>IF(Allocation!D133="","",Allocation!K133)</f>
        <v/>
      </c>
      <c r="J133" t="str">
        <f>IF($A133="","",SUMIFS(Socle!$K$1:$K$175,Socle!$C$1:$C$175,$B133,Socle!$D$1:$D$175,$D133,Socle!$E$1:$E$175,$E133,Socle!$F$1:$F$175,$F133,Socle!$G$1:$G$175,$A133))</f>
        <v/>
      </c>
      <c r="K133" t="str">
        <f t="shared" si="20"/>
        <v/>
      </c>
      <c r="L133" t="str">
        <f>IF($A133="","",SUMIFS(Allocation!$I$1:$I$175,Allocation!$C$1:$C$175,$A133,Allocation!$D$1:$D$175,$B133))</f>
        <v/>
      </c>
      <c r="M133" t="str">
        <f>IF($A133="","",SUMIFS(Allocation!$J$1:$J$175,Allocation!$C$1:$C$175,$A133,Allocation!$D$1:$D$175,$B133))</f>
        <v/>
      </c>
      <c r="N133" t="str">
        <f>IF($A133="","",SUMIFS(Allocation!$K$1:$K$175,Allocation!$C$1:$C$175,$A133,Allocation!$D$1:$D$175,$B133))</f>
        <v/>
      </c>
      <c r="O133" t="str">
        <f t="shared" si="21"/>
        <v/>
      </c>
      <c r="P133" t="str">
        <f t="shared" si="22"/>
        <v/>
      </c>
      <c r="Q133" t="str">
        <f>IF($A133="","",SUMIFS(Allocation!$I$1:$I$175,Allocation!$C$1:$C$175,$A133,Allocation!$E$1:$E$175,$C133))</f>
        <v/>
      </c>
      <c r="R133" t="str">
        <f>IF($A133="","",SUMIFS(Allocation!$J$1:$J$175,Allocation!$C$1:$C$175,$A133,Allocation!$E$1:$E$175,$C133))</f>
        <v/>
      </c>
      <c r="S133" t="str">
        <f>IF($A133="","",SUMIFS(Allocation!$K$1:$K$175,Allocation!$C$1:$C$175,$A133,Allocation!$E$1:$E$175,$C133))</f>
        <v/>
      </c>
      <c r="T133" t="str">
        <f>IF($A133="","",SUMIFS(Allocation!$I$1:$I$175,Allocation!$C$1:$C$175,$A133))</f>
        <v/>
      </c>
      <c r="U133" t="str">
        <f>IF($A133="","",SUMIFS(Allocation!$J$1:$J$175,Allocation!$C$1:$C$175,$A133))</f>
        <v/>
      </c>
      <c r="V133" t="str">
        <f>IF($A133="","",SUMIFS(Allocation!$K$1:$K$175,Allocation!$C$1:$C$175,$A133))</f>
        <v/>
      </c>
      <c r="W133" t="str">
        <f>IF($A133="","",SUMIFS(Compta!$F$1:$F$675,Compta!$A$1:$A$675,$B133,Compta!$B$1:$B$675,"621",Compta!$C$1:$C$675,$A133))</f>
        <v/>
      </c>
      <c r="X133" t="str">
        <f>IF($A133="","",SUMIFS(Compta!$F$1:$F$675,Compta!$A$1:$A$675,$B133,Compta!$B$1:$B$675,"6411",Compta!$C$1:$C$675,$A133))</f>
        <v/>
      </c>
      <c r="Y133" t="str">
        <f>IF($A133="","",SUMIFS(Compta!$F$1:$F$675,Compta!$A$1:$A$675,$B133,Compta!$B$1:$B$675,"604",Compta!$C$1:$C$675,$A133)+SUMIFS(Compta!$F$1:$F$675,Compta!$A$1:$A$675,$B133,Compta!$B$1:$B$675,"6063",Compta!$C$1:$C$675,$A133))</f>
        <v/>
      </c>
      <c r="Z133" t="str">
        <f>IF($A133="","",SUMIFS(Compta!$F$1:$F$675,Compta!$A$1:$A$675,$B133,Compta!$B$1:$B$675,"6231",Compta!$C$1:$C$675,$A133))</f>
        <v/>
      </c>
      <c r="AA133" t="str">
        <f>IF($A133="","",SUMIFS(Compta!$F$1:$F$675,Compta!$A$1:$A$675,$B133,Compta!$B$1:$B$675,"6413",Compta!$C$1:$C$675,$A133)+SUMIFS(Compta!$F$1:$F$675,Compta!$A$1:$A$675,$B133,Compta!$B$1:$B$675,"645",Compta!$C$1:$C$675,$A133)+SUMIFS(Compta!$F$1:$F$675,Compta!$A$1:$A$675,$B133,Compta!$B$1:$B$675,"613",Compta!$C$1:$C$675,$A133)+SUMIFS(Compta!$F$1:$F$675,Compta!$A$1:$A$675,$B133,Compta!$B$1:$B$675,"615",Compta!$C$1:$C$675,$A133)+SUMIFS(Compta!$F$1:$F$675,Compta!$A$1:$A$675,$B133,Compta!$B$1:$B$675,"616",Compta!$C$1:$C$675,$A133)+SUMIFS(Compta!$F$1:$F$675,Compta!$A$1:$A$675,$B133,Compta!$B$1:$B$675,"625",Compta!$C$1:$C$675,$A133)+SUMIFS(Compta!$F$1:$F$675,Compta!$A$1:$A$675,$B133,Compta!$B$1:$B$675,"63511",Compta!$C$1:$C$675,$A133))</f>
        <v/>
      </c>
      <c r="AB133" t="str">
        <f>IF($A133="","",SUMIFS(Compta!$F$1:$F$675,Compta!$A$1:$A$675,"GRP",Compta!$B$1:$B$675,"6414",Compta!$C$1:$C$675,$A133)+SUMIFS(Compta!$F$1:$F$675,Compta!$A$1:$A$675,"GRP",Compta!$B$1:$B$675,"6226",Compta!$C$1:$C$675,$A133)+SUMIFS(Compta!$F$1:$F$675,Compta!$A$1:$A$675,"GRP",Compta!$B$1:$B$675,"626",Compta!$C$1:$C$675,$A133)+SUMIFS(Compta!$F$1:$F$675,Compta!$A$1:$A$675,"GRP",Compta!$B$1:$B$675,"6281",Compta!$C$1:$C$675,$A133)+SUMIFS(Compta!$F$1:$F$675,Compta!$A$1:$A$675,"GRP",Compta!$B$1:$B$675,"6331",Compta!$C$1:$C$675,$A133)+SUMIFS(Compta!$F$1:$F$675,Compta!$A$1:$A$675,"GRP",Compta!$B$1:$B$675,"6333",Compta!$C$1:$C$675,$A133))</f>
        <v/>
      </c>
      <c r="AC133" t="s">
        <v>297</v>
      </c>
      <c r="AD133" t="s">
        <v>297</v>
      </c>
      <c r="AE133" t="s">
        <v>297</v>
      </c>
      <c r="AF133" t="s">
        <v>297</v>
      </c>
      <c r="AG133" t="s">
        <v>297</v>
      </c>
      <c r="AH133" t="s">
        <v>297</v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 t="str">
        <f>IF($A133="","",SUMIFS(Compta!$F$1:$F$675,Compta!$A$1:$A$675,"GRP",Compta!$B$1:$B$675,"6236",Compta!$C$1:$C$675,$A133))</f>
        <v/>
      </c>
      <c r="AP133" t="s">
        <v>297</v>
      </c>
      <c r="AQ133" t="s">
        <v>297</v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IF(Allocation!D134="","",Allocation!I134)</f>
        <v/>
      </c>
      <c r="H134" t="str">
        <f>IF(Allocation!D134="","",Allocation!J134)</f>
        <v/>
      </c>
      <c r="I134" t="str">
        <f>IF(Allocation!D134="","",Allocation!K134)</f>
        <v/>
      </c>
      <c r="J134" t="str">
        <f>IF($A134="","",SUMIFS(Socle!$K$1:$K$175,Socle!$C$1:$C$175,$B134,Socle!$D$1:$D$175,$D134,Socle!$E$1:$E$175,$E134,Socle!$F$1:$F$175,$F134,Socle!$G$1:$G$175,$A134))</f>
        <v/>
      </c>
      <c r="K134" t="str">
        <f t="shared" si="20"/>
        <v/>
      </c>
      <c r="L134" t="str">
        <f>IF($A134="","",SUMIFS(Allocation!$I$1:$I$175,Allocation!$C$1:$C$175,$A134,Allocation!$D$1:$D$175,$B134))</f>
        <v/>
      </c>
      <c r="M134" t="str">
        <f>IF($A134="","",SUMIFS(Allocation!$J$1:$J$175,Allocation!$C$1:$C$175,$A134,Allocation!$D$1:$D$175,$B134))</f>
        <v/>
      </c>
      <c r="N134" t="str">
        <f>IF($A134="","",SUMIFS(Allocation!$K$1:$K$175,Allocation!$C$1:$C$175,$A134,Allocation!$D$1:$D$175,$B134))</f>
        <v/>
      </c>
      <c r="O134" t="str">
        <f t="shared" si="21"/>
        <v/>
      </c>
      <c r="P134" t="str">
        <f t="shared" si="22"/>
        <v/>
      </c>
      <c r="Q134" t="str">
        <f>IF($A134="","",SUMIFS(Allocation!$I$1:$I$175,Allocation!$C$1:$C$175,$A134,Allocation!$E$1:$E$175,$C134))</f>
        <v/>
      </c>
      <c r="R134" t="str">
        <f>IF($A134="","",SUMIFS(Allocation!$J$1:$J$175,Allocation!$C$1:$C$175,$A134,Allocation!$E$1:$E$175,$C134))</f>
        <v/>
      </c>
      <c r="S134" t="str">
        <f>IF($A134="","",SUMIFS(Allocation!$K$1:$K$175,Allocation!$C$1:$C$175,$A134,Allocation!$E$1:$E$175,$C134))</f>
        <v/>
      </c>
      <c r="T134" t="str">
        <f>IF($A134="","",SUMIFS(Allocation!$I$1:$I$175,Allocation!$C$1:$C$175,$A134))</f>
        <v/>
      </c>
      <c r="U134" t="str">
        <f>IF($A134="","",SUMIFS(Allocation!$J$1:$J$175,Allocation!$C$1:$C$175,$A134))</f>
        <v/>
      </c>
      <c r="V134" t="str">
        <f>IF($A134="","",SUMIFS(Allocation!$K$1:$K$175,Allocation!$C$1:$C$175,$A134))</f>
        <v/>
      </c>
      <c r="W134" t="str">
        <f>IF($A134="","",SUMIFS(Compta!$F$1:$F$675,Compta!$A$1:$A$675,$B134,Compta!$B$1:$B$675,"621",Compta!$C$1:$C$675,$A134))</f>
        <v/>
      </c>
      <c r="X134" t="str">
        <f>IF($A134="","",SUMIFS(Compta!$F$1:$F$675,Compta!$A$1:$A$675,$B134,Compta!$B$1:$B$675,"6411",Compta!$C$1:$C$675,$A134))</f>
        <v/>
      </c>
      <c r="Y134" t="str">
        <f>IF($A134="","",SUMIFS(Compta!$F$1:$F$675,Compta!$A$1:$A$675,$B134,Compta!$B$1:$B$675,"604",Compta!$C$1:$C$675,$A134)+SUMIFS(Compta!$F$1:$F$675,Compta!$A$1:$A$675,$B134,Compta!$B$1:$B$675,"6063",Compta!$C$1:$C$675,$A134))</f>
        <v/>
      </c>
      <c r="Z134" t="str">
        <f>IF($A134="","",SUMIFS(Compta!$F$1:$F$675,Compta!$A$1:$A$675,$B134,Compta!$B$1:$B$675,"6231",Compta!$C$1:$C$675,$A134))</f>
        <v/>
      </c>
      <c r="AA134" t="str">
        <f>IF($A134="","",SUMIFS(Compta!$F$1:$F$675,Compta!$A$1:$A$675,$B134,Compta!$B$1:$B$675,"6413",Compta!$C$1:$C$675,$A134)+SUMIFS(Compta!$F$1:$F$675,Compta!$A$1:$A$675,$B134,Compta!$B$1:$B$675,"645",Compta!$C$1:$C$675,$A134)+SUMIFS(Compta!$F$1:$F$675,Compta!$A$1:$A$675,$B134,Compta!$B$1:$B$675,"613",Compta!$C$1:$C$675,$A134)+SUMIFS(Compta!$F$1:$F$675,Compta!$A$1:$A$675,$B134,Compta!$B$1:$B$675,"615",Compta!$C$1:$C$675,$A134)+SUMIFS(Compta!$F$1:$F$675,Compta!$A$1:$A$675,$B134,Compta!$B$1:$B$675,"616",Compta!$C$1:$C$675,$A134)+SUMIFS(Compta!$F$1:$F$675,Compta!$A$1:$A$675,$B134,Compta!$B$1:$B$675,"625",Compta!$C$1:$C$675,$A134)+SUMIFS(Compta!$F$1:$F$675,Compta!$A$1:$A$675,$B134,Compta!$B$1:$B$675,"63511",Compta!$C$1:$C$675,$A134))</f>
        <v/>
      </c>
      <c r="AB134" t="str">
        <f>IF($A134="","",SUMIFS(Compta!$F$1:$F$675,Compta!$A$1:$A$675,"GRP",Compta!$B$1:$B$675,"6414",Compta!$C$1:$C$675,$A134)+SUMIFS(Compta!$F$1:$F$675,Compta!$A$1:$A$675,"GRP",Compta!$B$1:$B$675,"6226",Compta!$C$1:$C$675,$A134)+SUMIFS(Compta!$F$1:$F$675,Compta!$A$1:$A$675,"GRP",Compta!$B$1:$B$675,"626",Compta!$C$1:$C$675,$A134)+SUMIFS(Compta!$F$1:$F$675,Compta!$A$1:$A$675,"GRP",Compta!$B$1:$B$675,"6281",Compta!$C$1:$C$675,$A134)+SUMIFS(Compta!$F$1:$F$675,Compta!$A$1:$A$675,"GRP",Compta!$B$1:$B$675,"6331",Compta!$C$1:$C$675,$A134)+SUMIFS(Compta!$F$1:$F$675,Compta!$A$1:$A$675,"GRP",Compta!$B$1:$B$675,"6333",Compta!$C$1:$C$675,$A134))</f>
        <v/>
      </c>
      <c r="AC134" t="s">
        <v>297</v>
      </c>
      <c r="AD134" t="s">
        <v>297</v>
      </c>
      <c r="AE134" t="s">
        <v>297</v>
      </c>
      <c r="AF134" t="s">
        <v>297</v>
      </c>
      <c r="AG134" t="s">
        <v>297</v>
      </c>
      <c r="AH134" t="s">
        <v>297</v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 t="str">
        <f>IF($A134="","",SUMIFS(Compta!$F$1:$F$675,Compta!$A$1:$A$675,"GRP",Compta!$B$1:$B$675,"6236",Compta!$C$1:$C$675,$A134))</f>
        <v/>
      </c>
      <c r="AP134" t="s">
        <v>297</v>
      </c>
      <c r="AQ134" t="s">
        <v>297</v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IF(Allocation!D135="","",Allocation!I135)</f>
        <v/>
      </c>
      <c r="H135" t="str">
        <f>IF(Allocation!D135="","",Allocation!J135)</f>
        <v/>
      </c>
      <c r="I135" t="str">
        <f>IF(Allocation!D135="","",Allocation!K135)</f>
        <v/>
      </c>
      <c r="J135" t="str">
        <f>IF($A135="","",SUMIFS(Socle!$K$1:$K$175,Socle!$C$1:$C$175,$B135,Socle!$D$1:$D$175,$D135,Socle!$E$1:$E$175,$E135,Socle!$F$1:$F$175,$F135,Socle!$G$1:$G$175,$A135))</f>
        <v/>
      </c>
      <c r="K135" t="str">
        <f t="shared" si="20"/>
        <v/>
      </c>
      <c r="L135" t="str">
        <f>IF($A135="","",SUMIFS(Allocation!$I$1:$I$175,Allocation!$C$1:$C$175,$A135,Allocation!$D$1:$D$175,$B135))</f>
        <v/>
      </c>
      <c r="M135" t="str">
        <f>IF($A135="","",SUMIFS(Allocation!$J$1:$J$175,Allocation!$C$1:$C$175,$A135,Allocation!$D$1:$D$175,$B135))</f>
        <v/>
      </c>
      <c r="N135" t="str">
        <f>IF($A135="","",SUMIFS(Allocation!$K$1:$K$175,Allocation!$C$1:$C$175,$A135,Allocation!$D$1:$D$175,$B135))</f>
        <v/>
      </c>
      <c r="O135" t="str">
        <f t="shared" si="21"/>
        <v/>
      </c>
      <c r="P135" t="str">
        <f t="shared" si="22"/>
        <v/>
      </c>
      <c r="Q135" t="str">
        <f>IF($A135="","",SUMIFS(Allocation!$I$1:$I$175,Allocation!$C$1:$C$175,$A135,Allocation!$E$1:$E$175,$C135))</f>
        <v/>
      </c>
      <c r="R135" t="str">
        <f>IF($A135="","",SUMIFS(Allocation!$J$1:$J$175,Allocation!$C$1:$C$175,$A135,Allocation!$E$1:$E$175,$C135))</f>
        <v/>
      </c>
      <c r="S135" t="str">
        <f>IF($A135="","",SUMIFS(Allocation!$K$1:$K$175,Allocation!$C$1:$C$175,$A135,Allocation!$E$1:$E$175,$C135))</f>
        <v/>
      </c>
      <c r="T135" t="str">
        <f>IF($A135="","",SUMIFS(Allocation!$I$1:$I$175,Allocation!$C$1:$C$175,$A135))</f>
        <v/>
      </c>
      <c r="U135" t="str">
        <f>IF($A135="","",SUMIFS(Allocation!$J$1:$J$175,Allocation!$C$1:$C$175,$A135))</f>
        <v/>
      </c>
      <c r="V135" t="str">
        <f>IF($A135="","",SUMIFS(Allocation!$K$1:$K$175,Allocation!$C$1:$C$175,$A135))</f>
        <v/>
      </c>
      <c r="W135" t="str">
        <f>IF($A135="","",SUMIFS(Compta!$F$1:$F$675,Compta!$A$1:$A$675,$B135,Compta!$B$1:$B$675,"621",Compta!$C$1:$C$675,$A135))</f>
        <v/>
      </c>
      <c r="X135" t="str">
        <f>IF($A135="","",SUMIFS(Compta!$F$1:$F$675,Compta!$A$1:$A$675,$B135,Compta!$B$1:$B$675,"6411",Compta!$C$1:$C$675,$A135))</f>
        <v/>
      </c>
      <c r="Y135" t="str">
        <f>IF($A135="","",SUMIFS(Compta!$F$1:$F$675,Compta!$A$1:$A$675,$B135,Compta!$B$1:$B$675,"604",Compta!$C$1:$C$675,$A135)+SUMIFS(Compta!$F$1:$F$675,Compta!$A$1:$A$675,$B135,Compta!$B$1:$B$675,"6063",Compta!$C$1:$C$675,$A135))</f>
        <v/>
      </c>
      <c r="Z135" t="str">
        <f>IF($A135="","",SUMIFS(Compta!$F$1:$F$675,Compta!$A$1:$A$675,$B135,Compta!$B$1:$B$675,"6231",Compta!$C$1:$C$675,$A135))</f>
        <v/>
      </c>
      <c r="AA135" t="str">
        <f>IF($A135="","",SUMIFS(Compta!$F$1:$F$675,Compta!$A$1:$A$675,$B135,Compta!$B$1:$B$675,"6413",Compta!$C$1:$C$675,$A135)+SUMIFS(Compta!$F$1:$F$675,Compta!$A$1:$A$675,$B135,Compta!$B$1:$B$675,"645",Compta!$C$1:$C$675,$A135)+SUMIFS(Compta!$F$1:$F$675,Compta!$A$1:$A$675,$B135,Compta!$B$1:$B$675,"613",Compta!$C$1:$C$675,$A135)+SUMIFS(Compta!$F$1:$F$675,Compta!$A$1:$A$675,$B135,Compta!$B$1:$B$675,"615",Compta!$C$1:$C$675,$A135)+SUMIFS(Compta!$F$1:$F$675,Compta!$A$1:$A$675,$B135,Compta!$B$1:$B$675,"616",Compta!$C$1:$C$675,$A135)+SUMIFS(Compta!$F$1:$F$675,Compta!$A$1:$A$675,$B135,Compta!$B$1:$B$675,"625",Compta!$C$1:$C$675,$A135)+SUMIFS(Compta!$F$1:$F$675,Compta!$A$1:$A$675,$B135,Compta!$B$1:$B$675,"63511",Compta!$C$1:$C$675,$A135))</f>
        <v/>
      </c>
      <c r="AB135" t="str">
        <f>IF($A135="","",SUMIFS(Compta!$F$1:$F$675,Compta!$A$1:$A$675,"GRP",Compta!$B$1:$B$675,"6414",Compta!$C$1:$C$675,$A135)+SUMIFS(Compta!$F$1:$F$675,Compta!$A$1:$A$675,"GRP",Compta!$B$1:$B$675,"6226",Compta!$C$1:$C$675,$A135)+SUMIFS(Compta!$F$1:$F$675,Compta!$A$1:$A$675,"GRP",Compta!$B$1:$B$675,"626",Compta!$C$1:$C$675,$A135)+SUMIFS(Compta!$F$1:$F$675,Compta!$A$1:$A$675,"GRP",Compta!$B$1:$B$675,"6281",Compta!$C$1:$C$675,$A135)+SUMIFS(Compta!$F$1:$F$675,Compta!$A$1:$A$675,"GRP",Compta!$B$1:$B$675,"6331",Compta!$C$1:$C$675,$A135)+SUMIFS(Compta!$F$1:$F$675,Compta!$A$1:$A$675,"GRP",Compta!$B$1:$B$675,"6333",Compta!$C$1:$C$675,$A135))</f>
        <v/>
      </c>
      <c r="AC135" t="s">
        <v>297</v>
      </c>
      <c r="AD135" t="s">
        <v>297</v>
      </c>
      <c r="AE135" t="s">
        <v>297</v>
      </c>
      <c r="AF135" t="s">
        <v>297</v>
      </c>
      <c r="AG135" t="s">
        <v>297</v>
      </c>
      <c r="AH135" t="s">
        <v>297</v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 t="str">
        <f>IF($A135="","",SUMIFS(Compta!$F$1:$F$675,Compta!$A$1:$A$675,"GRP",Compta!$B$1:$B$675,"6236",Compta!$C$1:$C$675,$A135))</f>
        <v/>
      </c>
      <c r="AP135" t="s">
        <v>297</v>
      </c>
      <c r="AQ135" t="s">
        <v>297</v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IF(Allocation!D136="","",Allocation!I136)</f>
        <v/>
      </c>
      <c r="H136" t="str">
        <f>IF(Allocation!D136="","",Allocation!J136)</f>
        <v/>
      </c>
      <c r="I136" t="str">
        <f>IF(Allocation!D136="","",Allocation!K136)</f>
        <v/>
      </c>
      <c r="J136" t="str">
        <f>IF($A136="","",SUMIFS(Socle!$K$1:$K$175,Socle!$C$1:$C$175,$B136,Socle!$D$1:$D$175,$D136,Socle!$E$1:$E$175,$E136,Socle!$F$1:$F$175,$F136,Socle!$G$1:$G$175,$A136))</f>
        <v/>
      </c>
      <c r="K136" t="str">
        <f t="shared" si="20"/>
        <v/>
      </c>
      <c r="L136" t="str">
        <f>IF($A136="","",SUMIFS(Allocation!$I$1:$I$175,Allocation!$C$1:$C$175,$A136,Allocation!$D$1:$D$175,$B136))</f>
        <v/>
      </c>
      <c r="M136" t="str">
        <f>IF($A136="","",SUMIFS(Allocation!$J$1:$J$175,Allocation!$C$1:$C$175,$A136,Allocation!$D$1:$D$175,$B136))</f>
        <v/>
      </c>
      <c r="N136" t="str">
        <f>IF($A136="","",SUMIFS(Allocation!$K$1:$K$175,Allocation!$C$1:$C$175,$A136,Allocation!$D$1:$D$175,$B136))</f>
        <v/>
      </c>
      <c r="O136" t="str">
        <f t="shared" si="21"/>
        <v/>
      </c>
      <c r="P136" t="str">
        <f t="shared" si="22"/>
        <v/>
      </c>
      <c r="Q136" t="str">
        <f>IF($A136="","",SUMIFS(Allocation!$I$1:$I$175,Allocation!$C$1:$C$175,$A136,Allocation!$E$1:$E$175,$C136))</f>
        <v/>
      </c>
      <c r="R136" t="str">
        <f>IF($A136="","",SUMIFS(Allocation!$J$1:$J$175,Allocation!$C$1:$C$175,$A136,Allocation!$E$1:$E$175,$C136))</f>
        <v/>
      </c>
      <c r="S136" t="str">
        <f>IF($A136="","",SUMIFS(Allocation!$K$1:$K$175,Allocation!$C$1:$C$175,$A136,Allocation!$E$1:$E$175,$C136))</f>
        <v/>
      </c>
      <c r="T136" t="str">
        <f>IF($A136="","",SUMIFS(Allocation!$I$1:$I$175,Allocation!$C$1:$C$175,$A136))</f>
        <v/>
      </c>
      <c r="U136" t="str">
        <f>IF($A136="","",SUMIFS(Allocation!$J$1:$J$175,Allocation!$C$1:$C$175,$A136))</f>
        <v/>
      </c>
      <c r="V136" t="str">
        <f>IF($A136="","",SUMIFS(Allocation!$K$1:$K$175,Allocation!$C$1:$C$175,$A136))</f>
        <v/>
      </c>
      <c r="W136" t="str">
        <f>IF($A136="","",SUMIFS(Compta!$F$1:$F$675,Compta!$A$1:$A$675,$B136,Compta!$B$1:$B$675,"621",Compta!$C$1:$C$675,$A136))</f>
        <v/>
      </c>
      <c r="X136" t="str">
        <f>IF($A136="","",SUMIFS(Compta!$F$1:$F$675,Compta!$A$1:$A$675,$B136,Compta!$B$1:$B$675,"6411",Compta!$C$1:$C$675,$A136))</f>
        <v/>
      </c>
      <c r="Y136" t="str">
        <f>IF($A136="","",SUMIFS(Compta!$F$1:$F$675,Compta!$A$1:$A$675,$B136,Compta!$B$1:$B$675,"604",Compta!$C$1:$C$675,$A136)+SUMIFS(Compta!$F$1:$F$675,Compta!$A$1:$A$675,$B136,Compta!$B$1:$B$675,"6063",Compta!$C$1:$C$675,$A136))</f>
        <v/>
      </c>
      <c r="Z136" t="str">
        <f>IF($A136="","",SUMIFS(Compta!$F$1:$F$675,Compta!$A$1:$A$675,$B136,Compta!$B$1:$B$675,"6231",Compta!$C$1:$C$675,$A136))</f>
        <v/>
      </c>
      <c r="AA136" t="str">
        <f>IF($A136="","",SUMIFS(Compta!$F$1:$F$675,Compta!$A$1:$A$675,$B136,Compta!$B$1:$B$675,"6413",Compta!$C$1:$C$675,$A136)+SUMIFS(Compta!$F$1:$F$675,Compta!$A$1:$A$675,$B136,Compta!$B$1:$B$675,"645",Compta!$C$1:$C$675,$A136)+SUMIFS(Compta!$F$1:$F$675,Compta!$A$1:$A$675,$B136,Compta!$B$1:$B$675,"613",Compta!$C$1:$C$675,$A136)+SUMIFS(Compta!$F$1:$F$675,Compta!$A$1:$A$675,$B136,Compta!$B$1:$B$675,"615",Compta!$C$1:$C$675,$A136)+SUMIFS(Compta!$F$1:$F$675,Compta!$A$1:$A$675,$B136,Compta!$B$1:$B$675,"616",Compta!$C$1:$C$675,$A136)+SUMIFS(Compta!$F$1:$F$675,Compta!$A$1:$A$675,$B136,Compta!$B$1:$B$675,"625",Compta!$C$1:$C$675,$A136)+SUMIFS(Compta!$F$1:$F$675,Compta!$A$1:$A$675,$B136,Compta!$B$1:$B$675,"63511",Compta!$C$1:$C$675,$A136))</f>
        <v/>
      </c>
      <c r="AB136" t="str">
        <f>IF($A136="","",SUMIFS(Compta!$F$1:$F$675,Compta!$A$1:$A$675,"GRP",Compta!$B$1:$B$675,"6414",Compta!$C$1:$C$675,$A136)+SUMIFS(Compta!$F$1:$F$675,Compta!$A$1:$A$675,"GRP",Compta!$B$1:$B$675,"6226",Compta!$C$1:$C$675,$A136)+SUMIFS(Compta!$F$1:$F$675,Compta!$A$1:$A$675,"GRP",Compta!$B$1:$B$675,"626",Compta!$C$1:$C$675,$A136)+SUMIFS(Compta!$F$1:$F$675,Compta!$A$1:$A$675,"GRP",Compta!$B$1:$B$675,"6281",Compta!$C$1:$C$675,$A136)+SUMIFS(Compta!$F$1:$F$675,Compta!$A$1:$A$675,"GRP",Compta!$B$1:$B$675,"6331",Compta!$C$1:$C$675,$A136)+SUMIFS(Compta!$F$1:$F$675,Compta!$A$1:$A$675,"GRP",Compta!$B$1:$B$675,"6333",Compta!$C$1:$C$675,$A136))</f>
        <v/>
      </c>
      <c r="AC136" t="s">
        <v>297</v>
      </c>
      <c r="AD136" t="s">
        <v>297</v>
      </c>
      <c r="AE136" t="s">
        <v>297</v>
      </c>
      <c r="AF136" t="s">
        <v>297</v>
      </c>
      <c r="AG136" t="s">
        <v>297</v>
      </c>
      <c r="AH136" t="s">
        <v>297</v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 t="str">
        <f>IF($A136="","",SUMIFS(Compta!$F$1:$F$675,Compta!$A$1:$A$675,"GRP",Compta!$B$1:$B$675,"6236",Compta!$C$1:$C$675,$A136))</f>
        <v/>
      </c>
      <c r="AP136" t="s">
        <v>297</v>
      </c>
      <c r="AQ136" t="s">
        <v>297</v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IF(Allocation!D137="","",Allocation!I137)</f>
        <v/>
      </c>
      <c r="H137" t="str">
        <f>IF(Allocation!D137="","",Allocation!J137)</f>
        <v/>
      </c>
      <c r="I137" t="str">
        <f>IF(Allocation!D137="","",Allocation!K137)</f>
        <v/>
      </c>
      <c r="J137" t="str">
        <f>IF($A137="","",SUMIFS(Socle!$K$1:$K$175,Socle!$C$1:$C$175,$B137,Socle!$D$1:$D$175,$D137,Socle!$E$1:$E$175,$E137,Socle!$F$1:$F$175,$F137,Socle!$G$1:$G$175,$A137))</f>
        <v/>
      </c>
      <c r="K137" t="str">
        <f t="shared" si="20"/>
        <v/>
      </c>
      <c r="L137" t="str">
        <f>IF($A137="","",SUMIFS(Allocation!$I$1:$I$175,Allocation!$C$1:$C$175,$A137,Allocation!$D$1:$D$175,$B137))</f>
        <v/>
      </c>
      <c r="M137" t="str">
        <f>IF($A137="","",SUMIFS(Allocation!$J$1:$J$175,Allocation!$C$1:$C$175,$A137,Allocation!$D$1:$D$175,$B137))</f>
        <v/>
      </c>
      <c r="N137" t="str">
        <f>IF($A137="","",SUMIFS(Allocation!$K$1:$K$175,Allocation!$C$1:$C$175,$A137,Allocation!$D$1:$D$175,$B137))</f>
        <v/>
      </c>
      <c r="O137" t="str">
        <f t="shared" si="21"/>
        <v/>
      </c>
      <c r="P137" t="str">
        <f t="shared" si="22"/>
        <v/>
      </c>
      <c r="Q137" t="str">
        <f>IF($A137="","",SUMIFS(Allocation!$I$1:$I$175,Allocation!$C$1:$C$175,$A137,Allocation!$E$1:$E$175,$C137))</f>
        <v/>
      </c>
      <c r="R137" t="str">
        <f>IF($A137="","",SUMIFS(Allocation!$J$1:$J$175,Allocation!$C$1:$C$175,$A137,Allocation!$E$1:$E$175,$C137))</f>
        <v/>
      </c>
      <c r="S137" t="str">
        <f>IF($A137="","",SUMIFS(Allocation!$K$1:$K$175,Allocation!$C$1:$C$175,$A137,Allocation!$E$1:$E$175,$C137))</f>
        <v/>
      </c>
      <c r="T137" t="str">
        <f>IF($A137="","",SUMIFS(Allocation!$I$1:$I$175,Allocation!$C$1:$C$175,$A137))</f>
        <v/>
      </c>
      <c r="U137" t="str">
        <f>IF($A137="","",SUMIFS(Allocation!$J$1:$J$175,Allocation!$C$1:$C$175,$A137))</f>
        <v/>
      </c>
      <c r="V137" t="str">
        <f>IF($A137="","",SUMIFS(Allocation!$K$1:$K$175,Allocation!$C$1:$C$175,$A137))</f>
        <v/>
      </c>
      <c r="W137" t="str">
        <f>IF($A137="","",SUMIFS(Compta!$F$1:$F$675,Compta!$A$1:$A$675,$B137,Compta!$B$1:$B$675,"621",Compta!$C$1:$C$675,$A137))</f>
        <v/>
      </c>
      <c r="X137" t="str">
        <f>IF($A137="","",SUMIFS(Compta!$F$1:$F$675,Compta!$A$1:$A$675,$B137,Compta!$B$1:$B$675,"6411",Compta!$C$1:$C$675,$A137))</f>
        <v/>
      </c>
      <c r="Y137" t="str">
        <f>IF($A137="","",SUMIFS(Compta!$F$1:$F$675,Compta!$A$1:$A$675,$B137,Compta!$B$1:$B$675,"604",Compta!$C$1:$C$675,$A137)+SUMIFS(Compta!$F$1:$F$675,Compta!$A$1:$A$675,$B137,Compta!$B$1:$B$675,"6063",Compta!$C$1:$C$675,$A137))</f>
        <v/>
      </c>
      <c r="Z137" t="str">
        <f>IF($A137="","",SUMIFS(Compta!$F$1:$F$675,Compta!$A$1:$A$675,$B137,Compta!$B$1:$B$675,"6231",Compta!$C$1:$C$675,$A137))</f>
        <v/>
      </c>
      <c r="AA137" t="str">
        <f>IF($A137="","",SUMIFS(Compta!$F$1:$F$675,Compta!$A$1:$A$675,$B137,Compta!$B$1:$B$675,"6413",Compta!$C$1:$C$675,$A137)+SUMIFS(Compta!$F$1:$F$675,Compta!$A$1:$A$675,$B137,Compta!$B$1:$B$675,"645",Compta!$C$1:$C$675,$A137)+SUMIFS(Compta!$F$1:$F$675,Compta!$A$1:$A$675,$B137,Compta!$B$1:$B$675,"613",Compta!$C$1:$C$675,$A137)+SUMIFS(Compta!$F$1:$F$675,Compta!$A$1:$A$675,$B137,Compta!$B$1:$B$675,"615",Compta!$C$1:$C$675,$A137)+SUMIFS(Compta!$F$1:$F$675,Compta!$A$1:$A$675,$B137,Compta!$B$1:$B$675,"616",Compta!$C$1:$C$675,$A137)+SUMIFS(Compta!$F$1:$F$675,Compta!$A$1:$A$675,$B137,Compta!$B$1:$B$675,"625",Compta!$C$1:$C$675,$A137)+SUMIFS(Compta!$F$1:$F$675,Compta!$A$1:$A$675,$B137,Compta!$B$1:$B$675,"63511",Compta!$C$1:$C$675,$A137))</f>
        <v/>
      </c>
      <c r="AB137" t="str">
        <f>IF($A137="","",SUMIFS(Compta!$F$1:$F$675,Compta!$A$1:$A$675,"GRP",Compta!$B$1:$B$675,"6414",Compta!$C$1:$C$675,$A137)+SUMIFS(Compta!$F$1:$F$675,Compta!$A$1:$A$675,"GRP",Compta!$B$1:$B$675,"6226",Compta!$C$1:$C$675,$A137)+SUMIFS(Compta!$F$1:$F$675,Compta!$A$1:$A$675,"GRP",Compta!$B$1:$B$675,"626",Compta!$C$1:$C$675,$A137)+SUMIFS(Compta!$F$1:$F$675,Compta!$A$1:$A$675,"GRP",Compta!$B$1:$B$675,"6281",Compta!$C$1:$C$675,$A137)+SUMIFS(Compta!$F$1:$F$675,Compta!$A$1:$A$675,"GRP",Compta!$B$1:$B$675,"6331",Compta!$C$1:$C$675,$A137)+SUMIFS(Compta!$F$1:$F$675,Compta!$A$1:$A$675,"GRP",Compta!$B$1:$B$675,"6333",Compta!$C$1:$C$675,$A137))</f>
        <v/>
      </c>
      <c r="AC137" t="s">
        <v>297</v>
      </c>
      <c r="AD137" t="s">
        <v>297</v>
      </c>
      <c r="AE137" t="s">
        <v>297</v>
      </c>
      <c r="AF137" t="s">
        <v>297</v>
      </c>
      <c r="AG137" t="s">
        <v>297</v>
      </c>
      <c r="AH137" t="s">
        <v>297</v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 t="str">
        <f>IF($A137="","",SUMIFS(Compta!$F$1:$F$675,Compta!$A$1:$A$675,"GRP",Compta!$B$1:$B$675,"6236",Compta!$C$1:$C$675,$A137))</f>
        <v/>
      </c>
      <c r="AP137" t="s">
        <v>297</v>
      </c>
      <c r="AQ137" t="s">
        <v>297</v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IF(Allocation!D138="","",Allocation!I138)</f>
        <v/>
      </c>
      <c r="H138" t="str">
        <f>IF(Allocation!D138="","",Allocation!J138)</f>
        <v/>
      </c>
      <c r="I138" t="str">
        <f>IF(Allocation!D138="","",Allocation!K138)</f>
        <v/>
      </c>
      <c r="J138" t="str">
        <f>IF($A138="","",SUMIFS(Socle!$K$1:$K$175,Socle!$C$1:$C$175,$B138,Socle!$D$1:$D$175,$D138,Socle!$E$1:$E$175,$E138,Socle!$F$1:$F$175,$F138,Socle!$G$1:$G$175,$A138))</f>
        <v/>
      </c>
      <c r="K138" t="str">
        <f t="shared" si="20"/>
        <v/>
      </c>
      <c r="L138" t="str">
        <f>IF($A138="","",SUMIFS(Allocation!$I$1:$I$175,Allocation!$C$1:$C$175,$A138,Allocation!$D$1:$D$175,$B138))</f>
        <v/>
      </c>
      <c r="M138" t="str">
        <f>IF($A138="","",SUMIFS(Allocation!$J$1:$J$175,Allocation!$C$1:$C$175,$A138,Allocation!$D$1:$D$175,$B138))</f>
        <v/>
      </c>
      <c r="N138" t="str">
        <f>IF($A138="","",SUMIFS(Allocation!$K$1:$K$175,Allocation!$C$1:$C$175,$A138,Allocation!$D$1:$D$175,$B138))</f>
        <v/>
      </c>
      <c r="O138" t="str">
        <f t="shared" si="21"/>
        <v/>
      </c>
      <c r="P138" t="str">
        <f t="shared" si="22"/>
        <v/>
      </c>
      <c r="Q138" t="str">
        <f>IF($A138="","",SUMIFS(Allocation!$I$1:$I$175,Allocation!$C$1:$C$175,$A138,Allocation!$E$1:$E$175,$C138))</f>
        <v/>
      </c>
      <c r="R138" t="str">
        <f>IF($A138="","",SUMIFS(Allocation!$J$1:$J$175,Allocation!$C$1:$C$175,$A138,Allocation!$E$1:$E$175,$C138))</f>
        <v/>
      </c>
      <c r="S138" t="str">
        <f>IF($A138="","",SUMIFS(Allocation!$K$1:$K$175,Allocation!$C$1:$C$175,$A138,Allocation!$E$1:$E$175,$C138))</f>
        <v/>
      </c>
      <c r="T138" t="str">
        <f>IF($A138="","",SUMIFS(Allocation!$I$1:$I$175,Allocation!$C$1:$C$175,$A138))</f>
        <v/>
      </c>
      <c r="U138" t="str">
        <f>IF($A138="","",SUMIFS(Allocation!$J$1:$J$175,Allocation!$C$1:$C$175,$A138))</f>
        <v/>
      </c>
      <c r="V138" t="str">
        <f>IF($A138="","",SUMIFS(Allocation!$K$1:$K$175,Allocation!$C$1:$C$175,$A138))</f>
        <v/>
      </c>
      <c r="W138" t="str">
        <f>IF($A138="","",SUMIFS(Compta!$F$1:$F$675,Compta!$A$1:$A$675,$B138,Compta!$B$1:$B$675,"621",Compta!$C$1:$C$675,$A138))</f>
        <v/>
      </c>
      <c r="X138" t="str">
        <f>IF($A138="","",SUMIFS(Compta!$F$1:$F$675,Compta!$A$1:$A$675,$B138,Compta!$B$1:$B$675,"6411",Compta!$C$1:$C$675,$A138))</f>
        <v/>
      </c>
      <c r="Y138" t="str">
        <f>IF($A138="","",SUMIFS(Compta!$F$1:$F$675,Compta!$A$1:$A$675,$B138,Compta!$B$1:$B$675,"604",Compta!$C$1:$C$675,$A138)+SUMIFS(Compta!$F$1:$F$675,Compta!$A$1:$A$675,$B138,Compta!$B$1:$B$675,"6063",Compta!$C$1:$C$675,$A138))</f>
        <v/>
      </c>
      <c r="Z138" t="str">
        <f>IF($A138="","",SUMIFS(Compta!$F$1:$F$675,Compta!$A$1:$A$675,$B138,Compta!$B$1:$B$675,"6231",Compta!$C$1:$C$675,$A138))</f>
        <v/>
      </c>
      <c r="AA138" t="str">
        <f>IF($A138="","",SUMIFS(Compta!$F$1:$F$675,Compta!$A$1:$A$675,$B138,Compta!$B$1:$B$675,"6413",Compta!$C$1:$C$675,$A138)+SUMIFS(Compta!$F$1:$F$675,Compta!$A$1:$A$675,$B138,Compta!$B$1:$B$675,"645",Compta!$C$1:$C$675,$A138)+SUMIFS(Compta!$F$1:$F$675,Compta!$A$1:$A$675,$B138,Compta!$B$1:$B$675,"613",Compta!$C$1:$C$675,$A138)+SUMIFS(Compta!$F$1:$F$675,Compta!$A$1:$A$675,$B138,Compta!$B$1:$B$675,"615",Compta!$C$1:$C$675,$A138)+SUMIFS(Compta!$F$1:$F$675,Compta!$A$1:$A$675,$B138,Compta!$B$1:$B$675,"616",Compta!$C$1:$C$675,$A138)+SUMIFS(Compta!$F$1:$F$675,Compta!$A$1:$A$675,$B138,Compta!$B$1:$B$675,"625",Compta!$C$1:$C$675,$A138)+SUMIFS(Compta!$F$1:$F$675,Compta!$A$1:$A$675,$B138,Compta!$B$1:$B$675,"63511",Compta!$C$1:$C$675,$A138))</f>
        <v/>
      </c>
      <c r="AB138" t="str">
        <f>IF($A138="","",SUMIFS(Compta!$F$1:$F$675,Compta!$A$1:$A$675,"GRP",Compta!$B$1:$B$675,"6414",Compta!$C$1:$C$675,$A138)+SUMIFS(Compta!$F$1:$F$675,Compta!$A$1:$A$675,"GRP",Compta!$B$1:$B$675,"6226",Compta!$C$1:$C$675,$A138)+SUMIFS(Compta!$F$1:$F$675,Compta!$A$1:$A$675,"GRP",Compta!$B$1:$B$675,"626",Compta!$C$1:$C$675,$A138)+SUMIFS(Compta!$F$1:$F$675,Compta!$A$1:$A$675,"GRP",Compta!$B$1:$B$675,"6281",Compta!$C$1:$C$675,$A138)+SUMIFS(Compta!$F$1:$F$675,Compta!$A$1:$A$675,"GRP",Compta!$B$1:$B$675,"6331",Compta!$C$1:$C$675,$A138)+SUMIFS(Compta!$F$1:$F$675,Compta!$A$1:$A$675,"GRP",Compta!$B$1:$B$675,"6333",Compta!$C$1:$C$675,$A138))</f>
        <v/>
      </c>
      <c r="AC138" t="s">
        <v>297</v>
      </c>
      <c r="AD138" t="s">
        <v>297</v>
      </c>
      <c r="AE138" t="s">
        <v>297</v>
      </c>
      <c r="AF138" t="s">
        <v>297</v>
      </c>
      <c r="AG138" t="s">
        <v>297</v>
      </c>
      <c r="AH138" t="s">
        <v>297</v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 t="str">
        <f>IF($A138="","",SUMIFS(Compta!$F$1:$F$675,Compta!$A$1:$A$675,"GRP",Compta!$B$1:$B$675,"6236",Compta!$C$1:$C$675,$A138))</f>
        <v/>
      </c>
      <c r="AP138" t="s">
        <v>297</v>
      </c>
      <c r="AQ138" t="s">
        <v>297</v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IF(Allocation!D139="","",Allocation!I139)</f>
        <v/>
      </c>
      <c r="H139" t="str">
        <f>IF(Allocation!D139="","",Allocation!J139)</f>
        <v/>
      </c>
      <c r="I139" t="str">
        <f>IF(Allocation!D139="","",Allocation!K139)</f>
        <v/>
      </c>
      <c r="J139" t="str">
        <f>IF($A139="","",SUMIFS(Socle!$K$1:$K$175,Socle!$C$1:$C$175,$B139,Socle!$D$1:$D$175,$D139,Socle!$E$1:$E$175,$E139,Socle!$F$1:$F$175,$F139,Socle!$G$1:$G$175,$A139))</f>
        <v/>
      </c>
      <c r="K139" t="str">
        <f t="shared" si="20"/>
        <v/>
      </c>
      <c r="L139" t="str">
        <f>IF($A139="","",SUMIFS(Allocation!$I$1:$I$175,Allocation!$C$1:$C$175,$A139,Allocation!$D$1:$D$175,$B139))</f>
        <v/>
      </c>
      <c r="M139" t="str">
        <f>IF($A139="","",SUMIFS(Allocation!$J$1:$J$175,Allocation!$C$1:$C$175,$A139,Allocation!$D$1:$D$175,$B139))</f>
        <v/>
      </c>
      <c r="N139" t="str">
        <f>IF($A139="","",SUMIFS(Allocation!$K$1:$K$175,Allocation!$C$1:$C$175,$A139,Allocation!$D$1:$D$175,$B139))</f>
        <v/>
      </c>
      <c r="O139" t="str">
        <f t="shared" si="21"/>
        <v/>
      </c>
      <c r="P139" t="str">
        <f t="shared" si="22"/>
        <v/>
      </c>
      <c r="Q139" t="str">
        <f>IF($A139="","",SUMIFS(Allocation!$I$1:$I$175,Allocation!$C$1:$C$175,$A139,Allocation!$E$1:$E$175,$C139))</f>
        <v/>
      </c>
      <c r="R139" t="str">
        <f>IF($A139="","",SUMIFS(Allocation!$J$1:$J$175,Allocation!$C$1:$C$175,$A139,Allocation!$E$1:$E$175,$C139))</f>
        <v/>
      </c>
      <c r="S139" t="str">
        <f>IF($A139="","",SUMIFS(Allocation!$K$1:$K$175,Allocation!$C$1:$C$175,$A139,Allocation!$E$1:$E$175,$C139))</f>
        <v/>
      </c>
      <c r="T139" t="str">
        <f>IF($A139="","",SUMIFS(Allocation!$I$1:$I$175,Allocation!$C$1:$C$175,$A139))</f>
        <v/>
      </c>
      <c r="U139" t="str">
        <f>IF($A139="","",SUMIFS(Allocation!$J$1:$J$175,Allocation!$C$1:$C$175,$A139))</f>
        <v/>
      </c>
      <c r="V139" t="str">
        <f>IF($A139="","",SUMIFS(Allocation!$K$1:$K$175,Allocation!$C$1:$C$175,$A139))</f>
        <v/>
      </c>
      <c r="W139" t="str">
        <f>IF($A139="","",SUMIFS(Compta!$F$1:$F$675,Compta!$A$1:$A$675,$B139,Compta!$B$1:$B$675,"621",Compta!$C$1:$C$675,$A139))</f>
        <v/>
      </c>
      <c r="X139" t="str">
        <f>IF($A139="","",SUMIFS(Compta!$F$1:$F$675,Compta!$A$1:$A$675,$B139,Compta!$B$1:$B$675,"6411",Compta!$C$1:$C$675,$A139))</f>
        <v/>
      </c>
      <c r="Y139" t="str">
        <f>IF($A139="","",SUMIFS(Compta!$F$1:$F$675,Compta!$A$1:$A$675,$B139,Compta!$B$1:$B$675,"604",Compta!$C$1:$C$675,$A139)+SUMIFS(Compta!$F$1:$F$675,Compta!$A$1:$A$675,$B139,Compta!$B$1:$B$675,"6063",Compta!$C$1:$C$675,$A139))</f>
        <v/>
      </c>
      <c r="Z139" t="str">
        <f>IF($A139="","",SUMIFS(Compta!$F$1:$F$675,Compta!$A$1:$A$675,$B139,Compta!$B$1:$B$675,"6231",Compta!$C$1:$C$675,$A139))</f>
        <v/>
      </c>
      <c r="AA139" t="str">
        <f>IF($A139="","",SUMIFS(Compta!$F$1:$F$675,Compta!$A$1:$A$675,$B139,Compta!$B$1:$B$675,"6413",Compta!$C$1:$C$675,$A139)+SUMIFS(Compta!$F$1:$F$675,Compta!$A$1:$A$675,$B139,Compta!$B$1:$B$675,"645",Compta!$C$1:$C$675,$A139)+SUMIFS(Compta!$F$1:$F$675,Compta!$A$1:$A$675,$B139,Compta!$B$1:$B$675,"613",Compta!$C$1:$C$675,$A139)+SUMIFS(Compta!$F$1:$F$675,Compta!$A$1:$A$675,$B139,Compta!$B$1:$B$675,"615",Compta!$C$1:$C$675,$A139)+SUMIFS(Compta!$F$1:$F$675,Compta!$A$1:$A$675,$B139,Compta!$B$1:$B$675,"616",Compta!$C$1:$C$675,$A139)+SUMIFS(Compta!$F$1:$F$675,Compta!$A$1:$A$675,$B139,Compta!$B$1:$B$675,"625",Compta!$C$1:$C$675,$A139)+SUMIFS(Compta!$F$1:$F$675,Compta!$A$1:$A$675,$B139,Compta!$B$1:$B$675,"63511",Compta!$C$1:$C$675,$A139))</f>
        <v/>
      </c>
      <c r="AB139" t="str">
        <f>IF($A139="","",SUMIFS(Compta!$F$1:$F$675,Compta!$A$1:$A$675,"GRP",Compta!$B$1:$B$675,"6414",Compta!$C$1:$C$675,$A139)+SUMIFS(Compta!$F$1:$F$675,Compta!$A$1:$A$675,"GRP",Compta!$B$1:$B$675,"6226",Compta!$C$1:$C$675,$A139)+SUMIFS(Compta!$F$1:$F$675,Compta!$A$1:$A$675,"GRP",Compta!$B$1:$B$675,"626",Compta!$C$1:$C$675,$A139)+SUMIFS(Compta!$F$1:$F$675,Compta!$A$1:$A$675,"GRP",Compta!$B$1:$B$675,"6281",Compta!$C$1:$C$675,$A139)+SUMIFS(Compta!$F$1:$F$675,Compta!$A$1:$A$675,"GRP",Compta!$B$1:$B$675,"6331",Compta!$C$1:$C$675,$A139)+SUMIFS(Compta!$F$1:$F$675,Compta!$A$1:$A$675,"GRP",Compta!$B$1:$B$675,"6333",Compta!$C$1:$C$675,$A139))</f>
        <v/>
      </c>
      <c r="AC139" t="s">
        <v>297</v>
      </c>
      <c r="AD139" t="s">
        <v>297</v>
      </c>
      <c r="AE139" t="s">
        <v>297</v>
      </c>
      <c r="AF139" t="s">
        <v>297</v>
      </c>
      <c r="AG139" t="s">
        <v>297</v>
      </c>
      <c r="AH139" t="s">
        <v>297</v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 t="str">
        <f>IF($A139="","",SUMIFS(Compta!$F$1:$F$675,Compta!$A$1:$A$675,"GRP",Compta!$B$1:$B$675,"6236",Compta!$C$1:$C$675,$A139))</f>
        <v/>
      </c>
      <c r="AP139" t="s">
        <v>297</v>
      </c>
      <c r="AQ139" t="s">
        <v>297</v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IF(Allocation!D140="","",Allocation!I140)</f>
        <v/>
      </c>
      <c r="H140" t="str">
        <f>IF(Allocation!D140="","",Allocation!J140)</f>
        <v/>
      </c>
      <c r="I140" t="str">
        <f>IF(Allocation!D140="","",Allocation!K140)</f>
        <v/>
      </c>
      <c r="J140" t="str">
        <f>IF($A140="","",SUMIFS(Socle!$K$1:$K$175,Socle!$C$1:$C$175,$B140,Socle!$D$1:$D$175,$D140,Socle!$E$1:$E$175,$E140,Socle!$F$1:$F$175,$F140,Socle!$G$1:$G$175,$A140))</f>
        <v/>
      </c>
      <c r="K140" t="str">
        <f t="shared" si="20"/>
        <v/>
      </c>
      <c r="L140" t="str">
        <f>IF($A140="","",SUMIFS(Allocation!$I$1:$I$175,Allocation!$C$1:$C$175,$A140,Allocation!$D$1:$D$175,$B140))</f>
        <v/>
      </c>
      <c r="M140" t="str">
        <f>IF($A140="","",SUMIFS(Allocation!$J$1:$J$175,Allocation!$C$1:$C$175,$A140,Allocation!$D$1:$D$175,$B140))</f>
        <v/>
      </c>
      <c r="N140" t="str">
        <f>IF($A140="","",SUMIFS(Allocation!$K$1:$K$175,Allocation!$C$1:$C$175,$A140,Allocation!$D$1:$D$175,$B140))</f>
        <v/>
      </c>
      <c r="O140" t="str">
        <f t="shared" si="21"/>
        <v/>
      </c>
      <c r="P140" t="str">
        <f t="shared" si="22"/>
        <v/>
      </c>
      <c r="Q140" t="str">
        <f>IF($A140="","",SUMIFS(Allocation!$I$1:$I$175,Allocation!$C$1:$C$175,$A140,Allocation!$E$1:$E$175,$C140))</f>
        <v/>
      </c>
      <c r="R140" t="str">
        <f>IF($A140="","",SUMIFS(Allocation!$J$1:$J$175,Allocation!$C$1:$C$175,$A140,Allocation!$E$1:$E$175,$C140))</f>
        <v/>
      </c>
      <c r="S140" t="str">
        <f>IF($A140="","",SUMIFS(Allocation!$K$1:$K$175,Allocation!$C$1:$C$175,$A140,Allocation!$E$1:$E$175,$C140))</f>
        <v/>
      </c>
      <c r="T140" t="str">
        <f>IF($A140="","",SUMIFS(Allocation!$I$1:$I$175,Allocation!$C$1:$C$175,$A140))</f>
        <v/>
      </c>
      <c r="U140" t="str">
        <f>IF($A140="","",SUMIFS(Allocation!$J$1:$J$175,Allocation!$C$1:$C$175,$A140))</f>
        <v/>
      </c>
      <c r="V140" t="str">
        <f>IF($A140="","",SUMIFS(Allocation!$K$1:$K$175,Allocation!$C$1:$C$175,$A140))</f>
        <v/>
      </c>
      <c r="W140" t="str">
        <f>IF($A140="","",SUMIFS(Compta!$F$1:$F$675,Compta!$A$1:$A$675,$B140,Compta!$B$1:$B$675,"621",Compta!$C$1:$C$675,$A140))</f>
        <v/>
      </c>
      <c r="X140" t="str">
        <f>IF($A140="","",SUMIFS(Compta!$F$1:$F$675,Compta!$A$1:$A$675,$B140,Compta!$B$1:$B$675,"6411",Compta!$C$1:$C$675,$A140))</f>
        <v/>
      </c>
      <c r="Y140" t="str">
        <f>IF($A140="","",SUMIFS(Compta!$F$1:$F$675,Compta!$A$1:$A$675,$B140,Compta!$B$1:$B$675,"604",Compta!$C$1:$C$675,$A140)+SUMIFS(Compta!$F$1:$F$675,Compta!$A$1:$A$675,$B140,Compta!$B$1:$B$675,"6063",Compta!$C$1:$C$675,$A140))</f>
        <v/>
      </c>
      <c r="Z140" t="str">
        <f>IF($A140="","",SUMIFS(Compta!$F$1:$F$675,Compta!$A$1:$A$675,$B140,Compta!$B$1:$B$675,"6231",Compta!$C$1:$C$675,$A140))</f>
        <v/>
      </c>
      <c r="AA140" t="str">
        <f>IF($A140="","",SUMIFS(Compta!$F$1:$F$675,Compta!$A$1:$A$675,$B140,Compta!$B$1:$B$675,"6413",Compta!$C$1:$C$675,$A140)+SUMIFS(Compta!$F$1:$F$675,Compta!$A$1:$A$675,$B140,Compta!$B$1:$B$675,"645",Compta!$C$1:$C$675,$A140)+SUMIFS(Compta!$F$1:$F$675,Compta!$A$1:$A$675,$B140,Compta!$B$1:$B$675,"613",Compta!$C$1:$C$675,$A140)+SUMIFS(Compta!$F$1:$F$675,Compta!$A$1:$A$675,$B140,Compta!$B$1:$B$675,"615",Compta!$C$1:$C$675,$A140)+SUMIFS(Compta!$F$1:$F$675,Compta!$A$1:$A$675,$B140,Compta!$B$1:$B$675,"616",Compta!$C$1:$C$675,$A140)+SUMIFS(Compta!$F$1:$F$675,Compta!$A$1:$A$675,$B140,Compta!$B$1:$B$675,"625",Compta!$C$1:$C$675,$A140)+SUMIFS(Compta!$F$1:$F$675,Compta!$A$1:$A$675,$B140,Compta!$B$1:$B$675,"63511",Compta!$C$1:$C$675,$A140))</f>
        <v/>
      </c>
      <c r="AB140" t="str">
        <f>IF($A140="","",SUMIFS(Compta!$F$1:$F$675,Compta!$A$1:$A$675,"GRP",Compta!$B$1:$B$675,"6414",Compta!$C$1:$C$675,$A140)+SUMIFS(Compta!$F$1:$F$675,Compta!$A$1:$A$675,"GRP",Compta!$B$1:$B$675,"6226",Compta!$C$1:$C$675,$A140)+SUMIFS(Compta!$F$1:$F$675,Compta!$A$1:$A$675,"GRP",Compta!$B$1:$B$675,"626",Compta!$C$1:$C$675,$A140)+SUMIFS(Compta!$F$1:$F$675,Compta!$A$1:$A$675,"GRP",Compta!$B$1:$B$675,"6281",Compta!$C$1:$C$675,$A140)+SUMIFS(Compta!$F$1:$F$675,Compta!$A$1:$A$675,"GRP",Compta!$B$1:$B$675,"6331",Compta!$C$1:$C$675,$A140)+SUMIFS(Compta!$F$1:$F$675,Compta!$A$1:$A$675,"GRP",Compta!$B$1:$B$675,"6333",Compta!$C$1:$C$675,$A140))</f>
        <v/>
      </c>
      <c r="AC140" t="s">
        <v>297</v>
      </c>
      <c r="AD140" t="s">
        <v>297</v>
      </c>
      <c r="AE140" t="s">
        <v>297</v>
      </c>
      <c r="AF140" t="s">
        <v>297</v>
      </c>
      <c r="AG140" t="s">
        <v>297</v>
      </c>
      <c r="AH140" t="s">
        <v>297</v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 t="str">
        <f>IF($A140="","",SUMIFS(Compta!$F$1:$F$675,Compta!$A$1:$A$675,"GRP",Compta!$B$1:$B$675,"6236",Compta!$C$1:$C$675,$A140))</f>
        <v/>
      </c>
      <c r="AP140" t="s">
        <v>297</v>
      </c>
      <c r="AQ140" t="s">
        <v>297</v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IF(Allocation!D141="","",Allocation!I141)</f>
        <v/>
      </c>
      <c r="H141" t="str">
        <f>IF(Allocation!D141="","",Allocation!J141)</f>
        <v/>
      </c>
      <c r="I141" t="str">
        <f>IF(Allocation!D141="","",Allocation!K141)</f>
        <v/>
      </c>
      <c r="J141" t="str">
        <f>IF($A141="","",SUMIFS(Socle!$K$1:$K$175,Socle!$C$1:$C$175,$B141,Socle!$D$1:$D$175,$D141,Socle!$E$1:$E$175,$E141,Socle!$F$1:$F$175,$F141,Socle!$G$1:$G$175,$A141))</f>
        <v/>
      </c>
      <c r="K141" t="str">
        <f t="shared" si="20"/>
        <v/>
      </c>
      <c r="L141" t="str">
        <f>IF($A141="","",SUMIFS(Allocation!$I$1:$I$175,Allocation!$C$1:$C$175,$A141,Allocation!$D$1:$D$175,$B141))</f>
        <v/>
      </c>
      <c r="M141" t="str">
        <f>IF($A141="","",SUMIFS(Allocation!$J$1:$J$175,Allocation!$C$1:$C$175,$A141,Allocation!$D$1:$D$175,$B141))</f>
        <v/>
      </c>
      <c r="N141" t="str">
        <f>IF($A141="","",SUMIFS(Allocation!$K$1:$K$175,Allocation!$C$1:$C$175,$A141,Allocation!$D$1:$D$175,$B141))</f>
        <v/>
      </c>
      <c r="O141" t="str">
        <f t="shared" si="21"/>
        <v/>
      </c>
      <c r="P141" t="str">
        <f t="shared" si="22"/>
        <v/>
      </c>
      <c r="Q141" t="str">
        <f>IF($A141="","",SUMIFS(Allocation!$I$1:$I$175,Allocation!$C$1:$C$175,$A141,Allocation!$E$1:$E$175,$C141))</f>
        <v/>
      </c>
      <c r="R141" t="str">
        <f>IF($A141="","",SUMIFS(Allocation!$J$1:$J$175,Allocation!$C$1:$C$175,$A141,Allocation!$E$1:$E$175,$C141))</f>
        <v/>
      </c>
      <c r="S141" t="str">
        <f>IF($A141="","",SUMIFS(Allocation!$K$1:$K$175,Allocation!$C$1:$C$175,$A141,Allocation!$E$1:$E$175,$C141))</f>
        <v/>
      </c>
      <c r="T141" t="str">
        <f>IF($A141="","",SUMIFS(Allocation!$I$1:$I$175,Allocation!$C$1:$C$175,$A141))</f>
        <v/>
      </c>
      <c r="U141" t="str">
        <f>IF($A141="","",SUMIFS(Allocation!$J$1:$J$175,Allocation!$C$1:$C$175,$A141))</f>
        <v/>
      </c>
      <c r="V141" t="str">
        <f>IF($A141="","",SUMIFS(Allocation!$K$1:$K$175,Allocation!$C$1:$C$175,$A141))</f>
        <v/>
      </c>
      <c r="W141" t="str">
        <f>IF($A141="","",SUMIFS(Compta!$F$1:$F$675,Compta!$A$1:$A$675,$B141,Compta!$B$1:$B$675,"621",Compta!$C$1:$C$675,$A141))</f>
        <v/>
      </c>
      <c r="X141" t="str">
        <f>IF($A141="","",SUMIFS(Compta!$F$1:$F$675,Compta!$A$1:$A$675,$B141,Compta!$B$1:$B$675,"6411",Compta!$C$1:$C$675,$A141))</f>
        <v/>
      </c>
      <c r="Y141" t="str">
        <f>IF($A141="","",SUMIFS(Compta!$F$1:$F$675,Compta!$A$1:$A$675,$B141,Compta!$B$1:$B$675,"604",Compta!$C$1:$C$675,$A141)+SUMIFS(Compta!$F$1:$F$675,Compta!$A$1:$A$675,$B141,Compta!$B$1:$B$675,"6063",Compta!$C$1:$C$675,$A141))</f>
        <v/>
      </c>
      <c r="Z141" t="str">
        <f>IF($A141="","",SUMIFS(Compta!$F$1:$F$675,Compta!$A$1:$A$675,$B141,Compta!$B$1:$B$675,"6231",Compta!$C$1:$C$675,$A141))</f>
        <v/>
      </c>
      <c r="AA141" t="str">
        <f>IF($A141="","",SUMIFS(Compta!$F$1:$F$675,Compta!$A$1:$A$675,$B141,Compta!$B$1:$B$675,"6413",Compta!$C$1:$C$675,$A141)+SUMIFS(Compta!$F$1:$F$675,Compta!$A$1:$A$675,$B141,Compta!$B$1:$B$675,"645",Compta!$C$1:$C$675,$A141)+SUMIFS(Compta!$F$1:$F$675,Compta!$A$1:$A$675,$B141,Compta!$B$1:$B$675,"613",Compta!$C$1:$C$675,$A141)+SUMIFS(Compta!$F$1:$F$675,Compta!$A$1:$A$675,$B141,Compta!$B$1:$B$675,"615",Compta!$C$1:$C$675,$A141)+SUMIFS(Compta!$F$1:$F$675,Compta!$A$1:$A$675,$B141,Compta!$B$1:$B$675,"616",Compta!$C$1:$C$675,$A141)+SUMIFS(Compta!$F$1:$F$675,Compta!$A$1:$A$675,$B141,Compta!$B$1:$B$675,"625",Compta!$C$1:$C$675,$A141)+SUMIFS(Compta!$F$1:$F$675,Compta!$A$1:$A$675,$B141,Compta!$B$1:$B$675,"63511",Compta!$C$1:$C$675,$A141))</f>
        <v/>
      </c>
      <c r="AB141" t="str">
        <f>IF($A141="","",SUMIFS(Compta!$F$1:$F$675,Compta!$A$1:$A$675,"GRP",Compta!$B$1:$B$675,"6414",Compta!$C$1:$C$675,$A141)+SUMIFS(Compta!$F$1:$F$675,Compta!$A$1:$A$675,"GRP",Compta!$B$1:$B$675,"6226",Compta!$C$1:$C$675,$A141)+SUMIFS(Compta!$F$1:$F$675,Compta!$A$1:$A$675,"GRP",Compta!$B$1:$B$675,"626",Compta!$C$1:$C$675,$A141)+SUMIFS(Compta!$F$1:$F$675,Compta!$A$1:$A$675,"GRP",Compta!$B$1:$B$675,"6281",Compta!$C$1:$C$675,$A141)+SUMIFS(Compta!$F$1:$F$675,Compta!$A$1:$A$675,"GRP",Compta!$B$1:$B$675,"6331",Compta!$C$1:$C$675,$A141)+SUMIFS(Compta!$F$1:$F$675,Compta!$A$1:$A$675,"GRP",Compta!$B$1:$B$675,"6333",Compta!$C$1:$C$675,$A141))</f>
        <v/>
      </c>
      <c r="AC141" t="s">
        <v>297</v>
      </c>
      <c r="AD141" t="s">
        <v>297</v>
      </c>
      <c r="AE141" t="s">
        <v>297</v>
      </c>
      <c r="AF141" t="s">
        <v>297</v>
      </c>
      <c r="AG141" t="s">
        <v>297</v>
      </c>
      <c r="AH141" t="s">
        <v>297</v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 t="str">
        <f>IF($A141="","",SUMIFS(Compta!$F$1:$F$675,Compta!$A$1:$A$675,"GRP",Compta!$B$1:$B$675,"6236",Compta!$C$1:$C$675,$A141))</f>
        <v/>
      </c>
      <c r="AP141" t="s">
        <v>297</v>
      </c>
      <c r="AQ141" t="s">
        <v>297</v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IF(Allocation!D142="","",Allocation!I142)</f>
        <v/>
      </c>
      <c r="H142" t="str">
        <f>IF(Allocation!D142="","",Allocation!J142)</f>
        <v/>
      </c>
      <c r="I142" t="str">
        <f>IF(Allocation!D142="","",Allocation!K142)</f>
        <v/>
      </c>
      <c r="J142" t="str">
        <f>IF($A142="","",SUMIFS(Socle!$K$1:$K$175,Socle!$C$1:$C$175,$B142,Socle!$D$1:$D$175,$D142,Socle!$E$1:$E$175,$E142,Socle!$F$1:$F$175,$F142,Socle!$G$1:$G$175,$A142))</f>
        <v/>
      </c>
      <c r="K142" t="str">
        <f t="shared" si="20"/>
        <v/>
      </c>
      <c r="L142" t="str">
        <f>IF($A142="","",SUMIFS(Allocation!$I$1:$I$175,Allocation!$C$1:$C$175,$A142,Allocation!$D$1:$D$175,$B142))</f>
        <v/>
      </c>
      <c r="M142" t="str">
        <f>IF($A142="","",SUMIFS(Allocation!$J$1:$J$175,Allocation!$C$1:$C$175,$A142,Allocation!$D$1:$D$175,$B142))</f>
        <v/>
      </c>
      <c r="N142" t="str">
        <f>IF($A142="","",SUMIFS(Allocation!$K$1:$K$175,Allocation!$C$1:$C$175,$A142,Allocation!$D$1:$D$175,$B142))</f>
        <v/>
      </c>
      <c r="O142" t="str">
        <f t="shared" si="21"/>
        <v/>
      </c>
      <c r="P142" t="str">
        <f t="shared" si="22"/>
        <v/>
      </c>
      <c r="Q142" t="str">
        <f>IF($A142="","",SUMIFS(Allocation!$I$1:$I$175,Allocation!$C$1:$C$175,$A142,Allocation!$E$1:$E$175,$C142))</f>
        <v/>
      </c>
      <c r="R142" t="str">
        <f>IF($A142="","",SUMIFS(Allocation!$J$1:$J$175,Allocation!$C$1:$C$175,$A142,Allocation!$E$1:$E$175,$C142))</f>
        <v/>
      </c>
      <c r="S142" t="str">
        <f>IF($A142="","",SUMIFS(Allocation!$K$1:$K$175,Allocation!$C$1:$C$175,$A142,Allocation!$E$1:$E$175,$C142))</f>
        <v/>
      </c>
      <c r="T142" t="str">
        <f>IF($A142="","",SUMIFS(Allocation!$I$1:$I$175,Allocation!$C$1:$C$175,$A142))</f>
        <v/>
      </c>
      <c r="U142" t="str">
        <f>IF($A142="","",SUMIFS(Allocation!$J$1:$J$175,Allocation!$C$1:$C$175,$A142))</f>
        <v/>
      </c>
      <c r="V142" t="str">
        <f>IF($A142="","",SUMIFS(Allocation!$K$1:$K$175,Allocation!$C$1:$C$175,$A142))</f>
        <v/>
      </c>
      <c r="W142" t="str">
        <f>IF($A142="","",SUMIFS(Compta!$F$1:$F$675,Compta!$A$1:$A$675,$B142,Compta!$B$1:$B$675,"621",Compta!$C$1:$C$675,$A142))</f>
        <v/>
      </c>
      <c r="X142" t="str">
        <f>IF($A142="","",SUMIFS(Compta!$F$1:$F$675,Compta!$A$1:$A$675,$B142,Compta!$B$1:$B$675,"6411",Compta!$C$1:$C$675,$A142))</f>
        <v/>
      </c>
      <c r="Y142" t="str">
        <f>IF($A142="","",SUMIFS(Compta!$F$1:$F$675,Compta!$A$1:$A$675,$B142,Compta!$B$1:$B$675,"604",Compta!$C$1:$C$675,$A142)+SUMIFS(Compta!$F$1:$F$675,Compta!$A$1:$A$675,$B142,Compta!$B$1:$B$675,"6063",Compta!$C$1:$C$675,$A142))</f>
        <v/>
      </c>
      <c r="Z142" t="str">
        <f>IF($A142="","",SUMIFS(Compta!$F$1:$F$675,Compta!$A$1:$A$675,$B142,Compta!$B$1:$B$675,"6231",Compta!$C$1:$C$675,$A142))</f>
        <v/>
      </c>
      <c r="AA142" t="str">
        <f>IF($A142="","",SUMIFS(Compta!$F$1:$F$675,Compta!$A$1:$A$675,$B142,Compta!$B$1:$B$675,"6413",Compta!$C$1:$C$675,$A142)+SUMIFS(Compta!$F$1:$F$675,Compta!$A$1:$A$675,$B142,Compta!$B$1:$B$675,"645",Compta!$C$1:$C$675,$A142)+SUMIFS(Compta!$F$1:$F$675,Compta!$A$1:$A$675,$B142,Compta!$B$1:$B$675,"613",Compta!$C$1:$C$675,$A142)+SUMIFS(Compta!$F$1:$F$675,Compta!$A$1:$A$675,$B142,Compta!$B$1:$B$675,"615",Compta!$C$1:$C$675,$A142)+SUMIFS(Compta!$F$1:$F$675,Compta!$A$1:$A$675,$B142,Compta!$B$1:$B$675,"616",Compta!$C$1:$C$675,$A142)+SUMIFS(Compta!$F$1:$F$675,Compta!$A$1:$A$675,$B142,Compta!$B$1:$B$675,"625",Compta!$C$1:$C$675,$A142)+SUMIFS(Compta!$F$1:$F$675,Compta!$A$1:$A$675,$B142,Compta!$B$1:$B$675,"63511",Compta!$C$1:$C$675,$A142))</f>
        <v/>
      </c>
      <c r="AB142" t="str">
        <f>IF($A142="","",SUMIFS(Compta!$F$1:$F$675,Compta!$A$1:$A$675,"GRP",Compta!$B$1:$B$675,"6414",Compta!$C$1:$C$675,$A142)+SUMIFS(Compta!$F$1:$F$675,Compta!$A$1:$A$675,"GRP",Compta!$B$1:$B$675,"6226",Compta!$C$1:$C$675,$A142)+SUMIFS(Compta!$F$1:$F$675,Compta!$A$1:$A$675,"GRP",Compta!$B$1:$B$675,"626",Compta!$C$1:$C$675,$A142)+SUMIFS(Compta!$F$1:$F$675,Compta!$A$1:$A$675,"GRP",Compta!$B$1:$B$675,"6281",Compta!$C$1:$C$675,$A142)+SUMIFS(Compta!$F$1:$F$675,Compta!$A$1:$A$675,"GRP",Compta!$B$1:$B$675,"6331",Compta!$C$1:$C$675,$A142)+SUMIFS(Compta!$F$1:$F$675,Compta!$A$1:$A$675,"GRP",Compta!$B$1:$B$675,"6333",Compta!$C$1:$C$675,$A142))</f>
        <v/>
      </c>
      <c r="AC142" t="s">
        <v>297</v>
      </c>
      <c r="AD142" t="s">
        <v>297</v>
      </c>
      <c r="AE142" t="s">
        <v>297</v>
      </c>
      <c r="AF142" t="s">
        <v>297</v>
      </c>
      <c r="AG142" t="s">
        <v>297</v>
      </c>
      <c r="AH142" t="s">
        <v>297</v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 t="str">
        <f>IF($A142="","",SUMIFS(Compta!$F$1:$F$675,Compta!$A$1:$A$675,"GRP",Compta!$B$1:$B$675,"6236",Compta!$C$1:$C$675,$A142))</f>
        <v/>
      </c>
      <c r="AP142" t="s">
        <v>297</v>
      </c>
      <c r="AQ142" t="s">
        <v>297</v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IF(Allocation!D143="","",Allocation!I143)</f>
        <v/>
      </c>
      <c r="H143" t="str">
        <f>IF(Allocation!D143="","",Allocation!J143)</f>
        <v/>
      </c>
      <c r="I143" t="str">
        <f>IF(Allocation!D143="","",Allocation!K143)</f>
        <v/>
      </c>
      <c r="J143" t="str">
        <f>IF($A143="","",SUMIFS(Socle!$K$1:$K$175,Socle!$C$1:$C$175,$B143,Socle!$D$1:$D$175,$D143,Socle!$E$1:$E$175,$E143,Socle!$F$1:$F$175,$F143,Socle!$G$1:$G$175,$A143))</f>
        <v/>
      </c>
      <c r="K143" t="str">
        <f t="shared" si="20"/>
        <v/>
      </c>
      <c r="L143" t="str">
        <f>IF($A143="","",SUMIFS(Allocation!$I$1:$I$175,Allocation!$C$1:$C$175,$A143,Allocation!$D$1:$D$175,$B143))</f>
        <v/>
      </c>
      <c r="M143" t="str">
        <f>IF($A143="","",SUMIFS(Allocation!$J$1:$J$175,Allocation!$C$1:$C$175,$A143,Allocation!$D$1:$D$175,$B143))</f>
        <v/>
      </c>
      <c r="N143" t="str">
        <f>IF($A143="","",SUMIFS(Allocation!$K$1:$K$175,Allocation!$C$1:$C$175,$A143,Allocation!$D$1:$D$175,$B143))</f>
        <v/>
      </c>
      <c r="O143" t="str">
        <f t="shared" si="21"/>
        <v/>
      </c>
      <c r="P143" t="str">
        <f t="shared" si="22"/>
        <v/>
      </c>
      <c r="Q143" t="str">
        <f>IF($A143="","",SUMIFS(Allocation!$I$1:$I$175,Allocation!$C$1:$C$175,$A143,Allocation!$E$1:$E$175,$C143))</f>
        <v/>
      </c>
      <c r="R143" t="str">
        <f>IF($A143="","",SUMIFS(Allocation!$J$1:$J$175,Allocation!$C$1:$C$175,$A143,Allocation!$E$1:$E$175,$C143))</f>
        <v/>
      </c>
      <c r="S143" t="str">
        <f>IF($A143="","",SUMIFS(Allocation!$K$1:$K$175,Allocation!$C$1:$C$175,$A143,Allocation!$E$1:$E$175,$C143))</f>
        <v/>
      </c>
      <c r="T143" t="str">
        <f>IF($A143="","",SUMIFS(Allocation!$I$1:$I$175,Allocation!$C$1:$C$175,$A143))</f>
        <v/>
      </c>
      <c r="U143" t="str">
        <f>IF($A143="","",SUMIFS(Allocation!$J$1:$J$175,Allocation!$C$1:$C$175,$A143))</f>
        <v/>
      </c>
      <c r="V143" t="str">
        <f>IF($A143="","",SUMIFS(Allocation!$K$1:$K$175,Allocation!$C$1:$C$175,$A143))</f>
        <v/>
      </c>
      <c r="W143" t="str">
        <f>IF($A143="","",SUMIFS(Compta!$F$1:$F$675,Compta!$A$1:$A$675,$B143,Compta!$B$1:$B$675,"621",Compta!$C$1:$C$675,$A143))</f>
        <v/>
      </c>
      <c r="X143" t="str">
        <f>IF($A143="","",SUMIFS(Compta!$F$1:$F$675,Compta!$A$1:$A$675,$B143,Compta!$B$1:$B$675,"6411",Compta!$C$1:$C$675,$A143))</f>
        <v/>
      </c>
      <c r="Y143" t="str">
        <f>IF($A143="","",SUMIFS(Compta!$F$1:$F$675,Compta!$A$1:$A$675,$B143,Compta!$B$1:$B$675,"604",Compta!$C$1:$C$675,$A143)+SUMIFS(Compta!$F$1:$F$675,Compta!$A$1:$A$675,$B143,Compta!$B$1:$B$675,"6063",Compta!$C$1:$C$675,$A143))</f>
        <v/>
      </c>
      <c r="Z143" t="str">
        <f>IF($A143="","",SUMIFS(Compta!$F$1:$F$675,Compta!$A$1:$A$675,$B143,Compta!$B$1:$B$675,"6231",Compta!$C$1:$C$675,$A143))</f>
        <v/>
      </c>
      <c r="AA143" t="str">
        <f>IF($A143="","",SUMIFS(Compta!$F$1:$F$675,Compta!$A$1:$A$675,$B143,Compta!$B$1:$B$675,"6413",Compta!$C$1:$C$675,$A143)+SUMIFS(Compta!$F$1:$F$675,Compta!$A$1:$A$675,$B143,Compta!$B$1:$B$675,"645",Compta!$C$1:$C$675,$A143)+SUMIFS(Compta!$F$1:$F$675,Compta!$A$1:$A$675,$B143,Compta!$B$1:$B$675,"613",Compta!$C$1:$C$675,$A143)+SUMIFS(Compta!$F$1:$F$675,Compta!$A$1:$A$675,$B143,Compta!$B$1:$B$675,"615",Compta!$C$1:$C$675,$A143)+SUMIFS(Compta!$F$1:$F$675,Compta!$A$1:$A$675,$B143,Compta!$B$1:$B$675,"616",Compta!$C$1:$C$675,$A143)+SUMIFS(Compta!$F$1:$F$675,Compta!$A$1:$A$675,$B143,Compta!$B$1:$B$675,"625",Compta!$C$1:$C$675,$A143)+SUMIFS(Compta!$F$1:$F$675,Compta!$A$1:$A$675,$B143,Compta!$B$1:$B$675,"63511",Compta!$C$1:$C$675,$A143))</f>
        <v/>
      </c>
      <c r="AB143" t="str">
        <f>IF($A143="","",SUMIFS(Compta!$F$1:$F$675,Compta!$A$1:$A$675,"GRP",Compta!$B$1:$B$675,"6414",Compta!$C$1:$C$675,$A143)+SUMIFS(Compta!$F$1:$F$675,Compta!$A$1:$A$675,"GRP",Compta!$B$1:$B$675,"6226",Compta!$C$1:$C$675,$A143)+SUMIFS(Compta!$F$1:$F$675,Compta!$A$1:$A$675,"GRP",Compta!$B$1:$B$675,"626",Compta!$C$1:$C$675,$A143)+SUMIFS(Compta!$F$1:$F$675,Compta!$A$1:$A$675,"GRP",Compta!$B$1:$B$675,"6281",Compta!$C$1:$C$675,$A143)+SUMIFS(Compta!$F$1:$F$675,Compta!$A$1:$A$675,"GRP",Compta!$B$1:$B$675,"6331",Compta!$C$1:$C$675,$A143)+SUMIFS(Compta!$F$1:$F$675,Compta!$A$1:$A$675,"GRP",Compta!$B$1:$B$675,"6333",Compta!$C$1:$C$675,$A143))</f>
        <v/>
      </c>
      <c r="AC143" t="s">
        <v>297</v>
      </c>
      <c r="AD143" t="s">
        <v>297</v>
      </c>
      <c r="AE143" t="s">
        <v>297</v>
      </c>
      <c r="AF143" t="s">
        <v>297</v>
      </c>
      <c r="AG143" t="s">
        <v>297</v>
      </c>
      <c r="AH143" t="s">
        <v>297</v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 t="str">
        <f>IF($A143="","",SUMIFS(Compta!$F$1:$F$675,Compta!$A$1:$A$675,"GRP",Compta!$B$1:$B$675,"6236",Compta!$C$1:$C$675,$A143))</f>
        <v/>
      </c>
      <c r="AP143" t="s">
        <v>297</v>
      </c>
      <c r="AQ143" t="s">
        <v>297</v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IF(Allocation!D144="","",Allocation!I144)</f>
        <v/>
      </c>
      <c r="H144" t="str">
        <f>IF(Allocation!D144="","",Allocation!J144)</f>
        <v/>
      </c>
      <c r="I144" t="str">
        <f>IF(Allocation!D144="","",Allocation!K144)</f>
        <v/>
      </c>
      <c r="J144" t="str">
        <f>IF($A144="","",SUMIFS(Socle!$K$1:$K$175,Socle!$C$1:$C$175,$B144,Socle!$D$1:$D$175,$D144,Socle!$E$1:$E$175,$E144,Socle!$F$1:$F$175,$F144,Socle!$G$1:$G$175,$A144))</f>
        <v/>
      </c>
      <c r="K144" t="str">
        <f t="shared" si="20"/>
        <v/>
      </c>
      <c r="L144" t="str">
        <f>IF($A144="","",SUMIFS(Allocation!$I$1:$I$175,Allocation!$C$1:$C$175,$A144,Allocation!$D$1:$D$175,$B144))</f>
        <v/>
      </c>
      <c r="M144" t="str">
        <f>IF($A144="","",SUMIFS(Allocation!$J$1:$J$175,Allocation!$C$1:$C$175,$A144,Allocation!$D$1:$D$175,$B144))</f>
        <v/>
      </c>
      <c r="N144" t="str">
        <f>IF($A144="","",SUMIFS(Allocation!$K$1:$K$175,Allocation!$C$1:$C$175,$A144,Allocation!$D$1:$D$175,$B144))</f>
        <v/>
      </c>
      <c r="O144" t="str">
        <f t="shared" si="21"/>
        <v/>
      </c>
      <c r="P144" t="str">
        <f t="shared" si="22"/>
        <v/>
      </c>
      <c r="Q144" t="str">
        <f>IF($A144="","",SUMIFS(Allocation!$I$1:$I$175,Allocation!$C$1:$C$175,$A144,Allocation!$E$1:$E$175,$C144))</f>
        <v/>
      </c>
      <c r="R144" t="str">
        <f>IF($A144="","",SUMIFS(Allocation!$J$1:$J$175,Allocation!$C$1:$C$175,$A144,Allocation!$E$1:$E$175,$C144))</f>
        <v/>
      </c>
      <c r="S144" t="str">
        <f>IF($A144="","",SUMIFS(Allocation!$K$1:$K$175,Allocation!$C$1:$C$175,$A144,Allocation!$E$1:$E$175,$C144))</f>
        <v/>
      </c>
      <c r="T144" t="str">
        <f>IF($A144="","",SUMIFS(Allocation!$I$1:$I$175,Allocation!$C$1:$C$175,$A144))</f>
        <v/>
      </c>
      <c r="U144" t="str">
        <f>IF($A144="","",SUMIFS(Allocation!$J$1:$J$175,Allocation!$C$1:$C$175,$A144))</f>
        <v/>
      </c>
      <c r="V144" t="str">
        <f>IF($A144="","",SUMIFS(Allocation!$K$1:$K$175,Allocation!$C$1:$C$175,$A144))</f>
        <v/>
      </c>
      <c r="W144" t="str">
        <f>IF($A144="","",SUMIFS(Compta!$F$1:$F$675,Compta!$A$1:$A$675,$B144,Compta!$B$1:$B$675,"621",Compta!$C$1:$C$675,$A144))</f>
        <v/>
      </c>
      <c r="X144" t="str">
        <f>IF($A144="","",SUMIFS(Compta!$F$1:$F$675,Compta!$A$1:$A$675,$B144,Compta!$B$1:$B$675,"6411",Compta!$C$1:$C$675,$A144))</f>
        <v/>
      </c>
      <c r="Y144" t="str">
        <f>IF($A144="","",SUMIFS(Compta!$F$1:$F$675,Compta!$A$1:$A$675,$B144,Compta!$B$1:$B$675,"604",Compta!$C$1:$C$675,$A144)+SUMIFS(Compta!$F$1:$F$675,Compta!$A$1:$A$675,$B144,Compta!$B$1:$B$675,"6063",Compta!$C$1:$C$675,$A144))</f>
        <v/>
      </c>
      <c r="Z144" t="str">
        <f>IF($A144="","",SUMIFS(Compta!$F$1:$F$675,Compta!$A$1:$A$675,$B144,Compta!$B$1:$B$675,"6231",Compta!$C$1:$C$675,$A144))</f>
        <v/>
      </c>
      <c r="AA144" t="str">
        <f>IF($A144="","",SUMIFS(Compta!$F$1:$F$675,Compta!$A$1:$A$675,$B144,Compta!$B$1:$B$675,"6413",Compta!$C$1:$C$675,$A144)+SUMIFS(Compta!$F$1:$F$675,Compta!$A$1:$A$675,$B144,Compta!$B$1:$B$675,"645",Compta!$C$1:$C$675,$A144)+SUMIFS(Compta!$F$1:$F$675,Compta!$A$1:$A$675,$B144,Compta!$B$1:$B$675,"613",Compta!$C$1:$C$675,$A144)+SUMIFS(Compta!$F$1:$F$675,Compta!$A$1:$A$675,$B144,Compta!$B$1:$B$675,"615",Compta!$C$1:$C$675,$A144)+SUMIFS(Compta!$F$1:$F$675,Compta!$A$1:$A$675,$B144,Compta!$B$1:$B$675,"616",Compta!$C$1:$C$675,$A144)+SUMIFS(Compta!$F$1:$F$675,Compta!$A$1:$A$675,$B144,Compta!$B$1:$B$675,"625",Compta!$C$1:$C$675,$A144)+SUMIFS(Compta!$F$1:$F$675,Compta!$A$1:$A$675,$B144,Compta!$B$1:$B$675,"63511",Compta!$C$1:$C$675,$A144))</f>
        <v/>
      </c>
      <c r="AB144" t="str">
        <f>IF($A144="","",SUMIFS(Compta!$F$1:$F$675,Compta!$A$1:$A$675,"GRP",Compta!$B$1:$B$675,"6414",Compta!$C$1:$C$675,$A144)+SUMIFS(Compta!$F$1:$F$675,Compta!$A$1:$A$675,"GRP",Compta!$B$1:$B$675,"6226",Compta!$C$1:$C$675,$A144)+SUMIFS(Compta!$F$1:$F$675,Compta!$A$1:$A$675,"GRP",Compta!$B$1:$B$675,"626",Compta!$C$1:$C$675,$A144)+SUMIFS(Compta!$F$1:$F$675,Compta!$A$1:$A$675,"GRP",Compta!$B$1:$B$675,"6281",Compta!$C$1:$C$675,$A144)+SUMIFS(Compta!$F$1:$F$675,Compta!$A$1:$A$675,"GRP",Compta!$B$1:$B$675,"6331",Compta!$C$1:$C$675,$A144)+SUMIFS(Compta!$F$1:$F$675,Compta!$A$1:$A$675,"GRP",Compta!$B$1:$B$675,"6333",Compta!$C$1:$C$675,$A144))</f>
        <v/>
      </c>
      <c r="AC144" t="s">
        <v>297</v>
      </c>
      <c r="AD144" t="s">
        <v>297</v>
      </c>
      <c r="AE144" t="s">
        <v>297</v>
      </c>
      <c r="AF144" t="s">
        <v>297</v>
      </c>
      <c r="AG144" t="s">
        <v>297</v>
      </c>
      <c r="AH144" t="s">
        <v>297</v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 t="str">
        <f>IF($A144="","",SUMIFS(Compta!$F$1:$F$675,Compta!$A$1:$A$675,"GRP",Compta!$B$1:$B$675,"6236",Compta!$C$1:$C$675,$A144))</f>
        <v/>
      </c>
      <c r="AP144" t="s">
        <v>297</v>
      </c>
      <c r="AQ144" t="s">
        <v>297</v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IF(Allocation!D145="","",Allocation!I145)</f>
        <v/>
      </c>
      <c r="H145" t="str">
        <f>IF(Allocation!D145="","",Allocation!J145)</f>
        <v/>
      </c>
      <c r="I145" t="str">
        <f>IF(Allocation!D145="","",Allocation!K145)</f>
        <v/>
      </c>
      <c r="J145" t="str">
        <f>IF($A145="","",SUMIFS(Socle!$K$1:$K$175,Socle!$C$1:$C$175,$B145,Socle!$D$1:$D$175,$D145,Socle!$E$1:$E$175,$E145,Socle!$F$1:$F$175,$F145,Socle!$G$1:$G$175,$A145))</f>
        <v/>
      </c>
      <c r="K145" t="str">
        <f t="shared" si="20"/>
        <v/>
      </c>
      <c r="L145" t="str">
        <f>IF($A145="","",SUMIFS(Allocation!$I$1:$I$175,Allocation!$C$1:$C$175,$A145,Allocation!$D$1:$D$175,$B145))</f>
        <v/>
      </c>
      <c r="M145" t="str">
        <f>IF($A145="","",SUMIFS(Allocation!$J$1:$J$175,Allocation!$C$1:$C$175,$A145,Allocation!$D$1:$D$175,$B145))</f>
        <v/>
      </c>
      <c r="N145" t="str">
        <f>IF($A145="","",SUMIFS(Allocation!$K$1:$K$175,Allocation!$C$1:$C$175,$A145,Allocation!$D$1:$D$175,$B145))</f>
        <v/>
      </c>
      <c r="O145" t="str">
        <f t="shared" si="21"/>
        <v/>
      </c>
      <c r="P145" t="str">
        <f t="shared" si="22"/>
        <v/>
      </c>
      <c r="Q145" t="str">
        <f>IF($A145="","",SUMIFS(Allocation!$I$1:$I$175,Allocation!$C$1:$C$175,$A145,Allocation!$E$1:$E$175,$C145))</f>
        <v/>
      </c>
      <c r="R145" t="str">
        <f>IF($A145="","",SUMIFS(Allocation!$J$1:$J$175,Allocation!$C$1:$C$175,$A145,Allocation!$E$1:$E$175,$C145))</f>
        <v/>
      </c>
      <c r="S145" t="str">
        <f>IF($A145="","",SUMIFS(Allocation!$K$1:$K$175,Allocation!$C$1:$C$175,$A145,Allocation!$E$1:$E$175,$C145))</f>
        <v/>
      </c>
      <c r="T145" t="str">
        <f>IF($A145="","",SUMIFS(Allocation!$I$1:$I$175,Allocation!$C$1:$C$175,$A145))</f>
        <v/>
      </c>
      <c r="U145" t="str">
        <f>IF($A145="","",SUMIFS(Allocation!$J$1:$J$175,Allocation!$C$1:$C$175,$A145))</f>
        <v/>
      </c>
      <c r="V145" t="str">
        <f>IF($A145="","",SUMIFS(Allocation!$K$1:$K$175,Allocation!$C$1:$C$175,$A145))</f>
        <v/>
      </c>
      <c r="W145" t="str">
        <f>IF($A145="","",SUMIFS(Compta!$F$1:$F$675,Compta!$A$1:$A$675,$B145,Compta!$B$1:$B$675,"621",Compta!$C$1:$C$675,$A145))</f>
        <v/>
      </c>
      <c r="X145" t="str">
        <f>IF($A145="","",SUMIFS(Compta!$F$1:$F$675,Compta!$A$1:$A$675,$B145,Compta!$B$1:$B$675,"6411",Compta!$C$1:$C$675,$A145))</f>
        <v/>
      </c>
      <c r="Y145" t="str">
        <f>IF($A145="","",SUMIFS(Compta!$F$1:$F$675,Compta!$A$1:$A$675,$B145,Compta!$B$1:$B$675,"604",Compta!$C$1:$C$675,$A145)+SUMIFS(Compta!$F$1:$F$675,Compta!$A$1:$A$675,$B145,Compta!$B$1:$B$675,"6063",Compta!$C$1:$C$675,$A145))</f>
        <v/>
      </c>
      <c r="Z145" t="str">
        <f>IF($A145="","",SUMIFS(Compta!$F$1:$F$675,Compta!$A$1:$A$675,$B145,Compta!$B$1:$B$675,"6231",Compta!$C$1:$C$675,$A145))</f>
        <v/>
      </c>
      <c r="AA145" t="str">
        <f>IF($A145="","",SUMIFS(Compta!$F$1:$F$675,Compta!$A$1:$A$675,$B145,Compta!$B$1:$B$675,"6413",Compta!$C$1:$C$675,$A145)+SUMIFS(Compta!$F$1:$F$675,Compta!$A$1:$A$675,$B145,Compta!$B$1:$B$675,"645",Compta!$C$1:$C$675,$A145)+SUMIFS(Compta!$F$1:$F$675,Compta!$A$1:$A$675,$B145,Compta!$B$1:$B$675,"613",Compta!$C$1:$C$675,$A145)+SUMIFS(Compta!$F$1:$F$675,Compta!$A$1:$A$675,$B145,Compta!$B$1:$B$675,"615",Compta!$C$1:$C$675,$A145)+SUMIFS(Compta!$F$1:$F$675,Compta!$A$1:$A$675,$B145,Compta!$B$1:$B$675,"616",Compta!$C$1:$C$675,$A145)+SUMIFS(Compta!$F$1:$F$675,Compta!$A$1:$A$675,$B145,Compta!$B$1:$B$675,"625",Compta!$C$1:$C$675,$A145)+SUMIFS(Compta!$F$1:$F$675,Compta!$A$1:$A$675,$B145,Compta!$B$1:$B$675,"63511",Compta!$C$1:$C$675,$A145))</f>
        <v/>
      </c>
      <c r="AB145" t="str">
        <f>IF($A145="","",SUMIFS(Compta!$F$1:$F$675,Compta!$A$1:$A$675,"GRP",Compta!$B$1:$B$675,"6414",Compta!$C$1:$C$675,$A145)+SUMIFS(Compta!$F$1:$F$675,Compta!$A$1:$A$675,"GRP",Compta!$B$1:$B$675,"6226",Compta!$C$1:$C$675,$A145)+SUMIFS(Compta!$F$1:$F$675,Compta!$A$1:$A$675,"GRP",Compta!$B$1:$B$675,"626",Compta!$C$1:$C$675,$A145)+SUMIFS(Compta!$F$1:$F$675,Compta!$A$1:$A$675,"GRP",Compta!$B$1:$B$675,"6281",Compta!$C$1:$C$675,$A145)+SUMIFS(Compta!$F$1:$F$675,Compta!$A$1:$A$675,"GRP",Compta!$B$1:$B$675,"6331",Compta!$C$1:$C$675,$A145)+SUMIFS(Compta!$F$1:$F$675,Compta!$A$1:$A$675,"GRP",Compta!$B$1:$B$675,"6333",Compta!$C$1:$C$675,$A145))</f>
        <v/>
      </c>
      <c r="AC145" t="s">
        <v>297</v>
      </c>
      <c r="AD145" t="s">
        <v>297</v>
      </c>
      <c r="AE145" t="s">
        <v>297</v>
      </c>
      <c r="AF145" t="s">
        <v>297</v>
      </c>
      <c r="AG145" t="s">
        <v>297</v>
      </c>
      <c r="AH145" t="s">
        <v>297</v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 t="str">
        <f>IF($A145="","",SUMIFS(Compta!$F$1:$F$675,Compta!$A$1:$A$675,"GRP",Compta!$B$1:$B$675,"6236",Compta!$C$1:$C$675,$A145))</f>
        <v/>
      </c>
      <c r="AP145" t="s">
        <v>297</v>
      </c>
      <c r="AQ145" t="s">
        <v>297</v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IF(Allocation!D146="","",Allocation!I146)</f>
        <v/>
      </c>
      <c r="H146" t="str">
        <f>IF(Allocation!D146="","",Allocation!J146)</f>
        <v/>
      </c>
      <c r="I146" t="str">
        <f>IF(Allocation!D146="","",Allocation!K146)</f>
        <v/>
      </c>
      <c r="J146" t="str">
        <f>IF($A146="","",SUMIFS(Socle!$K$1:$K$175,Socle!$C$1:$C$175,$B146,Socle!$D$1:$D$175,$D146,Socle!$E$1:$E$175,$E146,Socle!$F$1:$F$175,$F146,Socle!$G$1:$G$175,$A146))</f>
        <v/>
      </c>
      <c r="K146" t="str">
        <f t="shared" si="20"/>
        <v/>
      </c>
      <c r="L146" t="str">
        <f>IF($A146="","",SUMIFS(Allocation!$I$1:$I$175,Allocation!$C$1:$C$175,$A146,Allocation!$D$1:$D$175,$B146))</f>
        <v/>
      </c>
      <c r="M146" t="str">
        <f>IF($A146="","",SUMIFS(Allocation!$J$1:$J$175,Allocation!$C$1:$C$175,$A146,Allocation!$D$1:$D$175,$B146))</f>
        <v/>
      </c>
      <c r="N146" t="str">
        <f>IF($A146="","",SUMIFS(Allocation!$K$1:$K$175,Allocation!$C$1:$C$175,$A146,Allocation!$D$1:$D$175,$B146))</f>
        <v/>
      </c>
      <c r="O146" t="str">
        <f t="shared" si="21"/>
        <v/>
      </c>
      <c r="P146" t="str">
        <f t="shared" si="22"/>
        <v/>
      </c>
      <c r="Q146" t="str">
        <f>IF($A146="","",SUMIFS(Allocation!$I$1:$I$175,Allocation!$C$1:$C$175,$A146,Allocation!$E$1:$E$175,$C146))</f>
        <v/>
      </c>
      <c r="R146" t="str">
        <f>IF($A146="","",SUMIFS(Allocation!$J$1:$J$175,Allocation!$C$1:$C$175,$A146,Allocation!$E$1:$E$175,$C146))</f>
        <v/>
      </c>
      <c r="S146" t="str">
        <f>IF($A146="","",SUMIFS(Allocation!$K$1:$K$175,Allocation!$C$1:$C$175,$A146,Allocation!$E$1:$E$175,$C146))</f>
        <v/>
      </c>
      <c r="T146" t="str">
        <f>IF($A146="","",SUMIFS(Allocation!$I$1:$I$175,Allocation!$C$1:$C$175,$A146))</f>
        <v/>
      </c>
      <c r="U146" t="str">
        <f>IF($A146="","",SUMIFS(Allocation!$J$1:$J$175,Allocation!$C$1:$C$175,$A146))</f>
        <v/>
      </c>
      <c r="V146" t="str">
        <f>IF($A146="","",SUMIFS(Allocation!$K$1:$K$175,Allocation!$C$1:$C$175,$A146))</f>
        <v/>
      </c>
      <c r="W146" t="str">
        <f>IF($A146="","",SUMIFS(Compta!$F$1:$F$675,Compta!$A$1:$A$675,$B146,Compta!$B$1:$B$675,"621",Compta!$C$1:$C$675,$A146))</f>
        <v/>
      </c>
      <c r="X146" t="str">
        <f>IF($A146="","",SUMIFS(Compta!$F$1:$F$675,Compta!$A$1:$A$675,$B146,Compta!$B$1:$B$675,"6411",Compta!$C$1:$C$675,$A146))</f>
        <v/>
      </c>
      <c r="Y146" t="str">
        <f>IF($A146="","",SUMIFS(Compta!$F$1:$F$675,Compta!$A$1:$A$675,$B146,Compta!$B$1:$B$675,"604",Compta!$C$1:$C$675,$A146)+SUMIFS(Compta!$F$1:$F$675,Compta!$A$1:$A$675,$B146,Compta!$B$1:$B$675,"6063",Compta!$C$1:$C$675,$A146))</f>
        <v/>
      </c>
      <c r="Z146" t="str">
        <f>IF($A146="","",SUMIFS(Compta!$F$1:$F$675,Compta!$A$1:$A$675,$B146,Compta!$B$1:$B$675,"6231",Compta!$C$1:$C$675,$A146))</f>
        <v/>
      </c>
      <c r="AA146" t="str">
        <f>IF($A146="","",SUMIFS(Compta!$F$1:$F$675,Compta!$A$1:$A$675,$B146,Compta!$B$1:$B$675,"6413",Compta!$C$1:$C$675,$A146)+SUMIFS(Compta!$F$1:$F$675,Compta!$A$1:$A$675,$B146,Compta!$B$1:$B$675,"645",Compta!$C$1:$C$675,$A146)+SUMIFS(Compta!$F$1:$F$675,Compta!$A$1:$A$675,$B146,Compta!$B$1:$B$675,"613",Compta!$C$1:$C$675,$A146)+SUMIFS(Compta!$F$1:$F$675,Compta!$A$1:$A$675,$B146,Compta!$B$1:$B$675,"615",Compta!$C$1:$C$675,$A146)+SUMIFS(Compta!$F$1:$F$675,Compta!$A$1:$A$675,$B146,Compta!$B$1:$B$675,"616",Compta!$C$1:$C$675,$A146)+SUMIFS(Compta!$F$1:$F$675,Compta!$A$1:$A$675,$B146,Compta!$B$1:$B$675,"625",Compta!$C$1:$C$675,$A146)+SUMIFS(Compta!$F$1:$F$675,Compta!$A$1:$A$675,$B146,Compta!$B$1:$B$675,"63511",Compta!$C$1:$C$675,$A146))</f>
        <v/>
      </c>
      <c r="AB146" t="str">
        <f>IF($A146="","",SUMIFS(Compta!$F$1:$F$675,Compta!$A$1:$A$675,"GRP",Compta!$B$1:$B$675,"6414",Compta!$C$1:$C$675,$A146)+SUMIFS(Compta!$F$1:$F$675,Compta!$A$1:$A$675,"GRP",Compta!$B$1:$B$675,"6226",Compta!$C$1:$C$675,$A146)+SUMIFS(Compta!$F$1:$F$675,Compta!$A$1:$A$675,"GRP",Compta!$B$1:$B$675,"626",Compta!$C$1:$C$675,$A146)+SUMIFS(Compta!$F$1:$F$675,Compta!$A$1:$A$675,"GRP",Compta!$B$1:$B$675,"6281",Compta!$C$1:$C$675,$A146)+SUMIFS(Compta!$F$1:$F$675,Compta!$A$1:$A$675,"GRP",Compta!$B$1:$B$675,"6331",Compta!$C$1:$C$675,$A146)+SUMIFS(Compta!$F$1:$F$675,Compta!$A$1:$A$675,"GRP",Compta!$B$1:$B$675,"6333",Compta!$C$1:$C$675,$A146))</f>
        <v/>
      </c>
      <c r="AC146" t="s">
        <v>297</v>
      </c>
      <c r="AD146" t="s">
        <v>297</v>
      </c>
      <c r="AE146" t="s">
        <v>297</v>
      </c>
      <c r="AF146" t="s">
        <v>297</v>
      </c>
      <c r="AG146" t="s">
        <v>297</v>
      </c>
      <c r="AH146" t="s">
        <v>297</v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 t="str">
        <f>IF($A146="","",SUMIFS(Compta!$F$1:$F$675,Compta!$A$1:$A$675,"GRP",Compta!$B$1:$B$675,"6236",Compta!$C$1:$C$675,$A146))</f>
        <v/>
      </c>
      <c r="AP146" t="s">
        <v>297</v>
      </c>
      <c r="AQ146" t="s">
        <v>297</v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IF(Allocation!D147="","",Allocation!I147)</f>
        <v/>
      </c>
      <c r="H147" t="str">
        <f>IF(Allocation!D147="","",Allocation!J147)</f>
        <v/>
      </c>
      <c r="I147" t="str">
        <f>IF(Allocation!D147="","",Allocation!K147)</f>
        <v/>
      </c>
      <c r="J147" t="str">
        <f>IF($A147="","",SUMIFS(Socle!$K$1:$K$175,Socle!$C$1:$C$175,$B147,Socle!$D$1:$D$175,$D147,Socle!$E$1:$E$175,$E147,Socle!$F$1:$F$175,$F147,Socle!$G$1:$G$175,$A147))</f>
        <v/>
      </c>
      <c r="K147" t="str">
        <f t="shared" si="20"/>
        <v/>
      </c>
      <c r="L147" t="str">
        <f>IF($A147="","",SUMIFS(Allocation!$I$1:$I$175,Allocation!$C$1:$C$175,$A147,Allocation!$D$1:$D$175,$B147))</f>
        <v/>
      </c>
      <c r="M147" t="str">
        <f>IF($A147="","",SUMIFS(Allocation!$J$1:$J$175,Allocation!$C$1:$C$175,$A147,Allocation!$D$1:$D$175,$B147))</f>
        <v/>
      </c>
      <c r="N147" t="str">
        <f>IF($A147="","",SUMIFS(Allocation!$K$1:$K$175,Allocation!$C$1:$C$175,$A147,Allocation!$D$1:$D$175,$B147))</f>
        <v/>
      </c>
      <c r="O147" t="str">
        <f t="shared" si="21"/>
        <v/>
      </c>
      <c r="P147" t="str">
        <f t="shared" si="22"/>
        <v/>
      </c>
      <c r="Q147" t="str">
        <f>IF($A147="","",SUMIFS(Allocation!$I$1:$I$175,Allocation!$C$1:$C$175,$A147,Allocation!$E$1:$E$175,$C147))</f>
        <v/>
      </c>
      <c r="R147" t="str">
        <f>IF($A147="","",SUMIFS(Allocation!$J$1:$J$175,Allocation!$C$1:$C$175,$A147,Allocation!$E$1:$E$175,$C147))</f>
        <v/>
      </c>
      <c r="S147" t="str">
        <f>IF($A147="","",SUMIFS(Allocation!$K$1:$K$175,Allocation!$C$1:$C$175,$A147,Allocation!$E$1:$E$175,$C147))</f>
        <v/>
      </c>
      <c r="T147" t="str">
        <f>IF($A147="","",SUMIFS(Allocation!$I$1:$I$175,Allocation!$C$1:$C$175,$A147))</f>
        <v/>
      </c>
      <c r="U147" t="str">
        <f>IF($A147="","",SUMIFS(Allocation!$J$1:$J$175,Allocation!$C$1:$C$175,$A147))</f>
        <v/>
      </c>
      <c r="V147" t="str">
        <f>IF($A147="","",SUMIFS(Allocation!$K$1:$K$175,Allocation!$C$1:$C$175,$A147))</f>
        <v/>
      </c>
      <c r="W147" t="str">
        <f>IF($A147="","",SUMIFS(Compta!$F$1:$F$675,Compta!$A$1:$A$675,$B147,Compta!$B$1:$B$675,"621",Compta!$C$1:$C$675,$A147))</f>
        <v/>
      </c>
      <c r="X147" t="str">
        <f>IF($A147="","",SUMIFS(Compta!$F$1:$F$675,Compta!$A$1:$A$675,$B147,Compta!$B$1:$B$675,"6411",Compta!$C$1:$C$675,$A147))</f>
        <v/>
      </c>
      <c r="Y147" t="str">
        <f>IF($A147="","",SUMIFS(Compta!$F$1:$F$675,Compta!$A$1:$A$675,$B147,Compta!$B$1:$B$675,"604",Compta!$C$1:$C$675,$A147)+SUMIFS(Compta!$F$1:$F$675,Compta!$A$1:$A$675,$B147,Compta!$B$1:$B$675,"6063",Compta!$C$1:$C$675,$A147))</f>
        <v/>
      </c>
      <c r="Z147" t="str">
        <f>IF($A147="","",SUMIFS(Compta!$F$1:$F$675,Compta!$A$1:$A$675,$B147,Compta!$B$1:$B$675,"6231",Compta!$C$1:$C$675,$A147))</f>
        <v/>
      </c>
      <c r="AA147" t="str">
        <f>IF($A147="","",SUMIFS(Compta!$F$1:$F$675,Compta!$A$1:$A$675,$B147,Compta!$B$1:$B$675,"6413",Compta!$C$1:$C$675,$A147)+SUMIFS(Compta!$F$1:$F$675,Compta!$A$1:$A$675,$B147,Compta!$B$1:$B$675,"645",Compta!$C$1:$C$675,$A147)+SUMIFS(Compta!$F$1:$F$675,Compta!$A$1:$A$675,$B147,Compta!$B$1:$B$675,"613",Compta!$C$1:$C$675,$A147)+SUMIFS(Compta!$F$1:$F$675,Compta!$A$1:$A$675,$B147,Compta!$B$1:$B$675,"615",Compta!$C$1:$C$675,$A147)+SUMIFS(Compta!$F$1:$F$675,Compta!$A$1:$A$675,$B147,Compta!$B$1:$B$675,"616",Compta!$C$1:$C$675,$A147)+SUMIFS(Compta!$F$1:$F$675,Compta!$A$1:$A$675,$B147,Compta!$B$1:$B$675,"625",Compta!$C$1:$C$675,$A147)+SUMIFS(Compta!$F$1:$F$675,Compta!$A$1:$A$675,$B147,Compta!$B$1:$B$675,"63511",Compta!$C$1:$C$675,$A147))</f>
        <v/>
      </c>
      <c r="AB147" t="str">
        <f>IF($A147="","",SUMIFS(Compta!$F$1:$F$675,Compta!$A$1:$A$675,"GRP",Compta!$B$1:$B$675,"6414",Compta!$C$1:$C$675,$A147)+SUMIFS(Compta!$F$1:$F$675,Compta!$A$1:$A$675,"GRP",Compta!$B$1:$B$675,"6226",Compta!$C$1:$C$675,$A147)+SUMIFS(Compta!$F$1:$F$675,Compta!$A$1:$A$675,"GRP",Compta!$B$1:$B$675,"626",Compta!$C$1:$C$675,$A147)+SUMIFS(Compta!$F$1:$F$675,Compta!$A$1:$A$675,"GRP",Compta!$B$1:$B$675,"6281",Compta!$C$1:$C$675,$A147)+SUMIFS(Compta!$F$1:$F$675,Compta!$A$1:$A$675,"GRP",Compta!$B$1:$B$675,"6331",Compta!$C$1:$C$675,$A147)+SUMIFS(Compta!$F$1:$F$675,Compta!$A$1:$A$675,"GRP",Compta!$B$1:$B$675,"6333",Compta!$C$1:$C$675,$A147))</f>
        <v/>
      </c>
      <c r="AC147" t="s">
        <v>297</v>
      </c>
      <c r="AD147" t="s">
        <v>297</v>
      </c>
      <c r="AE147" t="s">
        <v>297</v>
      </c>
      <c r="AF147" t="s">
        <v>297</v>
      </c>
      <c r="AG147" t="s">
        <v>297</v>
      </c>
      <c r="AH147" t="s">
        <v>297</v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 t="str">
        <f>IF($A147="","",SUMIFS(Compta!$F$1:$F$675,Compta!$A$1:$A$675,"GRP",Compta!$B$1:$B$675,"6236",Compta!$C$1:$C$675,$A147))</f>
        <v/>
      </c>
      <c r="AP147" t="s">
        <v>297</v>
      </c>
      <c r="AQ147" t="s">
        <v>297</v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IF(Allocation!D148="","",Allocation!I148)</f>
        <v/>
      </c>
      <c r="H148" t="str">
        <f>IF(Allocation!D148="","",Allocation!J148)</f>
        <v/>
      </c>
      <c r="I148" t="str">
        <f>IF(Allocation!D148="","",Allocation!K148)</f>
        <v/>
      </c>
      <c r="J148" t="str">
        <f>IF($A148="","",SUMIFS(Socle!$K$1:$K$175,Socle!$C$1:$C$175,$B148,Socle!$D$1:$D$175,$D148,Socle!$E$1:$E$175,$E148,Socle!$F$1:$F$175,$F148,Socle!$G$1:$G$175,$A148))</f>
        <v/>
      </c>
      <c r="K148" t="str">
        <f t="shared" si="20"/>
        <v/>
      </c>
      <c r="L148" t="str">
        <f>IF($A148="","",SUMIFS(Allocation!$I$1:$I$175,Allocation!$C$1:$C$175,$A148,Allocation!$D$1:$D$175,$B148))</f>
        <v/>
      </c>
      <c r="M148" t="str">
        <f>IF($A148="","",SUMIFS(Allocation!$J$1:$J$175,Allocation!$C$1:$C$175,$A148,Allocation!$D$1:$D$175,$B148))</f>
        <v/>
      </c>
      <c r="N148" t="str">
        <f>IF($A148="","",SUMIFS(Allocation!$K$1:$K$175,Allocation!$C$1:$C$175,$A148,Allocation!$D$1:$D$175,$B148))</f>
        <v/>
      </c>
      <c r="O148" t="str">
        <f t="shared" si="21"/>
        <v/>
      </c>
      <c r="P148" t="str">
        <f t="shared" si="22"/>
        <v/>
      </c>
      <c r="Q148" t="str">
        <f>IF($A148="","",SUMIFS(Allocation!$I$1:$I$175,Allocation!$C$1:$C$175,$A148,Allocation!$E$1:$E$175,$C148))</f>
        <v/>
      </c>
      <c r="R148" t="str">
        <f>IF($A148="","",SUMIFS(Allocation!$J$1:$J$175,Allocation!$C$1:$C$175,$A148,Allocation!$E$1:$E$175,$C148))</f>
        <v/>
      </c>
      <c r="S148" t="str">
        <f>IF($A148="","",SUMIFS(Allocation!$K$1:$K$175,Allocation!$C$1:$C$175,$A148,Allocation!$E$1:$E$175,$C148))</f>
        <v/>
      </c>
      <c r="T148" t="str">
        <f>IF($A148="","",SUMIFS(Allocation!$I$1:$I$175,Allocation!$C$1:$C$175,$A148))</f>
        <v/>
      </c>
      <c r="U148" t="str">
        <f>IF($A148="","",SUMIFS(Allocation!$J$1:$J$175,Allocation!$C$1:$C$175,$A148))</f>
        <v/>
      </c>
      <c r="V148" t="str">
        <f>IF($A148="","",SUMIFS(Allocation!$K$1:$K$175,Allocation!$C$1:$C$175,$A148))</f>
        <v/>
      </c>
      <c r="W148" t="str">
        <f>IF($A148="","",SUMIFS(Compta!$F$1:$F$675,Compta!$A$1:$A$675,$B148,Compta!$B$1:$B$675,"621",Compta!$C$1:$C$675,$A148))</f>
        <v/>
      </c>
      <c r="X148" t="str">
        <f>IF($A148="","",SUMIFS(Compta!$F$1:$F$675,Compta!$A$1:$A$675,$B148,Compta!$B$1:$B$675,"6411",Compta!$C$1:$C$675,$A148))</f>
        <v/>
      </c>
      <c r="Y148" t="str">
        <f>IF($A148="","",SUMIFS(Compta!$F$1:$F$675,Compta!$A$1:$A$675,$B148,Compta!$B$1:$B$675,"604",Compta!$C$1:$C$675,$A148)+SUMIFS(Compta!$F$1:$F$675,Compta!$A$1:$A$675,$B148,Compta!$B$1:$B$675,"6063",Compta!$C$1:$C$675,$A148))</f>
        <v/>
      </c>
      <c r="Z148" t="str">
        <f>IF($A148="","",SUMIFS(Compta!$F$1:$F$675,Compta!$A$1:$A$675,$B148,Compta!$B$1:$B$675,"6231",Compta!$C$1:$C$675,$A148))</f>
        <v/>
      </c>
      <c r="AA148" t="str">
        <f>IF($A148="","",SUMIFS(Compta!$F$1:$F$675,Compta!$A$1:$A$675,$B148,Compta!$B$1:$B$675,"6413",Compta!$C$1:$C$675,$A148)+SUMIFS(Compta!$F$1:$F$675,Compta!$A$1:$A$675,$B148,Compta!$B$1:$B$675,"645",Compta!$C$1:$C$675,$A148)+SUMIFS(Compta!$F$1:$F$675,Compta!$A$1:$A$675,$B148,Compta!$B$1:$B$675,"613",Compta!$C$1:$C$675,$A148)+SUMIFS(Compta!$F$1:$F$675,Compta!$A$1:$A$675,$B148,Compta!$B$1:$B$675,"615",Compta!$C$1:$C$675,$A148)+SUMIFS(Compta!$F$1:$F$675,Compta!$A$1:$A$675,$B148,Compta!$B$1:$B$675,"616",Compta!$C$1:$C$675,$A148)+SUMIFS(Compta!$F$1:$F$675,Compta!$A$1:$A$675,$B148,Compta!$B$1:$B$675,"625",Compta!$C$1:$C$675,$A148)+SUMIFS(Compta!$F$1:$F$675,Compta!$A$1:$A$675,$B148,Compta!$B$1:$B$675,"63511",Compta!$C$1:$C$675,$A148))</f>
        <v/>
      </c>
      <c r="AB148" t="str">
        <f>IF($A148="","",SUMIFS(Compta!$F$1:$F$675,Compta!$A$1:$A$675,"GRP",Compta!$B$1:$B$675,"6414",Compta!$C$1:$C$675,$A148)+SUMIFS(Compta!$F$1:$F$675,Compta!$A$1:$A$675,"GRP",Compta!$B$1:$B$675,"6226",Compta!$C$1:$C$675,$A148)+SUMIFS(Compta!$F$1:$F$675,Compta!$A$1:$A$675,"GRP",Compta!$B$1:$B$675,"626",Compta!$C$1:$C$675,$A148)+SUMIFS(Compta!$F$1:$F$675,Compta!$A$1:$A$675,"GRP",Compta!$B$1:$B$675,"6281",Compta!$C$1:$C$675,$A148)+SUMIFS(Compta!$F$1:$F$675,Compta!$A$1:$A$675,"GRP",Compta!$B$1:$B$675,"6331",Compta!$C$1:$C$675,$A148)+SUMIFS(Compta!$F$1:$F$675,Compta!$A$1:$A$675,"GRP",Compta!$B$1:$B$675,"6333",Compta!$C$1:$C$675,$A148))</f>
        <v/>
      </c>
      <c r="AC148" t="s">
        <v>297</v>
      </c>
      <c r="AD148" t="s">
        <v>297</v>
      </c>
      <c r="AE148" t="s">
        <v>297</v>
      </c>
      <c r="AF148" t="s">
        <v>297</v>
      </c>
      <c r="AG148" t="s">
        <v>297</v>
      </c>
      <c r="AH148" t="s">
        <v>297</v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 t="str">
        <f>IF($A148="","",SUMIFS(Compta!$F$1:$F$675,Compta!$A$1:$A$675,"GRP",Compta!$B$1:$B$675,"6236",Compta!$C$1:$C$675,$A148))</f>
        <v/>
      </c>
      <c r="AP148" t="s">
        <v>297</v>
      </c>
      <c r="AQ148" t="s">
        <v>297</v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IF(Allocation!D149="","",Allocation!I149)</f>
        <v/>
      </c>
      <c r="H149" t="str">
        <f>IF(Allocation!D149="","",Allocation!J149)</f>
        <v/>
      </c>
      <c r="I149" t="str">
        <f>IF(Allocation!D149="","",Allocation!K149)</f>
        <v/>
      </c>
      <c r="J149" t="str">
        <f>IF($A149="","",SUMIFS(Socle!$K$1:$K$175,Socle!$C$1:$C$175,$B149,Socle!$D$1:$D$175,$D149,Socle!$E$1:$E$175,$E149,Socle!$F$1:$F$175,$F149,Socle!$G$1:$G$175,$A149))</f>
        <v/>
      </c>
      <c r="K149" t="str">
        <f t="shared" si="20"/>
        <v/>
      </c>
      <c r="L149" t="str">
        <f>IF($A149="","",SUMIFS(Allocation!$I$1:$I$175,Allocation!$C$1:$C$175,$A149,Allocation!$D$1:$D$175,$B149))</f>
        <v/>
      </c>
      <c r="M149" t="str">
        <f>IF($A149="","",SUMIFS(Allocation!$J$1:$J$175,Allocation!$C$1:$C$175,$A149,Allocation!$D$1:$D$175,$B149))</f>
        <v/>
      </c>
      <c r="N149" t="str">
        <f>IF($A149="","",SUMIFS(Allocation!$K$1:$K$175,Allocation!$C$1:$C$175,$A149,Allocation!$D$1:$D$175,$B149))</f>
        <v/>
      </c>
      <c r="O149" t="str">
        <f t="shared" si="21"/>
        <v/>
      </c>
      <c r="P149" t="str">
        <f t="shared" si="22"/>
        <v/>
      </c>
      <c r="Q149" t="str">
        <f>IF($A149="","",SUMIFS(Allocation!$I$1:$I$175,Allocation!$C$1:$C$175,$A149,Allocation!$E$1:$E$175,$C149))</f>
        <v/>
      </c>
      <c r="R149" t="str">
        <f>IF($A149="","",SUMIFS(Allocation!$J$1:$J$175,Allocation!$C$1:$C$175,$A149,Allocation!$E$1:$E$175,$C149))</f>
        <v/>
      </c>
      <c r="S149" t="str">
        <f>IF($A149="","",SUMIFS(Allocation!$K$1:$K$175,Allocation!$C$1:$C$175,$A149,Allocation!$E$1:$E$175,$C149))</f>
        <v/>
      </c>
      <c r="T149" t="str">
        <f>IF($A149="","",SUMIFS(Allocation!$I$1:$I$175,Allocation!$C$1:$C$175,$A149))</f>
        <v/>
      </c>
      <c r="U149" t="str">
        <f>IF($A149="","",SUMIFS(Allocation!$J$1:$J$175,Allocation!$C$1:$C$175,$A149))</f>
        <v/>
      </c>
      <c r="V149" t="str">
        <f>IF($A149="","",SUMIFS(Allocation!$K$1:$K$175,Allocation!$C$1:$C$175,$A149))</f>
        <v/>
      </c>
      <c r="W149" t="str">
        <f>IF($A149="","",SUMIFS(Compta!$F$1:$F$675,Compta!$A$1:$A$675,$B149,Compta!$B$1:$B$675,"621",Compta!$C$1:$C$675,$A149))</f>
        <v/>
      </c>
      <c r="X149" t="str">
        <f>IF($A149="","",SUMIFS(Compta!$F$1:$F$675,Compta!$A$1:$A$675,$B149,Compta!$B$1:$B$675,"6411",Compta!$C$1:$C$675,$A149))</f>
        <v/>
      </c>
      <c r="Y149" t="str">
        <f>IF($A149="","",SUMIFS(Compta!$F$1:$F$675,Compta!$A$1:$A$675,$B149,Compta!$B$1:$B$675,"604",Compta!$C$1:$C$675,$A149)+SUMIFS(Compta!$F$1:$F$675,Compta!$A$1:$A$675,$B149,Compta!$B$1:$B$675,"6063",Compta!$C$1:$C$675,$A149))</f>
        <v/>
      </c>
      <c r="Z149" t="str">
        <f>IF($A149="","",SUMIFS(Compta!$F$1:$F$675,Compta!$A$1:$A$675,$B149,Compta!$B$1:$B$675,"6231",Compta!$C$1:$C$675,$A149))</f>
        <v/>
      </c>
      <c r="AA149" t="str">
        <f>IF($A149="","",SUMIFS(Compta!$F$1:$F$675,Compta!$A$1:$A$675,$B149,Compta!$B$1:$B$675,"6413",Compta!$C$1:$C$675,$A149)+SUMIFS(Compta!$F$1:$F$675,Compta!$A$1:$A$675,$B149,Compta!$B$1:$B$675,"645",Compta!$C$1:$C$675,$A149)+SUMIFS(Compta!$F$1:$F$675,Compta!$A$1:$A$675,$B149,Compta!$B$1:$B$675,"613",Compta!$C$1:$C$675,$A149)+SUMIFS(Compta!$F$1:$F$675,Compta!$A$1:$A$675,$B149,Compta!$B$1:$B$675,"615",Compta!$C$1:$C$675,$A149)+SUMIFS(Compta!$F$1:$F$675,Compta!$A$1:$A$675,$B149,Compta!$B$1:$B$675,"616",Compta!$C$1:$C$675,$A149)+SUMIFS(Compta!$F$1:$F$675,Compta!$A$1:$A$675,$B149,Compta!$B$1:$B$675,"625",Compta!$C$1:$C$675,$A149)+SUMIFS(Compta!$F$1:$F$675,Compta!$A$1:$A$675,$B149,Compta!$B$1:$B$675,"63511",Compta!$C$1:$C$675,$A149))</f>
        <v/>
      </c>
      <c r="AB149" t="str">
        <f>IF($A149="","",SUMIFS(Compta!$F$1:$F$675,Compta!$A$1:$A$675,"GRP",Compta!$B$1:$B$675,"6414",Compta!$C$1:$C$675,$A149)+SUMIFS(Compta!$F$1:$F$675,Compta!$A$1:$A$675,"GRP",Compta!$B$1:$B$675,"6226",Compta!$C$1:$C$675,$A149)+SUMIFS(Compta!$F$1:$F$675,Compta!$A$1:$A$675,"GRP",Compta!$B$1:$B$675,"626",Compta!$C$1:$C$675,$A149)+SUMIFS(Compta!$F$1:$F$675,Compta!$A$1:$A$675,"GRP",Compta!$B$1:$B$675,"6281",Compta!$C$1:$C$675,$A149)+SUMIFS(Compta!$F$1:$F$675,Compta!$A$1:$A$675,"GRP",Compta!$B$1:$B$675,"6331",Compta!$C$1:$C$675,$A149)+SUMIFS(Compta!$F$1:$F$675,Compta!$A$1:$A$675,"GRP",Compta!$B$1:$B$675,"6333",Compta!$C$1:$C$675,$A149))</f>
        <v/>
      </c>
      <c r="AC149" t="s">
        <v>297</v>
      </c>
      <c r="AD149" t="s">
        <v>297</v>
      </c>
      <c r="AE149" t="s">
        <v>297</v>
      </c>
      <c r="AF149" t="s">
        <v>297</v>
      </c>
      <c r="AG149" t="s">
        <v>297</v>
      </c>
      <c r="AH149" t="s">
        <v>297</v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 t="str">
        <f>IF($A149="","",SUMIFS(Compta!$F$1:$F$675,Compta!$A$1:$A$675,"GRP",Compta!$B$1:$B$675,"6236",Compta!$C$1:$C$675,$A149))</f>
        <v/>
      </c>
      <c r="AP149" t="s">
        <v>297</v>
      </c>
      <c r="AQ149" t="s">
        <v>297</v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IF(Allocation!D150="","",Allocation!I150)</f>
        <v/>
      </c>
      <c r="H150" t="str">
        <f>IF(Allocation!D150="","",Allocation!J150)</f>
        <v/>
      </c>
      <c r="I150" t="str">
        <f>IF(Allocation!D150="","",Allocation!K150)</f>
        <v/>
      </c>
      <c r="J150" t="str">
        <f>IF($A150="","",SUMIFS(Socle!$K$1:$K$175,Socle!$C$1:$C$175,$B150,Socle!$D$1:$D$175,$D150,Socle!$E$1:$E$175,$E150,Socle!$F$1:$F$175,$F150,Socle!$G$1:$G$175,$A150))</f>
        <v/>
      </c>
      <c r="K150" t="str">
        <f t="shared" si="20"/>
        <v/>
      </c>
      <c r="L150" t="str">
        <f>IF($A150="","",SUMIFS(Allocation!$I$1:$I$175,Allocation!$C$1:$C$175,$A150,Allocation!$D$1:$D$175,$B150))</f>
        <v/>
      </c>
      <c r="M150" t="str">
        <f>IF($A150="","",SUMIFS(Allocation!$J$1:$J$175,Allocation!$C$1:$C$175,$A150,Allocation!$D$1:$D$175,$B150))</f>
        <v/>
      </c>
      <c r="N150" t="str">
        <f>IF($A150="","",SUMIFS(Allocation!$K$1:$K$175,Allocation!$C$1:$C$175,$A150,Allocation!$D$1:$D$175,$B150))</f>
        <v/>
      </c>
      <c r="O150" t="str">
        <f t="shared" si="21"/>
        <v/>
      </c>
      <c r="P150" t="str">
        <f t="shared" si="22"/>
        <v/>
      </c>
      <c r="Q150" t="str">
        <f>IF($A150="","",SUMIFS(Allocation!$I$1:$I$175,Allocation!$C$1:$C$175,$A150,Allocation!$E$1:$E$175,$C150))</f>
        <v/>
      </c>
      <c r="R150" t="str">
        <f>IF($A150="","",SUMIFS(Allocation!$J$1:$J$175,Allocation!$C$1:$C$175,$A150,Allocation!$E$1:$E$175,$C150))</f>
        <v/>
      </c>
      <c r="S150" t="str">
        <f>IF($A150="","",SUMIFS(Allocation!$K$1:$K$175,Allocation!$C$1:$C$175,$A150,Allocation!$E$1:$E$175,$C150))</f>
        <v/>
      </c>
      <c r="T150" t="str">
        <f>IF($A150="","",SUMIFS(Allocation!$I$1:$I$175,Allocation!$C$1:$C$175,$A150))</f>
        <v/>
      </c>
      <c r="U150" t="str">
        <f>IF($A150="","",SUMIFS(Allocation!$J$1:$J$175,Allocation!$C$1:$C$175,$A150))</f>
        <v/>
      </c>
      <c r="V150" t="str">
        <f>IF($A150="","",SUMIFS(Allocation!$K$1:$K$175,Allocation!$C$1:$C$175,$A150))</f>
        <v/>
      </c>
      <c r="W150" t="str">
        <f>IF($A150="","",SUMIFS(Compta!$F$1:$F$675,Compta!$A$1:$A$675,$B150,Compta!$B$1:$B$675,"621",Compta!$C$1:$C$675,$A150))</f>
        <v/>
      </c>
      <c r="X150" t="str">
        <f>IF($A150="","",SUMIFS(Compta!$F$1:$F$675,Compta!$A$1:$A$675,$B150,Compta!$B$1:$B$675,"6411",Compta!$C$1:$C$675,$A150))</f>
        <v/>
      </c>
      <c r="Y150" t="str">
        <f>IF($A150="","",SUMIFS(Compta!$F$1:$F$675,Compta!$A$1:$A$675,$B150,Compta!$B$1:$B$675,"604",Compta!$C$1:$C$675,$A150)+SUMIFS(Compta!$F$1:$F$675,Compta!$A$1:$A$675,$B150,Compta!$B$1:$B$675,"6063",Compta!$C$1:$C$675,$A150))</f>
        <v/>
      </c>
      <c r="Z150" t="str">
        <f>IF($A150="","",SUMIFS(Compta!$F$1:$F$675,Compta!$A$1:$A$675,$B150,Compta!$B$1:$B$675,"6231",Compta!$C$1:$C$675,$A150))</f>
        <v/>
      </c>
      <c r="AA150" t="str">
        <f>IF($A150="","",SUMIFS(Compta!$F$1:$F$675,Compta!$A$1:$A$675,$B150,Compta!$B$1:$B$675,"6413",Compta!$C$1:$C$675,$A150)+SUMIFS(Compta!$F$1:$F$675,Compta!$A$1:$A$675,$B150,Compta!$B$1:$B$675,"645",Compta!$C$1:$C$675,$A150)+SUMIFS(Compta!$F$1:$F$675,Compta!$A$1:$A$675,$B150,Compta!$B$1:$B$675,"613",Compta!$C$1:$C$675,$A150)+SUMIFS(Compta!$F$1:$F$675,Compta!$A$1:$A$675,$B150,Compta!$B$1:$B$675,"615",Compta!$C$1:$C$675,$A150)+SUMIFS(Compta!$F$1:$F$675,Compta!$A$1:$A$675,$B150,Compta!$B$1:$B$675,"616",Compta!$C$1:$C$675,$A150)+SUMIFS(Compta!$F$1:$F$675,Compta!$A$1:$A$675,$B150,Compta!$B$1:$B$675,"625",Compta!$C$1:$C$675,$A150)+SUMIFS(Compta!$F$1:$F$675,Compta!$A$1:$A$675,$B150,Compta!$B$1:$B$675,"63511",Compta!$C$1:$C$675,$A150))</f>
        <v/>
      </c>
      <c r="AB150" t="str">
        <f>IF($A150="","",SUMIFS(Compta!$F$1:$F$675,Compta!$A$1:$A$675,"GRP",Compta!$B$1:$B$675,"6414",Compta!$C$1:$C$675,$A150)+SUMIFS(Compta!$F$1:$F$675,Compta!$A$1:$A$675,"GRP",Compta!$B$1:$B$675,"6226",Compta!$C$1:$C$675,$A150)+SUMIFS(Compta!$F$1:$F$675,Compta!$A$1:$A$675,"GRP",Compta!$B$1:$B$675,"626",Compta!$C$1:$C$675,$A150)+SUMIFS(Compta!$F$1:$F$675,Compta!$A$1:$A$675,"GRP",Compta!$B$1:$B$675,"6281",Compta!$C$1:$C$675,$A150)+SUMIFS(Compta!$F$1:$F$675,Compta!$A$1:$A$675,"GRP",Compta!$B$1:$B$675,"6331",Compta!$C$1:$C$675,$A150)+SUMIFS(Compta!$F$1:$F$675,Compta!$A$1:$A$675,"GRP",Compta!$B$1:$B$675,"6333",Compta!$C$1:$C$675,$A150))</f>
        <v/>
      </c>
      <c r="AC150" t="s">
        <v>297</v>
      </c>
      <c r="AD150" t="s">
        <v>297</v>
      </c>
      <c r="AE150" t="s">
        <v>297</v>
      </c>
      <c r="AF150" t="s">
        <v>297</v>
      </c>
      <c r="AG150" t="s">
        <v>297</v>
      </c>
      <c r="AH150" t="s">
        <v>297</v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 t="str">
        <f>IF($A150="","",SUMIFS(Compta!$F$1:$F$675,Compta!$A$1:$A$675,"GRP",Compta!$B$1:$B$675,"6236",Compta!$C$1:$C$675,$A150))</f>
        <v/>
      </c>
      <c r="AP150" t="s">
        <v>297</v>
      </c>
      <c r="AQ150" t="s">
        <v>297</v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IF(Allocation!D151="","",Allocation!I151)</f>
        <v/>
      </c>
      <c r="H151" t="str">
        <f>IF(Allocation!D151="","",Allocation!J151)</f>
        <v/>
      </c>
      <c r="I151" t="str">
        <f>IF(Allocation!D151="","",Allocation!K151)</f>
        <v/>
      </c>
      <c r="J151" t="str">
        <f>IF($A151="","",SUMIFS(Socle!$K$1:$K$175,Socle!$C$1:$C$175,$B151,Socle!$D$1:$D$175,$D151,Socle!$E$1:$E$175,$E151,Socle!$F$1:$F$175,$F151,Socle!$G$1:$G$175,$A151))</f>
        <v/>
      </c>
      <c r="K151" t="str">
        <f t="shared" si="20"/>
        <v/>
      </c>
      <c r="L151" t="str">
        <f>IF($A151="","",SUMIFS(Allocation!$I$1:$I$175,Allocation!$C$1:$C$175,$A151,Allocation!$D$1:$D$175,$B151))</f>
        <v/>
      </c>
      <c r="M151" t="str">
        <f>IF($A151="","",SUMIFS(Allocation!$J$1:$J$175,Allocation!$C$1:$C$175,$A151,Allocation!$D$1:$D$175,$B151))</f>
        <v/>
      </c>
      <c r="N151" t="str">
        <f>IF($A151="","",SUMIFS(Allocation!$K$1:$K$175,Allocation!$C$1:$C$175,$A151,Allocation!$D$1:$D$175,$B151))</f>
        <v/>
      </c>
      <c r="O151" t="str">
        <f t="shared" si="21"/>
        <v/>
      </c>
      <c r="P151" t="str">
        <f t="shared" si="22"/>
        <v/>
      </c>
      <c r="Q151" t="str">
        <f>IF($A151="","",SUMIFS(Allocation!$I$1:$I$175,Allocation!$C$1:$C$175,$A151,Allocation!$E$1:$E$175,$C151))</f>
        <v/>
      </c>
      <c r="R151" t="str">
        <f>IF($A151="","",SUMIFS(Allocation!$J$1:$J$175,Allocation!$C$1:$C$175,$A151,Allocation!$E$1:$E$175,$C151))</f>
        <v/>
      </c>
      <c r="S151" t="str">
        <f>IF($A151="","",SUMIFS(Allocation!$K$1:$K$175,Allocation!$C$1:$C$175,$A151,Allocation!$E$1:$E$175,$C151))</f>
        <v/>
      </c>
      <c r="T151" t="str">
        <f>IF($A151="","",SUMIFS(Allocation!$I$1:$I$175,Allocation!$C$1:$C$175,$A151))</f>
        <v/>
      </c>
      <c r="U151" t="str">
        <f>IF($A151="","",SUMIFS(Allocation!$J$1:$J$175,Allocation!$C$1:$C$175,$A151))</f>
        <v/>
      </c>
      <c r="V151" t="str">
        <f>IF($A151="","",SUMIFS(Allocation!$K$1:$K$175,Allocation!$C$1:$C$175,$A151))</f>
        <v/>
      </c>
      <c r="W151" t="str">
        <f>IF($A151="","",SUMIFS(Compta!$F$1:$F$675,Compta!$A$1:$A$675,$B151,Compta!$B$1:$B$675,"621",Compta!$C$1:$C$675,$A151))</f>
        <v/>
      </c>
      <c r="X151" t="str">
        <f>IF($A151="","",SUMIFS(Compta!$F$1:$F$675,Compta!$A$1:$A$675,$B151,Compta!$B$1:$B$675,"6411",Compta!$C$1:$C$675,$A151))</f>
        <v/>
      </c>
      <c r="Y151" t="str">
        <f>IF($A151="","",SUMIFS(Compta!$F$1:$F$675,Compta!$A$1:$A$675,$B151,Compta!$B$1:$B$675,"604",Compta!$C$1:$C$675,$A151)+SUMIFS(Compta!$F$1:$F$675,Compta!$A$1:$A$675,$B151,Compta!$B$1:$B$675,"6063",Compta!$C$1:$C$675,$A151))</f>
        <v/>
      </c>
      <c r="Z151" t="str">
        <f>IF($A151="","",SUMIFS(Compta!$F$1:$F$675,Compta!$A$1:$A$675,$B151,Compta!$B$1:$B$675,"6231",Compta!$C$1:$C$675,$A151))</f>
        <v/>
      </c>
      <c r="AA151" t="str">
        <f>IF($A151="","",SUMIFS(Compta!$F$1:$F$675,Compta!$A$1:$A$675,$B151,Compta!$B$1:$B$675,"6413",Compta!$C$1:$C$675,$A151)+SUMIFS(Compta!$F$1:$F$675,Compta!$A$1:$A$675,$B151,Compta!$B$1:$B$675,"645",Compta!$C$1:$C$675,$A151)+SUMIFS(Compta!$F$1:$F$675,Compta!$A$1:$A$675,$B151,Compta!$B$1:$B$675,"613",Compta!$C$1:$C$675,$A151)+SUMIFS(Compta!$F$1:$F$675,Compta!$A$1:$A$675,$B151,Compta!$B$1:$B$675,"615",Compta!$C$1:$C$675,$A151)+SUMIFS(Compta!$F$1:$F$675,Compta!$A$1:$A$675,$B151,Compta!$B$1:$B$675,"616",Compta!$C$1:$C$675,$A151)+SUMIFS(Compta!$F$1:$F$675,Compta!$A$1:$A$675,$B151,Compta!$B$1:$B$675,"625",Compta!$C$1:$C$675,$A151)+SUMIFS(Compta!$F$1:$F$675,Compta!$A$1:$A$675,$B151,Compta!$B$1:$B$675,"63511",Compta!$C$1:$C$675,$A151))</f>
        <v/>
      </c>
      <c r="AB151" t="str">
        <f>IF($A151="","",SUMIFS(Compta!$F$1:$F$675,Compta!$A$1:$A$675,"GRP",Compta!$B$1:$B$675,"6414",Compta!$C$1:$C$675,$A151)+SUMIFS(Compta!$F$1:$F$675,Compta!$A$1:$A$675,"GRP",Compta!$B$1:$B$675,"6226",Compta!$C$1:$C$675,$A151)+SUMIFS(Compta!$F$1:$F$675,Compta!$A$1:$A$675,"GRP",Compta!$B$1:$B$675,"626",Compta!$C$1:$C$675,$A151)+SUMIFS(Compta!$F$1:$F$675,Compta!$A$1:$A$675,"GRP",Compta!$B$1:$B$675,"6281",Compta!$C$1:$C$675,$A151)+SUMIFS(Compta!$F$1:$F$675,Compta!$A$1:$A$675,"GRP",Compta!$B$1:$B$675,"6331",Compta!$C$1:$C$675,$A151)+SUMIFS(Compta!$F$1:$F$675,Compta!$A$1:$A$675,"GRP",Compta!$B$1:$B$675,"6333",Compta!$C$1:$C$675,$A151))</f>
        <v/>
      </c>
      <c r="AC151" t="s">
        <v>297</v>
      </c>
      <c r="AD151" t="s">
        <v>297</v>
      </c>
      <c r="AE151" t="s">
        <v>297</v>
      </c>
      <c r="AF151" t="s">
        <v>297</v>
      </c>
      <c r="AG151" t="s">
        <v>297</v>
      </c>
      <c r="AH151" t="s">
        <v>297</v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 t="str">
        <f>IF($A151="","",SUMIFS(Compta!$F$1:$F$675,Compta!$A$1:$A$675,"GRP",Compta!$B$1:$B$675,"6236",Compta!$C$1:$C$675,$A151))</f>
        <v/>
      </c>
      <c r="AP151" t="s">
        <v>297</v>
      </c>
      <c r="AQ151" t="s">
        <v>297</v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IF(Allocation!D152="","",Allocation!I152)</f>
        <v/>
      </c>
      <c r="H152" t="str">
        <f>IF(Allocation!D152="","",Allocation!J152)</f>
        <v/>
      </c>
      <c r="I152" t="str">
        <f>IF(Allocation!D152="","",Allocation!K152)</f>
        <v/>
      </c>
      <c r="J152" t="str">
        <f>IF($A152="","",SUMIFS(Socle!$K$1:$K$175,Socle!$C$1:$C$175,$B152,Socle!$D$1:$D$175,$D152,Socle!$E$1:$E$175,$E152,Socle!$F$1:$F$175,$F152,Socle!$G$1:$G$175,$A152))</f>
        <v/>
      </c>
      <c r="K152" t="str">
        <f t="shared" si="20"/>
        <v/>
      </c>
      <c r="L152" t="str">
        <f>IF($A152="","",SUMIFS(Allocation!$I$1:$I$175,Allocation!$C$1:$C$175,$A152,Allocation!$D$1:$D$175,$B152))</f>
        <v/>
      </c>
      <c r="M152" t="str">
        <f>IF($A152="","",SUMIFS(Allocation!$J$1:$J$175,Allocation!$C$1:$C$175,$A152,Allocation!$D$1:$D$175,$B152))</f>
        <v/>
      </c>
      <c r="N152" t="str">
        <f>IF($A152="","",SUMIFS(Allocation!$K$1:$K$175,Allocation!$C$1:$C$175,$A152,Allocation!$D$1:$D$175,$B152))</f>
        <v/>
      </c>
      <c r="O152" t="str">
        <f t="shared" si="21"/>
        <v/>
      </c>
      <c r="P152" t="str">
        <f t="shared" si="22"/>
        <v/>
      </c>
      <c r="Q152" t="str">
        <f>IF($A152="","",SUMIFS(Allocation!$I$1:$I$175,Allocation!$C$1:$C$175,$A152,Allocation!$E$1:$E$175,$C152))</f>
        <v/>
      </c>
      <c r="R152" t="str">
        <f>IF($A152="","",SUMIFS(Allocation!$J$1:$J$175,Allocation!$C$1:$C$175,$A152,Allocation!$E$1:$E$175,$C152))</f>
        <v/>
      </c>
      <c r="S152" t="str">
        <f>IF($A152="","",SUMIFS(Allocation!$K$1:$K$175,Allocation!$C$1:$C$175,$A152,Allocation!$E$1:$E$175,$C152))</f>
        <v/>
      </c>
      <c r="T152" t="str">
        <f>IF($A152="","",SUMIFS(Allocation!$I$1:$I$175,Allocation!$C$1:$C$175,$A152))</f>
        <v/>
      </c>
      <c r="U152" t="str">
        <f>IF($A152="","",SUMIFS(Allocation!$J$1:$J$175,Allocation!$C$1:$C$175,$A152))</f>
        <v/>
      </c>
      <c r="V152" t="str">
        <f>IF($A152="","",SUMIFS(Allocation!$K$1:$K$175,Allocation!$C$1:$C$175,$A152))</f>
        <v/>
      </c>
      <c r="W152" t="str">
        <f>IF($A152="","",SUMIFS(Compta!$F$1:$F$675,Compta!$A$1:$A$675,$B152,Compta!$B$1:$B$675,"621",Compta!$C$1:$C$675,$A152))</f>
        <v/>
      </c>
      <c r="X152" t="str">
        <f>IF($A152="","",SUMIFS(Compta!$F$1:$F$675,Compta!$A$1:$A$675,$B152,Compta!$B$1:$B$675,"6411",Compta!$C$1:$C$675,$A152))</f>
        <v/>
      </c>
      <c r="Y152" t="str">
        <f>IF($A152="","",SUMIFS(Compta!$F$1:$F$675,Compta!$A$1:$A$675,$B152,Compta!$B$1:$B$675,"604",Compta!$C$1:$C$675,$A152)+SUMIFS(Compta!$F$1:$F$675,Compta!$A$1:$A$675,$B152,Compta!$B$1:$B$675,"6063",Compta!$C$1:$C$675,$A152))</f>
        <v/>
      </c>
      <c r="Z152" t="str">
        <f>IF($A152="","",SUMIFS(Compta!$F$1:$F$675,Compta!$A$1:$A$675,$B152,Compta!$B$1:$B$675,"6231",Compta!$C$1:$C$675,$A152))</f>
        <v/>
      </c>
      <c r="AA152" t="str">
        <f>IF($A152="","",SUMIFS(Compta!$F$1:$F$675,Compta!$A$1:$A$675,$B152,Compta!$B$1:$B$675,"6413",Compta!$C$1:$C$675,$A152)+SUMIFS(Compta!$F$1:$F$675,Compta!$A$1:$A$675,$B152,Compta!$B$1:$B$675,"645",Compta!$C$1:$C$675,$A152)+SUMIFS(Compta!$F$1:$F$675,Compta!$A$1:$A$675,$B152,Compta!$B$1:$B$675,"613",Compta!$C$1:$C$675,$A152)+SUMIFS(Compta!$F$1:$F$675,Compta!$A$1:$A$675,$B152,Compta!$B$1:$B$675,"615",Compta!$C$1:$C$675,$A152)+SUMIFS(Compta!$F$1:$F$675,Compta!$A$1:$A$675,$B152,Compta!$B$1:$B$675,"616",Compta!$C$1:$C$675,$A152)+SUMIFS(Compta!$F$1:$F$675,Compta!$A$1:$A$675,$B152,Compta!$B$1:$B$675,"625",Compta!$C$1:$C$675,$A152)+SUMIFS(Compta!$F$1:$F$675,Compta!$A$1:$A$675,$B152,Compta!$B$1:$B$675,"63511",Compta!$C$1:$C$675,$A152))</f>
        <v/>
      </c>
      <c r="AB152" t="str">
        <f>IF($A152="","",SUMIFS(Compta!$F$1:$F$675,Compta!$A$1:$A$675,"GRP",Compta!$B$1:$B$675,"6414",Compta!$C$1:$C$675,$A152)+SUMIFS(Compta!$F$1:$F$675,Compta!$A$1:$A$675,"GRP",Compta!$B$1:$B$675,"6226",Compta!$C$1:$C$675,$A152)+SUMIFS(Compta!$F$1:$F$675,Compta!$A$1:$A$675,"GRP",Compta!$B$1:$B$675,"626",Compta!$C$1:$C$675,$A152)+SUMIFS(Compta!$F$1:$F$675,Compta!$A$1:$A$675,"GRP",Compta!$B$1:$B$675,"6281",Compta!$C$1:$C$675,$A152)+SUMIFS(Compta!$F$1:$F$675,Compta!$A$1:$A$675,"GRP",Compta!$B$1:$B$675,"6331",Compta!$C$1:$C$675,$A152)+SUMIFS(Compta!$F$1:$F$675,Compta!$A$1:$A$675,"GRP",Compta!$B$1:$B$675,"6333",Compta!$C$1:$C$675,$A152))</f>
        <v/>
      </c>
      <c r="AC152" t="s">
        <v>297</v>
      </c>
      <c r="AD152" t="s">
        <v>297</v>
      </c>
      <c r="AE152" t="s">
        <v>297</v>
      </c>
      <c r="AF152" t="s">
        <v>297</v>
      </c>
      <c r="AG152" t="s">
        <v>297</v>
      </c>
      <c r="AH152" t="s">
        <v>297</v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 t="str">
        <f>IF($A152="","",SUMIFS(Compta!$F$1:$F$675,Compta!$A$1:$A$675,"GRP",Compta!$B$1:$B$675,"6236",Compta!$C$1:$C$675,$A152))</f>
        <v/>
      </c>
      <c r="AP152" t="s">
        <v>297</v>
      </c>
      <c r="AQ152" t="s">
        <v>297</v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IF(Allocation!D153="","",Allocation!I153)</f>
        <v/>
      </c>
      <c r="H153" t="str">
        <f>IF(Allocation!D153="","",Allocation!J153)</f>
        <v/>
      </c>
      <c r="I153" t="str">
        <f>IF(Allocation!D153="","",Allocation!K153)</f>
        <v/>
      </c>
      <c r="J153" t="str">
        <f>IF($A153="","",SUMIFS(Socle!$K$1:$K$175,Socle!$C$1:$C$175,$B153,Socle!$D$1:$D$175,$D153,Socle!$E$1:$E$175,$E153,Socle!$F$1:$F$175,$F153,Socle!$G$1:$G$175,$A153))</f>
        <v/>
      </c>
      <c r="K153" t="str">
        <f t="shared" si="20"/>
        <v/>
      </c>
      <c r="L153" t="str">
        <f>IF($A153="","",SUMIFS(Allocation!$I$1:$I$175,Allocation!$C$1:$C$175,$A153,Allocation!$D$1:$D$175,$B153))</f>
        <v/>
      </c>
      <c r="M153" t="str">
        <f>IF($A153="","",SUMIFS(Allocation!$J$1:$J$175,Allocation!$C$1:$C$175,$A153,Allocation!$D$1:$D$175,$B153))</f>
        <v/>
      </c>
      <c r="N153" t="str">
        <f>IF($A153="","",SUMIFS(Allocation!$K$1:$K$175,Allocation!$C$1:$C$175,$A153,Allocation!$D$1:$D$175,$B153))</f>
        <v/>
      </c>
      <c r="O153" t="str">
        <f t="shared" si="21"/>
        <v/>
      </c>
      <c r="P153" t="str">
        <f t="shared" si="22"/>
        <v/>
      </c>
      <c r="Q153" t="str">
        <f>IF($A153="","",SUMIFS(Allocation!$I$1:$I$175,Allocation!$C$1:$C$175,$A153,Allocation!$E$1:$E$175,$C153))</f>
        <v/>
      </c>
      <c r="R153" t="str">
        <f>IF($A153="","",SUMIFS(Allocation!$J$1:$J$175,Allocation!$C$1:$C$175,$A153,Allocation!$E$1:$E$175,$C153))</f>
        <v/>
      </c>
      <c r="S153" t="str">
        <f>IF($A153="","",SUMIFS(Allocation!$K$1:$K$175,Allocation!$C$1:$C$175,$A153,Allocation!$E$1:$E$175,$C153))</f>
        <v/>
      </c>
      <c r="T153" t="str">
        <f>IF($A153="","",SUMIFS(Allocation!$I$1:$I$175,Allocation!$C$1:$C$175,$A153))</f>
        <v/>
      </c>
      <c r="U153" t="str">
        <f>IF($A153="","",SUMIFS(Allocation!$J$1:$J$175,Allocation!$C$1:$C$175,$A153))</f>
        <v/>
      </c>
      <c r="V153" t="str">
        <f>IF($A153="","",SUMIFS(Allocation!$K$1:$K$175,Allocation!$C$1:$C$175,$A153))</f>
        <v/>
      </c>
      <c r="W153" t="str">
        <f>IF($A153="","",SUMIFS(Compta!$F$1:$F$675,Compta!$A$1:$A$675,$B153,Compta!$B$1:$B$675,"621",Compta!$C$1:$C$675,$A153))</f>
        <v/>
      </c>
      <c r="X153" t="str">
        <f>IF($A153="","",SUMIFS(Compta!$F$1:$F$675,Compta!$A$1:$A$675,$B153,Compta!$B$1:$B$675,"6411",Compta!$C$1:$C$675,$A153))</f>
        <v/>
      </c>
      <c r="Y153" t="str">
        <f>IF($A153="","",SUMIFS(Compta!$F$1:$F$675,Compta!$A$1:$A$675,$B153,Compta!$B$1:$B$675,"604",Compta!$C$1:$C$675,$A153)+SUMIFS(Compta!$F$1:$F$675,Compta!$A$1:$A$675,$B153,Compta!$B$1:$B$675,"6063",Compta!$C$1:$C$675,$A153))</f>
        <v/>
      </c>
      <c r="Z153" t="str">
        <f>IF($A153="","",SUMIFS(Compta!$F$1:$F$675,Compta!$A$1:$A$675,$B153,Compta!$B$1:$B$675,"6231",Compta!$C$1:$C$675,$A153))</f>
        <v/>
      </c>
      <c r="AA153" t="str">
        <f>IF($A153="","",SUMIFS(Compta!$F$1:$F$675,Compta!$A$1:$A$675,$B153,Compta!$B$1:$B$675,"6413",Compta!$C$1:$C$675,$A153)+SUMIFS(Compta!$F$1:$F$675,Compta!$A$1:$A$675,$B153,Compta!$B$1:$B$675,"645",Compta!$C$1:$C$675,$A153)+SUMIFS(Compta!$F$1:$F$675,Compta!$A$1:$A$675,$B153,Compta!$B$1:$B$675,"613",Compta!$C$1:$C$675,$A153)+SUMIFS(Compta!$F$1:$F$675,Compta!$A$1:$A$675,$B153,Compta!$B$1:$B$675,"615",Compta!$C$1:$C$675,$A153)+SUMIFS(Compta!$F$1:$F$675,Compta!$A$1:$A$675,$B153,Compta!$B$1:$B$675,"616",Compta!$C$1:$C$675,$A153)+SUMIFS(Compta!$F$1:$F$675,Compta!$A$1:$A$675,$B153,Compta!$B$1:$B$675,"625",Compta!$C$1:$C$675,$A153)+SUMIFS(Compta!$F$1:$F$675,Compta!$A$1:$A$675,$B153,Compta!$B$1:$B$675,"63511",Compta!$C$1:$C$675,$A153))</f>
        <v/>
      </c>
      <c r="AB153" t="str">
        <f>IF($A153="","",SUMIFS(Compta!$F$1:$F$675,Compta!$A$1:$A$675,"GRP",Compta!$B$1:$B$675,"6414",Compta!$C$1:$C$675,$A153)+SUMIFS(Compta!$F$1:$F$675,Compta!$A$1:$A$675,"GRP",Compta!$B$1:$B$675,"6226",Compta!$C$1:$C$675,$A153)+SUMIFS(Compta!$F$1:$F$675,Compta!$A$1:$A$675,"GRP",Compta!$B$1:$B$675,"626",Compta!$C$1:$C$675,$A153)+SUMIFS(Compta!$F$1:$F$675,Compta!$A$1:$A$675,"GRP",Compta!$B$1:$B$675,"6281",Compta!$C$1:$C$675,$A153)+SUMIFS(Compta!$F$1:$F$675,Compta!$A$1:$A$675,"GRP",Compta!$B$1:$B$675,"6331",Compta!$C$1:$C$675,$A153)+SUMIFS(Compta!$F$1:$F$675,Compta!$A$1:$A$675,"GRP",Compta!$B$1:$B$675,"6333",Compta!$C$1:$C$675,$A153))</f>
        <v/>
      </c>
      <c r="AC153" t="s">
        <v>297</v>
      </c>
      <c r="AD153" t="s">
        <v>297</v>
      </c>
      <c r="AE153" t="s">
        <v>297</v>
      </c>
      <c r="AF153" t="s">
        <v>297</v>
      </c>
      <c r="AG153" t="s">
        <v>297</v>
      </c>
      <c r="AH153" t="s">
        <v>297</v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 t="str">
        <f>IF($A153="","",SUMIFS(Compta!$F$1:$F$675,Compta!$A$1:$A$675,"GRP",Compta!$B$1:$B$675,"6236",Compta!$C$1:$C$675,$A153))</f>
        <v/>
      </c>
      <c r="AP153" t="s">
        <v>297</v>
      </c>
      <c r="AQ153" t="s">
        <v>297</v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IF(Allocation!D154="","",Allocation!I154)</f>
        <v/>
      </c>
      <c r="H154" t="str">
        <f>IF(Allocation!D154="","",Allocation!J154)</f>
        <v/>
      </c>
      <c r="I154" t="str">
        <f>IF(Allocation!D154="","",Allocation!K154)</f>
        <v/>
      </c>
      <c r="J154" t="str">
        <f>IF($A154="","",SUMIFS(Socle!$K$1:$K$175,Socle!$C$1:$C$175,$B154,Socle!$D$1:$D$175,$D154,Socle!$E$1:$E$175,$E154,Socle!$F$1:$F$175,$F154,Socle!$G$1:$G$175,$A154))</f>
        <v/>
      </c>
      <c r="K154" t="str">
        <f t="shared" si="20"/>
        <v/>
      </c>
      <c r="L154" t="str">
        <f>IF($A154="","",SUMIFS(Allocation!$I$1:$I$175,Allocation!$C$1:$C$175,$A154,Allocation!$D$1:$D$175,$B154))</f>
        <v/>
      </c>
      <c r="M154" t="str">
        <f>IF($A154="","",SUMIFS(Allocation!$J$1:$J$175,Allocation!$C$1:$C$175,$A154,Allocation!$D$1:$D$175,$B154))</f>
        <v/>
      </c>
      <c r="N154" t="str">
        <f>IF($A154="","",SUMIFS(Allocation!$K$1:$K$175,Allocation!$C$1:$C$175,$A154,Allocation!$D$1:$D$175,$B154))</f>
        <v/>
      </c>
      <c r="O154" t="str">
        <f t="shared" si="21"/>
        <v/>
      </c>
      <c r="P154" t="str">
        <f t="shared" si="22"/>
        <v/>
      </c>
      <c r="Q154" t="str">
        <f>IF($A154="","",SUMIFS(Allocation!$I$1:$I$175,Allocation!$C$1:$C$175,$A154,Allocation!$E$1:$E$175,$C154))</f>
        <v/>
      </c>
      <c r="R154" t="str">
        <f>IF($A154="","",SUMIFS(Allocation!$J$1:$J$175,Allocation!$C$1:$C$175,$A154,Allocation!$E$1:$E$175,$C154))</f>
        <v/>
      </c>
      <c r="S154" t="str">
        <f>IF($A154="","",SUMIFS(Allocation!$K$1:$K$175,Allocation!$C$1:$C$175,$A154,Allocation!$E$1:$E$175,$C154))</f>
        <v/>
      </c>
      <c r="T154" t="str">
        <f>IF($A154="","",SUMIFS(Allocation!$I$1:$I$175,Allocation!$C$1:$C$175,$A154))</f>
        <v/>
      </c>
      <c r="U154" t="str">
        <f>IF($A154="","",SUMIFS(Allocation!$J$1:$J$175,Allocation!$C$1:$C$175,$A154))</f>
        <v/>
      </c>
      <c r="V154" t="str">
        <f>IF($A154="","",SUMIFS(Allocation!$K$1:$K$175,Allocation!$C$1:$C$175,$A154))</f>
        <v/>
      </c>
      <c r="W154" t="str">
        <f>IF($A154="","",SUMIFS(Compta!$F$1:$F$675,Compta!$A$1:$A$675,$B154,Compta!$B$1:$B$675,"621",Compta!$C$1:$C$675,$A154))</f>
        <v/>
      </c>
      <c r="X154" t="str">
        <f>IF($A154="","",SUMIFS(Compta!$F$1:$F$675,Compta!$A$1:$A$675,$B154,Compta!$B$1:$B$675,"6411",Compta!$C$1:$C$675,$A154))</f>
        <v/>
      </c>
      <c r="Y154" t="str">
        <f>IF($A154="","",SUMIFS(Compta!$F$1:$F$675,Compta!$A$1:$A$675,$B154,Compta!$B$1:$B$675,"604",Compta!$C$1:$C$675,$A154)+SUMIFS(Compta!$F$1:$F$675,Compta!$A$1:$A$675,$B154,Compta!$B$1:$B$675,"6063",Compta!$C$1:$C$675,$A154))</f>
        <v/>
      </c>
      <c r="Z154" t="str">
        <f>IF($A154="","",SUMIFS(Compta!$F$1:$F$675,Compta!$A$1:$A$675,$B154,Compta!$B$1:$B$675,"6231",Compta!$C$1:$C$675,$A154))</f>
        <v/>
      </c>
      <c r="AA154" t="str">
        <f>IF($A154="","",SUMIFS(Compta!$F$1:$F$675,Compta!$A$1:$A$675,$B154,Compta!$B$1:$B$675,"6413",Compta!$C$1:$C$675,$A154)+SUMIFS(Compta!$F$1:$F$675,Compta!$A$1:$A$675,$B154,Compta!$B$1:$B$675,"645",Compta!$C$1:$C$675,$A154)+SUMIFS(Compta!$F$1:$F$675,Compta!$A$1:$A$675,$B154,Compta!$B$1:$B$675,"613",Compta!$C$1:$C$675,$A154)+SUMIFS(Compta!$F$1:$F$675,Compta!$A$1:$A$675,$B154,Compta!$B$1:$B$675,"615",Compta!$C$1:$C$675,$A154)+SUMIFS(Compta!$F$1:$F$675,Compta!$A$1:$A$675,$B154,Compta!$B$1:$B$675,"616",Compta!$C$1:$C$675,$A154)+SUMIFS(Compta!$F$1:$F$675,Compta!$A$1:$A$675,$B154,Compta!$B$1:$B$675,"625",Compta!$C$1:$C$675,$A154)+SUMIFS(Compta!$F$1:$F$675,Compta!$A$1:$A$675,$B154,Compta!$B$1:$B$675,"63511",Compta!$C$1:$C$675,$A154))</f>
        <v/>
      </c>
      <c r="AB154" t="str">
        <f>IF($A154="","",SUMIFS(Compta!$F$1:$F$675,Compta!$A$1:$A$675,"GRP",Compta!$B$1:$B$675,"6414",Compta!$C$1:$C$675,$A154)+SUMIFS(Compta!$F$1:$F$675,Compta!$A$1:$A$675,"GRP",Compta!$B$1:$B$675,"6226",Compta!$C$1:$C$675,$A154)+SUMIFS(Compta!$F$1:$F$675,Compta!$A$1:$A$675,"GRP",Compta!$B$1:$B$675,"626",Compta!$C$1:$C$675,$A154)+SUMIFS(Compta!$F$1:$F$675,Compta!$A$1:$A$675,"GRP",Compta!$B$1:$B$675,"6281",Compta!$C$1:$C$675,$A154)+SUMIFS(Compta!$F$1:$F$675,Compta!$A$1:$A$675,"GRP",Compta!$B$1:$B$675,"6331",Compta!$C$1:$C$675,$A154)+SUMIFS(Compta!$F$1:$F$675,Compta!$A$1:$A$675,"GRP",Compta!$B$1:$B$675,"6333",Compta!$C$1:$C$675,$A154))</f>
        <v/>
      </c>
      <c r="AC154" t="s">
        <v>297</v>
      </c>
      <c r="AD154" t="s">
        <v>297</v>
      </c>
      <c r="AE154" t="s">
        <v>297</v>
      </c>
      <c r="AF154" t="s">
        <v>297</v>
      </c>
      <c r="AG154" t="s">
        <v>297</v>
      </c>
      <c r="AH154" t="s">
        <v>297</v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 t="str">
        <f>IF($A154="","",SUMIFS(Compta!$F$1:$F$675,Compta!$A$1:$A$675,"GRP",Compta!$B$1:$B$675,"6236",Compta!$C$1:$C$675,$A154))</f>
        <v/>
      </c>
      <c r="AP154" t="s">
        <v>297</v>
      </c>
      <c r="AQ154" t="s">
        <v>297</v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IF(Allocation!D155="","",Allocation!I155)</f>
        <v/>
      </c>
      <c r="H155" t="str">
        <f>IF(Allocation!D155="","",Allocation!J155)</f>
        <v/>
      </c>
      <c r="I155" t="str">
        <f>IF(Allocation!D155="","",Allocation!K155)</f>
        <v/>
      </c>
      <c r="J155" t="str">
        <f>IF($A155="","",SUMIFS(Socle!$K$1:$K$175,Socle!$C$1:$C$175,$B155,Socle!$D$1:$D$175,$D155,Socle!$E$1:$E$175,$E155,Socle!$F$1:$F$175,$F155,Socle!$G$1:$G$175,$A155))</f>
        <v/>
      </c>
      <c r="K155" t="str">
        <f t="shared" si="20"/>
        <v/>
      </c>
      <c r="L155" t="str">
        <f>IF($A155="","",SUMIFS(Allocation!$I$1:$I$175,Allocation!$C$1:$C$175,$A155,Allocation!$D$1:$D$175,$B155))</f>
        <v/>
      </c>
      <c r="M155" t="str">
        <f>IF($A155="","",SUMIFS(Allocation!$J$1:$J$175,Allocation!$C$1:$C$175,$A155,Allocation!$D$1:$D$175,$B155))</f>
        <v/>
      </c>
      <c r="N155" t="str">
        <f>IF($A155="","",SUMIFS(Allocation!$K$1:$K$175,Allocation!$C$1:$C$175,$A155,Allocation!$D$1:$D$175,$B155))</f>
        <v/>
      </c>
      <c r="O155" t="str">
        <f t="shared" si="21"/>
        <v/>
      </c>
      <c r="P155" t="str">
        <f t="shared" si="22"/>
        <v/>
      </c>
      <c r="Q155" t="str">
        <f>IF($A155="","",SUMIFS(Allocation!$I$1:$I$175,Allocation!$C$1:$C$175,$A155,Allocation!$E$1:$E$175,$C155))</f>
        <v/>
      </c>
      <c r="R155" t="str">
        <f>IF($A155="","",SUMIFS(Allocation!$J$1:$J$175,Allocation!$C$1:$C$175,$A155,Allocation!$E$1:$E$175,$C155))</f>
        <v/>
      </c>
      <c r="S155" t="str">
        <f>IF($A155="","",SUMIFS(Allocation!$K$1:$K$175,Allocation!$C$1:$C$175,$A155,Allocation!$E$1:$E$175,$C155))</f>
        <v/>
      </c>
      <c r="T155" t="str">
        <f>IF($A155="","",SUMIFS(Allocation!$I$1:$I$175,Allocation!$C$1:$C$175,$A155))</f>
        <v/>
      </c>
      <c r="U155" t="str">
        <f>IF($A155="","",SUMIFS(Allocation!$J$1:$J$175,Allocation!$C$1:$C$175,$A155))</f>
        <v/>
      </c>
      <c r="V155" t="str">
        <f>IF($A155="","",SUMIFS(Allocation!$K$1:$K$175,Allocation!$C$1:$C$175,$A155))</f>
        <v/>
      </c>
      <c r="W155" t="str">
        <f>IF($A155="","",SUMIFS(Compta!$F$1:$F$675,Compta!$A$1:$A$675,$B155,Compta!$B$1:$B$675,"621",Compta!$C$1:$C$675,$A155))</f>
        <v/>
      </c>
      <c r="X155" t="str">
        <f>IF($A155="","",SUMIFS(Compta!$F$1:$F$675,Compta!$A$1:$A$675,$B155,Compta!$B$1:$B$675,"6411",Compta!$C$1:$C$675,$A155))</f>
        <v/>
      </c>
      <c r="Y155" t="str">
        <f>IF($A155="","",SUMIFS(Compta!$F$1:$F$675,Compta!$A$1:$A$675,$B155,Compta!$B$1:$B$675,"604",Compta!$C$1:$C$675,$A155)+SUMIFS(Compta!$F$1:$F$675,Compta!$A$1:$A$675,$B155,Compta!$B$1:$B$675,"6063",Compta!$C$1:$C$675,$A155))</f>
        <v/>
      </c>
      <c r="Z155" t="str">
        <f>IF($A155="","",SUMIFS(Compta!$F$1:$F$675,Compta!$A$1:$A$675,$B155,Compta!$B$1:$B$675,"6231",Compta!$C$1:$C$675,$A155))</f>
        <v/>
      </c>
      <c r="AA155" t="str">
        <f>IF($A155="","",SUMIFS(Compta!$F$1:$F$675,Compta!$A$1:$A$675,$B155,Compta!$B$1:$B$675,"6413",Compta!$C$1:$C$675,$A155)+SUMIFS(Compta!$F$1:$F$675,Compta!$A$1:$A$675,$B155,Compta!$B$1:$B$675,"645",Compta!$C$1:$C$675,$A155)+SUMIFS(Compta!$F$1:$F$675,Compta!$A$1:$A$675,$B155,Compta!$B$1:$B$675,"613",Compta!$C$1:$C$675,$A155)+SUMIFS(Compta!$F$1:$F$675,Compta!$A$1:$A$675,$B155,Compta!$B$1:$B$675,"615",Compta!$C$1:$C$675,$A155)+SUMIFS(Compta!$F$1:$F$675,Compta!$A$1:$A$675,$B155,Compta!$B$1:$B$675,"616",Compta!$C$1:$C$675,$A155)+SUMIFS(Compta!$F$1:$F$675,Compta!$A$1:$A$675,$B155,Compta!$B$1:$B$675,"625",Compta!$C$1:$C$675,$A155)+SUMIFS(Compta!$F$1:$F$675,Compta!$A$1:$A$675,$B155,Compta!$B$1:$B$675,"63511",Compta!$C$1:$C$675,$A155))</f>
        <v/>
      </c>
      <c r="AB155" t="str">
        <f>IF($A155="","",SUMIFS(Compta!$F$1:$F$675,Compta!$A$1:$A$675,"GRP",Compta!$B$1:$B$675,"6414",Compta!$C$1:$C$675,$A155)+SUMIFS(Compta!$F$1:$F$675,Compta!$A$1:$A$675,"GRP",Compta!$B$1:$B$675,"6226",Compta!$C$1:$C$675,$A155)+SUMIFS(Compta!$F$1:$F$675,Compta!$A$1:$A$675,"GRP",Compta!$B$1:$B$675,"626",Compta!$C$1:$C$675,$A155)+SUMIFS(Compta!$F$1:$F$675,Compta!$A$1:$A$675,"GRP",Compta!$B$1:$B$675,"6281",Compta!$C$1:$C$675,$A155)+SUMIFS(Compta!$F$1:$F$675,Compta!$A$1:$A$675,"GRP",Compta!$B$1:$B$675,"6331",Compta!$C$1:$C$675,$A155)+SUMIFS(Compta!$F$1:$F$675,Compta!$A$1:$A$675,"GRP",Compta!$B$1:$B$675,"6333",Compta!$C$1:$C$675,$A155))</f>
        <v/>
      </c>
      <c r="AC155" t="s">
        <v>297</v>
      </c>
      <c r="AD155" t="s">
        <v>297</v>
      </c>
      <c r="AE155" t="s">
        <v>297</v>
      </c>
      <c r="AF155" t="s">
        <v>297</v>
      </c>
      <c r="AG155" t="s">
        <v>297</v>
      </c>
      <c r="AH155" t="s">
        <v>297</v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 t="str">
        <f>IF($A155="","",SUMIFS(Compta!$F$1:$F$675,Compta!$A$1:$A$675,"GRP",Compta!$B$1:$B$675,"6236",Compta!$C$1:$C$675,$A155))</f>
        <v/>
      </c>
      <c r="AP155" t="s">
        <v>297</v>
      </c>
      <c r="AQ155" t="s">
        <v>297</v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IF(Allocation!D156="","",Allocation!I156)</f>
        <v/>
      </c>
      <c r="H156" t="str">
        <f>IF(Allocation!D156="","",Allocation!J156)</f>
        <v/>
      </c>
      <c r="I156" t="str">
        <f>IF(Allocation!D156="","",Allocation!K156)</f>
        <v/>
      </c>
      <c r="J156" t="str">
        <f>IF($A156="","",SUMIFS(Socle!$K$1:$K$175,Socle!$C$1:$C$175,$B156,Socle!$D$1:$D$175,$D156,Socle!$E$1:$E$175,$E156,Socle!$F$1:$F$175,$F156,Socle!$G$1:$G$175,$A156))</f>
        <v/>
      </c>
      <c r="K156" t="str">
        <f t="shared" si="20"/>
        <v/>
      </c>
      <c r="L156" t="str">
        <f>IF($A156="","",SUMIFS(Allocation!$I$1:$I$175,Allocation!$C$1:$C$175,$A156,Allocation!$D$1:$D$175,$B156))</f>
        <v/>
      </c>
      <c r="M156" t="str">
        <f>IF($A156="","",SUMIFS(Allocation!$J$1:$J$175,Allocation!$C$1:$C$175,$A156,Allocation!$D$1:$D$175,$B156))</f>
        <v/>
      </c>
      <c r="N156" t="str">
        <f>IF($A156="","",SUMIFS(Allocation!$K$1:$K$175,Allocation!$C$1:$C$175,$A156,Allocation!$D$1:$D$175,$B156))</f>
        <v/>
      </c>
      <c r="O156" t="str">
        <f t="shared" si="21"/>
        <v/>
      </c>
      <c r="P156" t="str">
        <f t="shared" si="22"/>
        <v/>
      </c>
      <c r="Q156" t="str">
        <f>IF($A156="","",SUMIFS(Allocation!$I$1:$I$175,Allocation!$C$1:$C$175,$A156,Allocation!$E$1:$E$175,$C156))</f>
        <v/>
      </c>
      <c r="R156" t="str">
        <f>IF($A156="","",SUMIFS(Allocation!$J$1:$J$175,Allocation!$C$1:$C$175,$A156,Allocation!$E$1:$E$175,$C156))</f>
        <v/>
      </c>
      <c r="S156" t="str">
        <f>IF($A156="","",SUMIFS(Allocation!$K$1:$K$175,Allocation!$C$1:$C$175,$A156,Allocation!$E$1:$E$175,$C156))</f>
        <v/>
      </c>
      <c r="T156" t="str">
        <f>IF($A156="","",SUMIFS(Allocation!$I$1:$I$175,Allocation!$C$1:$C$175,$A156))</f>
        <v/>
      </c>
      <c r="U156" t="str">
        <f>IF($A156="","",SUMIFS(Allocation!$J$1:$J$175,Allocation!$C$1:$C$175,$A156))</f>
        <v/>
      </c>
      <c r="V156" t="str">
        <f>IF($A156="","",SUMIFS(Allocation!$K$1:$K$175,Allocation!$C$1:$C$175,$A156))</f>
        <v/>
      </c>
      <c r="W156" t="str">
        <f>IF($A156="","",SUMIFS(Compta!$F$1:$F$675,Compta!$A$1:$A$675,$B156,Compta!$B$1:$B$675,"621",Compta!$C$1:$C$675,$A156))</f>
        <v/>
      </c>
      <c r="X156" t="str">
        <f>IF($A156="","",SUMIFS(Compta!$F$1:$F$675,Compta!$A$1:$A$675,$B156,Compta!$B$1:$B$675,"6411",Compta!$C$1:$C$675,$A156))</f>
        <v/>
      </c>
      <c r="Y156" t="str">
        <f>IF($A156="","",SUMIFS(Compta!$F$1:$F$675,Compta!$A$1:$A$675,$B156,Compta!$B$1:$B$675,"604",Compta!$C$1:$C$675,$A156)+SUMIFS(Compta!$F$1:$F$675,Compta!$A$1:$A$675,$B156,Compta!$B$1:$B$675,"6063",Compta!$C$1:$C$675,$A156))</f>
        <v/>
      </c>
      <c r="Z156" t="str">
        <f>IF($A156="","",SUMIFS(Compta!$F$1:$F$675,Compta!$A$1:$A$675,$B156,Compta!$B$1:$B$675,"6231",Compta!$C$1:$C$675,$A156))</f>
        <v/>
      </c>
      <c r="AA156" t="str">
        <f>IF($A156="","",SUMIFS(Compta!$F$1:$F$675,Compta!$A$1:$A$675,$B156,Compta!$B$1:$B$675,"6413",Compta!$C$1:$C$675,$A156)+SUMIFS(Compta!$F$1:$F$675,Compta!$A$1:$A$675,$B156,Compta!$B$1:$B$675,"645",Compta!$C$1:$C$675,$A156)+SUMIFS(Compta!$F$1:$F$675,Compta!$A$1:$A$675,$B156,Compta!$B$1:$B$675,"613",Compta!$C$1:$C$675,$A156)+SUMIFS(Compta!$F$1:$F$675,Compta!$A$1:$A$675,$B156,Compta!$B$1:$B$675,"615",Compta!$C$1:$C$675,$A156)+SUMIFS(Compta!$F$1:$F$675,Compta!$A$1:$A$675,$B156,Compta!$B$1:$B$675,"616",Compta!$C$1:$C$675,$A156)+SUMIFS(Compta!$F$1:$F$675,Compta!$A$1:$A$675,$B156,Compta!$B$1:$B$675,"625",Compta!$C$1:$C$675,$A156)+SUMIFS(Compta!$F$1:$F$675,Compta!$A$1:$A$675,$B156,Compta!$B$1:$B$675,"63511",Compta!$C$1:$C$675,$A156))</f>
        <v/>
      </c>
      <c r="AB156" t="str">
        <f>IF($A156="","",SUMIFS(Compta!$F$1:$F$675,Compta!$A$1:$A$675,"GRP",Compta!$B$1:$B$675,"6414",Compta!$C$1:$C$675,$A156)+SUMIFS(Compta!$F$1:$F$675,Compta!$A$1:$A$675,"GRP",Compta!$B$1:$B$675,"6226",Compta!$C$1:$C$675,$A156)+SUMIFS(Compta!$F$1:$F$675,Compta!$A$1:$A$675,"GRP",Compta!$B$1:$B$675,"626",Compta!$C$1:$C$675,$A156)+SUMIFS(Compta!$F$1:$F$675,Compta!$A$1:$A$675,"GRP",Compta!$B$1:$B$675,"6281",Compta!$C$1:$C$675,$A156)+SUMIFS(Compta!$F$1:$F$675,Compta!$A$1:$A$675,"GRP",Compta!$B$1:$B$675,"6331",Compta!$C$1:$C$675,$A156)+SUMIFS(Compta!$F$1:$F$675,Compta!$A$1:$A$675,"GRP",Compta!$B$1:$B$675,"6333",Compta!$C$1:$C$675,$A156))</f>
        <v/>
      </c>
      <c r="AC156" t="s">
        <v>297</v>
      </c>
      <c r="AD156" t="s">
        <v>297</v>
      </c>
      <c r="AE156" t="s">
        <v>297</v>
      </c>
      <c r="AF156" t="s">
        <v>297</v>
      </c>
      <c r="AG156" t="s">
        <v>297</v>
      </c>
      <c r="AH156" t="s">
        <v>297</v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 t="str">
        <f>IF($A156="","",SUMIFS(Compta!$F$1:$F$675,Compta!$A$1:$A$675,"GRP",Compta!$B$1:$B$675,"6236",Compta!$C$1:$C$675,$A156))</f>
        <v/>
      </c>
      <c r="AP156" t="s">
        <v>297</v>
      </c>
      <c r="AQ156" t="s">
        <v>297</v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IF(Allocation!D157="","",Allocation!I157)</f>
        <v/>
      </c>
      <c r="H157" t="str">
        <f>IF(Allocation!D157="","",Allocation!J157)</f>
        <v/>
      </c>
      <c r="I157" t="str">
        <f>IF(Allocation!D157="","",Allocation!K157)</f>
        <v/>
      </c>
      <c r="J157" t="str">
        <f>IF($A157="","",SUMIFS(Socle!$K$1:$K$175,Socle!$C$1:$C$175,$B157,Socle!$D$1:$D$175,$D157,Socle!$E$1:$E$175,$E157,Socle!$F$1:$F$175,$F157,Socle!$G$1:$G$175,$A157))</f>
        <v/>
      </c>
      <c r="K157" t="str">
        <f t="shared" si="20"/>
        <v/>
      </c>
      <c r="L157" t="str">
        <f>IF($A157="","",SUMIFS(Allocation!$I$1:$I$175,Allocation!$C$1:$C$175,$A157,Allocation!$D$1:$D$175,$B157))</f>
        <v/>
      </c>
      <c r="M157" t="str">
        <f>IF($A157="","",SUMIFS(Allocation!$J$1:$J$175,Allocation!$C$1:$C$175,$A157,Allocation!$D$1:$D$175,$B157))</f>
        <v/>
      </c>
      <c r="N157" t="str">
        <f>IF($A157="","",SUMIFS(Allocation!$K$1:$K$175,Allocation!$C$1:$C$175,$A157,Allocation!$D$1:$D$175,$B157))</f>
        <v/>
      </c>
      <c r="O157" t="str">
        <f t="shared" si="21"/>
        <v/>
      </c>
      <c r="P157" t="str">
        <f t="shared" si="22"/>
        <v/>
      </c>
      <c r="Q157" t="str">
        <f>IF($A157="","",SUMIFS(Allocation!$I$1:$I$175,Allocation!$C$1:$C$175,$A157,Allocation!$E$1:$E$175,$C157))</f>
        <v/>
      </c>
      <c r="R157" t="str">
        <f>IF($A157="","",SUMIFS(Allocation!$J$1:$J$175,Allocation!$C$1:$C$175,$A157,Allocation!$E$1:$E$175,$C157))</f>
        <v/>
      </c>
      <c r="S157" t="str">
        <f>IF($A157="","",SUMIFS(Allocation!$K$1:$K$175,Allocation!$C$1:$C$175,$A157,Allocation!$E$1:$E$175,$C157))</f>
        <v/>
      </c>
      <c r="T157" t="str">
        <f>IF($A157="","",SUMIFS(Allocation!$I$1:$I$175,Allocation!$C$1:$C$175,$A157))</f>
        <v/>
      </c>
      <c r="U157" t="str">
        <f>IF($A157="","",SUMIFS(Allocation!$J$1:$J$175,Allocation!$C$1:$C$175,$A157))</f>
        <v/>
      </c>
      <c r="V157" t="str">
        <f>IF($A157="","",SUMIFS(Allocation!$K$1:$K$175,Allocation!$C$1:$C$175,$A157))</f>
        <v/>
      </c>
      <c r="W157" t="str">
        <f>IF($A157="","",SUMIFS(Compta!$F$1:$F$675,Compta!$A$1:$A$675,$B157,Compta!$B$1:$B$675,"621",Compta!$C$1:$C$675,$A157))</f>
        <v/>
      </c>
      <c r="X157" t="str">
        <f>IF($A157="","",SUMIFS(Compta!$F$1:$F$675,Compta!$A$1:$A$675,$B157,Compta!$B$1:$B$675,"6411",Compta!$C$1:$C$675,$A157))</f>
        <v/>
      </c>
      <c r="Y157" t="str">
        <f>IF($A157="","",SUMIFS(Compta!$F$1:$F$675,Compta!$A$1:$A$675,$B157,Compta!$B$1:$B$675,"604",Compta!$C$1:$C$675,$A157)+SUMIFS(Compta!$F$1:$F$675,Compta!$A$1:$A$675,$B157,Compta!$B$1:$B$675,"6063",Compta!$C$1:$C$675,$A157))</f>
        <v/>
      </c>
      <c r="Z157" t="str">
        <f>IF($A157="","",SUMIFS(Compta!$F$1:$F$675,Compta!$A$1:$A$675,$B157,Compta!$B$1:$B$675,"6231",Compta!$C$1:$C$675,$A157))</f>
        <v/>
      </c>
      <c r="AA157" t="str">
        <f>IF($A157="","",SUMIFS(Compta!$F$1:$F$675,Compta!$A$1:$A$675,$B157,Compta!$B$1:$B$675,"6413",Compta!$C$1:$C$675,$A157)+SUMIFS(Compta!$F$1:$F$675,Compta!$A$1:$A$675,$B157,Compta!$B$1:$B$675,"645",Compta!$C$1:$C$675,$A157)+SUMIFS(Compta!$F$1:$F$675,Compta!$A$1:$A$675,$B157,Compta!$B$1:$B$675,"613",Compta!$C$1:$C$675,$A157)+SUMIFS(Compta!$F$1:$F$675,Compta!$A$1:$A$675,$B157,Compta!$B$1:$B$675,"615",Compta!$C$1:$C$675,$A157)+SUMIFS(Compta!$F$1:$F$675,Compta!$A$1:$A$675,$B157,Compta!$B$1:$B$675,"616",Compta!$C$1:$C$675,$A157)+SUMIFS(Compta!$F$1:$F$675,Compta!$A$1:$A$675,$B157,Compta!$B$1:$B$675,"625",Compta!$C$1:$C$675,$A157)+SUMIFS(Compta!$F$1:$F$675,Compta!$A$1:$A$675,$B157,Compta!$B$1:$B$675,"63511",Compta!$C$1:$C$675,$A157))</f>
        <v/>
      </c>
      <c r="AB157" t="str">
        <f>IF($A157="","",SUMIFS(Compta!$F$1:$F$675,Compta!$A$1:$A$675,"GRP",Compta!$B$1:$B$675,"6414",Compta!$C$1:$C$675,$A157)+SUMIFS(Compta!$F$1:$F$675,Compta!$A$1:$A$675,"GRP",Compta!$B$1:$B$675,"6226",Compta!$C$1:$C$675,$A157)+SUMIFS(Compta!$F$1:$F$675,Compta!$A$1:$A$675,"GRP",Compta!$B$1:$B$675,"626",Compta!$C$1:$C$675,$A157)+SUMIFS(Compta!$F$1:$F$675,Compta!$A$1:$A$675,"GRP",Compta!$B$1:$B$675,"6281",Compta!$C$1:$C$675,$A157)+SUMIFS(Compta!$F$1:$F$675,Compta!$A$1:$A$675,"GRP",Compta!$B$1:$B$675,"6331",Compta!$C$1:$C$675,$A157)+SUMIFS(Compta!$F$1:$F$675,Compta!$A$1:$A$675,"GRP",Compta!$B$1:$B$675,"6333",Compta!$C$1:$C$675,$A157))</f>
        <v/>
      </c>
      <c r="AC157" t="s">
        <v>297</v>
      </c>
      <c r="AD157" t="s">
        <v>297</v>
      </c>
      <c r="AE157" t="s">
        <v>297</v>
      </c>
      <c r="AF157" t="s">
        <v>297</v>
      </c>
      <c r="AG157" t="s">
        <v>297</v>
      </c>
      <c r="AH157" t="s">
        <v>297</v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 t="str">
        <f>IF($A157="","",SUMIFS(Compta!$F$1:$F$675,Compta!$A$1:$A$675,"GRP",Compta!$B$1:$B$675,"6236",Compta!$C$1:$C$675,$A157))</f>
        <v/>
      </c>
      <c r="AP157" t="s">
        <v>297</v>
      </c>
      <c r="AQ157" t="s">
        <v>297</v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IF(Allocation!D158="","",Allocation!I158)</f>
        <v/>
      </c>
      <c r="H158" t="str">
        <f>IF(Allocation!D158="","",Allocation!J158)</f>
        <v/>
      </c>
      <c r="I158" t="str">
        <f>IF(Allocation!D158="","",Allocation!K158)</f>
        <v/>
      </c>
      <c r="J158" t="str">
        <f>IF($A158="","",SUMIFS(Socle!$K$1:$K$175,Socle!$C$1:$C$175,$B158,Socle!$D$1:$D$175,$D158,Socle!$E$1:$E$175,$E158,Socle!$F$1:$F$175,$F158,Socle!$G$1:$G$175,$A158))</f>
        <v/>
      </c>
      <c r="K158" t="str">
        <f t="shared" si="20"/>
        <v/>
      </c>
      <c r="L158" t="str">
        <f>IF($A158="","",SUMIFS(Allocation!$I$1:$I$175,Allocation!$C$1:$C$175,$A158,Allocation!$D$1:$D$175,$B158))</f>
        <v/>
      </c>
      <c r="M158" t="str">
        <f>IF($A158="","",SUMIFS(Allocation!$J$1:$J$175,Allocation!$C$1:$C$175,$A158,Allocation!$D$1:$D$175,$B158))</f>
        <v/>
      </c>
      <c r="N158" t="str">
        <f>IF($A158="","",SUMIFS(Allocation!$K$1:$K$175,Allocation!$C$1:$C$175,$A158,Allocation!$D$1:$D$175,$B158))</f>
        <v/>
      </c>
      <c r="O158" t="str">
        <f t="shared" si="21"/>
        <v/>
      </c>
      <c r="P158" t="str">
        <f t="shared" si="22"/>
        <v/>
      </c>
      <c r="Q158" t="str">
        <f>IF($A158="","",SUMIFS(Allocation!$I$1:$I$175,Allocation!$C$1:$C$175,$A158,Allocation!$E$1:$E$175,$C158))</f>
        <v/>
      </c>
      <c r="R158" t="str">
        <f>IF($A158="","",SUMIFS(Allocation!$J$1:$J$175,Allocation!$C$1:$C$175,$A158,Allocation!$E$1:$E$175,$C158))</f>
        <v/>
      </c>
      <c r="S158" t="str">
        <f>IF($A158="","",SUMIFS(Allocation!$K$1:$K$175,Allocation!$C$1:$C$175,$A158,Allocation!$E$1:$E$175,$C158))</f>
        <v/>
      </c>
      <c r="T158" t="str">
        <f>IF($A158="","",SUMIFS(Allocation!$I$1:$I$175,Allocation!$C$1:$C$175,$A158))</f>
        <v/>
      </c>
      <c r="U158" t="str">
        <f>IF($A158="","",SUMIFS(Allocation!$J$1:$J$175,Allocation!$C$1:$C$175,$A158))</f>
        <v/>
      </c>
      <c r="V158" t="str">
        <f>IF($A158="","",SUMIFS(Allocation!$K$1:$K$175,Allocation!$C$1:$C$175,$A158))</f>
        <v/>
      </c>
      <c r="W158" t="str">
        <f>IF($A158="","",SUMIFS(Compta!$F$1:$F$675,Compta!$A$1:$A$675,$B158,Compta!$B$1:$B$675,"621",Compta!$C$1:$C$675,$A158))</f>
        <v/>
      </c>
      <c r="X158" t="str">
        <f>IF($A158="","",SUMIFS(Compta!$F$1:$F$675,Compta!$A$1:$A$675,$B158,Compta!$B$1:$B$675,"6411",Compta!$C$1:$C$675,$A158))</f>
        <v/>
      </c>
      <c r="Y158" t="str">
        <f>IF($A158="","",SUMIFS(Compta!$F$1:$F$675,Compta!$A$1:$A$675,$B158,Compta!$B$1:$B$675,"604",Compta!$C$1:$C$675,$A158)+SUMIFS(Compta!$F$1:$F$675,Compta!$A$1:$A$675,$B158,Compta!$B$1:$B$675,"6063",Compta!$C$1:$C$675,$A158))</f>
        <v/>
      </c>
      <c r="Z158" t="str">
        <f>IF($A158="","",SUMIFS(Compta!$F$1:$F$675,Compta!$A$1:$A$675,$B158,Compta!$B$1:$B$675,"6231",Compta!$C$1:$C$675,$A158))</f>
        <v/>
      </c>
      <c r="AA158" t="str">
        <f>IF($A158="","",SUMIFS(Compta!$F$1:$F$675,Compta!$A$1:$A$675,$B158,Compta!$B$1:$B$675,"6413",Compta!$C$1:$C$675,$A158)+SUMIFS(Compta!$F$1:$F$675,Compta!$A$1:$A$675,$B158,Compta!$B$1:$B$675,"645",Compta!$C$1:$C$675,$A158)+SUMIFS(Compta!$F$1:$F$675,Compta!$A$1:$A$675,$B158,Compta!$B$1:$B$675,"613",Compta!$C$1:$C$675,$A158)+SUMIFS(Compta!$F$1:$F$675,Compta!$A$1:$A$675,$B158,Compta!$B$1:$B$675,"615",Compta!$C$1:$C$675,$A158)+SUMIFS(Compta!$F$1:$F$675,Compta!$A$1:$A$675,$B158,Compta!$B$1:$B$675,"616",Compta!$C$1:$C$675,$A158)+SUMIFS(Compta!$F$1:$F$675,Compta!$A$1:$A$675,$B158,Compta!$B$1:$B$675,"625",Compta!$C$1:$C$675,$A158)+SUMIFS(Compta!$F$1:$F$675,Compta!$A$1:$A$675,$B158,Compta!$B$1:$B$675,"63511",Compta!$C$1:$C$675,$A158))</f>
        <v/>
      </c>
      <c r="AB158" t="str">
        <f>IF($A158="","",SUMIFS(Compta!$F$1:$F$675,Compta!$A$1:$A$675,"GRP",Compta!$B$1:$B$675,"6414",Compta!$C$1:$C$675,$A158)+SUMIFS(Compta!$F$1:$F$675,Compta!$A$1:$A$675,"GRP",Compta!$B$1:$B$675,"6226",Compta!$C$1:$C$675,$A158)+SUMIFS(Compta!$F$1:$F$675,Compta!$A$1:$A$675,"GRP",Compta!$B$1:$B$675,"626",Compta!$C$1:$C$675,$A158)+SUMIFS(Compta!$F$1:$F$675,Compta!$A$1:$A$675,"GRP",Compta!$B$1:$B$675,"6281",Compta!$C$1:$C$675,$A158)+SUMIFS(Compta!$F$1:$F$675,Compta!$A$1:$A$675,"GRP",Compta!$B$1:$B$675,"6331",Compta!$C$1:$C$675,$A158)+SUMIFS(Compta!$F$1:$F$675,Compta!$A$1:$A$675,"GRP",Compta!$B$1:$B$675,"6333",Compta!$C$1:$C$675,$A158))</f>
        <v/>
      </c>
      <c r="AC158" t="s">
        <v>297</v>
      </c>
      <c r="AD158" t="s">
        <v>297</v>
      </c>
      <c r="AE158" t="s">
        <v>297</v>
      </c>
      <c r="AF158" t="s">
        <v>297</v>
      </c>
      <c r="AG158" t="s">
        <v>297</v>
      </c>
      <c r="AH158" t="s">
        <v>297</v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 t="str">
        <f>IF($A158="","",SUMIFS(Compta!$F$1:$F$675,Compta!$A$1:$A$675,"GRP",Compta!$B$1:$B$675,"6236",Compta!$C$1:$C$675,$A158))</f>
        <v/>
      </c>
      <c r="AP158" t="s">
        <v>297</v>
      </c>
      <c r="AQ158" t="s">
        <v>297</v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IF(Allocation!D159="","",Allocation!I159)</f>
        <v/>
      </c>
      <c r="H159" t="str">
        <f>IF(Allocation!D159="","",Allocation!J159)</f>
        <v/>
      </c>
      <c r="I159" t="str">
        <f>IF(Allocation!D159="","",Allocation!K159)</f>
        <v/>
      </c>
      <c r="J159" t="str">
        <f>IF($A159="","",SUMIFS(Socle!$K$1:$K$175,Socle!$C$1:$C$175,$B159,Socle!$D$1:$D$175,$D159,Socle!$E$1:$E$175,$E159,Socle!$F$1:$F$175,$F159,Socle!$G$1:$G$175,$A159))</f>
        <v/>
      </c>
      <c r="K159" t="str">
        <f t="shared" si="20"/>
        <v/>
      </c>
      <c r="L159" t="str">
        <f>IF($A159="","",SUMIFS(Allocation!$I$1:$I$175,Allocation!$C$1:$C$175,$A159,Allocation!$D$1:$D$175,$B159))</f>
        <v/>
      </c>
      <c r="M159" t="str">
        <f>IF($A159="","",SUMIFS(Allocation!$J$1:$J$175,Allocation!$C$1:$C$175,$A159,Allocation!$D$1:$D$175,$B159))</f>
        <v/>
      </c>
      <c r="N159" t="str">
        <f>IF($A159="","",SUMIFS(Allocation!$K$1:$K$175,Allocation!$C$1:$C$175,$A159,Allocation!$D$1:$D$175,$B159))</f>
        <v/>
      </c>
      <c r="O159" t="str">
        <f t="shared" si="21"/>
        <v/>
      </c>
      <c r="P159" t="str">
        <f t="shared" si="22"/>
        <v/>
      </c>
      <c r="Q159" t="str">
        <f>IF($A159="","",SUMIFS(Allocation!$I$1:$I$175,Allocation!$C$1:$C$175,$A159,Allocation!$E$1:$E$175,$C159))</f>
        <v/>
      </c>
      <c r="R159" t="str">
        <f>IF($A159="","",SUMIFS(Allocation!$J$1:$J$175,Allocation!$C$1:$C$175,$A159,Allocation!$E$1:$E$175,$C159))</f>
        <v/>
      </c>
      <c r="S159" t="str">
        <f>IF($A159="","",SUMIFS(Allocation!$K$1:$K$175,Allocation!$C$1:$C$175,$A159,Allocation!$E$1:$E$175,$C159))</f>
        <v/>
      </c>
      <c r="T159" t="str">
        <f>IF($A159="","",SUMIFS(Allocation!$I$1:$I$175,Allocation!$C$1:$C$175,$A159))</f>
        <v/>
      </c>
      <c r="U159" t="str">
        <f>IF($A159="","",SUMIFS(Allocation!$J$1:$J$175,Allocation!$C$1:$C$175,$A159))</f>
        <v/>
      </c>
      <c r="V159" t="str">
        <f>IF($A159="","",SUMIFS(Allocation!$K$1:$K$175,Allocation!$C$1:$C$175,$A159))</f>
        <v/>
      </c>
      <c r="W159" t="str">
        <f>IF($A159="","",SUMIFS(Compta!$F$1:$F$675,Compta!$A$1:$A$675,$B159,Compta!$B$1:$B$675,"621",Compta!$C$1:$C$675,$A159))</f>
        <v/>
      </c>
      <c r="X159" t="str">
        <f>IF($A159="","",SUMIFS(Compta!$F$1:$F$675,Compta!$A$1:$A$675,$B159,Compta!$B$1:$B$675,"6411",Compta!$C$1:$C$675,$A159))</f>
        <v/>
      </c>
      <c r="Y159" t="str">
        <f>IF($A159="","",SUMIFS(Compta!$F$1:$F$675,Compta!$A$1:$A$675,$B159,Compta!$B$1:$B$675,"604",Compta!$C$1:$C$675,$A159)+SUMIFS(Compta!$F$1:$F$675,Compta!$A$1:$A$675,$B159,Compta!$B$1:$B$675,"6063",Compta!$C$1:$C$675,$A159))</f>
        <v/>
      </c>
      <c r="Z159" t="str">
        <f>IF($A159="","",SUMIFS(Compta!$F$1:$F$675,Compta!$A$1:$A$675,$B159,Compta!$B$1:$B$675,"6231",Compta!$C$1:$C$675,$A159))</f>
        <v/>
      </c>
      <c r="AA159" t="str">
        <f>IF($A159="","",SUMIFS(Compta!$F$1:$F$675,Compta!$A$1:$A$675,$B159,Compta!$B$1:$B$675,"6413",Compta!$C$1:$C$675,$A159)+SUMIFS(Compta!$F$1:$F$675,Compta!$A$1:$A$675,$B159,Compta!$B$1:$B$675,"645",Compta!$C$1:$C$675,$A159)+SUMIFS(Compta!$F$1:$F$675,Compta!$A$1:$A$675,$B159,Compta!$B$1:$B$675,"613",Compta!$C$1:$C$675,$A159)+SUMIFS(Compta!$F$1:$F$675,Compta!$A$1:$A$675,$B159,Compta!$B$1:$B$675,"615",Compta!$C$1:$C$675,$A159)+SUMIFS(Compta!$F$1:$F$675,Compta!$A$1:$A$675,$B159,Compta!$B$1:$B$675,"616",Compta!$C$1:$C$675,$A159)+SUMIFS(Compta!$F$1:$F$675,Compta!$A$1:$A$675,$B159,Compta!$B$1:$B$675,"625",Compta!$C$1:$C$675,$A159)+SUMIFS(Compta!$F$1:$F$675,Compta!$A$1:$A$675,$B159,Compta!$B$1:$B$675,"63511",Compta!$C$1:$C$675,$A159))</f>
        <v/>
      </c>
      <c r="AB159" t="str">
        <f>IF($A159="","",SUMIFS(Compta!$F$1:$F$675,Compta!$A$1:$A$675,"GRP",Compta!$B$1:$B$675,"6414",Compta!$C$1:$C$675,$A159)+SUMIFS(Compta!$F$1:$F$675,Compta!$A$1:$A$675,"GRP",Compta!$B$1:$B$675,"6226",Compta!$C$1:$C$675,$A159)+SUMIFS(Compta!$F$1:$F$675,Compta!$A$1:$A$675,"GRP",Compta!$B$1:$B$675,"626",Compta!$C$1:$C$675,$A159)+SUMIFS(Compta!$F$1:$F$675,Compta!$A$1:$A$675,"GRP",Compta!$B$1:$B$675,"6281",Compta!$C$1:$C$675,$A159)+SUMIFS(Compta!$F$1:$F$675,Compta!$A$1:$A$675,"GRP",Compta!$B$1:$B$675,"6331",Compta!$C$1:$C$675,$A159)+SUMIFS(Compta!$F$1:$F$675,Compta!$A$1:$A$675,"GRP",Compta!$B$1:$B$675,"6333",Compta!$C$1:$C$675,$A159))</f>
        <v/>
      </c>
      <c r="AC159" t="s">
        <v>297</v>
      </c>
      <c r="AD159" t="s">
        <v>297</v>
      </c>
      <c r="AE159" t="s">
        <v>297</v>
      </c>
      <c r="AF159" t="s">
        <v>297</v>
      </c>
      <c r="AG159" t="s">
        <v>297</v>
      </c>
      <c r="AH159" t="s">
        <v>297</v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 t="str">
        <f>IF($A159="","",SUMIFS(Compta!$F$1:$F$675,Compta!$A$1:$A$675,"GRP",Compta!$B$1:$B$675,"6236",Compta!$C$1:$C$675,$A159))</f>
        <v/>
      </c>
      <c r="AP159" t="s">
        <v>297</v>
      </c>
      <c r="AQ159" t="s">
        <v>297</v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IF(Allocation!D160="","",Allocation!I160)</f>
        <v/>
      </c>
      <c r="H160" t="str">
        <f>IF(Allocation!D160="","",Allocation!J160)</f>
        <v/>
      </c>
      <c r="I160" t="str">
        <f>IF(Allocation!D160="","",Allocation!K160)</f>
        <v/>
      </c>
      <c r="J160" t="str">
        <f>IF($A160="","",SUMIFS(Socle!$K$1:$K$175,Socle!$C$1:$C$175,$B160,Socle!$D$1:$D$175,$D160,Socle!$E$1:$E$175,$E160,Socle!$F$1:$F$175,$F160,Socle!$G$1:$G$175,$A160))</f>
        <v/>
      </c>
      <c r="K160" t="str">
        <f t="shared" si="20"/>
        <v/>
      </c>
      <c r="L160" t="str">
        <f>IF($A160="","",SUMIFS(Allocation!$I$1:$I$175,Allocation!$C$1:$C$175,$A160,Allocation!$D$1:$D$175,$B160))</f>
        <v/>
      </c>
      <c r="M160" t="str">
        <f>IF($A160="","",SUMIFS(Allocation!$J$1:$J$175,Allocation!$C$1:$C$175,$A160,Allocation!$D$1:$D$175,$B160))</f>
        <v/>
      </c>
      <c r="N160" t="str">
        <f>IF($A160="","",SUMIFS(Allocation!$K$1:$K$175,Allocation!$C$1:$C$175,$A160,Allocation!$D$1:$D$175,$B160))</f>
        <v/>
      </c>
      <c r="O160" t="str">
        <f t="shared" si="21"/>
        <v/>
      </c>
      <c r="P160" t="str">
        <f t="shared" si="22"/>
        <v/>
      </c>
      <c r="Q160" t="str">
        <f>IF($A160="","",SUMIFS(Allocation!$I$1:$I$175,Allocation!$C$1:$C$175,$A160,Allocation!$E$1:$E$175,$C160))</f>
        <v/>
      </c>
      <c r="R160" t="str">
        <f>IF($A160="","",SUMIFS(Allocation!$J$1:$J$175,Allocation!$C$1:$C$175,$A160,Allocation!$E$1:$E$175,$C160))</f>
        <v/>
      </c>
      <c r="S160" t="str">
        <f>IF($A160="","",SUMIFS(Allocation!$K$1:$K$175,Allocation!$C$1:$C$175,$A160,Allocation!$E$1:$E$175,$C160))</f>
        <v/>
      </c>
      <c r="T160" t="str">
        <f>IF($A160="","",SUMIFS(Allocation!$I$1:$I$175,Allocation!$C$1:$C$175,$A160))</f>
        <v/>
      </c>
      <c r="U160" t="str">
        <f>IF($A160="","",SUMIFS(Allocation!$J$1:$J$175,Allocation!$C$1:$C$175,$A160))</f>
        <v/>
      </c>
      <c r="V160" t="str">
        <f>IF($A160="","",SUMIFS(Allocation!$K$1:$K$175,Allocation!$C$1:$C$175,$A160))</f>
        <v/>
      </c>
      <c r="W160" t="str">
        <f>IF($A160="","",SUMIFS(Compta!$F$1:$F$675,Compta!$A$1:$A$675,$B160,Compta!$B$1:$B$675,"621",Compta!$C$1:$C$675,$A160))</f>
        <v/>
      </c>
      <c r="X160" t="str">
        <f>IF($A160="","",SUMIFS(Compta!$F$1:$F$675,Compta!$A$1:$A$675,$B160,Compta!$B$1:$B$675,"6411",Compta!$C$1:$C$675,$A160))</f>
        <v/>
      </c>
      <c r="Y160" t="str">
        <f>IF($A160="","",SUMIFS(Compta!$F$1:$F$675,Compta!$A$1:$A$675,$B160,Compta!$B$1:$B$675,"604",Compta!$C$1:$C$675,$A160)+SUMIFS(Compta!$F$1:$F$675,Compta!$A$1:$A$675,$B160,Compta!$B$1:$B$675,"6063",Compta!$C$1:$C$675,$A160))</f>
        <v/>
      </c>
      <c r="Z160" t="str">
        <f>IF($A160="","",SUMIFS(Compta!$F$1:$F$675,Compta!$A$1:$A$675,$B160,Compta!$B$1:$B$675,"6231",Compta!$C$1:$C$675,$A160))</f>
        <v/>
      </c>
      <c r="AA160" t="str">
        <f>IF($A160="","",SUMIFS(Compta!$F$1:$F$675,Compta!$A$1:$A$675,$B160,Compta!$B$1:$B$675,"6413",Compta!$C$1:$C$675,$A160)+SUMIFS(Compta!$F$1:$F$675,Compta!$A$1:$A$675,$B160,Compta!$B$1:$B$675,"645",Compta!$C$1:$C$675,$A160)+SUMIFS(Compta!$F$1:$F$675,Compta!$A$1:$A$675,$B160,Compta!$B$1:$B$675,"613",Compta!$C$1:$C$675,$A160)+SUMIFS(Compta!$F$1:$F$675,Compta!$A$1:$A$675,$B160,Compta!$B$1:$B$675,"615",Compta!$C$1:$C$675,$A160)+SUMIFS(Compta!$F$1:$F$675,Compta!$A$1:$A$675,$B160,Compta!$B$1:$B$675,"616",Compta!$C$1:$C$675,$A160)+SUMIFS(Compta!$F$1:$F$675,Compta!$A$1:$A$675,$B160,Compta!$B$1:$B$675,"625",Compta!$C$1:$C$675,$A160)+SUMIFS(Compta!$F$1:$F$675,Compta!$A$1:$A$675,$B160,Compta!$B$1:$B$675,"63511",Compta!$C$1:$C$675,$A160))</f>
        <v/>
      </c>
      <c r="AB160" t="str">
        <f>IF($A160="","",SUMIFS(Compta!$F$1:$F$675,Compta!$A$1:$A$675,"GRP",Compta!$B$1:$B$675,"6414",Compta!$C$1:$C$675,$A160)+SUMIFS(Compta!$F$1:$F$675,Compta!$A$1:$A$675,"GRP",Compta!$B$1:$B$675,"6226",Compta!$C$1:$C$675,$A160)+SUMIFS(Compta!$F$1:$F$675,Compta!$A$1:$A$675,"GRP",Compta!$B$1:$B$675,"626",Compta!$C$1:$C$675,$A160)+SUMIFS(Compta!$F$1:$F$675,Compta!$A$1:$A$675,"GRP",Compta!$B$1:$B$675,"6281",Compta!$C$1:$C$675,$A160)+SUMIFS(Compta!$F$1:$F$675,Compta!$A$1:$A$675,"GRP",Compta!$B$1:$B$675,"6331",Compta!$C$1:$C$675,$A160)+SUMIFS(Compta!$F$1:$F$675,Compta!$A$1:$A$675,"GRP",Compta!$B$1:$B$675,"6333",Compta!$C$1:$C$675,$A160))</f>
        <v/>
      </c>
      <c r="AC160" t="s">
        <v>297</v>
      </c>
      <c r="AD160" t="s">
        <v>297</v>
      </c>
      <c r="AE160" t="s">
        <v>297</v>
      </c>
      <c r="AF160" t="s">
        <v>297</v>
      </c>
      <c r="AG160" t="s">
        <v>297</v>
      </c>
      <c r="AH160" t="s">
        <v>297</v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 t="str">
        <f>IF($A160="","",SUMIFS(Compta!$F$1:$F$675,Compta!$A$1:$A$675,"GRP",Compta!$B$1:$B$675,"6236",Compta!$C$1:$C$675,$A160))</f>
        <v/>
      </c>
      <c r="AP160" t="s">
        <v>297</v>
      </c>
      <c r="AQ160" t="s">
        <v>297</v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IF(Allocation!D161="","",Allocation!I161)</f>
        <v/>
      </c>
      <c r="H161" t="str">
        <f>IF(Allocation!D161="","",Allocation!J161)</f>
        <v/>
      </c>
      <c r="I161" t="str">
        <f>IF(Allocation!D161="","",Allocation!K161)</f>
        <v/>
      </c>
      <c r="J161" t="str">
        <f>IF($A161="","",SUMIFS(Socle!$K$1:$K$175,Socle!$C$1:$C$175,$B161,Socle!$D$1:$D$175,$D161,Socle!$E$1:$E$175,$E161,Socle!$F$1:$F$175,$F161,Socle!$G$1:$G$175,$A161))</f>
        <v/>
      </c>
      <c r="K161" t="str">
        <f t="shared" si="20"/>
        <v/>
      </c>
      <c r="L161" t="str">
        <f>IF($A161="","",SUMIFS(Allocation!$I$1:$I$175,Allocation!$C$1:$C$175,$A161,Allocation!$D$1:$D$175,$B161))</f>
        <v/>
      </c>
      <c r="M161" t="str">
        <f>IF($A161="","",SUMIFS(Allocation!$J$1:$J$175,Allocation!$C$1:$C$175,$A161,Allocation!$D$1:$D$175,$B161))</f>
        <v/>
      </c>
      <c r="N161" t="str">
        <f>IF($A161="","",SUMIFS(Allocation!$K$1:$K$175,Allocation!$C$1:$C$175,$A161,Allocation!$D$1:$D$175,$B161))</f>
        <v/>
      </c>
      <c r="O161" t="str">
        <f t="shared" si="21"/>
        <v/>
      </c>
      <c r="P161" t="str">
        <f t="shared" si="22"/>
        <v/>
      </c>
      <c r="Q161" t="str">
        <f>IF($A161="","",SUMIFS(Allocation!$I$1:$I$175,Allocation!$C$1:$C$175,$A161,Allocation!$E$1:$E$175,$C161))</f>
        <v/>
      </c>
      <c r="R161" t="str">
        <f>IF($A161="","",SUMIFS(Allocation!$J$1:$J$175,Allocation!$C$1:$C$175,$A161,Allocation!$E$1:$E$175,$C161))</f>
        <v/>
      </c>
      <c r="S161" t="str">
        <f>IF($A161="","",SUMIFS(Allocation!$K$1:$K$175,Allocation!$C$1:$C$175,$A161,Allocation!$E$1:$E$175,$C161))</f>
        <v/>
      </c>
      <c r="T161" t="str">
        <f>IF($A161="","",SUMIFS(Allocation!$I$1:$I$175,Allocation!$C$1:$C$175,$A161))</f>
        <v/>
      </c>
      <c r="U161" t="str">
        <f>IF($A161="","",SUMIFS(Allocation!$J$1:$J$175,Allocation!$C$1:$C$175,$A161))</f>
        <v/>
      </c>
      <c r="V161" t="str">
        <f>IF($A161="","",SUMIFS(Allocation!$K$1:$K$175,Allocation!$C$1:$C$175,$A161))</f>
        <v/>
      </c>
      <c r="W161" t="str">
        <f>IF($A161="","",SUMIFS(Compta!$F$1:$F$675,Compta!$A$1:$A$675,$B161,Compta!$B$1:$B$675,"621",Compta!$C$1:$C$675,$A161))</f>
        <v/>
      </c>
      <c r="X161" t="str">
        <f>IF($A161="","",SUMIFS(Compta!$F$1:$F$675,Compta!$A$1:$A$675,$B161,Compta!$B$1:$B$675,"6411",Compta!$C$1:$C$675,$A161))</f>
        <v/>
      </c>
      <c r="Y161" t="str">
        <f>IF($A161="","",SUMIFS(Compta!$F$1:$F$675,Compta!$A$1:$A$675,$B161,Compta!$B$1:$B$675,"604",Compta!$C$1:$C$675,$A161)+SUMIFS(Compta!$F$1:$F$675,Compta!$A$1:$A$675,$B161,Compta!$B$1:$B$675,"6063",Compta!$C$1:$C$675,$A161))</f>
        <v/>
      </c>
      <c r="Z161" t="str">
        <f>IF($A161="","",SUMIFS(Compta!$F$1:$F$675,Compta!$A$1:$A$675,$B161,Compta!$B$1:$B$675,"6231",Compta!$C$1:$C$675,$A161))</f>
        <v/>
      </c>
      <c r="AA161" t="str">
        <f>IF($A161="","",SUMIFS(Compta!$F$1:$F$675,Compta!$A$1:$A$675,$B161,Compta!$B$1:$B$675,"6413",Compta!$C$1:$C$675,$A161)+SUMIFS(Compta!$F$1:$F$675,Compta!$A$1:$A$675,$B161,Compta!$B$1:$B$675,"645",Compta!$C$1:$C$675,$A161)+SUMIFS(Compta!$F$1:$F$675,Compta!$A$1:$A$675,$B161,Compta!$B$1:$B$675,"613",Compta!$C$1:$C$675,$A161)+SUMIFS(Compta!$F$1:$F$675,Compta!$A$1:$A$675,$B161,Compta!$B$1:$B$675,"615",Compta!$C$1:$C$675,$A161)+SUMIFS(Compta!$F$1:$F$675,Compta!$A$1:$A$675,$B161,Compta!$B$1:$B$675,"616",Compta!$C$1:$C$675,$A161)+SUMIFS(Compta!$F$1:$F$675,Compta!$A$1:$A$675,$B161,Compta!$B$1:$B$675,"625",Compta!$C$1:$C$675,$A161)+SUMIFS(Compta!$F$1:$F$675,Compta!$A$1:$A$675,$B161,Compta!$B$1:$B$675,"63511",Compta!$C$1:$C$675,$A161))</f>
        <v/>
      </c>
      <c r="AB161" t="str">
        <f>IF($A161="","",SUMIFS(Compta!$F$1:$F$675,Compta!$A$1:$A$675,"GRP",Compta!$B$1:$B$675,"6414",Compta!$C$1:$C$675,$A161)+SUMIFS(Compta!$F$1:$F$675,Compta!$A$1:$A$675,"GRP",Compta!$B$1:$B$675,"6226",Compta!$C$1:$C$675,$A161)+SUMIFS(Compta!$F$1:$F$675,Compta!$A$1:$A$675,"GRP",Compta!$B$1:$B$675,"626",Compta!$C$1:$C$675,$A161)+SUMIFS(Compta!$F$1:$F$675,Compta!$A$1:$A$675,"GRP",Compta!$B$1:$B$675,"6281",Compta!$C$1:$C$675,$A161)+SUMIFS(Compta!$F$1:$F$675,Compta!$A$1:$A$675,"GRP",Compta!$B$1:$B$675,"6331",Compta!$C$1:$C$675,$A161)+SUMIFS(Compta!$F$1:$F$675,Compta!$A$1:$A$675,"GRP",Compta!$B$1:$B$675,"6333",Compta!$C$1:$C$675,$A161))</f>
        <v/>
      </c>
      <c r="AC161" t="s">
        <v>297</v>
      </c>
      <c r="AD161" t="s">
        <v>297</v>
      </c>
      <c r="AE161" t="s">
        <v>297</v>
      </c>
      <c r="AF161" t="s">
        <v>297</v>
      </c>
      <c r="AG161" t="s">
        <v>297</v>
      </c>
      <c r="AH161" t="s">
        <v>297</v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 t="str">
        <f>IF($A161="","",SUMIFS(Compta!$F$1:$F$675,Compta!$A$1:$A$675,"GRP",Compta!$B$1:$B$675,"6236",Compta!$C$1:$C$675,$A161))</f>
        <v/>
      </c>
      <c r="AP161" t="s">
        <v>297</v>
      </c>
      <c r="AQ161" t="s">
        <v>297</v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IF(Allocation!D162="","",Allocation!I162)</f>
        <v/>
      </c>
      <c r="H162" t="str">
        <f>IF(Allocation!D162="","",Allocation!J162)</f>
        <v/>
      </c>
      <c r="I162" t="str">
        <f>IF(Allocation!D162="","",Allocation!K162)</f>
        <v/>
      </c>
      <c r="J162" t="str">
        <f>IF($A162="","",SUMIFS(Socle!$K$1:$K$175,Socle!$C$1:$C$175,$B162,Socle!$D$1:$D$175,$D162,Socle!$E$1:$E$175,$E162,Socle!$F$1:$F$175,$F162,Socle!$G$1:$G$175,$A162))</f>
        <v/>
      </c>
      <c r="K162" t="str">
        <f t="shared" si="20"/>
        <v/>
      </c>
      <c r="L162" t="str">
        <f>IF($A162="","",SUMIFS(Allocation!$I$1:$I$175,Allocation!$C$1:$C$175,$A162,Allocation!$D$1:$D$175,$B162))</f>
        <v/>
      </c>
      <c r="M162" t="str">
        <f>IF($A162="","",SUMIFS(Allocation!$J$1:$J$175,Allocation!$C$1:$C$175,$A162,Allocation!$D$1:$D$175,$B162))</f>
        <v/>
      </c>
      <c r="N162" t="str">
        <f>IF($A162="","",SUMIFS(Allocation!$K$1:$K$175,Allocation!$C$1:$C$175,$A162,Allocation!$D$1:$D$175,$B162))</f>
        <v/>
      </c>
      <c r="O162" t="str">
        <f t="shared" si="21"/>
        <v/>
      </c>
      <c r="P162" t="str">
        <f t="shared" si="22"/>
        <v/>
      </c>
      <c r="Q162" t="str">
        <f>IF($A162="","",SUMIFS(Allocation!$I$1:$I$175,Allocation!$C$1:$C$175,$A162,Allocation!$E$1:$E$175,$C162))</f>
        <v/>
      </c>
      <c r="R162" t="str">
        <f>IF($A162="","",SUMIFS(Allocation!$J$1:$J$175,Allocation!$C$1:$C$175,$A162,Allocation!$E$1:$E$175,$C162))</f>
        <v/>
      </c>
      <c r="S162" t="str">
        <f>IF($A162="","",SUMIFS(Allocation!$K$1:$K$175,Allocation!$C$1:$C$175,$A162,Allocation!$E$1:$E$175,$C162))</f>
        <v/>
      </c>
      <c r="T162" t="str">
        <f>IF($A162="","",SUMIFS(Allocation!$I$1:$I$175,Allocation!$C$1:$C$175,$A162))</f>
        <v/>
      </c>
      <c r="U162" t="str">
        <f>IF($A162="","",SUMIFS(Allocation!$J$1:$J$175,Allocation!$C$1:$C$175,$A162))</f>
        <v/>
      </c>
      <c r="V162" t="str">
        <f>IF($A162="","",SUMIFS(Allocation!$K$1:$K$175,Allocation!$C$1:$C$175,$A162))</f>
        <v/>
      </c>
      <c r="W162" t="str">
        <f>IF($A162="","",SUMIFS(Compta!$F$1:$F$675,Compta!$A$1:$A$675,$B162,Compta!$B$1:$B$675,"621",Compta!$C$1:$C$675,$A162))</f>
        <v/>
      </c>
      <c r="X162" t="str">
        <f>IF($A162="","",SUMIFS(Compta!$F$1:$F$675,Compta!$A$1:$A$675,$B162,Compta!$B$1:$B$675,"6411",Compta!$C$1:$C$675,$A162))</f>
        <v/>
      </c>
      <c r="Y162" t="str">
        <f>IF($A162="","",SUMIFS(Compta!$F$1:$F$675,Compta!$A$1:$A$675,$B162,Compta!$B$1:$B$675,"604",Compta!$C$1:$C$675,$A162)+SUMIFS(Compta!$F$1:$F$675,Compta!$A$1:$A$675,$B162,Compta!$B$1:$B$675,"6063",Compta!$C$1:$C$675,$A162))</f>
        <v/>
      </c>
      <c r="Z162" t="str">
        <f>IF($A162="","",SUMIFS(Compta!$F$1:$F$675,Compta!$A$1:$A$675,$B162,Compta!$B$1:$B$675,"6231",Compta!$C$1:$C$675,$A162))</f>
        <v/>
      </c>
      <c r="AA162" t="str">
        <f>IF($A162="","",SUMIFS(Compta!$F$1:$F$675,Compta!$A$1:$A$675,$B162,Compta!$B$1:$B$675,"6413",Compta!$C$1:$C$675,$A162)+SUMIFS(Compta!$F$1:$F$675,Compta!$A$1:$A$675,$B162,Compta!$B$1:$B$675,"645",Compta!$C$1:$C$675,$A162)+SUMIFS(Compta!$F$1:$F$675,Compta!$A$1:$A$675,$B162,Compta!$B$1:$B$675,"613",Compta!$C$1:$C$675,$A162)+SUMIFS(Compta!$F$1:$F$675,Compta!$A$1:$A$675,$B162,Compta!$B$1:$B$675,"615",Compta!$C$1:$C$675,$A162)+SUMIFS(Compta!$F$1:$F$675,Compta!$A$1:$A$675,$B162,Compta!$B$1:$B$675,"616",Compta!$C$1:$C$675,$A162)+SUMIFS(Compta!$F$1:$F$675,Compta!$A$1:$A$675,$B162,Compta!$B$1:$B$675,"625",Compta!$C$1:$C$675,$A162)+SUMIFS(Compta!$F$1:$F$675,Compta!$A$1:$A$675,$B162,Compta!$B$1:$B$675,"63511",Compta!$C$1:$C$675,$A162))</f>
        <v/>
      </c>
      <c r="AB162" t="str">
        <f>IF($A162="","",SUMIFS(Compta!$F$1:$F$675,Compta!$A$1:$A$675,"GRP",Compta!$B$1:$B$675,"6414",Compta!$C$1:$C$675,$A162)+SUMIFS(Compta!$F$1:$F$675,Compta!$A$1:$A$675,"GRP",Compta!$B$1:$B$675,"6226",Compta!$C$1:$C$675,$A162)+SUMIFS(Compta!$F$1:$F$675,Compta!$A$1:$A$675,"GRP",Compta!$B$1:$B$675,"626",Compta!$C$1:$C$675,$A162)+SUMIFS(Compta!$F$1:$F$675,Compta!$A$1:$A$675,"GRP",Compta!$B$1:$B$675,"6281",Compta!$C$1:$C$675,$A162)+SUMIFS(Compta!$F$1:$F$675,Compta!$A$1:$A$675,"GRP",Compta!$B$1:$B$675,"6331",Compta!$C$1:$C$675,$A162)+SUMIFS(Compta!$F$1:$F$675,Compta!$A$1:$A$675,"GRP",Compta!$B$1:$B$675,"6333",Compta!$C$1:$C$675,$A162))</f>
        <v/>
      </c>
      <c r="AC162" t="s">
        <v>297</v>
      </c>
      <c r="AD162" t="s">
        <v>297</v>
      </c>
      <c r="AE162" t="s">
        <v>297</v>
      </c>
      <c r="AF162" t="s">
        <v>297</v>
      </c>
      <c r="AG162" t="s">
        <v>297</v>
      </c>
      <c r="AH162" t="s">
        <v>297</v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 t="str">
        <f>IF($A162="","",SUMIFS(Compta!$F$1:$F$675,Compta!$A$1:$A$675,"GRP",Compta!$B$1:$B$675,"6236",Compta!$C$1:$C$675,$A162))</f>
        <v/>
      </c>
      <c r="AP162" t="s">
        <v>297</v>
      </c>
      <c r="AQ162" t="s">
        <v>297</v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IF(Allocation!D163="","",Allocation!I163)</f>
        <v/>
      </c>
      <c r="H163" t="str">
        <f>IF(Allocation!D163="","",Allocation!J163)</f>
        <v/>
      </c>
      <c r="I163" t="str">
        <f>IF(Allocation!D163="","",Allocation!K163)</f>
        <v/>
      </c>
      <c r="J163" t="str">
        <f>IF($A163="","",SUMIFS(Socle!$K$1:$K$175,Socle!$C$1:$C$175,$B163,Socle!$D$1:$D$175,$D163,Socle!$E$1:$E$175,$E163,Socle!$F$1:$F$175,$F163,Socle!$G$1:$G$175,$A163))</f>
        <v/>
      </c>
      <c r="K163" t="str">
        <f t="shared" si="20"/>
        <v/>
      </c>
      <c r="L163" t="str">
        <f>IF($A163="","",SUMIFS(Allocation!$I$1:$I$175,Allocation!$C$1:$C$175,$A163,Allocation!$D$1:$D$175,$B163))</f>
        <v/>
      </c>
      <c r="M163" t="str">
        <f>IF($A163="","",SUMIFS(Allocation!$J$1:$J$175,Allocation!$C$1:$C$175,$A163,Allocation!$D$1:$D$175,$B163))</f>
        <v/>
      </c>
      <c r="N163" t="str">
        <f>IF($A163="","",SUMIFS(Allocation!$K$1:$K$175,Allocation!$C$1:$C$175,$A163,Allocation!$D$1:$D$175,$B163))</f>
        <v/>
      </c>
      <c r="O163" t="str">
        <f t="shared" si="21"/>
        <v/>
      </c>
      <c r="P163" t="str">
        <f t="shared" si="22"/>
        <v/>
      </c>
      <c r="Q163" t="str">
        <f>IF($A163="","",SUMIFS(Allocation!$I$1:$I$175,Allocation!$C$1:$C$175,$A163,Allocation!$E$1:$E$175,$C163))</f>
        <v/>
      </c>
      <c r="R163" t="str">
        <f>IF($A163="","",SUMIFS(Allocation!$J$1:$J$175,Allocation!$C$1:$C$175,$A163,Allocation!$E$1:$E$175,$C163))</f>
        <v/>
      </c>
      <c r="S163" t="str">
        <f>IF($A163="","",SUMIFS(Allocation!$K$1:$K$175,Allocation!$C$1:$C$175,$A163,Allocation!$E$1:$E$175,$C163))</f>
        <v/>
      </c>
      <c r="T163" t="str">
        <f>IF($A163="","",SUMIFS(Allocation!$I$1:$I$175,Allocation!$C$1:$C$175,$A163))</f>
        <v/>
      </c>
      <c r="U163" t="str">
        <f>IF($A163="","",SUMIFS(Allocation!$J$1:$J$175,Allocation!$C$1:$C$175,$A163))</f>
        <v/>
      </c>
      <c r="V163" t="str">
        <f>IF($A163="","",SUMIFS(Allocation!$K$1:$K$175,Allocation!$C$1:$C$175,$A163))</f>
        <v/>
      </c>
      <c r="W163" t="str">
        <f>IF($A163="","",SUMIFS(Compta!$F$1:$F$675,Compta!$A$1:$A$675,$B163,Compta!$B$1:$B$675,"621",Compta!$C$1:$C$675,$A163))</f>
        <v/>
      </c>
      <c r="X163" t="str">
        <f>IF($A163="","",SUMIFS(Compta!$F$1:$F$675,Compta!$A$1:$A$675,$B163,Compta!$B$1:$B$675,"6411",Compta!$C$1:$C$675,$A163))</f>
        <v/>
      </c>
      <c r="Y163" t="str">
        <f>IF($A163="","",SUMIFS(Compta!$F$1:$F$675,Compta!$A$1:$A$675,$B163,Compta!$B$1:$B$675,"604",Compta!$C$1:$C$675,$A163)+SUMIFS(Compta!$F$1:$F$675,Compta!$A$1:$A$675,$B163,Compta!$B$1:$B$675,"6063",Compta!$C$1:$C$675,$A163))</f>
        <v/>
      </c>
      <c r="Z163" t="str">
        <f>IF($A163="","",SUMIFS(Compta!$F$1:$F$675,Compta!$A$1:$A$675,$B163,Compta!$B$1:$B$675,"6231",Compta!$C$1:$C$675,$A163))</f>
        <v/>
      </c>
      <c r="AA163" t="str">
        <f>IF($A163="","",SUMIFS(Compta!$F$1:$F$675,Compta!$A$1:$A$675,$B163,Compta!$B$1:$B$675,"6413",Compta!$C$1:$C$675,$A163)+SUMIFS(Compta!$F$1:$F$675,Compta!$A$1:$A$675,$B163,Compta!$B$1:$B$675,"645",Compta!$C$1:$C$675,$A163)+SUMIFS(Compta!$F$1:$F$675,Compta!$A$1:$A$675,$B163,Compta!$B$1:$B$675,"613",Compta!$C$1:$C$675,$A163)+SUMIFS(Compta!$F$1:$F$675,Compta!$A$1:$A$675,$B163,Compta!$B$1:$B$675,"615",Compta!$C$1:$C$675,$A163)+SUMIFS(Compta!$F$1:$F$675,Compta!$A$1:$A$675,$B163,Compta!$B$1:$B$675,"616",Compta!$C$1:$C$675,$A163)+SUMIFS(Compta!$F$1:$F$675,Compta!$A$1:$A$675,$B163,Compta!$B$1:$B$675,"625",Compta!$C$1:$C$675,$A163)+SUMIFS(Compta!$F$1:$F$675,Compta!$A$1:$A$675,$B163,Compta!$B$1:$B$675,"63511",Compta!$C$1:$C$675,$A163))</f>
        <v/>
      </c>
      <c r="AB163" t="str">
        <f>IF($A163="","",SUMIFS(Compta!$F$1:$F$675,Compta!$A$1:$A$675,"GRP",Compta!$B$1:$B$675,"6414",Compta!$C$1:$C$675,$A163)+SUMIFS(Compta!$F$1:$F$675,Compta!$A$1:$A$675,"GRP",Compta!$B$1:$B$675,"6226",Compta!$C$1:$C$675,$A163)+SUMIFS(Compta!$F$1:$F$675,Compta!$A$1:$A$675,"GRP",Compta!$B$1:$B$675,"626",Compta!$C$1:$C$675,$A163)+SUMIFS(Compta!$F$1:$F$675,Compta!$A$1:$A$675,"GRP",Compta!$B$1:$B$675,"6281",Compta!$C$1:$C$675,$A163)+SUMIFS(Compta!$F$1:$F$675,Compta!$A$1:$A$675,"GRP",Compta!$B$1:$B$675,"6331",Compta!$C$1:$C$675,$A163)+SUMIFS(Compta!$F$1:$F$675,Compta!$A$1:$A$675,"GRP",Compta!$B$1:$B$675,"6333",Compta!$C$1:$C$675,$A163))</f>
        <v/>
      </c>
      <c r="AC163" t="s">
        <v>297</v>
      </c>
      <c r="AD163" t="s">
        <v>297</v>
      </c>
      <c r="AE163" t="s">
        <v>297</v>
      </c>
      <c r="AF163" t="s">
        <v>297</v>
      </c>
      <c r="AG163" t="s">
        <v>297</v>
      </c>
      <c r="AH163" t="s">
        <v>297</v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 t="str">
        <f>IF($A163="","",SUMIFS(Compta!$F$1:$F$675,Compta!$A$1:$A$675,"GRP",Compta!$B$1:$B$675,"6236",Compta!$C$1:$C$675,$A163))</f>
        <v/>
      </c>
      <c r="AP163" t="s">
        <v>297</v>
      </c>
      <c r="AQ163" t="s">
        <v>297</v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IF(Allocation!D164="","",Allocation!I164)</f>
        <v/>
      </c>
      <c r="H164" t="str">
        <f>IF(Allocation!D164="","",Allocation!J164)</f>
        <v/>
      </c>
      <c r="I164" t="str">
        <f>IF(Allocation!D164="","",Allocation!K164)</f>
        <v/>
      </c>
      <c r="J164" t="str">
        <f>IF($A164="","",SUMIFS(Socle!$K$1:$K$175,Socle!$C$1:$C$175,$B164,Socle!$D$1:$D$175,$D164,Socle!$E$1:$E$175,$E164,Socle!$F$1:$F$175,$F164,Socle!$G$1:$G$175,$A164))</f>
        <v/>
      </c>
      <c r="K164" t="str">
        <f t="shared" si="20"/>
        <v/>
      </c>
      <c r="L164" t="str">
        <f>IF($A164="","",SUMIFS(Allocation!$I$1:$I$175,Allocation!$C$1:$C$175,$A164,Allocation!$D$1:$D$175,$B164))</f>
        <v/>
      </c>
      <c r="M164" t="str">
        <f>IF($A164="","",SUMIFS(Allocation!$J$1:$J$175,Allocation!$C$1:$C$175,$A164,Allocation!$D$1:$D$175,$B164))</f>
        <v/>
      </c>
      <c r="N164" t="str">
        <f>IF($A164="","",SUMIFS(Allocation!$K$1:$K$175,Allocation!$C$1:$C$175,$A164,Allocation!$D$1:$D$175,$B164))</f>
        <v/>
      </c>
      <c r="O164" t="str">
        <f t="shared" si="21"/>
        <v/>
      </c>
      <c r="P164" t="str">
        <f t="shared" si="22"/>
        <v/>
      </c>
      <c r="Q164" t="str">
        <f>IF($A164="","",SUMIFS(Allocation!$I$1:$I$175,Allocation!$C$1:$C$175,$A164,Allocation!$E$1:$E$175,$C164))</f>
        <v/>
      </c>
      <c r="R164" t="str">
        <f>IF($A164="","",SUMIFS(Allocation!$J$1:$J$175,Allocation!$C$1:$C$175,$A164,Allocation!$E$1:$E$175,$C164))</f>
        <v/>
      </c>
      <c r="S164" t="str">
        <f>IF($A164="","",SUMIFS(Allocation!$K$1:$K$175,Allocation!$C$1:$C$175,$A164,Allocation!$E$1:$E$175,$C164))</f>
        <v/>
      </c>
      <c r="T164" t="str">
        <f>IF($A164="","",SUMIFS(Allocation!$I$1:$I$175,Allocation!$C$1:$C$175,$A164))</f>
        <v/>
      </c>
      <c r="U164" t="str">
        <f>IF($A164="","",SUMIFS(Allocation!$J$1:$J$175,Allocation!$C$1:$C$175,$A164))</f>
        <v/>
      </c>
      <c r="V164" t="str">
        <f>IF($A164="","",SUMIFS(Allocation!$K$1:$K$175,Allocation!$C$1:$C$175,$A164))</f>
        <v/>
      </c>
      <c r="W164" t="str">
        <f>IF($A164="","",SUMIFS(Compta!$F$1:$F$675,Compta!$A$1:$A$675,$B164,Compta!$B$1:$B$675,"621",Compta!$C$1:$C$675,$A164))</f>
        <v/>
      </c>
      <c r="X164" t="str">
        <f>IF($A164="","",SUMIFS(Compta!$F$1:$F$675,Compta!$A$1:$A$675,$B164,Compta!$B$1:$B$675,"6411",Compta!$C$1:$C$675,$A164))</f>
        <v/>
      </c>
      <c r="Y164" t="str">
        <f>IF($A164="","",SUMIFS(Compta!$F$1:$F$675,Compta!$A$1:$A$675,$B164,Compta!$B$1:$B$675,"604",Compta!$C$1:$C$675,$A164)+SUMIFS(Compta!$F$1:$F$675,Compta!$A$1:$A$675,$B164,Compta!$B$1:$B$675,"6063",Compta!$C$1:$C$675,$A164))</f>
        <v/>
      </c>
      <c r="Z164" t="str">
        <f>IF($A164="","",SUMIFS(Compta!$F$1:$F$675,Compta!$A$1:$A$675,$B164,Compta!$B$1:$B$675,"6231",Compta!$C$1:$C$675,$A164))</f>
        <v/>
      </c>
      <c r="AA164" t="str">
        <f>IF($A164="","",SUMIFS(Compta!$F$1:$F$675,Compta!$A$1:$A$675,$B164,Compta!$B$1:$B$675,"6413",Compta!$C$1:$C$675,$A164)+SUMIFS(Compta!$F$1:$F$675,Compta!$A$1:$A$675,$B164,Compta!$B$1:$B$675,"645",Compta!$C$1:$C$675,$A164)+SUMIFS(Compta!$F$1:$F$675,Compta!$A$1:$A$675,$B164,Compta!$B$1:$B$675,"613",Compta!$C$1:$C$675,$A164)+SUMIFS(Compta!$F$1:$F$675,Compta!$A$1:$A$675,$B164,Compta!$B$1:$B$675,"615",Compta!$C$1:$C$675,$A164)+SUMIFS(Compta!$F$1:$F$675,Compta!$A$1:$A$675,$B164,Compta!$B$1:$B$675,"616",Compta!$C$1:$C$675,$A164)+SUMIFS(Compta!$F$1:$F$675,Compta!$A$1:$A$675,$B164,Compta!$B$1:$B$675,"625",Compta!$C$1:$C$675,$A164)+SUMIFS(Compta!$F$1:$F$675,Compta!$A$1:$A$675,$B164,Compta!$B$1:$B$675,"63511",Compta!$C$1:$C$675,$A164))</f>
        <v/>
      </c>
      <c r="AB164" t="str">
        <f>IF($A164="","",SUMIFS(Compta!$F$1:$F$675,Compta!$A$1:$A$675,"GRP",Compta!$B$1:$B$675,"6414",Compta!$C$1:$C$675,$A164)+SUMIFS(Compta!$F$1:$F$675,Compta!$A$1:$A$675,"GRP",Compta!$B$1:$B$675,"6226",Compta!$C$1:$C$675,$A164)+SUMIFS(Compta!$F$1:$F$675,Compta!$A$1:$A$675,"GRP",Compta!$B$1:$B$675,"626",Compta!$C$1:$C$675,$A164)+SUMIFS(Compta!$F$1:$F$675,Compta!$A$1:$A$675,"GRP",Compta!$B$1:$B$675,"6281",Compta!$C$1:$C$675,$A164)+SUMIFS(Compta!$F$1:$F$675,Compta!$A$1:$A$675,"GRP",Compta!$B$1:$B$675,"6331",Compta!$C$1:$C$675,$A164)+SUMIFS(Compta!$F$1:$F$675,Compta!$A$1:$A$675,"GRP",Compta!$B$1:$B$675,"6333",Compta!$C$1:$C$675,$A164))</f>
        <v/>
      </c>
      <c r="AC164" t="s">
        <v>297</v>
      </c>
      <c r="AD164" t="s">
        <v>297</v>
      </c>
      <c r="AE164" t="s">
        <v>297</v>
      </c>
      <c r="AF164" t="s">
        <v>297</v>
      </c>
      <c r="AG164" t="s">
        <v>297</v>
      </c>
      <c r="AH164" t="s">
        <v>297</v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 t="str">
        <f>IF($A164="","",SUMIFS(Compta!$F$1:$F$675,Compta!$A$1:$A$675,"GRP",Compta!$B$1:$B$675,"6236",Compta!$C$1:$C$675,$A164))</f>
        <v/>
      </c>
      <c r="AP164" t="s">
        <v>297</v>
      </c>
      <c r="AQ164" t="s">
        <v>297</v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IF(Allocation!D165="","",Allocation!I165)</f>
        <v/>
      </c>
      <c r="H165" t="str">
        <f>IF(Allocation!D165="","",Allocation!J165)</f>
        <v/>
      </c>
      <c r="I165" t="str">
        <f>IF(Allocation!D165="","",Allocation!K165)</f>
        <v/>
      </c>
      <c r="J165" t="str">
        <f>IF($A165="","",SUMIFS(Socle!$K$1:$K$175,Socle!$C$1:$C$175,$B165,Socle!$D$1:$D$175,$D165,Socle!$E$1:$E$175,$E165,Socle!$F$1:$F$175,$F165,Socle!$G$1:$G$175,$A165))</f>
        <v/>
      </c>
      <c r="K165" t="str">
        <f t="shared" si="20"/>
        <v/>
      </c>
      <c r="L165" t="str">
        <f>IF($A165="","",SUMIFS(Allocation!$I$1:$I$175,Allocation!$C$1:$C$175,$A165,Allocation!$D$1:$D$175,$B165))</f>
        <v/>
      </c>
      <c r="M165" t="str">
        <f>IF($A165="","",SUMIFS(Allocation!$J$1:$J$175,Allocation!$C$1:$C$175,$A165,Allocation!$D$1:$D$175,$B165))</f>
        <v/>
      </c>
      <c r="N165" t="str">
        <f>IF($A165="","",SUMIFS(Allocation!$K$1:$K$175,Allocation!$C$1:$C$175,$A165,Allocation!$D$1:$D$175,$B165))</f>
        <v/>
      </c>
      <c r="O165" t="str">
        <f t="shared" si="21"/>
        <v/>
      </c>
      <c r="P165" t="str">
        <f t="shared" si="22"/>
        <v/>
      </c>
      <c r="Q165" t="str">
        <f>IF($A165="","",SUMIFS(Allocation!$I$1:$I$175,Allocation!$C$1:$C$175,$A165,Allocation!$E$1:$E$175,$C165))</f>
        <v/>
      </c>
      <c r="R165" t="str">
        <f>IF($A165="","",SUMIFS(Allocation!$J$1:$J$175,Allocation!$C$1:$C$175,$A165,Allocation!$E$1:$E$175,$C165))</f>
        <v/>
      </c>
      <c r="S165" t="str">
        <f>IF($A165="","",SUMIFS(Allocation!$K$1:$K$175,Allocation!$C$1:$C$175,$A165,Allocation!$E$1:$E$175,$C165))</f>
        <v/>
      </c>
      <c r="T165" t="str">
        <f>IF($A165="","",SUMIFS(Allocation!$I$1:$I$175,Allocation!$C$1:$C$175,$A165))</f>
        <v/>
      </c>
      <c r="U165" t="str">
        <f>IF($A165="","",SUMIFS(Allocation!$J$1:$J$175,Allocation!$C$1:$C$175,$A165))</f>
        <v/>
      </c>
      <c r="V165" t="str">
        <f>IF($A165="","",SUMIFS(Allocation!$K$1:$K$175,Allocation!$C$1:$C$175,$A165))</f>
        <v/>
      </c>
      <c r="W165" t="str">
        <f>IF($A165="","",SUMIFS(Compta!$F$1:$F$675,Compta!$A$1:$A$675,$B165,Compta!$B$1:$B$675,"621",Compta!$C$1:$C$675,$A165))</f>
        <v/>
      </c>
      <c r="X165" t="str">
        <f>IF($A165="","",SUMIFS(Compta!$F$1:$F$675,Compta!$A$1:$A$675,$B165,Compta!$B$1:$B$675,"6411",Compta!$C$1:$C$675,$A165))</f>
        <v/>
      </c>
      <c r="Y165" t="str">
        <f>IF($A165="","",SUMIFS(Compta!$F$1:$F$675,Compta!$A$1:$A$675,$B165,Compta!$B$1:$B$675,"604",Compta!$C$1:$C$675,$A165)+SUMIFS(Compta!$F$1:$F$675,Compta!$A$1:$A$675,$B165,Compta!$B$1:$B$675,"6063",Compta!$C$1:$C$675,$A165))</f>
        <v/>
      </c>
      <c r="Z165" t="str">
        <f>IF($A165="","",SUMIFS(Compta!$F$1:$F$675,Compta!$A$1:$A$675,$B165,Compta!$B$1:$B$675,"6231",Compta!$C$1:$C$675,$A165))</f>
        <v/>
      </c>
      <c r="AA165" t="str">
        <f>IF($A165="","",SUMIFS(Compta!$F$1:$F$675,Compta!$A$1:$A$675,$B165,Compta!$B$1:$B$675,"6413",Compta!$C$1:$C$675,$A165)+SUMIFS(Compta!$F$1:$F$675,Compta!$A$1:$A$675,$B165,Compta!$B$1:$B$675,"645",Compta!$C$1:$C$675,$A165)+SUMIFS(Compta!$F$1:$F$675,Compta!$A$1:$A$675,$B165,Compta!$B$1:$B$675,"613",Compta!$C$1:$C$675,$A165)+SUMIFS(Compta!$F$1:$F$675,Compta!$A$1:$A$675,$B165,Compta!$B$1:$B$675,"615",Compta!$C$1:$C$675,$A165)+SUMIFS(Compta!$F$1:$F$675,Compta!$A$1:$A$675,$B165,Compta!$B$1:$B$675,"616",Compta!$C$1:$C$675,$A165)+SUMIFS(Compta!$F$1:$F$675,Compta!$A$1:$A$675,$B165,Compta!$B$1:$B$675,"625",Compta!$C$1:$C$675,$A165)+SUMIFS(Compta!$F$1:$F$675,Compta!$A$1:$A$675,$B165,Compta!$B$1:$B$675,"63511",Compta!$C$1:$C$675,$A165))</f>
        <v/>
      </c>
      <c r="AB165" t="str">
        <f>IF($A165="","",SUMIFS(Compta!$F$1:$F$675,Compta!$A$1:$A$675,"GRP",Compta!$B$1:$B$675,"6414",Compta!$C$1:$C$675,$A165)+SUMIFS(Compta!$F$1:$F$675,Compta!$A$1:$A$675,"GRP",Compta!$B$1:$B$675,"6226",Compta!$C$1:$C$675,$A165)+SUMIFS(Compta!$F$1:$F$675,Compta!$A$1:$A$675,"GRP",Compta!$B$1:$B$675,"626",Compta!$C$1:$C$675,$A165)+SUMIFS(Compta!$F$1:$F$675,Compta!$A$1:$A$675,"GRP",Compta!$B$1:$B$675,"6281",Compta!$C$1:$C$675,$A165)+SUMIFS(Compta!$F$1:$F$675,Compta!$A$1:$A$675,"GRP",Compta!$B$1:$B$675,"6331",Compta!$C$1:$C$675,$A165)+SUMIFS(Compta!$F$1:$F$675,Compta!$A$1:$A$675,"GRP",Compta!$B$1:$B$675,"6333",Compta!$C$1:$C$675,$A165))</f>
        <v/>
      </c>
      <c r="AC165" t="s">
        <v>297</v>
      </c>
      <c r="AD165" t="s">
        <v>297</v>
      </c>
      <c r="AE165" t="s">
        <v>297</v>
      </c>
      <c r="AF165" t="s">
        <v>297</v>
      </c>
      <c r="AG165" t="s">
        <v>297</v>
      </c>
      <c r="AH165" t="s">
        <v>297</v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 t="str">
        <f>IF($A165="","",SUMIFS(Compta!$F$1:$F$675,Compta!$A$1:$A$675,"GRP",Compta!$B$1:$B$675,"6236",Compta!$C$1:$C$675,$A165))</f>
        <v/>
      </c>
      <c r="AP165" t="s">
        <v>297</v>
      </c>
      <c r="AQ165" t="s">
        <v>297</v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IF(Allocation!D166="","",Allocation!I166)</f>
        <v/>
      </c>
      <c r="H166" t="str">
        <f>IF(Allocation!D166="","",Allocation!J166)</f>
        <v/>
      </c>
      <c r="I166" t="str">
        <f>IF(Allocation!D166="","",Allocation!K166)</f>
        <v/>
      </c>
      <c r="J166" t="str">
        <f>IF($A166="","",SUMIFS(Socle!$K$1:$K$175,Socle!$C$1:$C$175,$B166,Socle!$D$1:$D$175,$D166,Socle!$E$1:$E$175,$E166,Socle!$F$1:$F$175,$F166,Socle!$G$1:$G$175,$A166))</f>
        <v/>
      </c>
      <c r="K166" t="str">
        <f t="shared" si="20"/>
        <v/>
      </c>
      <c r="L166" t="str">
        <f>IF($A166="","",SUMIFS(Allocation!$I$1:$I$175,Allocation!$C$1:$C$175,$A166,Allocation!$D$1:$D$175,$B166))</f>
        <v/>
      </c>
      <c r="M166" t="str">
        <f>IF($A166="","",SUMIFS(Allocation!$J$1:$J$175,Allocation!$C$1:$C$175,$A166,Allocation!$D$1:$D$175,$B166))</f>
        <v/>
      </c>
      <c r="N166" t="str">
        <f>IF($A166="","",SUMIFS(Allocation!$K$1:$K$175,Allocation!$C$1:$C$175,$A166,Allocation!$D$1:$D$175,$B166))</f>
        <v/>
      </c>
      <c r="O166" t="str">
        <f t="shared" si="21"/>
        <v/>
      </c>
      <c r="P166" t="str">
        <f t="shared" si="22"/>
        <v/>
      </c>
      <c r="Q166" t="str">
        <f>IF($A166="","",SUMIFS(Allocation!$I$1:$I$175,Allocation!$C$1:$C$175,$A166,Allocation!$E$1:$E$175,$C166))</f>
        <v/>
      </c>
      <c r="R166" t="str">
        <f>IF($A166="","",SUMIFS(Allocation!$J$1:$J$175,Allocation!$C$1:$C$175,$A166,Allocation!$E$1:$E$175,$C166))</f>
        <v/>
      </c>
      <c r="S166" t="str">
        <f>IF($A166="","",SUMIFS(Allocation!$K$1:$K$175,Allocation!$C$1:$C$175,$A166,Allocation!$E$1:$E$175,$C166))</f>
        <v/>
      </c>
      <c r="T166" t="str">
        <f>IF($A166="","",SUMIFS(Allocation!$I$1:$I$175,Allocation!$C$1:$C$175,$A166))</f>
        <v/>
      </c>
      <c r="U166" t="str">
        <f>IF($A166="","",SUMIFS(Allocation!$J$1:$J$175,Allocation!$C$1:$C$175,$A166))</f>
        <v/>
      </c>
      <c r="V166" t="str">
        <f>IF($A166="","",SUMIFS(Allocation!$K$1:$K$175,Allocation!$C$1:$C$175,$A166))</f>
        <v/>
      </c>
      <c r="W166" t="str">
        <f>IF($A166="","",SUMIFS(Compta!$F$1:$F$675,Compta!$A$1:$A$675,$B166,Compta!$B$1:$B$675,"621",Compta!$C$1:$C$675,$A166))</f>
        <v/>
      </c>
      <c r="X166" t="str">
        <f>IF($A166="","",SUMIFS(Compta!$F$1:$F$675,Compta!$A$1:$A$675,$B166,Compta!$B$1:$B$675,"6411",Compta!$C$1:$C$675,$A166))</f>
        <v/>
      </c>
      <c r="Y166" t="str">
        <f>IF($A166="","",SUMIFS(Compta!$F$1:$F$675,Compta!$A$1:$A$675,$B166,Compta!$B$1:$B$675,"604",Compta!$C$1:$C$675,$A166)+SUMIFS(Compta!$F$1:$F$675,Compta!$A$1:$A$675,$B166,Compta!$B$1:$B$675,"6063",Compta!$C$1:$C$675,$A166))</f>
        <v/>
      </c>
      <c r="Z166" t="str">
        <f>IF($A166="","",SUMIFS(Compta!$F$1:$F$675,Compta!$A$1:$A$675,$B166,Compta!$B$1:$B$675,"6231",Compta!$C$1:$C$675,$A166))</f>
        <v/>
      </c>
      <c r="AA166" t="str">
        <f>IF($A166="","",SUMIFS(Compta!$F$1:$F$675,Compta!$A$1:$A$675,$B166,Compta!$B$1:$B$675,"6413",Compta!$C$1:$C$675,$A166)+SUMIFS(Compta!$F$1:$F$675,Compta!$A$1:$A$675,$B166,Compta!$B$1:$B$675,"645",Compta!$C$1:$C$675,$A166)+SUMIFS(Compta!$F$1:$F$675,Compta!$A$1:$A$675,$B166,Compta!$B$1:$B$675,"613",Compta!$C$1:$C$675,$A166)+SUMIFS(Compta!$F$1:$F$675,Compta!$A$1:$A$675,$B166,Compta!$B$1:$B$675,"615",Compta!$C$1:$C$675,$A166)+SUMIFS(Compta!$F$1:$F$675,Compta!$A$1:$A$675,$B166,Compta!$B$1:$B$675,"616",Compta!$C$1:$C$675,$A166)+SUMIFS(Compta!$F$1:$F$675,Compta!$A$1:$A$675,$B166,Compta!$B$1:$B$675,"625",Compta!$C$1:$C$675,$A166)+SUMIFS(Compta!$F$1:$F$675,Compta!$A$1:$A$675,$B166,Compta!$B$1:$B$675,"63511",Compta!$C$1:$C$675,$A166))</f>
        <v/>
      </c>
      <c r="AB166" t="str">
        <f>IF($A166="","",SUMIFS(Compta!$F$1:$F$675,Compta!$A$1:$A$675,"GRP",Compta!$B$1:$B$675,"6414",Compta!$C$1:$C$675,$A166)+SUMIFS(Compta!$F$1:$F$675,Compta!$A$1:$A$675,"GRP",Compta!$B$1:$B$675,"6226",Compta!$C$1:$C$675,$A166)+SUMIFS(Compta!$F$1:$F$675,Compta!$A$1:$A$675,"GRP",Compta!$B$1:$B$675,"626",Compta!$C$1:$C$675,$A166)+SUMIFS(Compta!$F$1:$F$675,Compta!$A$1:$A$675,"GRP",Compta!$B$1:$B$675,"6281",Compta!$C$1:$C$675,$A166)+SUMIFS(Compta!$F$1:$F$675,Compta!$A$1:$A$675,"GRP",Compta!$B$1:$B$675,"6331",Compta!$C$1:$C$675,$A166)+SUMIFS(Compta!$F$1:$F$675,Compta!$A$1:$A$675,"GRP",Compta!$B$1:$B$675,"6333",Compta!$C$1:$C$675,$A166))</f>
        <v/>
      </c>
      <c r="AC166" t="s">
        <v>297</v>
      </c>
      <c r="AD166" t="s">
        <v>297</v>
      </c>
      <c r="AE166" t="s">
        <v>297</v>
      </c>
      <c r="AF166" t="s">
        <v>297</v>
      </c>
      <c r="AG166" t="s">
        <v>297</v>
      </c>
      <c r="AH166" t="s">
        <v>297</v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 t="str">
        <f>IF($A166="","",SUMIFS(Compta!$F$1:$F$675,Compta!$A$1:$A$675,"GRP",Compta!$B$1:$B$675,"6236",Compta!$C$1:$C$675,$A166))</f>
        <v/>
      </c>
      <c r="AP166" t="s">
        <v>297</v>
      </c>
      <c r="AQ166" t="s">
        <v>297</v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IF(Allocation!D167="","",Allocation!I167)</f>
        <v/>
      </c>
      <c r="H167" t="str">
        <f>IF(Allocation!D167="","",Allocation!J167)</f>
        <v/>
      </c>
      <c r="I167" t="str">
        <f>IF(Allocation!D167="","",Allocation!K167)</f>
        <v/>
      </c>
      <c r="J167" t="str">
        <f>IF($A167="","",SUMIFS(Socle!$K$1:$K$175,Socle!$C$1:$C$175,$B167,Socle!$D$1:$D$175,$D167,Socle!$E$1:$E$175,$E167,Socle!$F$1:$F$175,$F167,Socle!$G$1:$G$175,$A167))</f>
        <v/>
      </c>
      <c r="K167" t="str">
        <f t="shared" si="20"/>
        <v/>
      </c>
      <c r="L167" t="str">
        <f>IF($A167="","",SUMIFS(Allocation!$I$1:$I$175,Allocation!$C$1:$C$175,$A167,Allocation!$D$1:$D$175,$B167))</f>
        <v/>
      </c>
      <c r="M167" t="str">
        <f>IF($A167="","",SUMIFS(Allocation!$J$1:$J$175,Allocation!$C$1:$C$175,$A167,Allocation!$D$1:$D$175,$B167))</f>
        <v/>
      </c>
      <c r="N167" t="str">
        <f>IF($A167="","",SUMIFS(Allocation!$K$1:$K$175,Allocation!$C$1:$C$175,$A167,Allocation!$D$1:$D$175,$B167))</f>
        <v/>
      </c>
      <c r="O167" t="str">
        <f t="shared" si="21"/>
        <v/>
      </c>
      <c r="P167" t="str">
        <f t="shared" si="22"/>
        <v/>
      </c>
      <c r="Q167" t="str">
        <f>IF($A167="","",SUMIFS(Allocation!$I$1:$I$175,Allocation!$C$1:$C$175,$A167,Allocation!$E$1:$E$175,$C167))</f>
        <v/>
      </c>
      <c r="R167" t="str">
        <f>IF($A167="","",SUMIFS(Allocation!$J$1:$J$175,Allocation!$C$1:$C$175,$A167,Allocation!$E$1:$E$175,$C167))</f>
        <v/>
      </c>
      <c r="S167" t="str">
        <f>IF($A167="","",SUMIFS(Allocation!$K$1:$K$175,Allocation!$C$1:$C$175,$A167,Allocation!$E$1:$E$175,$C167))</f>
        <v/>
      </c>
      <c r="T167" t="str">
        <f>IF($A167="","",SUMIFS(Allocation!$I$1:$I$175,Allocation!$C$1:$C$175,$A167))</f>
        <v/>
      </c>
      <c r="U167" t="str">
        <f>IF($A167="","",SUMIFS(Allocation!$J$1:$J$175,Allocation!$C$1:$C$175,$A167))</f>
        <v/>
      </c>
      <c r="V167" t="str">
        <f>IF($A167="","",SUMIFS(Allocation!$K$1:$K$175,Allocation!$C$1:$C$175,$A167))</f>
        <v/>
      </c>
      <c r="W167" t="str">
        <f>IF($A167="","",SUMIFS(Compta!$F$1:$F$675,Compta!$A$1:$A$675,$B167,Compta!$B$1:$B$675,"621",Compta!$C$1:$C$675,$A167))</f>
        <v/>
      </c>
      <c r="X167" t="str">
        <f>IF($A167="","",SUMIFS(Compta!$F$1:$F$675,Compta!$A$1:$A$675,$B167,Compta!$B$1:$B$675,"6411",Compta!$C$1:$C$675,$A167))</f>
        <v/>
      </c>
      <c r="Y167" t="str">
        <f>IF($A167="","",SUMIFS(Compta!$F$1:$F$675,Compta!$A$1:$A$675,$B167,Compta!$B$1:$B$675,"604",Compta!$C$1:$C$675,$A167)+SUMIFS(Compta!$F$1:$F$675,Compta!$A$1:$A$675,$B167,Compta!$B$1:$B$675,"6063",Compta!$C$1:$C$675,$A167))</f>
        <v/>
      </c>
      <c r="Z167" t="str">
        <f>IF($A167="","",SUMIFS(Compta!$F$1:$F$675,Compta!$A$1:$A$675,$B167,Compta!$B$1:$B$675,"6231",Compta!$C$1:$C$675,$A167))</f>
        <v/>
      </c>
      <c r="AA167" t="str">
        <f>IF($A167="","",SUMIFS(Compta!$F$1:$F$675,Compta!$A$1:$A$675,$B167,Compta!$B$1:$B$675,"6413",Compta!$C$1:$C$675,$A167)+SUMIFS(Compta!$F$1:$F$675,Compta!$A$1:$A$675,$B167,Compta!$B$1:$B$675,"645",Compta!$C$1:$C$675,$A167)+SUMIFS(Compta!$F$1:$F$675,Compta!$A$1:$A$675,$B167,Compta!$B$1:$B$675,"613",Compta!$C$1:$C$675,$A167)+SUMIFS(Compta!$F$1:$F$675,Compta!$A$1:$A$675,$B167,Compta!$B$1:$B$675,"615",Compta!$C$1:$C$675,$A167)+SUMIFS(Compta!$F$1:$F$675,Compta!$A$1:$A$675,$B167,Compta!$B$1:$B$675,"616",Compta!$C$1:$C$675,$A167)+SUMIFS(Compta!$F$1:$F$675,Compta!$A$1:$A$675,$B167,Compta!$B$1:$B$675,"625",Compta!$C$1:$C$675,$A167)+SUMIFS(Compta!$F$1:$F$675,Compta!$A$1:$A$675,$B167,Compta!$B$1:$B$675,"63511",Compta!$C$1:$C$675,$A167))</f>
        <v/>
      </c>
      <c r="AB167" t="str">
        <f>IF($A167="","",SUMIFS(Compta!$F$1:$F$675,Compta!$A$1:$A$675,"GRP",Compta!$B$1:$B$675,"6414",Compta!$C$1:$C$675,$A167)+SUMIFS(Compta!$F$1:$F$675,Compta!$A$1:$A$675,"GRP",Compta!$B$1:$B$675,"6226",Compta!$C$1:$C$675,$A167)+SUMIFS(Compta!$F$1:$F$675,Compta!$A$1:$A$675,"GRP",Compta!$B$1:$B$675,"626",Compta!$C$1:$C$675,$A167)+SUMIFS(Compta!$F$1:$F$675,Compta!$A$1:$A$675,"GRP",Compta!$B$1:$B$675,"6281",Compta!$C$1:$C$675,$A167)+SUMIFS(Compta!$F$1:$F$675,Compta!$A$1:$A$675,"GRP",Compta!$B$1:$B$675,"6331",Compta!$C$1:$C$675,$A167)+SUMIFS(Compta!$F$1:$F$675,Compta!$A$1:$A$675,"GRP",Compta!$B$1:$B$675,"6333",Compta!$C$1:$C$675,$A167))</f>
        <v/>
      </c>
      <c r="AC167" t="s">
        <v>297</v>
      </c>
      <c r="AD167" t="s">
        <v>297</v>
      </c>
      <c r="AE167" t="s">
        <v>297</v>
      </c>
      <c r="AF167" t="s">
        <v>297</v>
      </c>
      <c r="AG167" t="s">
        <v>297</v>
      </c>
      <c r="AH167" t="s">
        <v>297</v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 t="str">
        <f>IF($A167="","",SUMIFS(Compta!$F$1:$F$675,Compta!$A$1:$A$675,"GRP",Compta!$B$1:$B$675,"6236",Compta!$C$1:$C$675,$A167))</f>
        <v/>
      </c>
      <c r="AP167" t="s">
        <v>297</v>
      </c>
      <c r="AQ167" t="s">
        <v>297</v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IF(Allocation!D168="","",Allocation!I168)</f>
        <v/>
      </c>
      <c r="H168" t="str">
        <f>IF(Allocation!D168="","",Allocation!J168)</f>
        <v/>
      </c>
      <c r="I168" t="str">
        <f>IF(Allocation!D168="","",Allocation!K168)</f>
        <v/>
      </c>
      <c r="J168" t="str">
        <f>IF($A168="","",SUMIFS(Socle!$K$1:$K$175,Socle!$C$1:$C$175,$B168,Socle!$D$1:$D$175,$D168,Socle!$E$1:$E$175,$E168,Socle!$F$1:$F$175,$F168,Socle!$G$1:$G$175,$A168))</f>
        <v/>
      </c>
      <c r="K168" t="str">
        <f t="shared" si="20"/>
        <v/>
      </c>
      <c r="L168" t="str">
        <f>IF($A168="","",SUMIFS(Allocation!$I$1:$I$175,Allocation!$C$1:$C$175,$A168,Allocation!$D$1:$D$175,$B168))</f>
        <v/>
      </c>
      <c r="M168" t="str">
        <f>IF($A168="","",SUMIFS(Allocation!$J$1:$J$175,Allocation!$C$1:$C$175,$A168,Allocation!$D$1:$D$175,$B168))</f>
        <v/>
      </c>
      <c r="N168" t="str">
        <f>IF($A168="","",SUMIFS(Allocation!$K$1:$K$175,Allocation!$C$1:$C$175,$A168,Allocation!$D$1:$D$175,$B168))</f>
        <v/>
      </c>
      <c r="O168" t="str">
        <f t="shared" si="21"/>
        <v/>
      </c>
      <c r="P168" t="str">
        <f t="shared" si="22"/>
        <v/>
      </c>
      <c r="Q168" t="str">
        <f>IF($A168="","",SUMIFS(Allocation!$I$1:$I$175,Allocation!$C$1:$C$175,$A168,Allocation!$E$1:$E$175,$C168))</f>
        <v/>
      </c>
      <c r="R168" t="str">
        <f>IF($A168="","",SUMIFS(Allocation!$J$1:$J$175,Allocation!$C$1:$C$175,$A168,Allocation!$E$1:$E$175,$C168))</f>
        <v/>
      </c>
      <c r="S168" t="str">
        <f>IF($A168="","",SUMIFS(Allocation!$K$1:$K$175,Allocation!$C$1:$C$175,$A168,Allocation!$E$1:$E$175,$C168))</f>
        <v/>
      </c>
      <c r="T168" t="str">
        <f>IF($A168="","",SUMIFS(Allocation!$I$1:$I$175,Allocation!$C$1:$C$175,$A168))</f>
        <v/>
      </c>
      <c r="U168" t="str">
        <f>IF($A168="","",SUMIFS(Allocation!$J$1:$J$175,Allocation!$C$1:$C$175,$A168))</f>
        <v/>
      </c>
      <c r="V168" t="str">
        <f>IF($A168="","",SUMIFS(Allocation!$K$1:$K$175,Allocation!$C$1:$C$175,$A168))</f>
        <v/>
      </c>
      <c r="W168" t="str">
        <f>IF($A168="","",SUMIFS(Compta!$F$1:$F$675,Compta!$A$1:$A$675,$B168,Compta!$B$1:$B$675,"621",Compta!$C$1:$C$675,$A168))</f>
        <v/>
      </c>
      <c r="X168" t="str">
        <f>IF($A168="","",SUMIFS(Compta!$F$1:$F$675,Compta!$A$1:$A$675,$B168,Compta!$B$1:$B$675,"6411",Compta!$C$1:$C$675,$A168))</f>
        <v/>
      </c>
      <c r="Y168" t="str">
        <f>IF($A168="","",SUMIFS(Compta!$F$1:$F$675,Compta!$A$1:$A$675,$B168,Compta!$B$1:$B$675,"604",Compta!$C$1:$C$675,$A168)+SUMIFS(Compta!$F$1:$F$675,Compta!$A$1:$A$675,$B168,Compta!$B$1:$B$675,"6063",Compta!$C$1:$C$675,$A168))</f>
        <v/>
      </c>
      <c r="Z168" t="str">
        <f>IF($A168="","",SUMIFS(Compta!$F$1:$F$675,Compta!$A$1:$A$675,$B168,Compta!$B$1:$B$675,"6231",Compta!$C$1:$C$675,$A168))</f>
        <v/>
      </c>
      <c r="AA168" t="str">
        <f>IF($A168="","",SUMIFS(Compta!$F$1:$F$675,Compta!$A$1:$A$675,$B168,Compta!$B$1:$B$675,"6413",Compta!$C$1:$C$675,$A168)+SUMIFS(Compta!$F$1:$F$675,Compta!$A$1:$A$675,$B168,Compta!$B$1:$B$675,"645",Compta!$C$1:$C$675,$A168)+SUMIFS(Compta!$F$1:$F$675,Compta!$A$1:$A$675,$B168,Compta!$B$1:$B$675,"613",Compta!$C$1:$C$675,$A168)+SUMIFS(Compta!$F$1:$F$675,Compta!$A$1:$A$675,$B168,Compta!$B$1:$B$675,"615",Compta!$C$1:$C$675,$A168)+SUMIFS(Compta!$F$1:$F$675,Compta!$A$1:$A$675,$B168,Compta!$B$1:$B$675,"616",Compta!$C$1:$C$675,$A168)+SUMIFS(Compta!$F$1:$F$675,Compta!$A$1:$A$675,$B168,Compta!$B$1:$B$675,"625",Compta!$C$1:$C$675,$A168)+SUMIFS(Compta!$F$1:$F$675,Compta!$A$1:$A$675,$B168,Compta!$B$1:$B$675,"63511",Compta!$C$1:$C$675,$A168))</f>
        <v/>
      </c>
      <c r="AB168" t="str">
        <f>IF($A168="","",SUMIFS(Compta!$F$1:$F$675,Compta!$A$1:$A$675,"GRP",Compta!$B$1:$B$675,"6414",Compta!$C$1:$C$675,$A168)+SUMIFS(Compta!$F$1:$F$675,Compta!$A$1:$A$675,"GRP",Compta!$B$1:$B$675,"6226",Compta!$C$1:$C$675,$A168)+SUMIFS(Compta!$F$1:$F$675,Compta!$A$1:$A$675,"GRP",Compta!$B$1:$B$675,"626",Compta!$C$1:$C$675,$A168)+SUMIFS(Compta!$F$1:$F$675,Compta!$A$1:$A$675,"GRP",Compta!$B$1:$B$675,"6281",Compta!$C$1:$C$675,$A168)+SUMIFS(Compta!$F$1:$F$675,Compta!$A$1:$A$675,"GRP",Compta!$B$1:$B$675,"6331",Compta!$C$1:$C$675,$A168)+SUMIFS(Compta!$F$1:$F$675,Compta!$A$1:$A$675,"GRP",Compta!$B$1:$B$675,"6333",Compta!$C$1:$C$675,$A168))</f>
        <v/>
      </c>
      <c r="AC168" t="s">
        <v>297</v>
      </c>
      <c r="AD168" t="s">
        <v>297</v>
      </c>
      <c r="AE168" t="s">
        <v>297</v>
      </c>
      <c r="AF168" t="s">
        <v>297</v>
      </c>
      <c r="AG168" t="s">
        <v>297</v>
      </c>
      <c r="AH168" t="s">
        <v>297</v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 t="str">
        <f>IF($A168="","",SUMIFS(Compta!$F$1:$F$675,Compta!$A$1:$A$675,"GRP",Compta!$B$1:$B$675,"6236",Compta!$C$1:$C$675,$A168))</f>
        <v/>
      </c>
      <c r="AP168" t="s">
        <v>297</v>
      </c>
      <c r="AQ168" t="s">
        <v>297</v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IF(Allocation!D169="","",Allocation!I169)</f>
        <v/>
      </c>
      <c r="H169" t="str">
        <f>IF(Allocation!D169="","",Allocation!J169)</f>
        <v/>
      </c>
      <c r="I169" t="str">
        <f>IF(Allocation!D169="","",Allocation!K169)</f>
        <v/>
      </c>
      <c r="J169" t="str">
        <f>IF($A169="","",SUMIFS(Socle!$K$1:$K$175,Socle!$C$1:$C$175,$B169,Socle!$D$1:$D$175,$D169,Socle!$E$1:$E$175,$E169,Socle!$F$1:$F$175,$F169,Socle!$G$1:$G$175,$A169))</f>
        <v/>
      </c>
      <c r="K169" t="str">
        <f t="shared" si="20"/>
        <v/>
      </c>
      <c r="L169" t="str">
        <f>IF($A169="","",SUMIFS(Allocation!$I$1:$I$175,Allocation!$C$1:$C$175,$A169,Allocation!$D$1:$D$175,$B169))</f>
        <v/>
      </c>
      <c r="M169" t="str">
        <f>IF($A169="","",SUMIFS(Allocation!$J$1:$J$175,Allocation!$C$1:$C$175,$A169,Allocation!$D$1:$D$175,$B169))</f>
        <v/>
      </c>
      <c r="N169" t="str">
        <f>IF($A169="","",SUMIFS(Allocation!$K$1:$K$175,Allocation!$C$1:$C$175,$A169,Allocation!$D$1:$D$175,$B169))</f>
        <v/>
      </c>
      <c r="O169" t="str">
        <f t="shared" si="21"/>
        <v/>
      </c>
      <c r="P169" t="str">
        <f t="shared" si="22"/>
        <v/>
      </c>
      <c r="Q169" t="str">
        <f>IF($A169="","",SUMIFS(Allocation!$I$1:$I$175,Allocation!$C$1:$C$175,$A169,Allocation!$E$1:$E$175,$C169))</f>
        <v/>
      </c>
      <c r="R169" t="str">
        <f>IF($A169="","",SUMIFS(Allocation!$J$1:$J$175,Allocation!$C$1:$C$175,$A169,Allocation!$E$1:$E$175,$C169))</f>
        <v/>
      </c>
      <c r="S169" t="str">
        <f>IF($A169="","",SUMIFS(Allocation!$K$1:$K$175,Allocation!$C$1:$C$175,$A169,Allocation!$E$1:$E$175,$C169))</f>
        <v/>
      </c>
      <c r="T169" t="str">
        <f>IF($A169="","",SUMIFS(Allocation!$I$1:$I$175,Allocation!$C$1:$C$175,$A169))</f>
        <v/>
      </c>
      <c r="U169" t="str">
        <f>IF($A169="","",SUMIFS(Allocation!$J$1:$J$175,Allocation!$C$1:$C$175,$A169))</f>
        <v/>
      </c>
      <c r="V169" t="str">
        <f>IF($A169="","",SUMIFS(Allocation!$K$1:$K$175,Allocation!$C$1:$C$175,$A169))</f>
        <v/>
      </c>
      <c r="W169" t="str">
        <f>IF($A169="","",SUMIFS(Compta!$F$1:$F$675,Compta!$A$1:$A$675,$B169,Compta!$B$1:$B$675,"621",Compta!$C$1:$C$675,$A169))</f>
        <v/>
      </c>
      <c r="X169" t="str">
        <f>IF($A169="","",SUMIFS(Compta!$F$1:$F$675,Compta!$A$1:$A$675,$B169,Compta!$B$1:$B$675,"6411",Compta!$C$1:$C$675,$A169))</f>
        <v/>
      </c>
      <c r="Y169" t="str">
        <f>IF($A169="","",SUMIFS(Compta!$F$1:$F$675,Compta!$A$1:$A$675,$B169,Compta!$B$1:$B$675,"604",Compta!$C$1:$C$675,$A169)+SUMIFS(Compta!$F$1:$F$675,Compta!$A$1:$A$675,$B169,Compta!$B$1:$B$675,"6063",Compta!$C$1:$C$675,$A169))</f>
        <v/>
      </c>
      <c r="Z169" t="str">
        <f>IF($A169="","",SUMIFS(Compta!$F$1:$F$675,Compta!$A$1:$A$675,$B169,Compta!$B$1:$B$675,"6231",Compta!$C$1:$C$675,$A169))</f>
        <v/>
      </c>
      <c r="AA169" t="str">
        <f>IF($A169="","",SUMIFS(Compta!$F$1:$F$675,Compta!$A$1:$A$675,$B169,Compta!$B$1:$B$675,"6413",Compta!$C$1:$C$675,$A169)+SUMIFS(Compta!$F$1:$F$675,Compta!$A$1:$A$675,$B169,Compta!$B$1:$B$675,"645",Compta!$C$1:$C$675,$A169)+SUMIFS(Compta!$F$1:$F$675,Compta!$A$1:$A$675,$B169,Compta!$B$1:$B$675,"613",Compta!$C$1:$C$675,$A169)+SUMIFS(Compta!$F$1:$F$675,Compta!$A$1:$A$675,$B169,Compta!$B$1:$B$675,"615",Compta!$C$1:$C$675,$A169)+SUMIFS(Compta!$F$1:$F$675,Compta!$A$1:$A$675,$B169,Compta!$B$1:$B$675,"616",Compta!$C$1:$C$675,$A169)+SUMIFS(Compta!$F$1:$F$675,Compta!$A$1:$A$675,$B169,Compta!$B$1:$B$675,"625",Compta!$C$1:$C$675,$A169)+SUMIFS(Compta!$F$1:$F$675,Compta!$A$1:$A$675,$B169,Compta!$B$1:$B$675,"63511",Compta!$C$1:$C$675,$A169))</f>
        <v/>
      </c>
      <c r="AB169" t="str">
        <f>IF($A169="","",SUMIFS(Compta!$F$1:$F$675,Compta!$A$1:$A$675,"GRP",Compta!$B$1:$B$675,"6414",Compta!$C$1:$C$675,$A169)+SUMIFS(Compta!$F$1:$F$675,Compta!$A$1:$A$675,"GRP",Compta!$B$1:$B$675,"6226",Compta!$C$1:$C$675,$A169)+SUMIFS(Compta!$F$1:$F$675,Compta!$A$1:$A$675,"GRP",Compta!$B$1:$B$675,"626",Compta!$C$1:$C$675,$A169)+SUMIFS(Compta!$F$1:$F$675,Compta!$A$1:$A$675,"GRP",Compta!$B$1:$B$675,"6281",Compta!$C$1:$C$675,$A169)+SUMIFS(Compta!$F$1:$F$675,Compta!$A$1:$A$675,"GRP",Compta!$B$1:$B$675,"6331",Compta!$C$1:$C$675,$A169)+SUMIFS(Compta!$F$1:$F$675,Compta!$A$1:$A$675,"GRP",Compta!$B$1:$B$675,"6333",Compta!$C$1:$C$675,$A169))</f>
        <v/>
      </c>
      <c r="AC169" t="s">
        <v>297</v>
      </c>
      <c r="AD169" t="s">
        <v>297</v>
      </c>
      <c r="AE169" t="s">
        <v>297</v>
      </c>
      <c r="AF169" t="s">
        <v>297</v>
      </c>
      <c r="AG169" t="s">
        <v>297</v>
      </c>
      <c r="AH169" t="s">
        <v>297</v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 t="str">
        <f>IF($A169="","",SUMIFS(Compta!$F$1:$F$675,Compta!$A$1:$A$675,"GRP",Compta!$B$1:$B$675,"6236",Compta!$C$1:$C$675,$A169))</f>
        <v/>
      </c>
      <c r="AP169" t="s">
        <v>297</v>
      </c>
      <c r="AQ169" t="s">
        <v>297</v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IF(Allocation!D170="","",Allocation!I170)</f>
        <v/>
      </c>
      <c r="H170" t="str">
        <f>IF(Allocation!D170="","",Allocation!J170)</f>
        <v/>
      </c>
      <c r="I170" t="str">
        <f>IF(Allocation!D170="","",Allocation!K170)</f>
        <v/>
      </c>
      <c r="J170" t="str">
        <f>IF($A170="","",SUMIFS(Socle!$K$1:$K$175,Socle!$C$1:$C$175,$B170,Socle!$D$1:$D$175,$D170,Socle!$E$1:$E$175,$E170,Socle!$F$1:$F$175,$F170,Socle!$G$1:$G$175,$A170))</f>
        <v/>
      </c>
      <c r="K170" t="str">
        <f t="shared" si="20"/>
        <v/>
      </c>
      <c r="L170" t="str">
        <f>IF($A170="","",SUMIFS(Allocation!$I$1:$I$175,Allocation!$C$1:$C$175,$A170,Allocation!$D$1:$D$175,$B170))</f>
        <v/>
      </c>
      <c r="M170" t="str">
        <f>IF($A170="","",SUMIFS(Allocation!$J$1:$J$175,Allocation!$C$1:$C$175,$A170,Allocation!$D$1:$D$175,$B170))</f>
        <v/>
      </c>
      <c r="N170" t="str">
        <f>IF($A170="","",SUMIFS(Allocation!$K$1:$K$175,Allocation!$C$1:$C$175,$A170,Allocation!$D$1:$D$175,$B170))</f>
        <v/>
      </c>
      <c r="O170" t="str">
        <f t="shared" si="21"/>
        <v/>
      </c>
      <c r="P170" t="str">
        <f t="shared" si="22"/>
        <v/>
      </c>
      <c r="Q170" t="str">
        <f>IF($A170="","",SUMIFS(Allocation!$I$1:$I$175,Allocation!$C$1:$C$175,$A170,Allocation!$E$1:$E$175,$C170))</f>
        <v/>
      </c>
      <c r="R170" t="str">
        <f>IF($A170="","",SUMIFS(Allocation!$J$1:$J$175,Allocation!$C$1:$C$175,$A170,Allocation!$E$1:$E$175,$C170))</f>
        <v/>
      </c>
      <c r="S170" t="str">
        <f>IF($A170="","",SUMIFS(Allocation!$K$1:$K$175,Allocation!$C$1:$C$175,$A170,Allocation!$E$1:$E$175,$C170))</f>
        <v/>
      </c>
      <c r="T170" t="str">
        <f>IF($A170="","",SUMIFS(Allocation!$I$1:$I$175,Allocation!$C$1:$C$175,$A170))</f>
        <v/>
      </c>
      <c r="U170" t="str">
        <f>IF($A170="","",SUMIFS(Allocation!$J$1:$J$175,Allocation!$C$1:$C$175,$A170))</f>
        <v/>
      </c>
      <c r="V170" t="str">
        <f>IF($A170="","",SUMIFS(Allocation!$K$1:$K$175,Allocation!$C$1:$C$175,$A170))</f>
        <v/>
      </c>
      <c r="W170" t="str">
        <f>IF($A170="","",SUMIFS(Compta!$F$1:$F$675,Compta!$A$1:$A$675,$B170,Compta!$B$1:$B$675,"621",Compta!$C$1:$C$675,$A170))</f>
        <v/>
      </c>
      <c r="X170" t="str">
        <f>IF($A170="","",SUMIFS(Compta!$F$1:$F$675,Compta!$A$1:$A$675,$B170,Compta!$B$1:$B$675,"6411",Compta!$C$1:$C$675,$A170))</f>
        <v/>
      </c>
      <c r="Y170" t="str">
        <f>IF($A170="","",SUMIFS(Compta!$F$1:$F$675,Compta!$A$1:$A$675,$B170,Compta!$B$1:$B$675,"604",Compta!$C$1:$C$675,$A170)+SUMIFS(Compta!$F$1:$F$675,Compta!$A$1:$A$675,$B170,Compta!$B$1:$B$675,"6063",Compta!$C$1:$C$675,$A170))</f>
        <v/>
      </c>
      <c r="Z170" t="str">
        <f>IF($A170="","",SUMIFS(Compta!$F$1:$F$675,Compta!$A$1:$A$675,$B170,Compta!$B$1:$B$675,"6231",Compta!$C$1:$C$675,$A170))</f>
        <v/>
      </c>
      <c r="AA170" t="str">
        <f>IF($A170="","",SUMIFS(Compta!$F$1:$F$675,Compta!$A$1:$A$675,$B170,Compta!$B$1:$B$675,"6413",Compta!$C$1:$C$675,$A170)+SUMIFS(Compta!$F$1:$F$675,Compta!$A$1:$A$675,$B170,Compta!$B$1:$B$675,"645",Compta!$C$1:$C$675,$A170)+SUMIFS(Compta!$F$1:$F$675,Compta!$A$1:$A$675,$B170,Compta!$B$1:$B$675,"613",Compta!$C$1:$C$675,$A170)+SUMIFS(Compta!$F$1:$F$675,Compta!$A$1:$A$675,$B170,Compta!$B$1:$B$675,"615",Compta!$C$1:$C$675,$A170)+SUMIFS(Compta!$F$1:$F$675,Compta!$A$1:$A$675,$B170,Compta!$B$1:$B$675,"616",Compta!$C$1:$C$675,$A170)+SUMIFS(Compta!$F$1:$F$675,Compta!$A$1:$A$675,$B170,Compta!$B$1:$B$675,"625",Compta!$C$1:$C$675,$A170)+SUMIFS(Compta!$F$1:$F$675,Compta!$A$1:$A$675,$B170,Compta!$B$1:$B$675,"63511",Compta!$C$1:$C$675,$A170))</f>
        <v/>
      </c>
      <c r="AB170" t="str">
        <f>IF($A170="","",SUMIFS(Compta!$F$1:$F$675,Compta!$A$1:$A$675,"GRP",Compta!$B$1:$B$675,"6414",Compta!$C$1:$C$675,$A170)+SUMIFS(Compta!$F$1:$F$675,Compta!$A$1:$A$675,"GRP",Compta!$B$1:$B$675,"6226",Compta!$C$1:$C$675,$A170)+SUMIFS(Compta!$F$1:$F$675,Compta!$A$1:$A$675,"GRP",Compta!$B$1:$B$675,"626",Compta!$C$1:$C$675,$A170)+SUMIFS(Compta!$F$1:$F$675,Compta!$A$1:$A$675,"GRP",Compta!$B$1:$B$675,"6281",Compta!$C$1:$C$675,$A170)+SUMIFS(Compta!$F$1:$F$675,Compta!$A$1:$A$675,"GRP",Compta!$B$1:$B$675,"6331",Compta!$C$1:$C$675,$A170)+SUMIFS(Compta!$F$1:$F$675,Compta!$A$1:$A$675,"GRP",Compta!$B$1:$B$675,"6333",Compta!$C$1:$C$675,$A170))</f>
        <v/>
      </c>
      <c r="AC170" t="s">
        <v>297</v>
      </c>
      <c r="AD170" t="s">
        <v>297</v>
      </c>
      <c r="AE170" t="s">
        <v>297</v>
      </c>
      <c r="AF170" t="s">
        <v>297</v>
      </c>
      <c r="AG170" t="s">
        <v>297</v>
      </c>
      <c r="AH170" t="s">
        <v>297</v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 t="str">
        <f>IF($A170="","",SUMIFS(Compta!$F$1:$F$675,Compta!$A$1:$A$675,"GRP",Compta!$B$1:$B$675,"6236",Compta!$C$1:$C$675,$A170))</f>
        <v/>
      </c>
      <c r="AP170" t="s">
        <v>297</v>
      </c>
      <c r="AQ170" t="s">
        <v>297</v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IF(Allocation!D171="","",Allocation!I171)</f>
        <v/>
      </c>
      <c r="H171" t="str">
        <f>IF(Allocation!D171="","",Allocation!J171)</f>
        <v/>
      </c>
      <c r="I171" t="str">
        <f>IF(Allocation!D171="","",Allocation!K171)</f>
        <v/>
      </c>
      <c r="J171" t="str">
        <f>IF($A171="","",SUMIFS(Socle!$K$1:$K$175,Socle!$C$1:$C$175,$B171,Socle!$D$1:$D$175,$D171,Socle!$E$1:$E$175,$E171,Socle!$F$1:$F$175,$F171,Socle!$G$1:$G$175,$A171))</f>
        <v/>
      </c>
      <c r="K171" t="str">
        <f t="shared" si="20"/>
        <v/>
      </c>
      <c r="L171" t="str">
        <f>IF($A171="","",SUMIFS(Allocation!$I$1:$I$175,Allocation!$C$1:$C$175,$A171,Allocation!$D$1:$D$175,$B171))</f>
        <v/>
      </c>
      <c r="M171" t="str">
        <f>IF($A171="","",SUMIFS(Allocation!$J$1:$J$175,Allocation!$C$1:$C$175,$A171,Allocation!$D$1:$D$175,$B171))</f>
        <v/>
      </c>
      <c r="N171" t="str">
        <f>IF($A171="","",SUMIFS(Allocation!$K$1:$K$175,Allocation!$C$1:$C$175,$A171,Allocation!$D$1:$D$175,$B171))</f>
        <v/>
      </c>
      <c r="O171" t="str">
        <f t="shared" si="21"/>
        <v/>
      </c>
      <c r="P171" t="str">
        <f t="shared" si="22"/>
        <v/>
      </c>
      <c r="Q171" t="str">
        <f>IF($A171="","",SUMIFS(Allocation!$I$1:$I$175,Allocation!$C$1:$C$175,$A171,Allocation!$E$1:$E$175,$C171))</f>
        <v/>
      </c>
      <c r="R171" t="str">
        <f>IF($A171="","",SUMIFS(Allocation!$J$1:$J$175,Allocation!$C$1:$C$175,$A171,Allocation!$E$1:$E$175,$C171))</f>
        <v/>
      </c>
      <c r="S171" t="str">
        <f>IF($A171="","",SUMIFS(Allocation!$K$1:$K$175,Allocation!$C$1:$C$175,$A171,Allocation!$E$1:$E$175,$C171))</f>
        <v/>
      </c>
      <c r="T171" t="str">
        <f>IF($A171="","",SUMIFS(Allocation!$I$1:$I$175,Allocation!$C$1:$C$175,$A171))</f>
        <v/>
      </c>
      <c r="U171" t="str">
        <f>IF($A171="","",SUMIFS(Allocation!$J$1:$J$175,Allocation!$C$1:$C$175,$A171))</f>
        <v/>
      </c>
      <c r="V171" t="str">
        <f>IF($A171="","",SUMIFS(Allocation!$K$1:$K$175,Allocation!$C$1:$C$175,$A171))</f>
        <v/>
      </c>
      <c r="W171" t="str">
        <f>IF($A171="","",SUMIFS(Compta!$F$1:$F$675,Compta!$A$1:$A$675,$B171,Compta!$B$1:$B$675,"621",Compta!$C$1:$C$675,$A171))</f>
        <v/>
      </c>
      <c r="X171" t="str">
        <f>IF($A171="","",SUMIFS(Compta!$F$1:$F$675,Compta!$A$1:$A$675,$B171,Compta!$B$1:$B$675,"6411",Compta!$C$1:$C$675,$A171))</f>
        <v/>
      </c>
      <c r="Y171" t="str">
        <f>IF($A171="","",SUMIFS(Compta!$F$1:$F$675,Compta!$A$1:$A$675,$B171,Compta!$B$1:$B$675,"604",Compta!$C$1:$C$675,$A171)+SUMIFS(Compta!$F$1:$F$675,Compta!$A$1:$A$675,$B171,Compta!$B$1:$B$675,"6063",Compta!$C$1:$C$675,$A171))</f>
        <v/>
      </c>
      <c r="Z171" t="str">
        <f>IF($A171="","",SUMIFS(Compta!$F$1:$F$675,Compta!$A$1:$A$675,$B171,Compta!$B$1:$B$675,"6231",Compta!$C$1:$C$675,$A171))</f>
        <v/>
      </c>
      <c r="AA171" t="str">
        <f>IF($A171="","",SUMIFS(Compta!$F$1:$F$675,Compta!$A$1:$A$675,$B171,Compta!$B$1:$B$675,"6413",Compta!$C$1:$C$675,$A171)+SUMIFS(Compta!$F$1:$F$675,Compta!$A$1:$A$675,$B171,Compta!$B$1:$B$675,"645",Compta!$C$1:$C$675,$A171)+SUMIFS(Compta!$F$1:$F$675,Compta!$A$1:$A$675,$B171,Compta!$B$1:$B$675,"613",Compta!$C$1:$C$675,$A171)+SUMIFS(Compta!$F$1:$F$675,Compta!$A$1:$A$675,$B171,Compta!$B$1:$B$675,"615",Compta!$C$1:$C$675,$A171)+SUMIFS(Compta!$F$1:$F$675,Compta!$A$1:$A$675,$B171,Compta!$B$1:$B$675,"616",Compta!$C$1:$C$675,$A171)+SUMIFS(Compta!$F$1:$F$675,Compta!$A$1:$A$675,$B171,Compta!$B$1:$B$675,"625",Compta!$C$1:$C$675,$A171)+SUMIFS(Compta!$F$1:$F$675,Compta!$A$1:$A$675,$B171,Compta!$B$1:$B$675,"63511",Compta!$C$1:$C$675,$A171))</f>
        <v/>
      </c>
      <c r="AB171" t="str">
        <f>IF($A171="","",SUMIFS(Compta!$F$1:$F$675,Compta!$A$1:$A$675,"GRP",Compta!$B$1:$B$675,"6414",Compta!$C$1:$C$675,$A171)+SUMIFS(Compta!$F$1:$F$675,Compta!$A$1:$A$675,"GRP",Compta!$B$1:$B$675,"6226",Compta!$C$1:$C$675,$A171)+SUMIFS(Compta!$F$1:$F$675,Compta!$A$1:$A$675,"GRP",Compta!$B$1:$B$675,"626",Compta!$C$1:$C$675,$A171)+SUMIFS(Compta!$F$1:$F$675,Compta!$A$1:$A$675,"GRP",Compta!$B$1:$B$675,"6281",Compta!$C$1:$C$675,$A171)+SUMIFS(Compta!$F$1:$F$675,Compta!$A$1:$A$675,"GRP",Compta!$B$1:$B$675,"6331",Compta!$C$1:$C$675,$A171)+SUMIFS(Compta!$F$1:$F$675,Compta!$A$1:$A$675,"GRP",Compta!$B$1:$B$675,"6333",Compta!$C$1:$C$675,$A171))</f>
        <v/>
      </c>
      <c r="AC171" t="s">
        <v>297</v>
      </c>
      <c r="AD171" t="s">
        <v>297</v>
      </c>
      <c r="AE171" t="s">
        <v>297</v>
      </c>
      <c r="AF171" t="s">
        <v>297</v>
      </c>
      <c r="AG171" t="s">
        <v>297</v>
      </c>
      <c r="AH171" t="s">
        <v>297</v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 t="str">
        <f>IF($A171="","",SUMIFS(Compta!$F$1:$F$675,Compta!$A$1:$A$675,"GRP",Compta!$B$1:$B$675,"6236",Compta!$C$1:$C$675,$A171))</f>
        <v/>
      </c>
      <c r="AP171" t="s">
        <v>297</v>
      </c>
      <c r="AQ171" t="s">
        <v>297</v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IF(Allocation!D172="","",Allocation!I172)</f>
        <v/>
      </c>
      <c r="H172" t="str">
        <f>IF(Allocation!D172="","",Allocation!J172)</f>
        <v/>
      </c>
      <c r="I172" t="str">
        <f>IF(Allocation!D172="","",Allocation!K172)</f>
        <v/>
      </c>
      <c r="J172" t="str">
        <f>IF($A172="","",SUMIFS(Socle!$K$1:$K$175,Socle!$C$1:$C$175,$B172,Socle!$D$1:$D$175,$D172,Socle!$E$1:$E$175,$E172,Socle!$F$1:$F$175,$F172,Socle!$G$1:$G$175,$A172))</f>
        <v/>
      </c>
      <c r="K172" t="str">
        <f t="shared" si="20"/>
        <v/>
      </c>
      <c r="L172" t="str">
        <f>IF($A172="","",SUMIFS(Allocation!$I$1:$I$175,Allocation!$C$1:$C$175,$A172,Allocation!$D$1:$D$175,$B172))</f>
        <v/>
      </c>
      <c r="M172" t="str">
        <f>IF($A172="","",SUMIFS(Allocation!$J$1:$J$175,Allocation!$C$1:$C$175,$A172,Allocation!$D$1:$D$175,$B172))</f>
        <v/>
      </c>
      <c r="N172" t="str">
        <f>IF($A172="","",SUMIFS(Allocation!$K$1:$K$175,Allocation!$C$1:$C$175,$A172,Allocation!$D$1:$D$175,$B172))</f>
        <v/>
      </c>
      <c r="O172" t="str">
        <f t="shared" si="21"/>
        <v/>
      </c>
      <c r="P172" t="str">
        <f t="shared" si="22"/>
        <v/>
      </c>
      <c r="Q172" t="str">
        <f>IF($A172="","",SUMIFS(Allocation!$I$1:$I$175,Allocation!$C$1:$C$175,$A172,Allocation!$E$1:$E$175,$C172))</f>
        <v/>
      </c>
      <c r="R172" t="str">
        <f>IF($A172="","",SUMIFS(Allocation!$J$1:$J$175,Allocation!$C$1:$C$175,$A172,Allocation!$E$1:$E$175,$C172))</f>
        <v/>
      </c>
      <c r="S172" t="str">
        <f>IF($A172="","",SUMIFS(Allocation!$K$1:$K$175,Allocation!$C$1:$C$175,$A172,Allocation!$E$1:$E$175,$C172))</f>
        <v/>
      </c>
      <c r="T172" t="str">
        <f>IF($A172="","",SUMIFS(Allocation!$I$1:$I$175,Allocation!$C$1:$C$175,$A172))</f>
        <v/>
      </c>
      <c r="U172" t="str">
        <f>IF($A172="","",SUMIFS(Allocation!$J$1:$J$175,Allocation!$C$1:$C$175,$A172))</f>
        <v/>
      </c>
      <c r="V172" t="str">
        <f>IF($A172="","",SUMIFS(Allocation!$K$1:$K$175,Allocation!$C$1:$C$175,$A172))</f>
        <v/>
      </c>
      <c r="W172" t="str">
        <f>IF($A172="","",SUMIFS(Compta!$F$1:$F$675,Compta!$A$1:$A$675,$B172,Compta!$B$1:$B$675,"621",Compta!$C$1:$C$675,$A172))</f>
        <v/>
      </c>
      <c r="X172" t="str">
        <f>IF($A172="","",SUMIFS(Compta!$F$1:$F$675,Compta!$A$1:$A$675,$B172,Compta!$B$1:$B$675,"6411",Compta!$C$1:$C$675,$A172))</f>
        <v/>
      </c>
      <c r="Y172" t="str">
        <f>IF($A172="","",SUMIFS(Compta!$F$1:$F$675,Compta!$A$1:$A$675,$B172,Compta!$B$1:$B$675,"604",Compta!$C$1:$C$675,$A172)+SUMIFS(Compta!$F$1:$F$675,Compta!$A$1:$A$675,$B172,Compta!$B$1:$B$675,"6063",Compta!$C$1:$C$675,$A172))</f>
        <v/>
      </c>
      <c r="Z172" t="str">
        <f>IF($A172="","",SUMIFS(Compta!$F$1:$F$675,Compta!$A$1:$A$675,$B172,Compta!$B$1:$B$675,"6231",Compta!$C$1:$C$675,$A172))</f>
        <v/>
      </c>
      <c r="AA172" t="str">
        <f>IF($A172="","",SUMIFS(Compta!$F$1:$F$675,Compta!$A$1:$A$675,$B172,Compta!$B$1:$B$675,"6413",Compta!$C$1:$C$675,$A172)+SUMIFS(Compta!$F$1:$F$675,Compta!$A$1:$A$675,$B172,Compta!$B$1:$B$675,"645",Compta!$C$1:$C$675,$A172)+SUMIFS(Compta!$F$1:$F$675,Compta!$A$1:$A$675,$B172,Compta!$B$1:$B$675,"613",Compta!$C$1:$C$675,$A172)+SUMIFS(Compta!$F$1:$F$675,Compta!$A$1:$A$675,$B172,Compta!$B$1:$B$675,"615",Compta!$C$1:$C$675,$A172)+SUMIFS(Compta!$F$1:$F$675,Compta!$A$1:$A$675,$B172,Compta!$B$1:$B$675,"616",Compta!$C$1:$C$675,$A172)+SUMIFS(Compta!$F$1:$F$675,Compta!$A$1:$A$675,$B172,Compta!$B$1:$B$675,"625",Compta!$C$1:$C$675,$A172)+SUMIFS(Compta!$F$1:$F$675,Compta!$A$1:$A$675,$B172,Compta!$B$1:$B$675,"63511",Compta!$C$1:$C$675,$A172))</f>
        <v/>
      </c>
      <c r="AB172" t="str">
        <f>IF($A172="","",SUMIFS(Compta!$F$1:$F$675,Compta!$A$1:$A$675,"GRP",Compta!$B$1:$B$675,"6414",Compta!$C$1:$C$675,$A172)+SUMIFS(Compta!$F$1:$F$675,Compta!$A$1:$A$675,"GRP",Compta!$B$1:$B$675,"6226",Compta!$C$1:$C$675,$A172)+SUMIFS(Compta!$F$1:$F$675,Compta!$A$1:$A$675,"GRP",Compta!$B$1:$B$675,"626",Compta!$C$1:$C$675,$A172)+SUMIFS(Compta!$F$1:$F$675,Compta!$A$1:$A$675,"GRP",Compta!$B$1:$B$675,"6281",Compta!$C$1:$C$675,$A172)+SUMIFS(Compta!$F$1:$F$675,Compta!$A$1:$A$675,"GRP",Compta!$B$1:$B$675,"6331",Compta!$C$1:$C$675,$A172)+SUMIFS(Compta!$F$1:$F$675,Compta!$A$1:$A$675,"GRP",Compta!$B$1:$B$675,"6333",Compta!$C$1:$C$675,$A172))</f>
        <v/>
      </c>
      <c r="AC172" t="s">
        <v>297</v>
      </c>
      <c r="AD172" t="s">
        <v>297</v>
      </c>
      <c r="AE172" t="s">
        <v>297</v>
      </c>
      <c r="AF172" t="s">
        <v>297</v>
      </c>
      <c r="AG172" t="s">
        <v>297</v>
      </c>
      <c r="AH172" t="s">
        <v>297</v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 t="str">
        <f>IF($A172="","",SUMIFS(Compta!$F$1:$F$675,Compta!$A$1:$A$675,"GRP",Compta!$B$1:$B$675,"6236",Compta!$C$1:$C$675,$A172))</f>
        <v/>
      </c>
      <c r="AP172" t="s">
        <v>297</v>
      </c>
      <c r="AQ172" t="s">
        <v>297</v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IF(Allocation!D173="","",Allocation!I173)</f>
        <v/>
      </c>
      <c r="H173" t="str">
        <f>IF(Allocation!D173="","",Allocation!J173)</f>
        <v/>
      </c>
      <c r="I173" t="str">
        <f>IF(Allocation!D173="","",Allocation!K173)</f>
        <v/>
      </c>
      <c r="J173" t="str">
        <f>IF($A173="","",SUMIFS(Socle!$K$1:$K$175,Socle!$C$1:$C$175,$B173,Socle!$D$1:$D$175,$D173,Socle!$E$1:$E$175,$E173,Socle!$F$1:$F$175,$F173,Socle!$G$1:$G$175,$A173))</f>
        <v/>
      </c>
      <c r="K173" t="str">
        <f t="shared" si="20"/>
        <v/>
      </c>
      <c r="L173" t="str">
        <f>IF($A173="","",SUMIFS(Allocation!$I$1:$I$175,Allocation!$C$1:$C$175,$A173,Allocation!$D$1:$D$175,$B173))</f>
        <v/>
      </c>
      <c r="M173" t="str">
        <f>IF($A173="","",SUMIFS(Allocation!$J$1:$J$175,Allocation!$C$1:$C$175,$A173,Allocation!$D$1:$D$175,$B173))</f>
        <v/>
      </c>
      <c r="N173" t="str">
        <f>IF($A173="","",SUMIFS(Allocation!$K$1:$K$175,Allocation!$C$1:$C$175,$A173,Allocation!$D$1:$D$175,$B173))</f>
        <v/>
      </c>
      <c r="O173" t="str">
        <f t="shared" si="21"/>
        <v/>
      </c>
      <c r="P173" t="str">
        <f t="shared" si="22"/>
        <v/>
      </c>
      <c r="Q173" t="str">
        <f>IF($A173="","",SUMIFS(Allocation!$I$1:$I$175,Allocation!$C$1:$C$175,$A173,Allocation!$E$1:$E$175,$C173))</f>
        <v/>
      </c>
      <c r="R173" t="str">
        <f>IF($A173="","",SUMIFS(Allocation!$J$1:$J$175,Allocation!$C$1:$C$175,$A173,Allocation!$E$1:$E$175,$C173))</f>
        <v/>
      </c>
      <c r="S173" t="str">
        <f>IF($A173="","",SUMIFS(Allocation!$K$1:$K$175,Allocation!$C$1:$C$175,$A173,Allocation!$E$1:$E$175,$C173))</f>
        <v/>
      </c>
      <c r="T173" t="str">
        <f>IF($A173="","",SUMIFS(Allocation!$I$1:$I$175,Allocation!$C$1:$C$175,$A173))</f>
        <v/>
      </c>
      <c r="U173" t="str">
        <f>IF($A173="","",SUMIFS(Allocation!$J$1:$J$175,Allocation!$C$1:$C$175,$A173))</f>
        <v/>
      </c>
      <c r="V173" t="str">
        <f>IF($A173="","",SUMIFS(Allocation!$K$1:$K$175,Allocation!$C$1:$C$175,$A173))</f>
        <v/>
      </c>
      <c r="W173" t="str">
        <f>IF($A173="","",SUMIFS(Compta!$F$1:$F$675,Compta!$A$1:$A$675,$B173,Compta!$B$1:$B$675,"621",Compta!$C$1:$C$675,$A173))</f>
        <v/>
      </c>
      <c r="X173" t="str">
        <f>IF($A173="","",SUMIFS(Compta!$F$1:$F$675,Compta!$A$1:$A$675,$B173,Compta!$B$1:$B$675,"6411",Compta!$C$1:$C$675,$A173))</f>
        <v/>
      </c>
      <c r="Y173" t="str">
        <f>IF($A173="","",SUMIFS(Compta!$F$1:$F$675,Compta!$A$1:$A$675,$B173,Compta!$B$1:$B$675,"604",Compta!$C$1:$C$675,$A173)+SUMIFS(Compta!$F$1:$F$675,Compta!$A$1:$A$675,$B173,Compta!$B$1:$B$675,"6063",Compta!$C$1:$C$675,$A173))</f>
        <v/>
      </c>
      <c r="Z173" t="str">
        <f>IF($A173="","",SUMIFS(Compta!$F$1:$F$675,Compta!$A$1:$A$675,$B173,Compta!$B$1:$B$675,"6231",Compta!$C$1:$C$675,$A173))</f>
        <v/>
      </c>
      <c r="AA173" t="str">
        <f>IF($A173="","",SUMIFS(Compta!$F$1:$F$675,Compta!$A$1:$A$675,$B173,Compta!$B$1:$B$675,"6413",Compta!$C$1:$C$675,$A173)+SUMIFS(Compta!$F$1:$F$675,Compta!$A$1:$A$675,$B173,Compta!$B$1:$B$675,"645",Compta!$C$1:$C$675,$A173)+SUMIFS(Compta!$F$1:$F$675,Compta!$A$1:$A$675,$B173,Compta!$B$1:$B$675,"613",Compta!$C$1:$C$675,$A173)+SUMIFS(Compta!$F$1:$F$675,Compta!$A$1:$A$675,$B173,Compta!$B$1:$B$675,"615",Compta!$C$1:$C$675,$A173)+SUMIFS(Compta!$F$1:$F$675,Compta!$A$1:$A$675,$B173,Compta!$B$1:$B$675,"616",Compta!$C$1:$C$675,$A173)+SUMIFS(Compta!$F$1:$F$675,Compta!$A$1:$A$675,$B173,Compta!$B$1:$B$675,"625",Compta!$C$1:$C$675,$A173)+SUMIFS(Compta!$F$1:$F$675,Compta!$A$1:$A$675,$B173,Compta!$B$1:$B$675,"63511",Compta!$C$1:$C$675,$A173))</f>
        <v/>
      </c>
      <c r="AB173" t="str">
        <f>IF($A173="","",SUMIFS(Compta!$F$1:$F$675,Compta!$A$1:$A$675,"GRP",Compta!$B$1:$B$675,"6414",Compta!$C$1:$C$675,$A173)+SUMIFS(Compta!$F$1:$F$675,Compta!$A$1:$A$675,"GRP",Compta!$B$1:$B$675,"6226",Compta!$C$1:$C$675,$A173)+SUMIFS(Compta!$F$1:$F$675,Compta!$A$1:$A$675,"GRP",Compta!$B$1:$B$675,"626",Compta!$C$1:$C$675,$A173)+SUMIFS(Compta!$F$1:$F$675,Compta!$A$1:$A$675,"GRP",Compta!$B$1:$B$675,"6281",Compta!$C$1:$C$675,$A173)+SUMIFS(Compta!$F$1:$F$675,Compta!$A$1:$A$675,"GRP",Compta!$B$1:$B$675,"6331",Compta!$C$1:$C$675,$A173)+SUMIFS(Compta!$F$1:$F$675,Compta!$A$1:$A$675,"GRP",Compta!$B$1:$B$675,"6333",Compta!$C$1:$C$675,$A173))</f>
        <v/>
      </c>
      <c r="AC173" t="s">
        <v>297</v>
      </c>
      <c r="AD173" t="s">
        <v>297</v>
      </c>
      <c r="AE173" t="s">
        <v>297</v>
      </c>
      <c r="AF173" t="s">
        <v>297</v>
      </c>
      <c r="AG173" t="s">
        <v>297</v>
      </c>
      <c r="AH173" t="s">
        <v>297</v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 t="str">
        <f>IF($A173="","",SUMIFS(Compta!$F$1:$F$675,Compta!$A$1:$A$675,"GRP",Compta!$B$1:$B$675,"6236",Compta!$C$1:$C$675,$A173))</f>
        <v/>
      </c>
      <c r="AP173" t="s">
        <v>297</v>
      </c>
      <c r="AQ173" t="s">
        <v>297</v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IF(Allocation!D174="","",Allocation!I174)</f>
        <v/>
      </c>
      <c r="H174" t="str">
        <f>IF(Allocation!D174="","",Allocation!J174)</f>
        <v/>
      </c>
      <c r="I174" t="str">
        <f>IF(Allocation!D174="","",Allocation!K174)</f>
        <v/>
      </c>
      <c r="J174" t="str">
        <f>IF($A174="","",SUMIFS(Socle!$K$1:$K$175,Socle!$C$1:$C$175,$B174,Socle!$D$1:$D$175,$D174,Socle!$E$1:$E$175,$E174,Socle!$F$1:$F$175,$F174,Socle!$G$1:$G$175,$A174))</f>
        <v/>
      </c>
      <c r="K174" t="str">
        <f t="shared" si="20"/>
        <v/>
      </c>
      <c r="L174" t="str">
        <f>IF($A174="","",SUMIFS(Allocation!$I$1:$I$175,Allocation!$C$1:$C$175,$A174,Allocation!$D$1:$D$175,$B174))</f>
        <v/>
      </c>
      <c r="M174" t="str">
        <f>IF($A174="","",SUMIFS(Allocation!$J$1:$J$175,Allocation!$C$1:$C$175,$A174,Allocation!$D$1:$D$175,$B174))</f>
        <v/>
      </c>
      <c r="N174" t="str">
        <f>IF($A174="","",SUMIFS(Allocation!$K$1:$K$175,Allocation!$C$1:$C$175,$A174,Allocation!$D$1:$D$175,$B174))</f>
        <v/>
      </c>
      <c r="O174" t="str">
        <f t="shared" si="21"/>
        <v/>
      </c>
      <c r="P174" t="str">
        <f t="shared" si="22"/>
        <v/>
      </c>
      <c r="Q174" t="str">
        <f>IF($A174="","",SUMIFS(Allocation!$I$1:$I$175,Allocation!$C$1:$C$175,$A174,Allocation!$E$1:$E$175,$C174))</f>
        <v/>
      </c>
      <c r="R174" t="str">
        <f>IF($A174="","",SUMIFS(Allocation!$J$1:$J$175,Allocation!$C$1:$C$175,$A174,Allocation!$E$1:$E$175,$C174))</f>
        <v/>
      </c>
      <c r="S174" t="str">
        <f>IF($A174="","",SUMIFS(Allocation!$K$1:$K$175,Allocation!$C$1:$C$175,$A174,Allocation!$E$1:$E$175,$C174))</f>
        <v/>
      </c>
      <c r="T174" t="str">
        <f>IF($A174="","",SUMIFS(Allocation!$I$1:$I$175,Allocation!$C$1:$C$175,$A174))</f>
        <v/>
      </c>
      <c r="U174" t="str">
        <f>IF($A174="","",SUMIFS(Allocation!$J$1:$J$175,Allocation!$C$1:$C$175,$A174))</f>
        <v/>
      </c>
      <c r="V174" t="str">
        <f>IF($A174="","",SUMIFS(Allocation!$K$1:$K$175,Allocation!$C$1:$C$175,$A174))</f>
        <v/>
      </c>
      <c r="W174" t="str">
        <f>IF($A174="","",SUMIFS(Compta!$F$1:$F$675,Compta!$A$1:$A$675,$B174,Compta!$B$1:$B$675,"621",Compta!$C$1:$C$675,$A174))</f>
        <v/>
      </c>
      <c r="X174" t="str">
        <f>IF($A174="","",SUMIFS(Compta!$F$1:$F$675,Compta!$A$1:$A$675,$B174,Compta!$B$1:$B$675,"6411",Compta!$C$1:$C$675,$A174))</f>
        <v/>
      </c>
      <c r="Y174" t="str">
        <f>IF($A174="","",SUMIFS(Compta!$F$1:$F$675,Compta!$A$1:$A$675,$B174,Compta!$B$1:$B$675,"604",Compta!$C$1:$C$675,$A174)+SUMIFS(Compta!$F$1:$F$675,Compta!$A$1:$A$675,$B174,Compta!$B$1:$B$675,"6063",Compta!$C$1:$C$675,$A174))</f>
        <v/>
      </c>
      <c r="Z174" t="str">
        <f>IF($A174="","",SUMIFS(Compta!$F$1:$F$675,Compta!$A$1:$A$675,$B174,Compta!$B$1:$B$675,"6231",Compta!$C$1:$C$675,$A174))</f>
        <v/>
      </c>
      <c r="AA174" t="str">
        <f>IF($A174="","",SUMIFS(Compta!$F$1:$F$675,Compta!$A$1:$A$675,$B174,Compta!$B$1:$B$675,"6413",Compta!$C$1:$C$675,$A174)+SUMIFS(Compta!$F$1:$F$675,Compta!$A$1:$A$675,$B174,Compta!$B$1:$B$675,"645",Compta!$C$1:$C$675,$A174)+SUMIFS(Compta!$F$1:$F$675,Compta!$A$1:$A$675,$B174,Compta!$B$1:$B$675,"613",Compta!$C$1:$C$675,$A174)+SUMIFS(Compta!$F$1:$F$675,Compta!$A$1:$A$675,$B174,Compta!$B$1:$B$675,"615",Compta!$C$1:$C$675,$A174)+SUMIFS(Compta!$F$1:$F$675,Compta!$A$1:$A$675,$B174,Compta!$B$1:$B$675,"616",Compta!$C$1:$C$675,$A174)+SUMIFS(Compta!$F$1:$F$675,Compta!$A$1:$A$675,$B174,Compta!$B$1:$B$675,"625",Compta!$C$1:$C$675,$A174)+SUMIFS(Compta!$F$1:$F$675,Compta!$A$1:$A$675,$B174,Compta!$B$1:$B$675,"63511",Compta!$C$1:$C$675,$A174))</f>
        <v/>
      </c>
      <c r="AB174" t="str">
        <f>IF($A174="","",SUMIFS(Compta!$F$1:$F$675,Compta!$A$1:$A$675,"GRP",Compta!$B$1:$B$675,"6414",Compta!$C$1:$C$675,$A174)+SUMIFS(Compta!$F$1:$F$675,Compta!$A$1:$A$675,"GRP",Compta!$B$1:$B$675,"6226",Compta!$C$1:$C$675,$A174)+SUMIFS(Compta!$F$1:$F$675,Compta!$A$1:$A$675,"GRP",Compta!$B$1:$B$675,"626",Compta!$C$1:$C$675,$A174)+SUMIFS(Compta!$F$1:$F$675,Compta!$A$1:$A$675,"GRP",Compta!$B$1:$B$675,"6281",Compta!$C$1:$C$675,$A174)+SUMIFS(Compta!$F$1:$F$675,Compta!$A$1:$A$675,"GRP",Compta!$B$1:$B$675,"6331",Compta!$C$1:$C$675,$A174)+SUMIFS(Compta!$F$1:$F$675,Compta!$A$1:$A$675,"GRP",Compta!$B$1:$B$675,"6333",Compta!$C$1:$C$675,$A174))</f>
        <v/>
      </c>
      <c r="AC174" t="s">
        <v>297</v>
      </c>
      <c r="AD174" t="s">
        <v>297</v>
      </c>
      <c r="AE174" t="s">
        <v>297</v>
      </c>
      <c r="AF174" t="s">
        <v>297</v>
      </c>
      <c r="AG174" t="s">
        <v>297</v>
      </c>
      <c r="AH174" t="s">
        <v>297</v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 t="str">
        <f>IF($A174="","",SUMIFS(Compta!$F$1:$F$675,Compta!$A$1:$A$675,"GRP",Compta!$B$1:$B$675,"6236",Compta!$C$1:$C$675,$A174))</f>
        <v/>
      </c>
      <c r="AP174" t="s">
        <v>297</v>
      </c>
      <c r="AQ174" t="s">
        <v>297</v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IF(Allocation!D175="","",Allocation!I175)</f>
        <v/>
      </c>
      <c r="H175" t="str">
        <f>IF(Allocation!D175="","",Allocation!J175)</f>
        <v/>
      </c>
      <c r="I175" t="str">
        <f>IF(Allocation!D175="","",Allocation!K175)</f>
        <v/>
      </c>
      <c r="J175" t="str">
        <f>IF($A175="","",SUMIFS(Socle!$K$1:$K$175,Socle!$C$1:$C$175,$B175,Socle!$D$1:$D$175,$D175,Socle!$E$1:$E$175,$E175,Socle!$F$1:$F$175,$F175,Socle!$G$1:$G$175,$A175))</f>
        <v/>
      </c>
      <c r="K175" t="str">
        <f t="shared" si="20"/>
        <v/>
      </c>
      <c r="L175" t="str">
        <f>IF($A175="","",SUMIFS(Allocation!$I$1:$I$175,Allocation!$C$1:$C$175,$A175,Allocation!$D$1:$D$175,$B175))</f>
        <v/>
      </c>
      <c r="M175" t="str">
        <f>IF($A175="","",SUMIFS(Allocation!$J$1:$J$175,Allocation!$C$1:$C$175,$A175,Allocation!$D$1:$D$175,$B175))</f>
        <v/>
      </c>
      <c r="N175" t="str">
        <f>IF($A175="","",SUMIFS(Allocation!$K$1:$K$175,Allocation!$C$1:$C$175,$A175,Allocation!$D$1:$D$175,$B175))</f>
        <v/>
      </c>
      <c r="O175" t="str">
        <f t="shared" si="21"/>
        <v/>
      </c>
      <c r="P175" t="str">
        <f t="shared" si="22"/>
        <v/>
      </c>
      <c r="Q175" t="str">
        <f>IF($A175="","",SUMIFS(Allocation!$I$1:$I$175,Allocation!$C$1:$C$175,$A175,Allocation!$E$1:$E$175,$C175))</f>
        <v/>
      </c>
      <c r="R175" t="str">
        <f>IF($A175="","",SUMIFS(Allocation!$J$1:$J$175,Allocation!$C$1:$C$175,$A175,Allocation!$E$1:$E$175,$C175))</f>
        <v/>
      </c>
      <c r="S175" t="str">
        <f>IF($A175="","",SUMIFS(Allocation!$K$1:$K$175,Allocation!$C$1:$C$175,$A175,Allocation!$E$1:$E$175,$C175))</f>
        <v/>
      </c>
      <c r="T175" t="str">
        <f>IF($A175="","",SUMIFS(Allocation!$I$1:$I$175,Allocation!$C$1:$C$175,$A175))</f>
        <v/>
      </c>
      <c r="U175" t="str">
        <f>IF($A175="","",SUMIFS(Allocation!$J$1:$J$175,Allocation!$C$1:$C$175,$A175))</f>
        <v/>
      </c>
      <c r="V175" t="str">
        <f>IF($A175="","",SUMIFS(Allocation!$K$1:$K$175,Allocation!$C$1:$C$175,$A175))</f>
        <v/>
      </c>
      <c r="W175" t="str">
        <f>IF($A175="","",SUMIFS(Compta!$F$1:$F$675,Compta!$A$1:$A$675,$B175,Compta!$B$1:$B$675,"621",Compta!$C$1:$C$675,$A175))</f>
        <v/>
      </c>
      <c r="X175" t="str">
        <f>IF($A175="","",SUMIFS(Compta!$F$1:$F$675,Compta!$A$1:$A$675,$B175,Compta!$B$1:$B$675,"6411",Compta!$C$1:$C$675,$A175))</f>
        <v/>
      </c>
      <c r="Y175" t="str">
        <f>IF($A175="","",SUMIFS(Compta!$F$1:$F$675,Compta!$A$1:$A$675,$B175,Compta!$B$1:$B$675,"604",Compta!$C$1:$C$675,$A175)+SUMIFS(Compta!$F$1:$F$675,Compta!$A$1:$A$675,$B175,Compta!$B$1:$B$675,"6063",Compta!$C$1:$C$675,$A175))</f>
        <v/>
      </c>
      <c r="Z175" t="str">
        <f>IF($A175="","",SUMIFS(Compta!$F$1:$F$675,Compta!$A$1:$A$675,$B175,Compta!$B$1:$B$675,"6231",Compta!$C$1:$C$675,$A175))</f>
        <v/>
      </c>
      <c r="AA175" t="str">
        <f>IF($A175="","",SUMIFS(Compta!$F$1:$F$675,Compta!$A$1:$A$675,$B175,Compta!$B$1:$B$675,"6413",Compta!$C$1:$C$675,$A175)+SUMIFS(Compta!$F$1:$F$675,Compta!$A$1:$A$675,$B175,Compta!$B$1:$B$675,"645",Compta!$C$1:$C$675,$A175)+SUMIFS(Compta!$F$1:$F$675,Compta!$A$1:$A$675,$B175,Compta!$B$1:$B$675,"613",Compta!$C$1:$C$675,$A175)+SUMIFS(Compta!$F$1:$F$675,Compta!$A$1:$A$675,$B175,Compta!$B$1:$B$675,"615",Compta!$C$1:$C$675,$A175)+SUMIFS(Compta!$F$1:$F$675,Compta!$A$1:$A$675,$B175,Compta!$B$1:$B$675,"616",Compta!$C$1:$C$675,$A175)+SUMIFS(Compta!$F$1:$F$675,Compta!$A$1:$A$675,$B175,Compta!$B$1:$B$675,"625",Compta!$C$1:$C$675,$A175)+SUMIFS(Compta!$F$1:$F$675,Compta!$A$1:$A$675,$B175,Compta!$B$1:$B$675,"63511",Compta!$C$1:$C$675,$A175))</f>
        <v/>
      </c>
      <c r="AB175" t="str">
        <f>IF($A175="","",SUMIFS(Compta!$F$1:$F$675,Compta!$A$1:$A$675,"GRP",Compta!$B$1:$B$675,"6414",Compta!$C$1:$C$675,$A175)+SUMIFS(Compta!$F$1:$F$675,Compta!$A$1:$A$675,"GRP",Compta!$B$1:$B$675,"6226",Compta!$C$1:$C$675,$A175)+SUMIFS(Compta!$F$1:$F$675,Compta!$A$1:$A$675,"GRP",Compta!$B$1:$B$675,"626",Compta!$C$1:$C$675,$A175)+SUMIFS(Compta!$F$1:$F$675,Compta!$A$1:$A$675,"GRP",Compta!$B$1:$B$675,"6281",Compta!$C$1:$C$675,$A175)+SUMIFS(Compta!$F$1:$F$675,Compta!$A$1:$A$675,"GRP",Compta!$B$1:$B$675,"6331",Compta!$C$1:$C$675,$A175)+SUMIFS(Compta!$F$1:$F$675,Compta!$A$1:$A$675,"GRP",Compta!$B$1:$B$675,"6333",Compta!$C$1:$C$675,$A175))</f>
        <v/>
      </c>
      <c r="AC175" t="s">
        <v>297</v>
      </c>
      <c r="AD175" t="s">
        <v>297</v>
      </c>
      <c r="AE175" t="s">
        <v>297</v>
      </c>
      <c r="AF175" t="s">
        <v>297</v>
      </c>
      <c r="AG175" t="s">
        <v>297</v>
      </c>
      <c r="AH175" t="s">
        <v>297</v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 t="str">
        <f>IF($A175="","",SUMIFS(Compta!$F$1:$F$675,Compta!$A$1:$A$675,"GRP",Compta!$B$1:$B$675,"6236",Compta!$C$1:$C$675,$A175))</f>
        <v/>
      </c>
      <c r="AP175" t="s">
        <v>297</v>
      </c>
      <c r="AQ175" t="s">
        <v>297</v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E297D01-E1E8-4404-A146-57591BE904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2026-08-25T23:23:26Z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95c9002b-9545-4060-bff2-17e4280b0ebe</vt:lpwstr>
  </op:property>
  <op:property fmtid="{D5CDD505-2E9C-101B-9397-08002B2CF9AE}" pid="5" name="TGK_STATUS">
    <vt:lpstr>ADH_TPL</vt:lpstr>
  </op:property>
  <op:property fmtid="{D5CDD505-2E9C-101B-9397-08002B2CF9AE}" pid="6" name="TGK_CUSTOM_XML">
    <vt:lpwstr>{3E297D01-E1E8-4404-A146-57591BE9042C}</vt:lpwstr>
  </op:property>
</op:Properties>
</file>